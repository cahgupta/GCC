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t of Indian companies" sheetId="1" state="visible" r:id="rId3"/>
    <sheet name="India News Links" sheetId="2" state="hidden" r:id="rId4"/>
    <sheet name="Top 20 GI India" sheetId="3" state="hidden" r:id="rId5"/>
    <sheet name="Top 20 LI India" sheetId="4" state="hidden" r:id="rId6"/>
    <sheet name="Top 20 US" sheetId="5" state="hidden" r:id="rId7"/>
    <sheet name="Top 20 Brokers List" sheetId="6" state="hidden" r:id="rId8"/>
    <sheet name="Top GCCs India" sheetId="7" state="visible" r:id="rId9"/>
    <sheet name="GCCs US" sheetId="8" state="hidden" r:id="rId10"/>
    <sheet name="Indian UK" sheetId="9" state="hidden" r:id="rId11"/>
    <sheet name="Top 20 Africa" sheetId="10" state="hidden" r:id="rId12"/>
    <sheet name="Top 20 UK" sheetId="11" state="hidden" r:id="rId13"/>
    <sheet name="Trends" sheetId="12" state="hidden" r:id="rId14"/>
    <sheet name="Data for Slicer" sheetId="13" state="hidden" r:id="rId15"/>
    <sheet name="Oct'26 Review Log" sheetId="14" state="visible" r:id="rId16"/>
  </sheets>
  <definedNames>
    <definedName function="false" hidden="true" localSheetId="7" name="_xlnm._FilterDatabase" vbProcedure="false">'GCCs US'!$A$3:$T$3</definedName>
    <definedName function="false" hidden="true" localSheetId="8" name="_xlnm._FilterDatabase" vbProcedure="false">'Indian UK'!$A$3:$P$3</definedName>
    <definedName function="false" hidden="true" localSheetId="0" name="_xlnm._FilterDatabase" vbProcedure="false">'List of Indian companies'!$A$4:$H$77</definedName>
    <definedName function="false" hidden="true" localSheetId="9" name="_xlnm._FilterDatabase" vbProcedure="false">'Top 20 Africa'!$A$4:$R$4</definedName>
    <definedName function="false" hidden="true" localSheetId="10" name="_xlnm._FilterDatabase" vbProcedure="false">'Top 20 UK'!$A$4:$Q$4</definedName>
    <definedName function="false" hidden="true" localSheetId="4" name="_xlnm._FilterDatabase" vbProcedure="false">'Top 20 US'!$A$31:$G$66</definedName>
    <definedName function="false" hidden="true" localSheetId="6" name="_xlnm._FilterDatabase" vbProcedure="false">'Top GCCs India'!$A$3:$V$3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<sst xmlns="http://schemas.openxmlformats.org/spreadsheetml/2006/main" count="7317" uniqueCount="3826">
  <si>
    <t xml:space="preserve">List of all insurance companies in India</t>
  </si>
  <si>
    <t xml:space="preserve">GI - 27</t>
  </si>
  <si>
    <t xml:space="preserve">Source</t>
  </si>
  <si>
    <t xml:space="preserve">IRDAI website as on 23-Oct-2025</t>
  </si>
  <si>
    <t xml:space="preserve">LI - 26
H - 7</t>
  </si>
  <si>
    <t xml:space="preserve">RI - 1 (Other - 12 foreign branches)</t>
  </si>
  <si>
    <t xml:space="preserve">Sr. No.</t>
  </si>
  <si>
    <t xml:space="preserve">Name of the insurance company</t>
  </si>
  <si>
    <t xml:space="preserve">Type</t>
  </si>
  <si>
    <t xml:space="preserve">Headquarter</t>
  </si>
  <si>
    <t xml:space="preserve">Foreign Partner</t>
  </si>
  <si>
    <t xml:space="preserve">Stake</t>
  </si>
  <si>
    <t xml:space="preserve">GWP Figures INR Crores</t>
  </si>
  <si>
    <t xml:space="preserve">Rank</t>
  </si>
  <si>
    <t xml:space="preserve">Life Insurance Corporation of India</t>
  </si>
  <si>
    <t xml:space="preserve">Life</t>
  </si>
  <si>
    <t xml:space="preserve">Mumbai, Maharashtra</t>
  </si>
  <si>
    <t xml:space="preserve">NA</t>
  </si>
  <si>
    <t xml:space="preserve">SBI Life Insurance Company Limited</t>
  </si>
  <si>
    <t xml:space="preserve">HDFC Life Insurance Company Limited</t>
  </si>
  <si>
    <t xml:space="preserve">ICICI Prudential Life Insurance Company Limited</t>
  </si>
  <si>
    <t xml:space="preserve">Prudential Corporation Holdings Limited</t>
  </si>
  <si>
    <t xml:space="preserve">Axis Max Life Insurance Company Limited</t>
  </si>
  <si>
    <t xml:space="preserve">New Delhi, Delhi</t>
  </si>
  <si>
    <t xml:space="preserve">TATA AIA Life Insurance Company Limited</t>
  </si>
  <si>
    <t xml:space="preserve">AIA International Limited</t>
  </si>
  <si>
    <t xml:space="preserve">Bajaj Life Insurance Company Limited</t>
  </si>
  <si>
    <t xml:space="preserve">Pune, Maharashtra</t>
  </si>
  <si>
    <t xml:space="preserve">Allianz SE</t>
  </si>
  <si>
    <t xml:space="preserve">Aditya Birla Sun Life Insurance Company Limited</t>
  </si>
  <si>
    <t xml:space="preserve">Sun Life Financial (India) Insurance Investment Inc.</t>
  </si>
  <si>
    <t xml:space="preserve">Kotak Mahindra Life Insurance Company Limited</t>
  </si>
  <si>
    <t xml:space="preserve">PNB MetLife India Insurance Company Limited</t>
  </si>
  <si>
    <t xml:space="preserve">Bengaluru, Karnataka</t>
  </si>
  <si>
    <t xml:space="preserve">MetLife International Holdings LLC</t>
  </si>
  <si>
    <t xml:space="preserve">Star Union Dai-Ichi Life Insurance Company Limited</t>
  </si>
  <si>
    <t xml:space="preserve">Dai-ichi Life International Holdings, LLC</t>
  </si>
  <si>
    <t xml:space="preserve">Canara HSBC Life Insurance Company Limited</t>
  </si>
  <si>
    <t xml:space="preserve">Gurugram, Haryana</t>
  </si>
  <si>
    <t xml:space="preserve">HSBC Insurance (Asia Pacific) Holdings Limited</t>
  </si>
  <si>
    <t xml:space="preserve">IndiaFirst Life Insurance Company Limited</t>
  </si>
  <si>
    <t xml:space="preserve">Carmel Point Investments India Private Limited</t>
  </si>
  <si>
    <t xml:space="preserve">Reliance Nippon Life Insurance Company Limited</t>
  </si>
  <si>
    <t xml:space="preserve">Nippon Life Insurance Company</t>
  </si>
  <si>
    <t xml:space="preserve">Shriram Life Insurance Company Limited</t>
  </si>
  <si>
    <t xml:space="preserve">Hyderabad, Telangana</t>
  </si>
  <si>
    <t xml:space="preserve">Sanlam Group</t>
  </si>
  <si>
    <t xml:space="preserve">Ageas Federal Life Insurance Company Limited</t>
  </si>
  <si>
    <t xml:space="preserve">Ageas Insurance International N.V.</t>
  </si>
  <si>
    <t xml:space="preserve">Bharti AXA Life Insurance Company Limited</t>
  </si>
  <si>
    <t xml:space="preserve">Generali Central Life Insurance Company Limited</t>
  </si>
  <si>
    <t xml:space="preserve">Generali Participations Netherlands N.V.</t>
  </si>
  <si>
    <t xml:space="preserve">Edelweiss Tokio Life Insurance Company Limited</t>
  </si>
  <si>
    <t xml:space="preserve">Tokio Marine &amp; Nichido Fire Insurance Co. Ltd.</t>
  </si>
  <si>
    <t xml:space="preserve">Pramerica Life Insurance Company Limited</t>
  </si>
  <si>
    <t xml:space="preserve">Prudential Financial, Inc.</t>
  </si>
  <si>
    <t xml:space="preserve">Credit Access Life Insurance Limited</t>
  </si>
  <si>
    <t xml:space="preserve">CreditAccess India B.V. </t>
  </si>
  <si>
    <t xml:space="preserve">Aviva Life Insurance Company India Limited</t>
  </si>
  <si>
    <t xml:space="preserve">Aviva Plc.</t>
  </si>
  <si>
    <t xml:space="preserve">Go Digit Life Insurance Limited</t>
  </si>
  <si>
    <t xml:space="preserve">Fairfax Asia Limited</t>
  </si>
  <si>
    <t xml:space="preserve">Bandhan Life Insurance Limited</t>
  </si>
  <si>
    <t xml:space="preserve">Acko Life Insurance Limited</t>
  </si>
  <si>
    <t xml:space="preserve">Sahara India Life Insurance Company Limited</t>
  </si>
  <si>
    <t xml:space="preserve">Lucknow, Uttar Pradesh</t>
  </si>
  <si>
    <t xml:space="preserve">Acquired by SBI LIFE</t>
  </si>
  <si>
    <t xml:space="preserve">The New India Assurance Company Limited</t>
  </si>
  <si>
    <t xml:space="preserve">General</t>
  </si>
  <si>
    <t xml:space="preserve">ICICI LOMBARD General Insurance Company Limited</t>
  </si>
  <si>
    <t xml:space="preserve">Bajaj General Insurance Company Limited</t>
  </si>
  <si>
    <t xml:space="preserve">United India Insurance Company Limited</t>
  </si>
  <si>
    <t xml:space="preserve">Chennai, Tamil Nadu</t>
  </si>
  <si>
    <t xml:space="preserve">The Oriental Insurance Company Limited</t>
  </si>
  <si>
    <t xml:space="preserve">Tata AIG General Insurance Company Limited</t>
  </si>
  <si>
    <t xml:space="preserve">AIG MEA Investments and Services, LLC</t>
  </si>
  <si>
    <t xml:space="preserve">National Insurance Company Limited</t>
  </si>
  <si>
    <t xml:space="preserve">Kolkata, West Bengal</t>
  </si>
  <si>
    <t xml:space="preserve">HDFC ERGO General Insurance Company Limited</t>
  </si>
  <si>
    <t xml:space="preserve">ERGO International AG</t>
  </si>
  <si>
    <t xml:space="preserve">SBI General Insurance Company Limited</t>
  </si>
  <si>
    <t xml:space="preserve">Reliance General Insurance Company Limited</t>
  </si>
  <si>
    <t xml:space="preserve">Agriculture Insurance Company of India Limited</t>
  </si>
  <si>
    <t xml:space="preserve">Go Digit General Insurance Limited</t>
  </si>
  <si>
    <t xml:space="preserve">IFFCO TOKIO General Insurance Company Limited</t>
  </si>
  <si>
    <t xml:space="preserve">Tokio Marine Group</t>
  </si>
  <si>
    <t xml:space="preserve">Cholamandalam MS General Insurance Company Limited</t>
  </si>
  <si>
    <t xml:space="preserve">Generali Central Insurance Company Limited</t>
  </si>
  <si>
    <t xml:space="preserve">Universal Sompo General Insurance Company Limited</t>
  </si>
  <si>
    <t xml:space="preserve">Sompo Japan Insurance Inc. </t>
  </si>
  <si>
    <t xml:space="preserve">Royal Sundaram General Insurance Company Limited</t>
  </si>
  <si>
    <t xml:space="preserve">Ageas Insurance International N V</t>
  </si>
  <si>
    <t xml:space="preserve">Shriram General Insurance Company Limited</t>
  </si>
  <si>
    <t xml:space="preserve">Jaipur, Rajasthan</t>
  </si>
  <si>
    <t xml:space="preserve">Sanlam Emerging Markets (Mauritius) Limited</t>
  </si>
  <si>
    <t xml:space="preserve">Magma General Insurance Company Limited</t>
  </si>
  <si>
    <t xml:space="preserve">Liberty General Insurance Limited</t>
  </si>
  <si>
    <t xml:space="preserve">Summit Asia Investments Holdings Pte Ltd</t>
  </si>
  <si>
    <t xml:space="preserve">Acko General Insurance Limited</t>
  </si>
  <si>
    <t xml:space="preserve">Zurich Kotak General Insurance Company Limited</t>
  </si>
  <si>
    <t xml:space="preserve">Zurich Insurance Company Limited</t>
  </si>
  <si>
    <t xml:space="preserve">ECGC Limited</t>
  </si>
  <si>
    <t xml:space="preserve">Zuno General Insurance Ltd. (formerly known as Edelweiss General Insurance Company Limited)</t>
  </si>
  <si>
    <t xml:space="preserve">Kshema General Insurance Limited</t>
  </si>
  <si>
    <t xml:space="preserve">Raheja QBE General Insurance Co. Ltd.</t>
  </si>
  <si>
    <t xml:space="preserve">QBE Holdings (AAP) Pty. Limited</t>
  </si>
  <si>
    <t xml:space="preserve">Navi General Insurance Limited</t>
  </si>
  <si>
    <t xml:space="preserve">Star Health &amp; Allied Insurance Co. Ltd.</t>
  </si>
  <si>
    <t xml:space="preserve">Health</t>
  </si>
  <si>
    <t xml:space="preserve">Care Health Insurance Ltd. (formerly known as Religare Health Insurance Co. Ltd.)</t>
  </si>
  <si>
    <t xml:space="preserve">Niva Bupa Health Insurance Co Ltd.</t>
  </si>
  <si>
    <t xml:space="preserve">Aditya Birla Health Insurance Co. Ltd.</t>
  </si>
  <si>
    <t xml:space="preserve">Momentum Strategic Investment (Pty) Limited</t>
  </si>
  <si>
    <t xml:space="preserve">Manipal Cigna Health Insurance Company Limited</t>
  </si>
  <si>
    <t xml:space="preserve">Cigna Holding Overseas, Inc.</t>
  </si>
  <si>
    <t xml:space="preserve">Galaxy Health and Allied Insurance Co. Ltd.</t>
  </si>
  <si>
    <t xml:space="preserve">Narayana Health Insurance Ltd.</t>
  </si>
  <si>
    <t xml:space="preserve">General Insurance Corporation of India</t>
  </si>
  <si>
    <t xml:space="preserve">Reinsurer</t>
  </si>
  <si>
    <t xml:space="preserve">Münchener Rückversicherungs-Gesellschaft Aktiengesellschaft - India Branch (Munich Re- India Branch)</t>
  </si>
  <si>
    <t xml:space="preserve">Foreign RI branch in India</t>
  </si>
  <si>
    <t xml:space="preserve">Swiss Reinsurance Company Ltd, India Branch</t>
  </si>
  <si>
    <t xml:space="preserve">SCOR SE - India Branch</t>
  </si>
  <si>
    <t xml:space="preserve">Hannover Rück SE – India Branch</t>
  </si>
  <si>
    <t xml:space="preserve">RGA Life Reinsurance Company of Canada, India Branch</t>
  </si>
  <si>
    <t xml:space="preserve">XL Insurance Company SE, India Reinsurance Branch</t>
  </si>
  <si>
    <t xml:space="preserve">General Reinsurance AG - India Branch</t>
  </si>
  <si>
    <t xml:space="preserve">Allianz Global Corporate &amp; Specialty SE, India Branch</t>
  </si>
  <si>
    <t xml:space="preserve">Factory Mutual Insurance Company, India Branch</t>
  </si>
  <si>
    <t xml:space="preserve">Lloyd’s India Reinsurance Branch</t>
  </si>
  <si>
    <t xml:space="preserve">Markel Services India Private Limited</t>
  </si>
  <si>
    <t xml:space="preserve">Volante Global Services India Pvt.Ltd-lloyd's India</t>
  </si>
  <si>
    <t xml:space="preserve">No.</t>
  </si>
  <si>
    <t xml:space="preserve">Top News:</t>
  </si>
  <si>
    <t xml:space="preserve">Dated</t>
  </si>
  <si>
    <t xml:space="preserve">Links:</t>
  </si>
  <si>
    <t xml:space="preserve">Irdai asks insurers, distributors to form fraud risk management framework</t>
  </si>
  <si>
    <t xml:space="preserve">12th Oct</t>
  </si>
  <si>
    <t xml:space="preserve">https://www.business-standard.com/finance/insurance/irdai-fraud-risk-framework-insurers-reinsurers-cybersecurity-2026-125101200278_1.html</t>
  </si>
  <si>
    <t xml:space="preserve">AHPI, insurers discuss common empanelment and faster claims for patients</t>
  </si>
  <si>
    <t xml:space="preserve">9th Oct</t>
  </si>
  <si>
    <t xml:space="preserve">https://www.business-standard.com/finance/insurance/ahpi-insurers-discuss-common-empanelment-faster-claims-patient-care-125100901184_1.html</t>
  </si>
  <si>
    <t xml:space="preserve">Rethink insurance delivery to reach rural India: Irdai's Deepak Sood</t>
  </si>
  <si>
    <t xml:space="preserve">8th Oct</t>
  </si>
  <si>
    <t xml:space="preserve">https://www.business-standard.com/finance/insurance/irdai-deepak-sood-rethink-distribution-framework-for-universal-insurance-125100801321_1.html</t>
  </si>
  <si>
    <t xml:space="preserve">LIC partners with RBL Bank to expand bancassurance reach</t>
  </si>
  <si>
    <t xml:space="preserve">7th Oct</t>
  </si>
  <si>
    <t xml:space="preserve">https://insuranceasia.com/insurance/news/lic-partners-rbl-bank-expand-bancassurance-reach</t>
  </si>
  <si>
    <t xml:space="preserve">Govt considers introducing nationwide climate-linked insurance scheme</t>
  </si>
  <si>
    <t xml:space="preserve">6th Oct</t>
  </si>
  <si>
    <t xml:space="preserve">https://www.business-standard.com/finance/insurance/govt-considers-introducing-nationwide-climate-linked-insurance-scheme-125100600912_1.html</t>
  </si>
  <si>
    <t xml:space="preserve">Life insurers firms plan to approach regulator for relief after ITC removal</t>
  </si>
  <si>
    <t xml:space="preserve">28th Sep</t>
  </si>
  <si>
    <t xml:space="preserve">https://www.business-standard.com/finance/insurance/life-cos-to-approach-irdai-to-pass-on-impact-of-itc-removal-on-distributor-125092800459_1.html</t>
  </si>
  <si>
    <t xml:space="preserve">Bima Sugam to launch with 2-3 products and e-KYC module by year-end</t>
  </si>
  <si>
    <t xml:space="preserve">26th Sep</t>
  </si>
  <si>
    <t xml:space="preserve">https://www.business-standard.com/finance/insurance/bima-sugam-to-launch-with-2-3-products-and-e-kyc-module-by-year-end-125092600954_1.html</t>
  </si>
  <si>
    <t xml:space="preserve">Irdai Chairman Ajay Seth launches Bima Sugam India Federation website</t>
  </si>
  <si>
    <t xml:space="preserve">17th Sep</t>
  </si>
  <si>
    <t xml:space="preserve">https://www.business-standard.com/finance/insurance/irdai-chairman-ajay-seth-launches-bima-sugam-india-federation-website-125091701252_1.html</t>
  </si>
  <si>
    <t xml:space="preserve">List of Top 20 General insurance companies in India</t>
  </si>
  <si>
    <t xml:space="preserve">Health Insurance</t>
  </si>
  <si>
    <t xml:space="preserve">Source: IRDA Sep-25 business figures</t>
  </si>
  <si>
    <t xml:space="preserve">CCO</t>
  </si>
  <si>
    <t xml:space="preserve">CRO</t>
  </si>
  <si>
    <t xml:space="preserve">CEO</t>
  </si>
  <si>
    <t xml:space="preserve">Channel</t>
  </si>
  <si>
    <t xml:space="preserve">GCSP</t>
  </si>
  <si>
    <t xml:space="preserve">Restrictions, if any</t>
  </si>
  <si>
    <t xml:space="preserve">EY services provided</t>
  </si>
  <si>
    <t xml:space="preserve">Key Trends</t>
  </si>
  <si>
    <t xml:space="preserve">Source links</t>
  </si>
  <si>
    <t xml:space="preserve">Jayashree Nair</t>
  </si>
  <si>
    <t xml:space="preserve">K V Raman</t>
  </si>
  <si>
    <t xml:space="preserve">Ms. Girija Subramanian</t>
  </si>
  <si>
    <t xml:space="preserve">Channel 2</t>
  </si>
  <si>
    <t xml:space="preserve">Pratik Shah</t>
  </si>
  <si>
    <t xml:space="preserve">1. No Restrictions</t>
  </si>
  <si>
    <t xml:space="preserve">New India Assurance gets ₹2,298 cr GST demand notice for 5 financial years
New India Assurance to launch parametric insurance for climate risks: CMD
New India Assurance gets Rs 124.98 cr demand notice from Income Tax dept</t>
  </si>
  <si>
    <t xml:space="preserve">https://www.business-standard.com/search?q=New%20India%20Assurance</t>
  </si>
  <si>
    <t xml:space="preserve">Amit Kushwaha</t>
  </si>
  <si>
    <t xml:space="preserve">Gopal Balachandran</t>
  </si>
  <si>
    <t xml:space="preserve">Mr. Sanjeev Mantri</t>
  </si>
  <si>
    <t xml:space="preserve">Viren Mehta</t>
  </si>
  <si>
    <t xml:space="preserve">1. Scope of Service - No restrictions
2. GCSP Approval - Required</t>
  </si>
  <si>
    <t xml:space="preserve">TCS helps ICICI Lombard achieve DR switchover on AWS Cloud</t>
  </si>
  <si>
    <t xml:space="preserve">https://www.business-standard.com/markets/capital-market-news/tcs-helps-icici-lombard-achieve-dr-switchover-on-aws-cloud-125082500488_1.html</t>
  </si>
  <si>
    <t xml:space="preserve">Krishnan Gopalakrishnan</t>
  </si>
  <si>
    <t xml:space="preserve">Avez Sayed</t>
  </si>
  <si>
    <t xml:space="preserve">Mr. Tapan Singhel</t>
  </si>
  <si>
    <t xml:space="preserve">Channel 1</t>
  </si>
  <si>
    <t xml:space="preserve">Arvind Sethi</t>
  </si>
  <si>
    <t xml:space="preserve">1. Audit Client
2. Scope of Service - Restricted
3. Audit Committee Pre-approval - Required
4. GCSP Approval - Required</t>
  </si>
  <si>
    <t xml:space="preserve">Arun P N</t>
  </si>
  <si>
    <t xml:space="preserve">K. Raj Kumar</t>
  </si>
  <si>
    <t xml:space="preserve">Mr. Bhupesh Sushil Rahul</t>
  </si>
  <si>
    <t xml:space="preserve">A.R. Pote</t>
  </si>
  <si>
    <t xml:space="preserve">Meera Parthasarthy</t>
  </si>
  <si>
    <t xml:space="preserve">Mr. Sanjay Joshi</t>
  </si>
  <si>
    <t xml:space="preserve">Ashish Sarma</t>
  </si>
  <si>
    <t xml:space="preserve">Satyanandan Atyam</t>
  </si>
  <si>
    <t xml:space="preserve">Mr. Amit Ganorkar</t>
  </si>
  <si>
    <t xml:space="preserve">G360, Channel 2</t>
  </si>
  <si>
    <t xml:space="preserve">Aman Dutta</t>
  </si>
  <si>
    <t xml:space="preserve">Central Bank of India, TATA AIG to offer insurance for MSME payments
TATA AIG ties up with Equitas Small Finance Bank for insurance distribution</t>
  </si>
  <si>
    <t xml:space="preserve">https://insuranceasia.com/insurance/news/central-bank-india-tata-aig-offer-insurance-msme-payments</t>
  </si>
  <si>
    <t xml:space="preserve">Princey Mehra</t>
  </si>
  <si>
    <t xml:space="preserve">Prashant Prabhakar Kalaver</t>
  </si>
  <si>
    <t xml:space="preserve">Mr. Anand Roy</t>
  </si>
  <si>
    <t xml:space="preserve">Star Health, CARE, Niva Bupa record most policyholder complaints in FY24</t>
  </si>
  <si>
    <t xml:space="preserve">https://www.business-standard.com/finance/personal-finance/star-health-care-niva-bupa-record-most-policyholder-complaints-in-fy24-125090100487_1.html</t>
  </si>
  <si>
    <t xml:space="preserve">Shashi Kumar M</t>
  </si>
  <si>
    <t xml:space="preserve">Mahua Nandy</t>
  </si>
  <si>
    <t xml:space="preserve">Ms. Rajeshwari Singh Muni</t>
  </si>
  <si>
    <t xml:space="preserve">Vyoma Manek</t>
  </si>
  <si>
    <t xml:space="preserve">Chirag Sheth</t>
  </si>
  <si>
    <t xml:space="preserve">Mr. Anuj Tyagi</t>
  </si>
  <si>
    <t xml:space="preserve">Basant Shroff</t>
  </si>
  <si>
    <t xml:space="preserve">Shatrughan Singh</t>
  </si>
  <si>
    <t xml:space="preserve">Neil Albert Vaz</t>
  </si>
  <si>
    <t xml:space="preserve">Mr. Shri Naveen Chandra Jha</t>
  </si>
  <si>
    <t xml:space="preserve">Charanjit Attra</t>
  </si>
  <si>
    <t xml:space="preserve">SBI General Insurance Launches Unique Health Scanning Feature on Its Mobile App</t>
  </si>
  <si>
    <t xml:space="preserve">https://www.business-standard.com/content/press-releases-ani/sbi-general-insurance-launches-unique-health-scanning-feature-on-its-mobile-app-125091900982_1.html</t>
  </si>
  <si>
    <t xml:space="preserve">Prasun Pratik</t>
  </si>
  <si>
    <t xml:space="preserve">Jasmeet Singh</t>
  </si>
  <si>
    <t xml:space="preserve">Mr. Rakesh Jain</t>
  </si>
  <si>
    <t xml:space="preserve">Reliance General Insurance partners with Mayfair We Care to redefine borderless healthcare</t>
  </si>
  <si>
    <t xml:space="preserve">Kanika Sharma Shandil</t>
  </si>
  <si>
    <t xml:space="preserve">Dilip D. Dange</t>
  </si>
  <si>
    <t xml:space="preserve">Lavanya R. Mundayur</t>
  </si>
  <si>
    <t xml:space="preserve">None</t>
  </si>
  <si>
    <t xml:space="preserve">Rasika Kuber</t>
  </si>
  <si>
    <t xml:space="preserve">Rajeev Singh</t>
  </si>
  <si>
    <t xml:space="preserve">Ms. Jasleen Kohli</t>
  </si>
  <si>
    <t xml:space="preserve">Pramod Achuthan</t>
  </si>
  <si>
    <t xml:space="preserve">Anoop Singh</t>
  </si>
  <si>
    <t xml:space="preserve">Bhawana Jain </t>
  </si>
  <si>
    <t xml:space="preserve">Mr. Anuj Gulati</t>
  </si>
  <si>
    <t xml:space="preserve">Amit Jain</t>
  </si>
  <si>
    <t xml:space="preserve">Takahiro Kondo</t>
  </si>
  <si>
    <t xml:space="preserve">Mr. Subrata Mondal</t>
  </si>
  <si>
    <t xml:space="preserve">Ahmad Abu-Asabeh</t>
  </si>
  <si>
    <t xml:space="preserve">IFFCO-Tokio enters surety bonds business to support infra projects</t>
  </si>
  <si>
    <t xml:space="preserve">https://www.business-standard.com/finance/insurance/iffco-tokio-enters-surety-bonds-market-to-support-infra-growth-125050601178_1.html</t>
  </si>
  <si>
    <t xml:space="preserve">Mahendra Kumar Tripathi</t>
  </si>
  <si>
    <t xml:space="preserve">S K Rangaswamy</t>
  </si>
  <si>
    <t xml:space="preserve">Mr. Venkateswaran Suryanarayanan</t>
  </si>
  <si>
    <t xml:space="preserve">Aravind Krishnan</t>
  </si>
  <si>
    <t xml:space="preserve">Cholamandalam MS General Insurance likely to go public in five years: MD</t>
  </si>
  <si>
    <t xml:space="preserve">https://www.business-standard.com/companies/news/cholamandalam-ms-general-insurance-likely-to-go-public-in-five-years-md-125062301122_1.html</t>
  </si>
  <si>
    <t xml:space="preserve">Rajat Bajaj</t>
  </si>
  <si>
    <t xml:space="preserve">Vipul Sharma</t>
  </si>
  <si>
    <t xml:space="preserve">Mr. Krishnan Ramachandran</t>
  </si>
  <si>
    <t xml:space="preserve">James Tufts</t>
  </si>
  <si>
    <t xml:space="preserve">Shilpa Mantri</t>
  </si>
  <si>
    <t xml:space="preserve">Ajay Panchal</t>
  </si>
  <si>
    <t xml:space="preserve">Mr. Anup Rau</t>
  </si>
  <si>
    <t xml:space="preserve">Francesco Pisapia, Pinakiranjan Mishra</t>
  </si>
  <si>
    <t xml:space="preserve">Sameer Patwardhan</t>
  </si>
  <si>
    <t xml:space="preserve">Rishin Rai</t>
  </si>
  <si>
    <t xml:space="preserve">Mr. Sharad Mathur</t>
  </si>
  <si>
    <t xml:space="preserve">Universal Sompo Extends Insurance Coverage to Pets</t>
  </si>
  <si>
    <t xml:space="preserve">https://www.business-standard.com/content/press-releases-ani/universal-sompo-extends-insurance-coverage-to-pets-125062800275_1.html</t>
  </si>
  <si>
    <t xml:space="preserve">Arpit Patel</t>
  </si>
  <si>
    <t xml:space="preserve">Lalit Vermani</t>
  </si>
  <si>
    <t xml:space="preserve">Mr. Mayank Bathwal</t>
  </si>
  <si>
    <t xml:space="preserve">Neville Dumasia</t>
  </si>
  <si>
    <t xml:space="preserve">Vakrangee partners with Aditya Birla Health Insurance</t>
  </si>
  <si>
    <t xml:space="preserve">https://www.business-standard.com/markets/capital-market-news/vakrangee-partners-with-aditya-birla-health-insurance-125022700332_1.html</t>
  </si>
  <si>
    <t xml:space="preserve">
Balachandher SR</t>
  </si>
  <si>
    <t xml:space="preserve">Lesten Simon Dsouza A</t>
  </si>
  <si>
    <t xml:space="preserve">Vedanarayanan Seshadri</t>
  </si>
  <si>
    <t xml:space="preserve">Binay Shukla</t>
  </si>
  <si>
    <t xml:space="preserve">Royal Sundaram unlocks agility and scalability through digital transformation with FirstApex partnership</t>
  </si>
  <si>
    <t xml:space="preserve">https://www.theweek.in/wire-updates/business/2025/09/16/dcm76-firstapex.html</t>
  </si>
  <si>
    <t xml:space="preserve">Hemant Kumar Sharma</t>
  </si>
  <si>
    <t xml:space="preserve">Rachit Goyal</t>
  </si>
  <si>
    <t xml:space="preserve">Mr. Anil Kumar Aggarwal</t>
  </si>
  <si>
    <t xml:space="preserve">Jaco Louw</t>
  </si>
  <si>
    <t xml:space="preserve">Amit Raheja</t>
  </si>
  <si>
    <t xml:space="preserve">Kishore Khanchandani</t>
  </si>
  <si>
    <t xml:space="preserve">Mr. Rajive Kumaraswami</t>
  </si>
  <si>
    <t xml:space="preserve">Shruti Ladwa</t>
  </si>
  <si>
    <t xml:space="preserve">Magma sells general insurance business to Patanjali
</t>
  </si>
  <si>
    <t xml:space="preserve">https://economictimes.indiatimes.com/markets/stocks/news/magma-sells-general-insurance-business-to-patanjali-ds-group/articleshow/119002582.cms</t>
  </si>
  <si>
    <t xml:space="preserve">Hardik Shah</t>
  </si>
  <si>
    <t xml:space="preserve">Mr. Parag Ved</t>
  </si>
  <si>
    <t xml:space="preserve">John Santosuosso</t>
  </si>
  <si>
    <t xml:space="preserve">1. Scope of Service - Restricted
2. GCSP Approval - Required</t>
  </si>
  <si>
    <t xml:space="preserve">Karishma Desai</t>
  </si>
  <si>
    <t xml:space="preserve">Ketul Patel</t>
  </si>
  <si>
    <t xml:space="preserve">Mr. Animesh Das</t>
  </si>
  <si>
    <t xml:space="preserve">Jim Donnelly</t>
  </si>
  <si>
    <t xml:space="preserve">Prashant Arora</t>
  </si>
  <si>
    <t xml:space="preserve">Nimesh Jayanti Kanabar</t>
  </si>
  <si>
    <t xml:space="preserve">Mr. Alok Kumar Agarwal</t>
  </si>
  <si>
    <t xml:space="preserve">Guillaume Fontaine</t>
  </si>
  <si>
    <t xml:space="preserve">TBD</t>
  </si>
  <si>
    <t xml:space="preserve">Kumar Anshuman</t>
  </si>
  <si>
    <t xml:space="preserve">Mr. Sristiraj Ambastha</t>
  </si>
  <si>
    <t xml:space="preserve">Sameer Karekatte</t>
  </si>
  <si>
    <t xml:space="preserve">Rahul Shankar</t>
  </si>
  <si>
    <t xml:space="preserve">Ms. Shubhdarshini Ghosh</t>
  </si>
  <si>
    <t xml:space="preserve">Shrawan Jalan</t>
  </si>
  <si>
    <t xml:space="preserve">
Badarish H Chimalgi</t>
  </si>
  <si>
    <t xml:space="preserve">Kumar Saurav</t>
  </si>
  <si>
    <t xml:space="preserve">Mr. Vyasa Krishna Burugupalli</t>
  </si>
  <si>
    <t xml:space="preserve">Kshema General Insurance to receive $20 million capital infusion from GCF</t>
  </si>
  <si>
    <t xml:space="preserve">https://www.business-standard.com/finance/insurance/kshema-general-insurance-to-receive-20-million-capital-infusion-from-gcf-125110301379_1.html</t>
  </si>
  <si>
    <t xml:space="preserve">Jigar Shah</t>
  </si>
  <si>
    <t xml:space="preserve">Lokesh Agarwal</t>
  </si>
  <si>
    <t xml:space="preserve">Mr. Rajeev Dogra</t>
  </si>
  <si>
    <t xml:space="preserve">Firoz Pradhan</t>
  </si>
  <si>
    <t xml:space="preserve">Received INR 382.544 million in funding from Prism Johnson Limited</t>
  </si>
  <si>
    <t xml:space="preserve">https://www.marketscreener.com/news/raheja-qbe-general-insurance-company-limited-announced-that-it-has-received-inr-382-544-million-in-f-ce7d5bd9dc89f422</t>
  </si>
  <si>
    <t xml:space="preserve">Ajay Kumar KV</t>
  </si>
  <si>
    <t xml:space="preserve">Shivam Tewari</t>
  </si>
  <si>
    <t xml:space="preserve">Mr. Vaibhav Goyal</t>
  </si>
  <si>
    <t xml:space="preserve">Sameer Bhatnagar</t>
  </si>
  <si>
    <t xml:space="preserve">Rupa Subramanian</t>
  </si>
  <si>
    <t xml:space="preserve">Mr. Joydeep Saha</t>
  </si>
  <si>
    <t xml:space="preserve">Jim Welch</t>
  </si>
  <si>
    <t xml:space="preserve">V Vasudevan</t>
  </si>
  <si>
    <t xml:space="preserve">Gauri Venkatesan</t>
  </si>
  <si>
    <t xml:space="preserve">Mr. G Srinivasan</t>
  </si>
  <si>
    <t xml:space="preserve">Naresh Kumar Katla</t>
  </si>
  <si>
    <t xml:space="preserve">Deepak Murugananthadas</t>
  </si>
  <si>
    <t xml:space="preserve">Ms. Sheela Ananth</t>
  </si>
  <si>
    <t xml:space="preserve">List of Top 20 Life insurance companies in India</t>
  </si>
  <si>
    <t xml:space="preserve">Lockton
Lockton Services India Pvt. Ltd - GCC</t>
  </si>
  <si>
    <t xml:space="preserve">Source Link</t>
  </si>
  <si>
    <t xml:space="preserve">Anshul Kumar Singh</t>
  </si>
  <si>
    <t xml:space="preserve">Srivastava Shatmanyu</t>
  </si>
  <si>
    <t xml:space="preserve">Mr. R. Doraiswamy</t>
  </si>
  <si>
    <t xml:space="preserve">1. Scope of Service - No restrictions
2. Audit Committee Pre approval - Required
3. GCSP Approval - Required</t>
  </si>
  <si>
    <t xml:space="preserve">Pranay Raniwala</t>
  </si>
  <si>
    <t xml:space="preserve">Subhendu Bal</t>
  </si>
  <si>
    <t xml:space="preserve">Mr. Amit Jhingran</t>
  </si>
  <si>
    <t xml:space="preserve">SBI Life, AU Small Finance Bank partner to expand insurance in rural India</t>
  </si>
  <si>
    <t xml:space="preserve">https://insuranceasia.com/insurance/news/sbi-life-au-small-finance-bank-partner-expand-insurance-in-rural-india</t>
  </si>
  <si>
    <t xml:space="preserve">Nagesh Pai</t>
  </si>
  <si>
    <t xml:space="preserve">Khushru Sidhwa</t>
  </si>
  <si>
    <t xml:space="preserve">Ms. Vibha Padalkar</t>
  </si>
  <si>
    <t xml:space="preserve">HDFC Life announces corporate agency tie-up with CARS24 financial services pvt. ltd</t>
  </si>
  <si>
    <t xml:space="preserve">
https://economictimes.indiatimes.com/industry/banking/finance/insure/hdfc-life-announces-corporate-agency-tie-up-with-cars24-financial-services-pvt-ltd/articleshow/117445149.cms?utm_source=contentofinterest&amp;utm_medium=text&amp;utm_campaign=cppst</t>
  </si>
  <si>
    <t xml:space="preserve">Anand Desai</t>
  </si>
  <si>
    <t xml:space="preserve">Deepak Kinger</t>
  </si>
  <si>
    <t xml:space="preserve">Mr. Anup Bagchi</t>
  </si>
  <si>
    <t xml:space="preserve">SBM Bank India, ICICI Prudential Life forge bancassurance partnership</t>
  </si>
  <si>
    <t xml:space="preserve">Anurag Chauhan</t>
  </si>
  <si>
    <t xml:space="preserve">Sachin Saxena</t>
  </si>
  <si>
    <t xml:space="preserve">Mr. Sumit Madan</t>
  </si>
  <si>
    <t xml:space="preserve">Axis Max Life Insurance Partners with India Post Payments Bank to Drive Life Insurance Penetration In Tier 3, Tier 4 and Rural Markets</t>
  </si>
  <si>
    <t xml:space="preserve">https://www.business-standard.com/content/press-releases-ani/axis-max-life-insurance-partners-with-india-post-payments-bank-to-drive-life-insurance-penetration-in-tier-3-tier-4-and-rural-markets-125091001068_1.html</t>
  </si>
  <si>
    <t xml:space="preserve">Gayatri Nathan</t>
  </si>
  <si>
    <t xml:space="preserve">Aditya Kanade</t>
  </si>
  <si>
    <t xml:space="preserve">Mr. Venkatachalam Iyer</t>
  </si>
  <si>
    <t xml:space="preserve">Federal Bank and Tata AIA Life Insurance Announce Strategic Bancassurance Partnership </t>
  </si>
  <si>
    <t xml:space="preserve">Anil P.M.</t>
  </si>
  <si>
    <t xml:space="preserve">Farid Valani</t>
  </si>
  <si>
    <t xml:space="preserve">Mr. Tarun Chugh</t>
  </si>
  <si>
    <t xml:space="preserve">Shailendra Kothavale</t>
  </si>
  <si>
    <t xml:space="preserve">Mr. Kamlesh Rao</t>
  </si>
  <si>
    <t xml:space="preserve">Ajaya Rautaray</t>
  </si>
  <si>
    <t xml:space="preserve">Sarang Cheema</t>
  </si>
  <si>
    <t xml:space="preserve">Mr. Mahesh Balasubramanian</t>
  </si>
  <si>
    <t xml:space="preserve">Rohish Samant</t>
  </si>
  <si>
    <t xml:space="preserve">Vijayalakshmi Natarajan</t>
  </si>
  <si>
    <t xml:space="preserve">Mr. Sameer Bansal</t>
  </si>
  <si>
    <t xml:space="preserve">Nancy Conturso	</t>
  </si>
  <si>
    <t xml:space="preserve">Sreemaya Athikkat</t>
  </si>
  <si>
    <t xml:space="preserve">Ken Obuchi</t>
  </si>
  <si>
    <t xml:space="preserve">Mr. Abhay Tewari</t>
  </si>
  <si>
    <t xml:space="preserve">Manoj Jain</t>
  </si>
  <si>
    <t xml:space="preserve">Vikas Gupta</t>
  </si>
  <si>
    <t xml:space="preserve">Mr. Anuj Mathur</t>
  </si>
  <si>
    <t xml:space="preserve">Canara HSBC Life Insurance launches OmniGen AI, an industry first Generative AI solution to Optimize Risk Evaluation in Underwriting</t>
  </si>
  <si>
    <t xml:space="preserve">https://www.business-standard.com/content/press-releases-ani/canara-hsbc-life-insurance-launches-omnigen-ai-an-industry-first-generative-ai-solution-to-optimize-risk-evaluation-in-underwriting-124112500592_1.html</t>
  </si>
  <si>
    <t xml:space="preserve">Chinmay Kallianpur</t>
  </si>
  <si>
    <t xml:space="preserve">Amrish Maheshwari</t>
  </si>
  <si>
    <t xml:space="preserve">Mr. Rushabh Gandhi</t>
  </si>
  <si>
    <t xml:space="preserve">1. Scope of Service - Fully Restricted
2. GCSP Approval - Required</t>
  </si>
  <si>
    <t xml:space="preserve">Rajesh Kumavat</t>
  </si>
  <si>
    <t xml:space="preserve">R Bharathwaj</t>
  </si>
  <si>
    <t xml:space="preserve">Mr. Ashish Vohra</t>
  </si>
  <si>
    <t xml:space="preserve">Ajay Shah</t>
  </si>
  <si>
    <t xml:space="preserve">Reliance Nippon Life in talks with IndusInd Bank on bancassurance tie up</t>
  </si>
  <si>
    <t xml:space="preserve">https://www.business-standard.com/companies/news/reliance-nippon-life-in-talks-with-indusind-bank-on-bancassurance-tie-up-124121800909_1.html</t>
  </si>
  <si>
    <t xml:space="preserve">Bireswar Chatterjee</t>
  </si>
  <si>
    <t xml:space="preserve">Avanish Bankar</t>
  </si>
  <si>
    <t xml:space="preserve">Mr. Casparus Jacobus Hendri Kromhout</t>
  </si>
  <si>
    <t xml:space="preserve">Shriram Life Partners with JM Financial Services to Expand Insurance Access
A Step Towards Growth, Bharat Bank Ties up with Shriram Life Insurance Co.
Shriram Life Insurance Partners with Muthoot Mercantile to Expand Insurance Distribution Network
Shriram Life Insurance Partners with ESAF Small Finance Bank to Serve Underserved Markets</t>
  </si>
  <si>
    <t xml:space="preserve">https://www.business-standard.com/search?q=Shriram%20Life</t>
  </si>
  <si>
    <t xml:space="preserve">Rajesh Ajgaonkar</t>
  </si>
  <si>
    <t xml:space="preserve">Raju Seetharaman</t>
  </si>
  <si>
    <t xml:space="preserve">Mr. Vighnesh Sahane</t>
  </si>
  <si>
    <t xml:space="preserve">Ageas Federal Life Insurance and CSB Bank forge SME Bancassurance partnership</t>
  </si>
  <si>
    <t xml:space="preserve">https://www.moneycontrol.com/banking/ageas-federal-life-insurance-and-csb-bank-forge-sme-bancassurance-partnership-article-13624207.html#:~:text=Ageas%20Federal%20Life%20Insurance%2C%20one%20of%20India%E2%80%99s%20leading,and%20Individual%20entrepreneurs%2C%20on%20a%20pan%20India%20basis.</t>
  </si>
  <si>
    <t xml:space="preserve">Vinod D'souza</t>
  </si>
  <si>
    <t xml:space="preserve">Neelakshi Shalla</t>
  </si>
  <si>
    <t xml:space="preserve">Mr. Parag Raja</t>
  </si>
  <si>
    <t xml:space="preserve">Prashant Singhal</t>
  </si>
  <si>
    <t xml:space="preserve">Manish Pahwa</t>
  </si>
  <si>
    <t xml:space="preserve">Sunil Kapoor</t>
  </si>
  <si>
    <t xml:space="preserve">Mr. Alok Rungta</t>
  </si>
  <si>
    <t xml:space="preserve">Francesco Pisapia</t>
  </si>
  <si>
    <t xml:space="preserve">Generali Central rebrands insurance venture with digital focus
The move aims to expand insurance access across India.</t>
  </si>
  <si>
    <t xml:space="preserve">https://insuranceasia.com/insurance/news/generali-central-rebrands-insurance-venture-digital-focus</t>
  </si>
  <si>
    <t xml:space="preserve">Supinder Kaur</t>
  </si>
  <si>
    <t xml:space="preserve">Sanjay Malhotra</t>
  </si>
  <si>
    <t xml:space="preserve">Mr. Pankaj Gupta</t>
  </si>
  <si>
    <t xml:space="preserve">Jaishil Shah</t>
  </si>
  <si>
    <t xml:space="preserve">Pramerica Life Partners with Equitas Small Finance Bank to Expand Bancassurance Reach Across 18 States</t>
  </si>
  <si>
    <t xml:space="preserve">https://www.business-standard.com/search?q=Pramerica%20Life</t>
  </si>
  <si>
    <t xml:space="preserve">Abhijeet Dhamale</t>
  </si>
  <si>
    <t xml:space="preserve">Tarun Jain</t>
  </si>
  <si>
    <t xml:space="preserve">Mr. Sabyasachi Sarkar</t>
  </si>
  <si>
    <t xml:space="preserve">Ankur Chadha</t>
  </si>
  <si>
    <t xml:space="preserve">Saddam Hossain</t>
  </si>
  <si>
    <t xml:space="preserve">Mr. Sumit Rai</t>
  </si>
  <si>
    <t xml:space="preserve">Manoj Nair</t>
  </si>
  <si>
    <t xml:space="preserve">Shrinivas Sathya Susarla</t>
  </si>
  <si>
    <t xml:space="preserve">Mr. Diwakar Ram Boddupalli</t>
  </si>
  <si>
    <t xml:space="preserve">Joydev Sengupta</t>
  </si>
  <si>
    <t xml:space="preserve">Gaurav Banka</t>
  </si>
  <si>
    <t xml:space="preserve">Mr. Asit Rath</t>
  </si>
  <si>
    <t xml:space="preserve">Stuart Wilson</t>
  </si>
  <si>
    <t xml:space="preserve">h</t>
  </si>
  <si>
    <t xml:space="preserve">1. CEO of the Company is Karunakaran Azhisur, kindly check
2. CFO of the Company is Ankit Singh Chaudhury, kindly check
3. CRO of the Company is Deepa Baburaaj, kindly check
4. Global Employee count might be incorrect, kindly check and confirm. Can refer below source
https://rocketreach.co/guardian-life-profile_b5c49927f42e0dc7
5. Might add below mentioned point in news/trends
a. Guardian India Continues Operating as a Multi‑Location GCC Across Chennai and Gurugram
https://www.guardianlife.com/about-guardian/where-we-work/india</t>
  </si>
  <si>
    <t xml:space="preserve">Kunal Talreja</t>
  </si>
  <si>
    <t xml:space="preserve">Nikita Musaddi</t>
  </si>
  <si>
    <t xml:space="preserve">Mr. Satishwar Balakrishnan</t>
  </si>
  <si>
    <t xml:space="preserve">Launches iRetire - Turning retirement dreams into reality</t>
  </si>
  <si>
    <t xml:space="preserve">https://www.bandhanlife.com/media-center/bandhan-life-launches-iretire-turning-retirement-dreams-reality</t>
  </si>
  <si>
    <t xml:space="preserve">Sneha Abraham</t>
  </si>
  <si>
    <t xml:space="preserve">Rajesh Kumar</t>
  </si>
  <si>
    <t xml:space="preserve">Mr. Arun Kanti Dasgupta</t>
  </si>
  <si>
    <t xml:space="preserve">SBI life insurance to acquire Sahara India Life assests after SAT ruling</t>
  </si>
  <si>
    <t xml:space="preserve">https://www.angelone.in/news/stocks/sbi-life-insurance-to-acquire-sahara-india-life-assets-after-sat-ruling?msockid=2167906cfca86e7a20de86d2fd7b6f09</t>
  </si>
  <si>
    <t xml:space="preserve">List of Top 20 Insurance Companies in US</t>
  </si>
  <si>
    <t xml:space="preserve">Life / GI / Health</t>
  </si>
  <si>
    <t xml:space="preserve">GWP (USD billion)</t>
  </si>
  <si>
    <t xml:space="preserve">Aflac Incorporated</t>
  </si>
  <si>
    <t xml:space="preserve">Daniel P. Amos</t>
  </si>
  <si>
    <t xml:space="preserve">Dorree Ebner</t>
  </si>
  <si>
    <t xml:space="preserve">No restrictions</t>
  </si>
  <si>
    <t xml:space="preserve">Allstate</t>
  </si>
  <si>
    <t xml:space="preserve">GI and Life</t>
  </si>
  <si>
    <t xml:space="preserve">Thomas J. Wilson</t>
  </si>
  <si>
    <t xml:space="preserve">Rena Weyrauch</t>
  </si>
  <si>
    <t xml:space="preserve">American Family Insurance</t>
  </si>
  <si>
    <t xml:space="preserve">GI</t>
  </si>
  <si>
    <t xml:space="preserve">Bill Westrate</t>
  </si>
  <si>
    <t xml:space="preserve">Chris Raimondo</t>
  </si>
  <si>
    <t xml:space="preserve">American International Group (AIG)</t>
  </si>
  <si>
    <t xml:space="preserve">Peter Zaffino</t>
  </si>
  <si>
    <t xml:space="preserve">John Vale</t>
  </si>
  <si>
    <t xml:space="preserve">1. No scope of services restriction
2. GCSP approval required</t>
  </si>
  <si>
    <t xml:space="preserve">Berkshire Hathaway Inc.</t>
  </si>
  <si>
    <t xml:space="preserve">Warren Buffet</t>
  </si>
  <si>
    <t xml:space="preserve">Kevin Cole</t>
  </si>
  <si>
    <t xml:space="preserve">1. GCSP approval required
2. Audit Committee preapproval and/or IESBA Pre-concurrence required for services</t>
  </si>
  <si>
    <t xml:space="preserve">Consolidated figure</t>
  </si>
  <si>
    <t xml:space="preserve">Chubb Group Holdings Inc.</t>
  </si>
  <si>
    <t xml:space="preserve">Evan G. Greenberg</t>
  </si>
  <si>
    <t xml:space="preserve">Olivia McTavish</t>
  </si>
  <si>
    <t xml:space="preserve">Cigna Group</t>
  </si>
  <si>
    <t xml:space="preserve">David M. Cordani</t>
  </si>
  <si>
    <t xml:space="preserve">Elevance Health, Inc.</t>
  </si>
  <si>
    <t xml:space="preserve">Gail Koziara Boudreaux</t>
  </si>
  <si>
    <t xml:space="preserve">Tom Sand</t>
  </si>
  <si>
    <t xml:space="preserve">1. Audit client 
2. Scope of services restricted
3. Audit Committee preapproval and/or IESBA Pre-concurrence required for services</t>
  </si>
  <si>
    <t xml:space="preserve">Farmers Group Property and Casualty Insurance Company</t>
  </si>
  <si>
    <t xml:space="preserve">Raul Vargas</t>
  </si>
  <si>
    <t xml:space="preserve">Carlos Gutierrez</t>
  </si>
  <si>
    <t xml:space="preserve">1. Scope of services restricted
2. GCSP approval required
3. Audit Committee preapproval and/or IESBA Pre-concurrence required for services</t>
  </si>
  <si>
    <t xml:space="preserve">Humana</t>
  </si>
  <si>
    <t xml:space="preserve">Jim Rechtin</t>
  </si>
  <si>
    <t xml:space="preserve">Abby Johnson</t>
  </si>
  <si>
    <t xml:space="preserve">Liberty Mutual Insurance</t>
  </si>
  <si>
    <t xml:space="preserve">Sweeney</t>
  </si>
  <si>
    <t xml:space="preserve">G360, Channel 1</t>
  </si>
  <si>
    <t xml:space="preserve">1. Audit client 
2. Scope of services restricted
3. GCSP approval required
4. Audit Committee preapproval and/or IESBA Pre-concurrence required for services</t>
  </si>
  <si>
    <t xml:space="preserve">Massachusetts Mutual Life Insurance Company</t>
  </si>
  <si>
    <t xml:space="preserve">Roger W. Crandall</t>
  </si>
  <si>
    <t xml:space="preserve">Steven Waldrop</t>
  </si>
  <si>
    <t xml:space="preserve">MetLife, Inc</t>
  </si>
  <si>
    <t xml:space="preserve">Michel A. Khalaf</t>
  </si>
  <si>
    <t xml:space="preserve">Nancy Conturso</t>
  </si>
  <si>
    <t xml:space="preserve">1. No scope of services restriction
2. GCSP approval required
3. Audit Committee preapproval and/or IESBA Pre-concurrence required for services</t>
  </si>
  <si>
    <t xml:space="preserve">Nationwide Mutual Insurance Company</t>
  </si>
  <si>
    <t xml:space="preserve">Kirt Walker</t>
  </si>
  <si>
    <t xml:space="preserve">Shelly Fliehe</t>
  </si>
  <si>
    <t xml:space="preserve">Progressive Insurance</t>
  </si>
  <si>
    <t xml:space="preserve">Tricia Griffith</t>
  </si>
  <si>
    <t xml:space="preserve">Paul Phillips</t>
  </si>
  <si>
    <t xml:space="preserve">Prudential Financial, Inc</t>
  </si>
  <si>
    <t xml:space="preserve">Andrew Sullivan</t>
  </si>
  <si>
    <t xml:space="preserve">Chad Runchey</t>
  </si>
  <si>
    <t xml:space="preserve">State Farm Insurance Companies</t>
  </si>
  <si>
    <t xml:space="preserve">Jon Farney</t>
  </si>
  <si>
    <t xml:space="preserve">George Haggar</t>
  </si>
  <si>
    <t xml:space="preserve">The Travelers Companies, Inc.</t>
  </si>
  <si>
    <t xml:space="preserve">Alan D. Schnitzer</t>
  </si>
  <si>
    <t xml:space="preserve">Charlie Mihaliak</t>
  </si>
  <si>
    <t xml:space="preserve">United Services Automobile Association (USAA)</t>
  </si>
  <si>
    <t xml:space="preserve">Juan C. Andrade</t>
  </si>
  <si>
    <t xml:space="preserve">Pieter Theron</t>
  </si>
  <si>
    <t xml:space="preserve">1. Scope of services restricted
2. GSCP approval required
3. Audit Committee preapproval and/or IESBA Pre-concurrence required for services
4. Parent company is audit client</t>
  </si>
  <si>
    <t xml:space="preserve">UnitedHealth Group Incorporated</t>
  </si>
  <si>
    <t xml:space="preserve">Stephen J. Hemsley</t>
  </si>
  <si>
    <t xml:space="preserve">Laura Howard</t>
  </si>
  <si>
    <t xml:space="preserve">Premium Written (USD Billions)</t>
  </si>
  <si>
    <t xml:space="preserve">https://stocklight.com/stocks/us/nyse-afl/aflac/annual-reports/nyse-afl-2024-10K-24664211.pdf</t>
  </si>
  <si>
    <t xml:space="preserve">https://www.allstateinvestors.com/static-files/54eca026-32d6-43c0-9783-ebeb65305fa1</t>
  </si>
  <si>
    <t xml:space="preserve">https://newsroom.amfam.com/american-family-insurance-reports-2024-financial-results/</t>
  </si>
  <si>
    <t xml:space="preserve">https://www.aig.com/home/investor-relations/aig-2024-annual-report</t>
  </si>
  <si>
    <t xml:space="preserve">Arthur J. Gallagher &amp; Co.</t>
  </si>
  <si>
    <t xml:space="preserve">Ronald Genty</t>
  </si>
  <si>
    <t xml:space="preserve">Assurant</t>
  </si>
  <si>
    <t xml:space="preserve">Auto-Owners Insurance</t>
  </si>
  <si>
    <t xml:space="preserve">Kristin Schleicher</t>
  </si>
  <si>
    <t xml:space="preserve">https://www.berkshirehathaway.com/2024ar/2024ar.pdf</t>
  </si>
  <si>
    <t xml:space="preserve">Chubb Ltd.</t>
  </si>
  <si>
    <t xml:space="preserve">https://www.chubb.com/content/dam/annual-corporate-governance/2025/a--chubb-limited/chubb-limited-annual-report-2024.pdf</t>
  </si>
  <si>
    <t xml:space="preserve">Cigna</t>
  </si>
  <si>
    <t xml:space="preserve">Sanjay Ramaswamy</t>
  </si>
  <si>
    <t xml:space="preserve">https://investors.thecignagroup.com/financials/annual-reports/default.aspx</t>
  </si>
  <si>
    <t xml:space="preserve">Laura Freitag</t>
  </si>
  <si>
    <t xml:space="preserve">https://www.elevancehealth.com/investors</t>
  </si>
  <si>
    <t xml:space="preserve">Equitable Holdings, Inc. (Axa Equitable)</t>
  </si>
  <si>
    <t xml:space="preserve">Irina Kodes</t>
  </si>
  <si>
    <t xml:space="preserve">Erie Insurance Group</t>
  </si>
  <si>
    <t xml:space="preserve">Jim Babcock</t>
  </si>
  <si>
    <t xml:space="preserve">Farmers Insurance Group</t>
  </si>
  <si>
    <t xml:space="preserve">Isabelle Santenac</t>
  </si>
  <si>
    <t xml:space="preserve">https://content.naic.org/article/naic-releases-2024-market-share-data</t>
  </si>
  <si>
    <t xml:space="preserve">Hartford Financial Services</t>
  </si>
  <si>
    <t xml:space="preserve">Laura Hollerich	</t>
  </si>
  <si>
    <t xml:space="preserve">Greg Pope</t>
  </si>
  <si>
    <t xml:space="preserve">https://policy.humana.com/issue-area/news-and-resources/news-press/2025/humana-reports-fourth-quarter-2024-financial-results--provides</t>
  </si>
  <si>
    <t xml:space="preserve">Kemper Corporation</t>
  </si>
  <si>
    <t xml:space="preserve">Ira Goldstein</t>
  </si>
  <si>
    <t xml:space="preserve">https://www.libertymutualgroup.com/about-lm/investor-relations/documents/q4-2024-earnings-release.pdf</t>
  </si>
  <si>
    <t xml:space="preserve">Lincoln National Corporation</t>
  </si>
  <si>
    <t xml:space="preserve">John Palermo</t>
  </si>
  <si>
    <t xml:space="preserve">Ed Majkowski</t>
  </si>
  <si>
    <t xml:space="preserve">https://www.massmutual.com/global/media/shared/doc/financial-documents/annual-reports/2024_annual_report.pdf</t>
  </si>
  <si>
    <t xml:space="preserve">https://investor.metlife.com/news/news-details/2025/MetLife-Announces-Full-Year-and-Fourth-Quarter-2024-Results/default.aspx</t>
  </si>
  <si>
    <t xml:space="preserve">https://www.nationwide.com/cps/annual-report/strength-and-stability.html</t>
  </si>
  <si>
    <t xml:space="preserve">New York Life Insurance Company</t>
  </si>
  <si>
    <t xml:space="preserve">Wray Broughton</t>
  </si>
  <si>
    <t xml:space="preserve">Northwestern Mutual</t>
  </si>
  <si>
    <t xml:space="preserve">Ugur Hamaloglu</t>
  </si>
  <si>
    <t xml:space="preserve">Pacific Life Insurance Company</t>
  </si>
  <si>
    <t xml:space="preserve">James Rozsypal	</t>
  </si>
  <si>
    <t xml:space="preserve">https://www.progressive.com/content/pdf/art/2024-annual-report.pdf</t>
  </si>
  <si>
    <t xml:space="preserve">https://www3.prudential.com/annualreport/report2025/annual/HTML1/prudential-ar2024_0138.htm</t>
  </si>
  <si>
    <t xml:space="preserve">https://newsroom.statefarm.com/2024-state-farm-financial-results/</t>
  </si>
  <si>
    <t xml:space="preserve">Teachers Insurance and Annuity Association of America</t>
  </si>
  <si>
    <t xml:space="preserve">Jeffrey Gill</t>
  </si>
  <si>
    <t xml:space="preserve">The Hanover Insurance Group</t>
  </si>
  <si>
    <t xml:space="preserve">Thomas Cranley</t>
  </si>
  <si>
    <t xml:space="preserve">Thrivent Financial</t>
  </si>
  <si>
    <t xml:space="preserve">Travelers Insurance</t>
  </si>
  <si>
    <t xml:space="preserve">Bernhard Klein Wassink</t>
  </si>
  <si>
    <t xml:space="preserve">https://investor.travelers.com/newsroom/press-releases/news-details/2025/Travelers-Reports-Exceptional-Fourth-Quarter-and-Full-Year-Results/default.aspx</t>
  </si>
  <si>
    <t xml:space="preserve">https://agencychecklists.com/2025/03/17/naic-2025-market-share-report-pc-insurers-74868/</t>
  </si>
  <si>
    <t xml:space="preserve">Kim Dalla Torre</t>
  </si>
  <si>
    <t xml:space="preserve">https://www.unitedhealthgroup.com/content/dam/UHG/PDF/investors/2024/UNH-Q4-2024-Form-10-K.pdf</t>
  </si>
  <si>
    <t xml:space="preserve">Western &amp; Southern Financial Group</t>
  </si>
  <si>
    <t xml:space="preserve">Julie Middleswart</t>
  </si>
  <si>
    <t xml:space="preserve">List of Top 20 Broker companies</t>
  </si>
  <si>
    <t xml:space="preserve">Sr. No. </t>
  </si>
  <si>
    <t xml:space="preserve">HQ City</t>
  </si>
  <si>
    <t xml:space="preserve">Country</t>
  </si>
  <si>
    <t xml:space="preserve">2024 U.S. brokerage revenue</t>
  </si>
  <si>
    <t xml:space="preserve">Presence beyond base?</t>
  </si>
  <si>
    <t xml:space="preserve">Marsh McLennan (Marsh McLennan Cos. Inc.)</t>
  </si>
  <si>
    <t xml:space="preserve">New York</t>
  </si>
  <si>
    <t xml:space="preserve">USA</t>
  </si>
  <si>
    <t xml:space="preserve">Global network across 130+ countries via Marsh, Guy Carpenter, Mercer, Oliver Wyman [businesswire.com]</t>
  </si>
  <si>
    <t xml:space="preserve">Aon plc</t>
  </si>
  <si>
    <t xml:space="preserve">Dublin</t>
  </si>
  <si>
    <t xml:space="preserve">Ireland</t>
  </si>
  <si>
    <t xml:space="preserve">Global (Risk &amp; Human Capital platforms; presence across all major regions) [aon.mediaroom.com]</t>
  </si>
  <si>
    <t xml:space="preserve">Rolling Meadows</t>
  </si>
  <si>
    <t xml:space="preserve">Global footprint via owned ops &amp; network partners [insuranceb...essmag.com]</t>
  </si>
  <si>
    <t xml:space="preserve">WTW (Willis Towers Watson PLC)</t>
  </si>
  <si>
    <t xml:space="preserve">London</t>
  </si>
  <si>
    <t xml:space="preserve">United Kingdom</t>
  </si>
  <si>
    <t xml:space="preserve">Global (strong in GB/Europe, Americas, APAC) [businessin...urance.com]</t>
  </si>
  <si>
    <t xml:space="preserve">Alliant Insurance Services Inc.</t>
  </si>
  <si>
    <t xml:space="preserve">Irvine</t>
  </si>
  <si>
    <t xml:space="preserve">U.S., Canada &amp; Mexico operations noted [businesswire.com]</t>
  </si>
  <si>
    <t xml:space="preserve">Brown &amp; Brown Inc.</t>
  </si>
  <si>
    <t xml:space="preserve">Daytona Beach</t>
  </si>
  <si>
    <t xml:space="preserve">U.S. with UK/International capabilities (programs/wholesale) [rvbusiness.com]</t>
  </si>
  <si>
    <t xml:space="preserve">HUB International Ltd.</t>
  </si>
  <si>
    <t xml:space="preserve">Chicago</t>
  </si>
  <si>
    <t xml:space="preserve">U.S. &amp; Canada dominant; selected international specialty placements [businessin...urance.com]</t>
  </si>
  <si>
    <t xml:space="preserve">Howden Group Holdings</t>
  </si>
  <si>
    <t xml:space="preserve">Operations in 55 countries (FY2024 release) [howdengrou...ldings.com]</t>
  </si>
  <si>
    <t xml:space="preserve">Acrisure LLC</t>
  </si>
  <si>
    <t xml:space="preserve">Grand Rapids</t>
  </si>
  <si>
    <t xml:space="preserve">Present in 23 countries (broking + fintech adjacencies) [crainsgran...rapids.com]</t>
  </si>
  <si>
    <t xml:space="preserve">Lockton Companies LLC</t>
  </si>
  <si>
    <t xml:space="preserve">Kansas City</t>
  </si>
  <si>
    <t xml:space="preserve">International operations (Europe, Asia, LatAm; &gt;140 countries via network) [businessin...urance.com]</t>
  </si>
  <si>
    <t xml:space="preserve">AssuredPartners Inc.</t>
  </si>
  <si>
    <t xml:space="preserve">Orlando</t>
  </si>
  <si>
    <t xml:space="preserve">U.S., UK &amp; Ireland (international offices) [assuredpartners.com]</t>
  </si>
  <si>
    <t xml:space="preserve">USI Insurance Services LLC</t>
  </si>
  <si>
    <t xml:space="preserve">Valhalla</t>
  </si>
  <si>
    <t xml:space="preserve">Primarily U.S. (select international solutions through partners) [usi.com]</t>
  </si>
  <si>
    <t xml:space="preserve">The Ardonagh Group</t>
  </si>
  <si>
    <t xml:space="preserve">30+ territories; UK, Europe, APAC, LatAm, RoW (Sustainability report) [ardonagh.com]</t>
  </si>
  <si>
    <t xml:space="preserve">BroadStreet Partners Inc.</t>
  </si>
  <si>
    <t xml:space="preserve">Columbus</t>
  </si>
  <si>
    <t xml:space="preserve">Predominantly U.S. network of partner agencies [broadstreetcorp.com]</t>
  </si>
  <si>
    <t xml:space="preserve">Accession Risk Management Group (Risk Strategies + One80)</t>
  </si>
  <si>
    <t xml:space="preserve">Boston</t>
  </si>
  <si>
    <t xml:space="preserve">U.S. &amp; Canada (wholesale/program reach to international markets) [insurancejournal.com]</t>
  </si>
  <si>
    <t xml:space="preserve">Alera Group</t>
  </si>
  <si>
    <t xml:space="preserve">Deerfield</t>
  </si>
  <si>
    <t xml:space="preserve">Primarily U.S.; selective international client servicing [aleragroup.com]</t>
  </si>
  <si>
    <t xml:space="preserve">The Baldwin Insurance Group Inc.</t>
  </si>
  <si>
    <t xml:space="preserve">Tampa</t>
  </si>
  <si>
    <t xml:space="preserve">Predominantly U.S.; specialty lines with international placements [alliant.com]</t>
  </si>
  <si>
    <t xml:space="preserve">EPIC Insurance Brokers &amp; Consultants</t>
  </si>
  <si>
    <t xml:space="preserve">San Francisco</t>
  </si>
  <si>
    <t xml:space="preserve">Primarily U.S. with some international capabilities via specialty alliances [epicbrokers.com]</t>
  </si>
  <si>
    <t xml:space="preserve">Steadfast Group</t>
  </si>
  <si>
    <t xml:space="preserve">Australia</t>
  </si>
  <si>
    <t xml:space="preserve">Australasia + US network (ISU), Singapore etc. [annualreports.com]</t>
  </si>
  <si>
    <t xml:space="preserve">Diot‑Siaci</t>
  </si>
  <si>
    <t xml:space="preserve">France</t>
  </si>
  <si>
    <t xml:space="preserve">~half of revenue now outside France; EMEA &amp; Asia (group release) [diot-siaci.com]</t>
  </si>
  <si>
    <t xml:space="preserve">Other Broker firms that exit in geographies other than US and UK</t>
  </si>
  <si>
    <t xml:space="preserve">Company</t>
  </si>
  <si>
    <t xml:space="preserve">2024 brokerage revenue</t>
  </si>
  <si>
    <t xml:space="preserve">USD equivalent (approx.)</t>
  </si>
  <si>
    <t xml:space="preserve">OneDigital (Digital Insurance Inc.)</t>
  </si>
  <si>
    <t xml:space="preserve">Primarily U.S. (national footprint) [onedigital.com]</t>
  </si>
  <si>
    <t xml:space="preserve">Trucordia (formerly PCF Insurance Services)</t>
  </si>
  <si>
    <t xml:space="preserve">Higginbotham</t>
  </si>
  <si>
    <t xml:space="preserve">Primarily U.S. footprint [alliant.com]</t>
  </si>
  <si>
    <t xml:space="preserve">IMA Financial Group Inc.</t>
  </si>
  <si>
    <t xml:space="preserve">Primarily U.S.; international placements via partner markets [alliant.com]</t>
  </si>
  <si>
    <t xml:space="preserve">AUB Group (incl. Tysers)</t>
  </si>
  <si>
    <t xml:space="preserve">A$ 1,331.7m</t>
  </si>
  <si>
    <t xml:space="preserve">$ 878.9 Mn</t>
  </si>
  <si>
    <t xml:space="preserve">ANZ + UK (Tysers) + India/MENA through network/units [aubgroup.com.au]</t>
  </si>
  <si>
    <t xml:space="preserve">PIB Group</t>
  </si>
  <si>
    <t xml:space="preserve">£ 500m</t>
  </si>
  <si>
    <t xml:space="preserve">$ 630.0 Mn</t>
  </si>
  <si>
    <t xml:space="preserve">Noted pan‑European expansion (UK+EU).</t>
  </si>
  <si>
    <t xml:space="preserve">GGW Group</t>
  </si>
  <si>
    <t xml:space="preserve">€ 400m</t>
  </si>
  <si>
    <t xml:space="preserve">Germany</t>
  </si>
  <si>
    <t xml:space="preserve">$ 432.0 Mn</t>
  </si>
  <si>
    <t xml:space="preserve">Germany + Europe platform (&gt;50 broker/MGA companies under GGW) [permira.com]</t>
  </si>
  <si>
    <t xml:space="preserve">Filhet‑Allard</t>
  </si>
  <si>
    <t xml:space="preserve">€ 323m</t>
  </si>
  <si>
    <t xml:space="preserve">$ 348.8 Mn</t>
  </si>
  <si>
    <t xml:space="preserve">France + Africa (and select overseas).</t>
  </si>
  <si>
    <t xml:space="preserve">Miller Insurance Services</t>
  </si>
  <si>
    <t xml:space="preserve">£ 271m</t>
  </si>
  <si>
    <t xml:space="preserve">$ 341.5 Mn</t>
  </si>
  <si>
    <t xml:space="preserve">International offices (Brussels, Singapore).</t>
  </si>
  <si>
    <t xml:space="preserve">Verlingue</t>
  </si>
  <si>
    <t xml:space="preserve">€ 314m</t>
  </si>
  <si>
    <t xml:space="preserve">$ 339.1 Mn</t>
  </si>
  <si>
    <t xml:space="preserve">France + UK + Portugal footprint.</t>
  </si>
  <si>
    <t xml:space="preserve">Funk Gruppe</t>
  </si>
  <si>
    <t xml:space="preserve">€ 275m</t>
  </si>
  <si>
    <t xml:space="preserve">$ 297.0 Mn</t>
  </si>
  <si>
    <t xml:space="preserve">37 locations across DACH, CEE, IT, CH, AT, PL, RO, etc. (company site) [funk-gruppe.de]</t>
  </si>
  <si>
    <t xml:space="preserve">Kessler</t>
  </si>
  <si>
    <t xml:space="preserve">US$ 262m</t>
  </si>
  <si>
    <t xml:space="preserve">Switzerland</t>
  </si>
  <si>
    <t xml:space="preserve">$ 262.0 Mn</t>
  </si>
  <si>
    <t xml:space="preserve">Private; FY2024 consolidated revenue not public; Swiss + global through networks; own presence in CH &amp; LIE. [kessler.ch]</t>
  </si>
  <si>
    <t xml:space="preserve">Vanbreda Risk &amp; Benefits</t>
  </si>
  <si>
    <t xml:space="preserve">€ 123m</t>
  </si>
  <si>
    <t xml:space="preserve">Belgium</t>
  </si>
  <si>
    <t xml:space="preserve">$ 132.8 Mn</t>
  </si>
  <si>
    <t xml:space="preserve">Benelux + cross‑border service.</t>
  </si>
  <si>
    <t xml:space="preserve">RENOMIA</t>
  </si>
  <si>
    <t xml:space="preserve">CZK 2,600m</t>
  </si>
  <si>
    <t xml:space="preserve">Czech Republic</t>
  </si>
  <si>
    <t xml:space="preserve">$ 114.4 Mn</t>
  </si>
  <si>
    <t xml:space="preserve">RENOMIA GROUP | RENOMIA</t>
  </si>
  <si>
    <t xml:space="preserve">J.B. Boda Group</t>
  </si>
  <si>
    <t xml:space="preserve">₹ 157 crore</t>
  </si>
  <si>
    <t xml:space="preserve">India</t>
  </si>
  <si>
    <t xml:space="preserve">$ 18.8 Mn</t>
  </si>
  <si>
    <t xml:space="preserve">Multiple overseas offices (Africa, MEA, Europe, Asia).</t>
  </si>
  <si>
    <t xml:space="preserve">List of Top Insurance GCCs in India as on Jul'26</t>
  </si>
  <si>
    <t xml:space="preserve">Dark blue text = Oct'26 review updates (researcher + auditor pass). Each update carries its source link. Verification method: claims checked against search-engine indexed page text; direct page access was not available in the review environment. See tab "Oct'26 Review Log" for the full change log.</t>
  </si>
  <si>
    <t xml:space="preserve">With verifiable source link</t>
  </si>
  <si>
    <t xml:space="preserve">GCC name</t>
  </si>
  <si>
    <t xml:space="preserve">HO &amp; Other Offices in India</t>
  </si>
  <si>
    <t xml:space="preserve">Live Functions -Finance/Ops/Technology</t>
  </si>
  <si>
    <t xml:space="preserve">Local GCC - FTE(Full time employee count)</t>
  </si>
  <si>
    <t xml:space="preserve">Trend (need to find any news items whether the focus areas are tech/operations or finance)</t>
  </si>
  <si>
    <t xml:space="preserve">Source Link for Trend column</t>
  </si>
  <si>
    <t xml:space="preserve">India Head/ Leader </t>
  </si>
  <si>
    <t xml:space="preserve">Global - No. of people</t>
  </si>
  <si>
    <t xml:space="preserve">Size of GCC (Total No. of people)</t>
  </si>
  <si>
    <t xml:space="preserve">No. of years in existence</t>
  </si>
  <si>
    <t xml:space="preserve">Source link for Headcount, CE0</t>
  </si>
  <si>
    <t xml:space="preserve">Audit Head</t>
  </si>
  <si>
    <t xml:space="preserve">CFO </t>
  </si>
  <si>
    <t xml:space="preserve">CRO </t>
  </si>
  <si>
    <t xml:space="preserve">Comments</t>
  </si>
  <si>
    <r>
      <rPr>
        <sz val="10"/>
        <color theme="1"/>
        <rFont val="Inter"/>
        <family val="0"/>
        <charset val="1"/>
      </rPr>
      <t xml:space="preserve">Allianz Service Private limited (India) - GCC
</t>
    </r>
    <r>
      <rPr>
        <b val="true"/>
        <sz val="10"/>
        <color rgb="FF00008B"/>
        <rFont val="Inter"/>
        <family val="0"/>
        <charset val="1"/>
      </rPr>
      <t xml:space="preserve">
[Oct'26 update – correction] </t>
    </r>
    <r>
      <rPr>
        <sz val="10"/>
        <color rgb="FF00008B"/>
        <rFont val="Inter"/>
        <family val="0"/>
        <charset val="1"/>
      </rPr>
      <t xml:space="preserve">Allianz Services Private Limited (Allianz Services India) - GCC. CIN U72200KL2003PTC015907, incorporated 24 Jan 2003, Thiruvananthapuram.
Source: https://tracxn.com/d/legal-entities/india/allianz-services-private-limited/__M5-FY4-jsWBs7GTua-LKdOGAxvWENBEdGBoE75bH6PU
https://www.thecompanycheck.com/company/allianz-services-private-limited/U72200KL2003PTC015907
https://www.tofler.in/allianz-services-private-limited/company/U72200KL2003PTC015907</t>
    </r>
  </si>
  <si>
    <r>
      <rPr>
        <sz val="10"/>
        <color theme="1"/>
        <rFont val="Inter"/>
        <family val="0"/>
        <charset val="1"/>
      </rPr>
      <t xml:space="preserve">Trivandrumv- HO
Other Offices : Pune, Mumbai.
https://in.linkedin.com/showcase/allianz-services-india/
</t>
    </r>
    <r>
      <rPr>
        <b val="true"/>
        <sz val="10"/>
        <color rgb="FF00008B"/>
        <rFont val="Inter"/>
        <family val="0"/>
        <charset val="1"/>
      </rPr>
      <t xml:space="preserve">
[Oct'26 update – correction] </t>
    </r>
    <r>
      <rPr>
        <sz val="10"/>
        <color rgb="FF00008B"/>
        <rFont val="Inter"/>
        <family val="0"/>
        <charset val="1"/>
      </rPr>
      <t xml:space="preserve">HO: Thiruvananthapuram (Trivandrum) - Ganga Building, Technopark Phase III, Kazhakkoottam. Other offices: Pune (EON Free Zone, Tower A, Kharadi) and Mumbai (3-North Avenue, Maker Maxity, BKC).
Source: https://www.allianz.com/en/about-us/company/contact/india.html
https://www.linkedin.com/showcase/allianz-services-india/
https://www.greatplacetowork.in/great/company/allianz-services-private-limited/</t>
    </r>
  </si>
  <si>
    <t xml:space="preserve">Allianz Services India is the Allianz Group’s largest competence center, delivering insurance operations, business consulting, expert analytics and actuarial services, and corporate functions such as finance, HR, compliance, and design. It also supports the Group globally through transformation, consulting, data &amp; AI, and operations engineering services.
Sources:
https://in.linkedin.com/showcase/allianz-services-india/
https://tech.allianz.com/india.html</t>
  </si>
  <si>
    <t xml:space="preserve">Allianz Services India employs over 4,700 professionals across its key locations
https://in.linkedin.com/showcase/allianz-services-india/</t>
  </si>
  <si>
    <r>
      <rPr>
        <b val="true"/>
        <sz val="10"/>
        <color rgb="FF00008B"/>
        <rFont val="Inter"/>
        <family val="0"/>
        <charset val="1"/>
      </rPr>
      <t xml:space="preserve">Focus area: </t>
    </r>
    <r>
      <rPr>
        <sz val="10"/>
        <color rgb="FF00008B"/>
        <rFont val="Inter"/>
        <family val="0"/>
        <charset val="1"/>
      </rPr>
      <t xml:space="preserve">Operations (core insurance operations / GBS) with a strong Technology &amp; AI push; parent's 2026 India focus is the Jio primary-insurance and reinsurance JVs
(Apr 2026) Jio Financial Services and Allianz Europe B.V. executed a binding 50:50 joint-venture agreement (22 Apr 2026) for a general and health insurance company in India, Allianz's return to Indian primary insurance after exiting Bajaj Allianz; a separate life-insurance agreement is under negotiation.
(Mar 2026) Allianz Jio Reinsurance Limited (Allianz Jio Re), the domestic reinsurance JV, started operating in India in March 2026; the same month Allianz published 'AI at work' guidance, with its careers site noting that around 80% of positions Allianz advertises now require some AI skill.
(Oct 2025) Allianz appointed Ritu Arora as its first Country Head for India, effective immediately, to steer the group's India expansion.</t>
    </r>
  </si>
  <si>
    <t xml:space="preserve">https://www.allianz.com/en/mediacenter/news/media-releases/financials/260422-jio-financial-services-and-allianz-to-form-primary-insurance-joint-venture.html
https://www.insurancebusinessmag.com/asia/news/breaking-news/jio-financial-and-allianz-agree-india-general-health-venture-572710.aspx
https://www.allianz.com/en/mediacenter/news/articles/260327-ai-at-work-how-human-and-ai-skills-make-insurance-better.html
https://careers.allianz.com/global/en/ai-skills-at-allianz
https://www.exchange4media.com/industry-briefing-news/allianz-appoints-ritu-arora-as-country-head-of-india-148459.html</t>
  </si>
  <si>
    <t xml:space="preserve">Ritu Arora
https://economictimes.indiatimes.com/news/company/corporate-trends/allianz-has-announced-the-appointment-of-ritu-arora-as-the-country-head-of-india-with-immediate-effect/articleshow/124600238.cms</t>
  </si>
  <si>
    <t xml:space="preserve">Since 2003</t>
  </si>
  <si>
    <t xml:space="preserve">Jison John</t>
  </si>
  <si>
    <t xml:space="preserve">1. Partial Scope of Service Restriction
2. GCSP Approval is Required
3. Consultation required  
4. Business Relationship Restriction 
5. Firm Loan 
</t>
  </si>
  <si>
    <r>
      <rPr>
        <sz val="10"/>
        <color rgb="FF000000"/>
        <rFont val="EYInterstate"/>
        <family val="0"/>
        <charset val="1"/>
      </rPr>
      <t xml:space="preserve">1.Allianz UK prevents record level of fraud (12 march 2026)
2.Allianz Jio Re Limited Commences Underwriting Reinsurance Immediately in India and existing facultative reinsurance portfolio from Allianz Commercial / Allianz Global Corporate &amp; Specialty (AGCS) will be transitioned to Allianz Jio Re in a phased manner
3.Allianz Commercial partners with Reel Media to boost Entertainment insurance business (5 March 2026) 
4.Allianz Commercial makes senior leader appointments in large-corp Property business (10 March 2026) 
5.Allianz to Merge AGCS India Business into New JV with Jio Financial Services to Meet IRDAI Norms
</t>
    </r>
    <r>
      <rPr>
        <sz val="10"/>
        <color rgb="FF3C7D22"/>
        <rFont val="EYInterstate"/>
        <family val="0"/>
        <charset val="1"/>
      </rPr>
      <t xml:space="preserve">6.Allianz Services India is positioning itself as an AI-enabled insurance transformation hub, moving beyond traditional shared services into a value-driven GCC model focused on GenAI, automation, and insurance process re-engineering.
</t>
    </r>
    <r>
      <rPr>
        <sz val="10"/>
        <color rgb="FF000000"/>
        <rFont val="EYInterstate"/>
        <family val="0"/>
        <charset val="1"/>
      </rPr>
      <t xml:space="preserve">
</t>
    </r>
    <r>
      <rPr>
        <sz val="10"/>
        <color rgb="FF7030A0"/>
        <rFont val="EYInterstate"/>
        <family val="0"/>
        <charset val="1"/>
      </rPr>
      <t xml:space="preserve">7. Apr' 26 - Allianz Group (through Allianz Europe B.V.) and Jio Financial Services Limited signed a binding agreement (22 April 2026) to form a 50:50 primary insurance joint venture covering general and health insurance in India, formalising the earlier announced plan to merge the AGCS India business into the new JV. Allianz Jio Reinsurance Limited, which has commenced underwriting reinsurance in India, is led by Sonia Rawal as Chief Executive Officer.
8. Allianz Group reported record Q1 2026 operating profit of EUR 4.5 billion (+6.6% YoY), and ranked #1 among 30 insurers in the Evident AI Index 2026, reflecting continued investment in AI capability that its India GCC supports.</t>
    </r>
  </si>
  <si>
    <t xml:space="preserve">https://www.allianz.co.uk/news-and-insight/news/allianz-prevents-record-level-of-fraud.html
https://technopark.in/company-details/5870?company=Allianz%20Services%20%28P%29%20Ltd
https://www.linkedin.com/posts/allianz-reinsurance_allianz-jio-re-limited-commences-underwriting-activity-7442824086717779969-vY4R 
https://commercial.allianz.com/news-and-insights/news/reel-media-partnership-2026.html
https://commercial.allianz.com/news-and-insights/news/uk-property-appointments-2026.html
https://www.etnownews.com/companies/exclusive-allianz-to-merge-agcs-india-business-into-new-jv-with-jio-financial-services-to-meet-irdai-norms-article-152322592
https://www.linkedin.com/posts/allianz-services-india_hfsindiasummit-gcc-activity-7432301647646859264-FiL6
https://www.allianz.com/en/mediacenter/news.html (JFSL-Allianz JV binding agreement, 22 Apr 2026)
https://www.reinsurancene.ws/tag/allianz/ (Allianz Jio Re CEO Sonia Rawal; Q1 2026 results)</t>
  </si>
  <si>
    <t xml:space="preserve">en-Allianz-fact-sheet.pdf</t>
  </si>
  <si>
    <t xml:space="preserve">Not disclosed </t>
  </si>
  <si>
    <t xml:space="preserve">Piyush Patwa</t>
  </si>
  <si>
    <t xml:space="preserve">Not disclosed</t>
  </si>
  <si>
    <r>
      <rPr>
        <sz val="10"/>
        <color theme="1"/>
        <rFont val="Inter"/>
        <family val="0"/>
        <charset val="1"/>
      </rPr>
      <t xml:space="preserve">Allstate India - GCC
</t>
    </r>
    <r>
      <rPr>
        <b val="true"/>
        <sz val="10"/>
        <color rgb="FF00008B"/>
        <rFont val="Inter"/>
        <family val="0"/>
        <charset val="1"/>
      </rPr>
      <t xml:space="preserve">
[Oct'26 update – correction] </t>
    </r>
    <r>
      <rPr>
        <sz val="10"/>
        <color rgb="FF00008B"/>
        <rFont val="Inter"/>
        <family val="0"/>
        <charset val="1"/>
      </rPr>
      <t xml:space="preserve">Allstate India Private Limited (Allstate India) - GCC. CIN U74900KA2012FTC064201, incorporated 1 Jun 2012, RoC Bangalore, subsidiary of a foreign company. Formerly registered as Allstate Solutions Private Limited (ASPL) - same entity, not a separate one.
Source: https://www.thecompanycheck.com/company/allstate-india-private-limited/U74900KA2012FTC064201
https://www.allstateindia.com/
https://www.allstateindia.com/about-us/news/great-place-to-work</t>
    </r>
  </si>
  <si>
    <t xml:space="preserve">Registrar of Companies: Bengaluru 
Other oficce: Pune
Source:
https://in.linkedin.com/company/allstateindia</t>
  </si>
  <si>
    <r>
      <rPr>
        <sz val="10"/>
        <color theme="1"/>
        <rFont val="Inter"/>
        <family val="0"/>
        <charset val="1"/>
      </rPr>
      <t xml:space="preserve">Allstate India, the strategic business services arm of The Allstate Corporation
</t>
    </r>
    <r>
      <rPr>
        <b val="true"/>
        <sz val="10"/>
        <color theme="1"/>
        <rFont val="EYInterstate"/>
        <family val="0"/>
        <charset val="1"/>
      </rPr>
      <t xml:space="preserve">Finance:
</t>
    </r>
    <r>
      <rPr>
        <sz val="10"/>
        <color theme="1"/>
        <rFont val="EYInterstate"/>
        <family val="0"/>
        <charset val="1"/>
      </rPr>
      <t xml:space="preserve">Enterprise Financial Services, GL Reconciliations, Payments
</t>
    </r>
    <r>
      <rPr>
        <b val="true"/>
        <sz val="10"/>
        <color theme="1"/>
        <rFont val="EYInterstate"/>
        <family val="0"/>
        <charset val="1"/>
      </rPr>
      <t xml:space="preserve">Operations:
</t>
    </r>
    <r>
      <rPr>
        <sz val="10"/>
        <color theme="1"/>
        <rFont val="EYInterstate"/>
        <family val="0"/>
        <charset val="1"/>
      </rPr>
      <t xml:space="preserve">Claims, Policy Administration, Underwriting, Risk Management
</t>
    </r>
    <r>
      <rPr>
        <b val="true"/>
        <sz val="10"/>
        <color theme="1"/>
        <rFont val="EYInterstate"/>
        <family val="0"/>
        <charset val="1"/>
      </rPr>
      <t xml:space="preserve">Technology:</t>
    </r>
    <r>
      <rPr>
        <sz val="10"/>
        <color theme="1"/>
        <rFont val="EYInterstate"/>
        <family val="0"/>
        <charset val="1"/>
      </rPr>
      <t xml:space="preserve"> 
Engineering, Analytics, AI, Digital Platforms, Technology &amp; Innovation
</t>
    </r>
    <r>
      <rPr>
        <b val="true"/>
        <sz val="10"/>
        <color theme="1"/>
        <rFont val="EYInterstate"/>
        <family val="0"/>
        <charset val="1"/>
      </rPr>
      <t xml:space="preserve">Source;
</t>
    </r>
    <r>
      <rPr>
        <sz val="10"/>
        <color theme="1"/>
        <rFont val="EYInterstate"/>
        <family val="0"/>
        <charset val="1"/>
      </rPr>
      <t xml:space="preserve">https://www.business-standard.com/content/press-releases-ani/reimagining-the-role-of-insurance-gccs-allstate-india-s-journey-towards-a-global-talent-center-124082600741_1.html</t>
    </r>
  </si>
  <si>
    <r>
      <rPr>
        <sz val="10"/>
        <color theme="1"/>
        <rFont val="Inter"/>
        <family val="0"/>
        <charset val="1"/>
      </rPr>
      <t xml:space="preserve">8,000 employees spread across
Source:
https://undercodenews.com/allstates-india-operations-a-hub-of-innovation-and-efficiency/
</t>
    </r>
    <r>
      <rPr>
        <b val="true"/>
        <sz val="10"/>
        <color rgb="FF00008B"/>
        <rFont val="Inter"/>
        <family val="0"/>
        <charset val="1"/>
      </rPr>
      <t xml:space="preserve">
[Oct'26 update – correction] </t>
    </r>
    <r>
      <rPr>
        <sz val="10"/>
        <color rgb="FF00008B"/>
        <rFont val="Inter"/>
        <family val="0"/>
        <charset val="1"/>
      </rPr>
      <t xml:space="preserve">Over 8,000 (company website / Forbes India: 'more than 8,000 employees across Bengaluru and Pune'). Caveat: Revelio Labs estimates 3,185 as of Mar 2026 (-1.6% YoY); GCC databases list 1,001-5,000. About 175 Allstate India employees (Bengaluru and Pune) transferred to The Standard with the Employer Voluntary Benefits business in 2025.
Source: https://www.allstateindia.com/about-us/news-and-updates
https://www.allstateindia.com/
https://www.reveliolabs.com/companies/allstate-india/employees
https://www.peoplematters.in/news/business/the-standard-grows-india-gcc-to-400-positioning-bengaluru-at-the-centre-of-its-innovation-strategy-51594</t>
    </r>
  </si>
  <si>
    <r>
      <rPr>
        <b val="true"/>
        <sz val="10"/>
        <color rgb="FF00008B"/>
        <rFont val="Inter"/>
        <family val="0"/>
        <charset val="1"/>
      </rPr>
      <t xml:space="preserve">Focus area: </t>
    </r>
    <r>
      <rPr>
        <sz val="10"/>
        <color rgb="FF00008B"/>
        <rFont val="Inter"/>
        <family val="0"/>
        <charset val="1"/>
      </rPr>
      <t xml:space="preserve">Technology (AI/agentic platforms, engineering) and Operations (claims, customer service); portfolio reshaped by the 2025 voluntary-benefits carve-out
(Sep 2025) Allstate India appointed Shibu Mathew Zacharia as Vice President &amp; Managing Director to lead India operations, strategy and enterprise capability building; the company continues to cite 8,000+ staff across Bengaluru and Pune.
(Apr 2025) The Standard completed its approx. USD 2 bn acquisition of Allstate's Employer Voluntary Benefits business on 1 Apr 2025; about 175 Allstate India employees in Bengaluru and Pune moved to The Standard, which then launched its own India GCC (Nov 2025) and has reportedly grown it to 400.
(Aug 2024) Allstate India publicly repositioned itself from a cost-arbitrage GCC to a 'Global Talent Center' with enterprise ownership of finance, operations and technology work.</t>
    </r>
  </si>
  <si>
    <t xml:space="preserve">https://hrtoday.in/shibu-mathew-zacharia-appointed-as-vice-president-and-managing-director-at-allstate-india/
https://www.allstateindia.com/about-us/news-and-updates
https://standard.com/get-to-know-standard/newsroom/press-releases/standard-completes-acquisition-allstate-employer-voluntary-benefits-business
https://yourstory.com/enterprise-story/2025/11/us-financial-services-firm-the-standard-opens-new-gcc-in-india
https://www.peoplematters.in/news/business/the-standard-grows-india-gcc-to-400-positioning-bengaluru-at-the-centre-of-its-innovation-strategy-51594
https://www.business-standard.com/content/press-releases-ani/reimagining-the-role-of-insurance-gccs-allstate-india-s-journey-towards-a-global-talent-center-124082600741_1.html</t>
  </si>
  <si>
    <t xml:space="preserve">Shibu Mathew Zacharia</t>
  </si>
  <si>
    <t xml:space="preserve">Since 2012</t>
  </si>
  <si>
    <t xml:space="preserve">Chetan Garga </t>
  </si>
  <si>
    <t xml:space="preserve"> GCSP Approval is required for services
</t>
  </si>
  <si>
    <r>
      <rPr>
        <sz val="10"/>
        <color theme="1"/>
        <rFont val="Inter"/>
        <family val="0"/>
        <charset val="1"/>
      </rPr>
      <t xml:space="preserve">1.Allstate India has appointed Shibu Mathew Zacharia as Vice President and Managing Director and Ankita Agrawal as head of human resources to spearhead its growth.
2.Allstate India Scales as a Strategic Global Capability Center Focused on AI‑Led Claims, Underwriting, and Policy Administration
3.Using Indian docs, lawyers &amp; engineers to serve US insurance: Allstate centres in Pune &amp; Bengaluru are becoming critical hubs</t>
    </r>
    <r>
      <rPr>
        <sz val="10"/>
        <color rgb="FF3A7D22"/>
        <rFont val="EYInterstate"/>
        <family val="0"/>
        <charset val="1"/>
      </rPr>
      <t xml:space="preserve">.
4.Global rollout of ALLIE (Allstate's proprietary agentic AI platform). [actuary.info]</t>
    </r>
  </si>
  <si>
    <t xml:space="preserve">Latest News | Allstate India
https://undercodenews.com/allstates-india-operations-a-hub-of-innovation-and-efficiency/https://undercodenews.com/allstates-india-operations-a-hub-of-innovation-and-efficiency/
https://timesofindia.indiatimes.com/technology/times-techies/using-indian-docs-lawyers-engineers-to-serve-us-insurance-allstate-centres-in-pune-bengaluru-are-becoming-critical-hubs/articleshow/118371257.cms
https://actuary.info/insights/allstate-allie-proprietary-agentic-ai-stack</t>
  </si>
  <si>
    <t xml:space="preserve">The Allstate Corporation (ALL) Number of Employees 1996-2025</t>
  </si>
  <si>
    <t xml:space="preserve">Hemlata Nevetia</t>
  </si>
  <si>
    <t xml:space="preserve">Mark Prindiville</t>
  </si>
  <si>
    <t xml:space="preserve">India head changed.
https://economictimes.indiatimes.com/industry/banking/finance/insure/allstate-india-announces-executive-appointments-shibu-mathew-zacharia-named-vice-president-and-managing-director-ankita-agrawal-named-head-of-human-resources/articleshow/125291782.cms?from=mdr</t>
  </si>
  <si>
    <t xml:space="preserve">Accenture Operations Services Private Limited (formerly known as AIG Analytics &amp; Services Private Limited)</t>
  </si>
  <si>
    <t xml:space="preserve">Bengaluru</t>
  </si>
  <si>
    <r>
      <rPr>
        <sz val="10"/>
        <color theme="1"/>
        <rFont val="Inter"/>
        <family val="0"/>
        <charset val="1"/>
      </rPr>
      <t xml:space="preserve">Accenture Operations Services Private Limited (formerly AIG Analytics &amp; Services Private Limited and Chartis Insurance Services Private Limited)
</t>
    </r>
    <r>
      <rPr>
        <b val="true"/>
        <sz val="10"/>
        <color theme="1"/>
        <rFont val="EYInterstate"/>
        <family val="0"/>
        <charset val="1"/>
      </rPr>
      <t xml:space="preserve">Finance:
</t>
    </r>
    <r>
      <rPr>
        <sz val="10"/>
        <color theme="1"/>
        <rFont val="EYInterstate"/>
        <family val="0"/>
        <charset val="1"/>
      </rPr>
      <t xml:space="preserve">Accounting, FP&amp;A, Reconciliations, Technical Accounting
</t>
    </r>
    <r>
      <rPr>
        <b val="true"/>
        <sz val="10"/>
        <color theme="1"/>
        <rFont val="EYInterstate"/>
        <family val="0"/>
        <charset val="1"/>
      </rPr>
      <t xml:space="preserve">Operations:
</t>
    </r>
    <r>
      <rPr>
        <sz val="10"/>
        <color theme="1"/>
        <rFont val="EYInterstate"/>
        <family val="0"/>
        <charset val="1"/>
      </rPr>
      <t xml:space="preserve">Insurance Operations, Analytics Services, Business Process Services
</t>
    </r>
    <r>
      <rPr>
        <b val="true"/>
        <sz val="10"/>
        <color theme="1"/>
        <rFont val="EYInterstate"/>
        <family val="0"/>
        <charset val="1"/>
      </rPr>
      <t xml:space="preserve">Technology:
</t>
    </r>
    <r>
      <rPr>
        <sz val="10"/>
        <color theme="1"/>
        <rFont val="EYInterstate"/>
        <family val="0"/>
        <charset val="1"/>
      </rPr>
      <t xml:space="preserve">IT Consulting, Data Analytics, Systems Support
Sources:
https://www.thecompanycheck.com/company/accenture-operations-services-private-limited/U74990KA2009PTC076432
</t>
    </r>
    <r>
      <rPr>
        <b val="true"/>
        <sz val="10"/>
        <color rgb="FF00008B"/>
        <rFont val="Inter"/>
        <family val="0"/>
        <charset val="1"/>
      </rPr>
      <t xml:space="preserve">
[Oct'26 update – correction; audit: not audited] </t>
    </r>
    <r>
      <rPr>
        <sz val="10"/>
        <color rgb="FF00008B"/>
        <rFont val="Inter"/>
        <family val="0"/>
        <charset val="1"/>
      </rPr>
      <t xml:space="preserve">Accenture-owned delivery centre (ex-AIG shared services) providing insurance business-process services to AIG: finance &amp; accounting (accounting, FP&amp;A, reconciliations), insurance operations (policy/claims processing), analytics services and IT/systems support. Current function split not published by Accenture or AIG.
Source: https://www.thecompanycheck.com/company/accenture-operations-services-private-limited/U74990KA2009PTC076432
https://fortune.com/2022/07/21/aig-imploded-2008-recession-financial-crisis-turnaround-plan-6000-employees-accenture/</t>
    </r>
  </si>
  <si>
    <r>
      <rPr>
        <sz val="10"/>
        <color theme="1"/>
        <rFont val="Inter"/>
        <family val="0"/>
        <charset val="1"/>
      </rPr>
      <t xml:space="preserve">The total number of employees is currently 940 (2025)
Sources:
https://www.emis.com/php/company-profile/IN/Accenture_Operations_Services_Private_Limited_en_5867203.html
</t>
    </r>
    <r>
      <rPr>
        <b val="true"/>
        <sz val="10"/>
        <color rgb="FF00008B"/>
        <rFont val="Inter"/>
        <family val="0"/>
        <charset val="1"/>
      </rPr>
      <t xml:space="preserve">
[Oct'26 update – correction; audit: not audited] </t>
    </r>
    <r>
      <rPr>
        <sz val="10"/>
        <color rgb="FF00008B"/>
        <rFont val="Inter"/>
        <family val="0"/>
        <charset val="1"/>
      </rPr>
      <t xml:space="preserve">Approx. 995 employees (EPFO records via Tofler, FY2025-26); EMIS 940 (2025). Ignore third-party claims of a 4,000-person 'AIG India Technology and Operations Centre' or '15,000 by 2027' - these appear on AI-generated GCC listicles and are not supported by any AIG or MCA source.
Source: https://www.tofler.in/accenture-operations-services-private-limited/company/U74990KA2009PTC076432
https://www.emis.com/php/company-profile/IN/Accenture_Operations_Services_Private_Limited_en_5867203.html</t>
    </r>
  </si>
  <si>
    <r>
      <rPr>
        <b val="true"/>
        <sz val="10"/>
        <color rgb="FF00008B"/>
        <rFont val="Inter"/>
        <family val="0"/>
        <charset val="1"/>
      </rPr>
      <t xml:space="preserve">Focus area: </t>
    </r>
    <r>
      <rPr>
        <sz val="10"/>
        <color rgb="FF00008B"/>
        <rFont val="Inter"/>
        <family val="0"/>
        <charset val="1"/>
      </rPr>
      <t xml:space="preserve">Operations (insurance business-process services) with Accenture-led GenAI/automation; no India-specific 2025-26 news
(Aug 2024) Accenture named Bengaluru-based Arundhati Chakraborty Group Chief Executive of Accenture Operations effective 1 Sep 2024, with a mandate to apply analytics, AI and automation across its 125+ operations centres; this ex-AIG Bengaluru unit sits within that Operations business.
(Jul 2022) Fortune reported that AIG transferred about 6,000 shared-services employees to Accenture in Jan 2021 under its AIG 200 programme, converting captive centres such as the Bengaluru unit into Accenture-run delivery centres.</t>
    </r>
  </si>
  <si>
    <t xml:space="preserve">https://newsroom.accenture.com/news/2024/accenture-appoints-arundhati-chakraborty-as-group-chief-executive-of-accenture-operations
https://businessworld.in/article/accenture-elevates-arundhati-chakraborty-as-group-chief-executive-of-operations-531263
https://fortune.com/2022/07/21/aig-imploded-2008-recession-financial-crisis-turnaround-plan-6000-employees-accenture/</t>
  </si>
  <si>
    <r>
      <rPr>
        <sz val="10"/>
        <color theme="1"/>
        <rFont val="Inter"/>
        <family val="0"/>
        <charset val="1"/>
      </rPr>
      <t xml:space="preserve">Arundhati Chakraborty
</t>
    </r>
    <r>
      <rPr>
        <b val="true"/>
        <sz val="10"/>
        <color rgb="FF00008B"/>
        <rFont val="Inter"/>
        <family val="0"/>
        <charset val="1"/>
      </rPr>
      <t xml:space="preserve">
[Oct'26 update – correction] </t>
    </r>
    <r>
      <rPr>
        <sz val="10"/>
        <color rgb="FF00008B"/>
        <rFont val="Inter"/>
        <family val="0"/>
        <charset val="1"/>
      </rPr>
      <t xml:space="preserve">No publicly identified India head for this entity (Accenture-owned). Directors per Tofler MCA listing (not independently re-checked): Arghya Das, Sachindra Bhushan, Jal Rumi Master, Rajeev Chopra. Arundhati Chakraborty is Accenture's global Group Chief Executive - Accenture Operations (effective 1 Sep 2024, Bengaluru-based, leading 185,000+ people across 125+ centres), not the head of this unit.
Source: https://www.tofler.in/accenture-operations-services-private-limited/company/U74990KA2009PTC076432
https://businessworld.in/article/accenture-elevates-arundhati-chakraborty-as-group-chief-executive-of-operations-531263</t>
    </r>
  </si>
  <si>
    <t xml:space="preserve">Since 2009</t>
  </si>
  <si>
    <t xml:space="preserve">Arundhati Chakraborty</t>
  </si>
  <si>
    <t xml:space="preserve">1. GCSP Approval is required
2. Consultation required - Scope of Service 
3. Firm Loan 
4. Business relationship Restrictions </t>
  </si>
  <si>
    <r>
      <rPr>
        <sz val="10"/>
        <color theme="1"/>
        <rFont val="Inter"/>
        <family val="0"/>
        <charset val="1"/>
      </rPr>
      <t xml:space="preserve">1.Manohar Singh Ram Singh Rawat was appointed as a Additional Director was appointed as a Additional Director on 01 Dec 2025
2. Generative AI (GenAI) has the potential to transform the insurance industry by providing underwriters with valuable insights in the areas of 1) risk controls, 2) building &amp; location details and 3) insured operations.
3.Accenture Invests in Reserv to Transform Insurance Claims Processes
4.Accenture’s strategic alliance with ANSR (announced July 2024; still actively referenced in 2025–2026) strengthens the ability to design, set up, and scale AI‑native GCCs. 
</t>
    </r>
    <r>
      <rPr>
        <sz val="10"/>
        <color theme="6"/>
        <rFont val="EYInterstate"/>
        <family val="0"/>
        <charset val="1"/>
      </rPr>
      <t xml:space="preserve">5.ServiceNow and Accenture launch forward deployed engineering program to scale agentic AI across the enterprise</t>
    </r>
  </si>
  <si>
    <t xml:space="preserve">https://www.thecompanycheck.com/company/accenture-operations-services-private-limited/U74990KA2009PTC076432
https://insuranceblog.accenture.com/3-ways-insurance-underwriters-gain-insights-generative-ai
https://in.marketscreener.com/quote/stock/ACCENTURE-PLC-11521/news/Accenture-Invests-in-Reserv-to-Transform-Insurance-Claims-Processes-50158529/
https://ansr.com/press-releases/accenture-invests-in-ansr-and-will-join-its-board-of-directors/
https://newsroom.servicenow.com/press-releases/details/2026/ServiceNow-and-Accenture-launch-forward-deployed-engineering-program-to-scale-agentic-AI-across-the-enterprise/default.aspx</t>
  </si>
  <si>
    <t xml:space="preserve">Accenture Operations Services Private Limited - FY 2026</t>
  </si>
  <si>
    <t xml:space="preserve">Murtuza Jawadwala</t>
  </si>
  <si>
    <t xml:space="preserve">Angie park</t>
  </si>
  <si>
    <t xml:space="preserve">Global role only</t>
  </si>
  <si>
    <t xml:space="preserve">AON Services India Private Limited - GCC </t>
  </si>
  <si>
    <r>
      <rPr>
        <sz val="10"/>
        <color theme="1"/>
        <rFont val="Inter"/>
        <family val="0"/>
        <charset val="1"/>
      </rPr>
      <t xml:space="preserve">Mumbai
</t>
    </r>
    <r>
      <rPr>
        <b val="true"/>
        <sz val="10"/>
        <color rgb="FF00008B"/>
        <rFont val="Inter"/>
        <family val="0"/>
        <charset val="1"/>
      </rPr>
      <t xml:space="preserve">
[Oct'26 update – correction] </t>
    </r>
    <r>
      <rPr>
        <sz val="10"/>
        <color rgb="FF00008B"/>
        <rFont val="Inter"/>
        <family val="0"/>
        <charset val="1"/>
      </rPr>
      <t xml:space="preserve">GCC hubs: Bengaluru (Koramangala; new Whitefield facility at The Earth Centre by Vista Spaces, announced Jun 2026), Noida and Gurugram. Registered office of Aon Services India Pvt Ltd: New Delhi. Mumbai is a client-facing broking/consulting office, not the GCC HO.
Source: https://www.aon.com/apac/in-the-press/asia-newsroom/2026/aon-reinforces-india-as-key-global-hub
https://www.insurancebusinessmag.com/asia/news/breaking-news/aon-adds-to-growing-list-of-india-capability-centres-577945.aspx
https://www.reinsurancene.ws/aon-expands-bengalurus-global-capability-centre-with-new-facility/
https://www.zaubacorp.com/AON-SERVICES-INDIA-PRIVATE-LIMITED-U74899DL1995PTC067542</t>
    </r>
  </si>
  <si>
    <r>
      <rPr>
        <b val="true"/>
        <sz val="10"/>
        <color rgb="FF00008B"/>
        <rFont val="Inter"/>
        <family val="0"/>
        <charset val="1"/>
      </rPr>
      <t xml:space="preserve">[Oct'26 update – addition] </t>
    </r>
    <r>
      <rPr>
        <sz val="10"/>
        <color rgb="FF00008B"/>
        <rFont val="Inter"/>
        <family val="0"/>
        <charset val="1"/>
      </rPr>
      <t xml:space="preserve">Aon's India GCCs bring together analytics, technology and operations expertise supporting Aon's global Risk Capital and Human Capital businesses: actuarial/catastrophe and data analytics, software engineering and digital platforms, insurance/reinsurance broking operations, benefits administration and finance/shared services.
Source: https://www.aon.com/apac/in-the-press/asia-newsroom/2026/aon-reinforces-india-as-key-global-hub
https://www.aon.com/india/about-aon/default</t>
    </r>
  </si>
  <si>
    <r>
      <rPr>
        <b val="true"/>
        <sz val="10"/>
        <color rgb="FF00008B"/>
        <rFont val="Inter"/>
        <family val="0"/>
        <charset val="1"/>
      </rPr>
      <t xml:space="preserve">[Oct'26 update – addition; audit: not audited] </t>
    </r>
    <r>
      <rPr>
        <sz val="10"/>
        <color rgb="FF00008B"/>
        <rFont val="Inter"/>
        <family val="0"/>
        <charset val="1"/>
      </rPr>
      <t xml:space="preserve">Not disclosed by Aon. Third-party GCC database (Flexiple, 2026) lists 10,000+ people across Bengaluru, Noida and Gurugram, with 6,800+ individually tracked in India. Treat as estimate.
Source: https://flexiple.com/gcc/india
https://flexiple.com/global-capability-centers/list-of-global-capability-centers-in-delhi-ncr</t>
    </r>
  </si>
  <si>
    <r>
      <rPr>
        <b val="true"/>
        <sz val="10"/>
        <color rgb="FF00008B"/>
        <rFont val="Inter"/>
        <family val="0"/>
        <charset val="1"/>
      </rPr>
      <t xml:space="preserve">Focus area: </t>
    </r>
    <r>
      <rPr>
        <sz val="10"/>
        <color rgb="FF00008B"/>
        <rFont val="Inter"/>
        <family val="0"/>
        <charset val="1"/>
      </rPr>
      <t xml:space="preserve">Technology and Operations (scaling India as a global analytics, technology and operations hub)
(Jun 2026) Aon expanded its Bengaluru GCC with a new facility at The Earth Centre, Whitefield, adding to its Bengaluru, Noida and Gurugram centres and 'reinforcing India as a key global hub' for Risk Capital and Human Capital work.
(Mar 2026) Aon hired Shiney Prasad, ex-Guardian Life India country head, as Head of Global Capability Centres to run its offshore centres.
(2026, month n/a) Aon appointed Nayana Mitter as head of strategy and programme management for its Global Capability Centres as it continues to expand offshore operations.</t>
    </r>
  </si>
  <si>
    <t xml:space="preserve">https://www.insurancebusinessmag.com/asia/news/breaking-news/aon-adds-to-growing-list-of-india-capability-centres-577945.aspx
https://reinasia.com/aon-names-shiney-prasad-as-head-of-global-capacity-centres/
https://reinasia.com/aon-taps-nayana-mitter-to-lead-global-capability-centres-strategy-and-programme-management/</t>
  </si>
  <si>
    <t xml:space="preserve">Shiney Prasad
https://reinasia.com/aon-names-shiney-prasad-as-head-of-global-capacity-centres/</t>
  </si>
  <si>
    <t xml:space="preserve">1200+</t>
  </si>
  <si>
    <t xml:space="preserve">Since 1982</t>
  </si>
  <si>
    <t xml:space="preserve">Greg Case</t>
  </si>
  <si>
    <t xml:space="preserve">1. Business Relationship
2. Scope of services restricted
3. Firm Loan Restrictions
4. Audit Client Vendor (ACV)
5. GCSP Approval
6. ACPA and/or IESBA Pre-concurrence Required</t>
  </si>
  <si>
    <r>
      <rPr>
        <sz val="10"/>
        <color theme="1"/>
        <rFont val="Inter"/>
        <family val="0"/>
        <charset val="1"/>
      </rPr>
      <t xml:space="preserve">1.Leading Indian life insurer to implement Aon’s modelling platform PathWise 
2. Aon expands Data Center Lifecycle Insurance Program capacity to $3.5 billion in support of Digital Infrastructure clients
3. Aon Appoints Shiney Prasad as Head of Global Capability Centers
</t>
    </r>
    <r>
      <rPr>
        <sz val="10"/>
        <color theme="6"/>
        <rFont val="EYInterstate"/>
        <family val="0"/>
        <charset val="1"/>
      </rPr>
      <t xml:space="preserve">4.Aon launched Contract AI, an AI-powered platform for insurers and reinsurers.</t>
    </r>
  </si>
  <si>
    <t xml:space="preserve">https://www.reinsurancene.ws/leading-indian-life-insurer-to-implement-aons-modelling-platform-pathwise/
https://aon.mediaroom.com/2026-04-15-Aon-expands-Data-Center-Lifecycle-Insurance-Program-capacity-to-3-5-billion-in-support-of-Digital-Infrastructure-clients
https://gccrise.com/aon-appoints-shiney-prasad-as-head-of-global-capability-centers/
https://aon.mediaroom.com/news-releases?item=138603</t>
  </si>
  <si>
    <t xml:space="preserve">Rahul Kedia</t>
  </si>
  <si>
    <r>
      <rPr>
        <sz val="10"/>
        <color theme="1"/>
        <rFont val="Inter"/>
        <family val="0"/>
        <charset val="1"/>
      </rPr>
      <t xml:space="preserve">Admiral Solutions India Private limited - GCC
</t>
    </r>
    <r>
      <rPr>
        <b val="true"/>
        <sz val="10"/>
        <color rgb="FF00008B"/>
        <rFont val="Inter"/>
        <family val="0"/>
        <charset val="1"/>
      </rPr>
      <t xml:space="preserve">
[Oct'26 re-check] </t>
    </r>
    <r>
      <rPr>
        <sz val="10"/>
        <color rgb="FF00008B"/>
        <rFont val="Inter"/>
        <family val="0"/>
        <charset val="1"/>
      </rPr>
      <t xml:space="preserve">Two wave-2 searches ('Admiral Solutions India Private Limited Gurugram CIN...' and '"Admiral Solutions" Gurgaon private limited Tofler OR Zauba...') returned only unrelated Admiral-named Indian/UK companies. The sheet's entity name remains unverified; recommend an MCA lookup by the client.</t>
    </r>
  </si>
  <si>
    <t xml:space="preserve">Gurugram </t>
  </si>
  <si>
    <r>
      <rPr>
        <b val="true"/>
        <sz val="10"/>
        <color rgb="FF00008B"/>
        <rFont val="Inter"/>
        <family val="0"/>
        <charset val="1"/>
      </rPr>
      <t xml:space="preserve">[Oct'26 update – addition] </t>
    </r>
    <r>
      <rPr>
        <sz val="10"/>
        <color rgb="FF00008B"/>
        <rFont val="Inter"/>
        <family val="0"/>
        <charset val="1"/>
      </rPr>
      <t xml:space="preserve">Operations: Admiral Solutions delivers customer service, claims and back-office insurance operations support for Admiral's UK motor business (captive since Apr 2012). Technology: Admiral India provides IT, infrastructure, cloud, security, data and IT-operations services to Admiral Group brands in the UK, Spain, France and US.
Source: https://www.instahyre.com/job-112297-costumer-care-representative-at-admiral-solutions-gurgaon/
https://www.admiralindia.com/
https://www.crunchbase.com/organization/admiral-technologies
https://in.linkedin.com/company/india-admiral</t>
    </r>
  </si>
  <si>
    <r>
      <rPr>
        <b val="true"/>
        <sz val="10"/>
        <color rgb="FF00008B"/>
        <rFont val="Inter"/>
        <family val="0"/>
        <charset val="1"/>
      </rPr>
      <t xml:space="preserve">[Oct'26 update – addition] </t>
    </r>
    <r>
      <rPr>
        <sz val="10"/>
        <color rgb="FF00008B"/>
        <rFont val="Inter"/>
        <family val="0"/>
        <charset val="1"/>
      </rPr>
      <t xml:space="preserve">Admiral Solutions: 2,676 India-based employees (GPTW profile, latest listing; company site says 'over 2,000'; ZoomInfo 1,418). Admiral India tech centre: 350+ (GPTW case study) to 422 (GPTW 2026 profile). Combined approx. 3,000-3,100. Caveat: Revelio Labs puts Admiral Group's whole India workforce at approx. 2,368 (16% of group, 2026), below the GPTW sum. No 2026 company-published figure.
Source: https://www.admiralsolutions.in/
https://www.zoominfo.com/c/admiral-solutions/1147897850
https://www.greatplacetowork.in/great/company/admiral-group-india/
https://www.reveliolabs.com/companies/admiral-group/employees</t>
    </r>
  </si>
  <si>
    <r>
      <rPr>
        <b val="true"/>
        <sz val="10"/>
        <color rgb="FF00008B"/>
        <rFont val="Inter"/>
        <family val="0"/>
        <charset val="1"/>
      </rPr>
      <t xml:space="preserve">Focus area: </t>
    </r>
    <r>
      <rPr>
        <sz val="10"/>
        <color rgb="FF00008B"/>
        <rFont val="Inter"/>
        <family val="0"/>
        <charset val="1"/>
      </rPr>
      <t xml:space="preserve">Operations (UK insurance operations support) and Technology (IT/cloud/data centre of excellence); no 2026 expansion news found
(2026, month n/a) Admiral Solutions (Gurugram) is Great Place To Work certified for the 8th consecutive year and ranked a Top 10 Best Workplace for Women and Top 50 IT &amp; IT-BPM company, with 2,676 India-based employees per its GPTW profile.
(2025, month n/a) Admiral India, the Gurugram technology excellence centre (350+ staff), holds 2025 GPTW certifications (IT &amp; IT-BPM, workplaces for women, Great Mid-size Workplace) after Great Mid-size Workplace listings in 2023 and 2024; a GPTW case study credits its hybrid model (90% remote) with 91% retention.
(Jan 2026) Parent Admiral Group announced on 12 Jan 2026 that Group CFO Geraint Jones will retire to a part-time role and Rachel Lewis (CFO, Admiral UK insurance) becomes Group CFO from 1 Jul 2026, subject to regulatory approval; no change signalled to the India operating model.</t>
    </r>
  </si>
  <si>
    <t xml:space="preserve">https://www.greatplacetowork.in/great/company/admiral-solutions
https://www.greatplacetowork.in/great/company/admiral-group-india/
https://www.greatplacetowork.in/insights/customer-casestudies/digitally-connected-personally-cared-for-admiral-indias-blueprint-of-achieving-91-retention-in-a-hybrid-workplace
https://www.admiralgroup.co.uk/news-releases/news-release-details/chief-financial-officer-transition
https://www.globenewswire.com/news-release/2026/01/12/3216637/0/en/chief-financial-officer-transition.html</t>
  </si>
  <si>
    <r>
      <rPr>
        <sz val="10"/>
        <color theme="1"/>
        <rFont val="Inter"/>
        <family val="0"/>
        <charset val="1"/>
      </rPr>
      <t xml:space="preserve">Shweta Singh
https://www.admiralsolutions.in/meet-our-team/our-leaders/
</t>
    </r>
    <r>
      <rPr>
        <sz val="10"/>
        <color theme="6"/>
        <rFont val="EYInterstate"/>
        <family val="0"/>
        <charset val="1"/>
      </rPr>
      <t xml:space="preserve">
https://in.marketscreener.com/news/admiral-group-plc-announces-executive-changes-ce7e58dbdd88f225
</t>
    </r>
    <r>
      <rPr>
        <b val="true"/>
        <sz val="10"/>
        <color rgb="FF00008B"/>
        <rFont val="Inter"/>
        <family val="0"/>
        <charset val="1"/>
      </rPr>
      <t xml:space="preserve">
[Oct'26 re-check – existing text could not be independently verified] </t>
    </r>
    <r>
      <rPr>
        <sz val="10"/>
        <color rgb="FF00008B"/>
        <rFont val="Inter"/>
        <family val="0"/>
        <charset val="1"/>
      </rPr>
      <t xml:space="preserve">Two searches ('Shweta Singh' + Admiral Group country head India/Gurugram, and the researcher's own) returned only unrelated namesakes (Tofler directors, a media executive); neither the LinkedIn profile nor the admiralsolutions.in leaders page is indexed, so no extract supports the leader claim.</t>
    </r>
  </si>
  <si>
    <t xml:space="preserve">500 - 1000
350 + </t>
  </si>
  <si>
    <t xml:space="preserve">Milena Mondini de Focatiis (CEO of Admiral Group)</t>
  </si>
  <si>
    <t xml:space="preserve">1. GCSP Approval is required
2. Consultation required - Scope of Service </t>
  </si>
  <si>
    <r>
      <rPr>
        <sz val="10"/>
        <color theme="1"/>
        <rFont val="Inter"/>
        <family val="0"/>
        <charset val="1"/>
      </rPr>
      <t xml:space="preserve">1.Admiral Group plc reported earnings results for the full year ended December 31, 2025. For the full year, the company reported net income was GBP 742.6 million compared to GBP 663.3 million a year ago. Basic earnings per share from continuing operations was GBP 2.474 compared to GBP 2.128 a year ago
2.Admiral Solutions India Recognised Among “Top 10 Best Places to Work in India"
</t>
    </r>
    <r>
      <rPr>
        <sz val="10"/>
        <color theme="6"/>
        <rFont val="EYInterstate"/>
        <family val="0"/>
        <charset val="1"/>
      </rPr>
      <t xml:space="preserve">
3.Admiral Group completed its acquisition of Flock, a commercial fleet insurance and telematics provider, for approximately £80 million.
4.After announcing the Flock transaction, Admiral launched a new haulage fleet insurance proposition and reported strong initial demand.</t>
    </r>
  </si>
  <si>
    <t xml:space="preserve">https://in.marketscreener.com/news/admiral-group-plc-reports-earnings-results-for-the-full-year-ended-december-31-2025-ce7e5fdbd88af525
https://www.londonstockexchange.com/news-article/ADM/admiral-group-completes-acquisition-of-flock/17616667</t>
  </si>
  <si>
    <t xml:space="preserve">Admiral Solutions | LinkedIn
https://www.greatplacetowork.in/resources/casestudies/admiral-india-hybrid-workplace-retention/</t>
  </si>
  <si>
    <t xml:space="preserve">Rachel Lewis</t>
  </si>
  <si>
    <r>
      <rPr>
        <sz val="10"/>
        <color theme="1"/>
        <rFont val="Inter"/>
        <family val="0"/>
        <charset val="1"/>
      </rPr>
      <t xml:space="preserve">Arch Global Services India
(Parent co. Arch Capital Group Ltd)
</t>
    </r>
    <r>
      <rPr>
        <b val="true"/>
        <sz val="10"/>
        <color rgb="FF00008B"/>
        <rFont val="Inter"/>
        <family val="0"/>
        <charset val="1"/>
      </rPr>
      <t xml:space="preserve">
[Oct'26 update – correction] </t>
    </r>
    <r>
      <rPr>
        <sz val="10"/>
        <color rgb="FF00008B"/>
        <rFont val="Inter"/>
        <family val="0"/>
        <charset val="1"/>
      </rPr>
      <t xml:space="preserve">Arch Global Services India - GCC (subsidiary of Arch Capital Group Ltd; established 2025; part of Arch's Global Services Organization). Legal name per Tracxn: Arch Global Services (India) Private Limited (not independently confirmed in MCA data).
Source: https://tracxn.com/d/legal-entities/india/arch-global-services-india-private-limited/__V69PNkvqAS-NG5S4c0thRdeQeDbKm8uWzhTrg0lb3UU
https://www.archgroup.com/careers/work-at-arch-global-services-india/
https://www.archgroup.com/arch-capital-group-opens-global-capabilities-centers-in-india/</t>
    </r>
  </si>
  <si>
    <t xml:space="preserve">Thiruvananthapuram (Trivandrum), Kerala, India
Pune &amp; Hyderabad</t>
  </si>
  <si>
    <r>
      <rPr>
        <b val="true"/>
        <sz val="10"/>
        <color rgb="FF00008B"/>
        <rFont val="Inter"/>
        <family val="0"/>
        <charset val="1"/>
      </rPr>
      <t xml:space="preserve">[Oct'26 update – addition] </t>
    </r>
    <r>
      <rPr>
        <sz val="10"/>
        <color rgb="FF00008B"/>
        <rFont val="Inter"/>
        <family val="0"/>
        <charset val="1"/>
      </rPr>
      <t xml:space="preserve">Operations: underwriting support, claims and risk operations (Trivandrum). Finance: finance operations (Trivandrum). Technology: software engineering, data/analytics and digital transformation (Hyderabad technology hub). Also actuarial and analytics roles. Supports Arch's Insurance, Reinsurance and Mortgage divisions globally.
Source: https://www.businesswire.com/news/home/20251029203215/en/Arch-Global-Services-India-Opens-New-Office-in-Trivandrum-to-Drive-Innovation
https://www.archgroup.com/arch-global-services-india-opens-technology-hub-in-hyderabad-to-accelerate-innovation/
https://www.archgroup.com/careers/work-at-arch-global-services-india/</t>
    </r>
  </si>
  <si>
    <r>
      <rPr>
        <b val="true"/>
        <sz val="10"/>
        <color rgb="FF00008B"/>
        <rFont val="Inter"/>
        <family val="0"/>
        <charset val="1"/>
      </rPr>
      <t xml:space="preserve">[Oct'26 update – addition] </t>
    </r>
    <r>
      <rPr>
        <sz val="10"/>
        <color rgb="FF00008B"/>
        <rFont val="Inter"/>
        <family val="0"/>
        <charset val="1"/>
      </rPr>
      <t xml:space="preserve">Approx. 450 (Oct 2025): nearly 350 in Trivandrum and about 100 in Hyderabad per Arch press releases; Pune headcount not disclosed. No 2026 figure published.
Source: https://www.businesswire.com/news/home/20251029203215/en/Arch-Global-Services-India-Opens-New-Office-in-Trivandrum-to-Drive-Innovation
https://www.archgroup.com/arch-global-services-india-opens-technology-hub-in-hyderabad-to-accelerate-innovation/</t>
    </r>
  </si>
  <si>
    <r>
      <rPr>
        <b val="true"/>
        <sz val="10"/>
        <color rgb="FF00008B"/>
        <rFont val="Inter"/>
        <family val="0"/>
        <charset val="1"/>
      </rPr>
      <t xml:space="preserve">Focus area: </t>
    </r>
    <r>
      <rPr>
        <sz val="10"/>
        <color rgb="FF00008B"/>
        <rFont val="Inter"/>
        <family val="0"/>
        <charset val="1"/>
      </rPr>
      <t xml:space="preserve">Technology (Hyderabad tech hub, digital transformation) and Operations/Finance (underwriting, claims, finance and risk operations in Trivandrum)
(Oct 2025) Arch Global Services India opened a 26,000 sq ft Technopark office in Trivandrum, its largest India site with nearly 350 staff delivering underwriting, claims, finance and risk operations, with room to add 17,000 sq ft.
(Oct 2025) Arch opened a technology hub in Hyderabad's Financial District with about 100 employees, led by Technology Head Raju Chiluvuri, to deliver technology-driven services and digital transformation for Arch businesses worldwide.
(Jul 2025) Arch Capital Group announced the launch of global capabilities centres in Trivandrum, Pune and Hyderabad, led by Deputy COO Prashant Nema, to tap India talent in analytics, technology and operations for its Insurance, Reinsurance and Mortgage segments.</t>
    </r>
  </si>
  <si>
    <t xml:space="preserve">https://www.archgroup.com/arch-global-services-india-opens-new-office-in-trivandrum-to-drive-innovation/
https://www.archgroup.com/arch-global-services-india-opens-technology-hub-in-hyderabad-to-accelerate-innovation/
https://www.archgroup.com/arch-capital-group-opens-global-capabilities-centers-in-india/</t>
  </si>
  <si>
    <r>
      <rPr>
        <sz val="10"/>
        <color theme="1"/>
        <rFont val="Inter"/>
        <family val="0"/>
        <charset val="1"/>
      </rPr>
      <t xml:space="preserve">Ajay Prasad
</t>
    </r>
    <r>
      <rPr>
        <b val="true"/>
        <sz val="10"/>
        <color rgb="FF00008B"/>
        <rFont val="Inter"/>
        <family val="0"/>
        <charset val="1"/>
      </rPr>
      <t xml:space="preserve">
[Oct'26 update – correction] </t>
    </r>
    <r>
      <rPr>
        <sz val="10"/>
        <color rgb="FF00008B"/>
        <rFont val="Inter"/>
        <family val="0"/>
        <charset val="1"/>
      </rPr>
      <t xml:space="preserve">Overall India head not publicly identified; 'Ajay Prasad' does not appear in any Arch source (search returns only unrelated MCA directors of that name). Named leaders: Prashant Nema - EVP &amp; Deputy Chief Operations Officer, Arch Capital Group (appointed Jan 2025), leading the India expansion (authorised signatory of the Indian entity per Tracxn); Raju Chiluvuri - Technology Head, Arch Global Services India (Hyderabad).
Source: https://www.archgroup.com/arch-global-services-india-opens-technology-hub-in-hyderabad-to-accelerate-innovation/
https://www.siasat.com/arch-global-services-starts-technology-hub-in-hyderabad-3288683/
https://tracxn.com/d/legal-entities/india/arch-global-services-india-private-limited/__V69PNkvqAS-NG5S4c0thRdeQeDbKm8uWzhTrg0lb3UU</t>
    </r>
  </si>
  <si>
    <t xml:space="preserve">~4,900+</t>
  </si>
  <si>
    <t xml:space="preserve">350+</t>
  </si>
  <si>
    <t xml:space="preserve">Mar'2025</t>
  </si>
  <si>
    <t xml:space="preserve">Nicolas Papadopoulo</t>
  </si>
  <si>
    <t xml:space="preserve">1. GCSP Approval
2. ACPA and/or IESBA Pre-concurrence Required</t>
  </si>
  <si>
    <r>
      <rPr>
        <sz val="10"/>
        <color theme="1"/>
        <rFont val="Inter"/>
        <family val="0"/>
        <charset val="1"/>
      </rPr>
      <t xml:space="preserve">1.Arch Global Services India opened a new large technology hub in Trivandrum (with ~350 employees) as part of Arch’s expansion of its capability centre footprint.
2.Arch Global Services India, a wholly-owned subsidiary of insurer and reinsurer Arch Capital Group Ltd., has announced the opening of its new office in Hyderabad.
</t>
    </r>
    <r>
      <rPr>
        <sz val="10"/>
        <color theme="6"/>
        <rFont val="EYInterstate"/>
        <family val="0"/>
        <charset val="1"/>
      </rPr>
      <t xml:space="preserve">3.Arch reported exceptionally strong financial performance:
Net income of $1.0 billion
After-tax operating income of $901 million
Operating ROE of 15.4%
Underwriting income increased significantly
Book value per share increased 1.7%</t>
    </r>
  </si>
  <si>
    <t xml:space="preserve">https://www.businesswire.com/news/home/20251027224074/en/Arch-Global-Services-India-Opens-Technology-Hub-in-Hyderabad-to-Accelerate-Innovation?utm_source=chatgpt.com
https://www.reinsurancene.ws/arch-global-services-india-opens-technology-hub-in-hyderabad/
https://www.archgroup.com/arch-capital-group-ltd-reports-2026-first-quarter-results/</t>
  </si>
  <si>
    <t xml:space="preserve">Corporate leadership page: https://www.archgroup.com/about/corporate-leadership/
CEO transition announcement (Oct 2024): https://www.archgroup.com/arch-capital-group-ltd-announces-leadership-transition/
https://www.archgroup.com/arch-capital-group-opens-global-capabilities-centers-in-india/</t>
  </si>
  <si>
    <t xml:space="preserve">Kai Monahan</t>
  </si>
  <si>
    <t xml:space="preserve">François Morin</t>
  </si>
  <si>
    <t xml:space="preserve">Janice Englesbe</t>
  </si>
  <si>
    <t xml:space="preserve">India head changed.
https://www.bing.com/search?q=Arch%20Global%20Services%20India%20CEO%2FHead&amp;qs=n&amp;form=QBRE&amp;sp=-1&amp;ghc=1&amp;lq=0&amp;pq=arch%20global%20services%20india%20ceo%2Fhead&amp;sc=12-35&amp;sk=&amp;cvid=0BF6DAA912004C0BB325199F975D64F4</t>
  </si>
  <si>
    <r>
      <rPr>
        <sz val="10"/>
        <color theme="1"/>
        <rFont val="Inter"/>
        <family val="0"/>
        <charset val="1"/>
      </rPr>
      <t xml:space="preserve">AXA Business Services Pvt. Ltd. - GCC
</t>
    </r>
    <r>
      <rPr>
        <b val="true"/>
        <sz val="10"/>
        <color rgb="FF00008B"/>
        <rFont val="Inter"/>
        <family val="0"/>
        <charset val="1"/>
      </rPr>
      <t xml:space="preserve">
[Oct'26 update – correction] </t>
    </r>
    <r>
      <rPr>
        <sz val="10"/>
        <color rgb="FF00008B"/>
        <rFont val="Inter"/>
        <family val="0"/>
        <charset val="1"/>
      </rPr>
      <t xml:space="preserve">AXA Global Business Services Private Limited (AXA GBS) - GCC (CIN U67200KA1995PTC018761; formerly AXA Business Services Pvt. Ltd.)
Source: https://www.thecompanycheck.com/company/axa-global-business-services-private-limited/U67200KA1995PTC018761
https://tracxn.com/d/legal-entities/india/axa-global-business-services-private-limited/__YU7KMI_cCEU4d_R8dX_1H3gmvZ32z1HhrCxNpWhXrV0
https://www.axagbs.com/about-us</t>
    </r>
  </si>
  <si>
    <t xml:space="preserve">Bengaluru &amp; Pune</t>
  </si>
  <si>
    <r>
      <rPr>
        <b val="true"/>
        <sz val="10"/>
        <color rgb="FF00008B"/>
        <rFont val="Inter"/>
        <family val="0"/>
        <charset val="1"/>
      </rPr>
      <t xml:space="preserve">[Oct'26 update – addition] </t>
    </r>
    <r>
      <rPr>
        <sz val="10"/>
        <color rgb="FF00008B"/>
        <rFont val="Inter"/>
        <family val="0"/>
        <charset val="1"/>
      </rPr>
      <t xml:space="preserve">Technology, Data &amp; AI (software, cloud, automation/RPA, consulting) plus Insurance Operations Services (policy/claims BPS) and Corporate Function Services (finance, HR shared services) for 35+ AXA entities
Source: https://www.axagbs.com/about-us
https://www.axagbs.com/press-release/axa-unveils-state-of-the-art-office-space-in-pune-expands-its-global-business-services-center
https://www.prnewswire.com/in/news-releases/axa-global-business-services-embarks-on-a-new-era-of-transformation-as-it-celebrates-30-years-in-india-302375701.html</t>
    </r>
  </si>
  <si>
    <r>
      <rPr>
        <b val="true"/>
        <sz val="10"/>
        <color rgb="FF00008B"/>
        <rFont val="Inter"/>
        <family val="0"/>
        <charset val="1"/>
      </rPr>
      <t xml:space="preserve">[Oct'26 update – addition] </t>
    </r>
    <r>
      <rPr>
        <sz val="10"/>
        <color rgb="FF00008B"/>
        <rFont val="Inter"/>
        <family val="0"/>
        <charset val="1"/>
      </rPr>
      <t xml:space="preserve">~4,000 in India (AXA GBS Pune office release, Oct 2024); 'over 4,000' across Bengaluru, Pune, UK and Morocco (Feb 2025). No 2026 company figure found
Source: https://www.axagbs.com/press-release/axa-unveils-state-of-the-art-office-space-in-pune-expands-its-global-business-services-center
https://www.prnewswire.com/in/news-releases/axa-global-business-services-embarks-on-a-new-era-of-transformation-as-it-celebrates-30-years-in-india-302375701.html
https://www.ssonetwork.com/events-ssoweek/speakers/michele-rochefort</t>
    </r>
  </si>
  <si>
    <r>
      <rPr>
        <b val="true"/>
        <sz val="10"/>
        <color rgb="FF00008B"/>
        <rFont val="Inter"/>
        <family val="0"/>
        <charset val="1"/>
      </rPr>
      <t xml:space="preserve">Focus area: </t>
    </r>
    <r>
      <rPr>
        <sz val="10"/>
        <color rgb="FF00008B"/>
        <rFont val="Inter"/>
        <family val="0"/>
        <charset val="1"/>
      </rPr>
      <t xml:space="preserve">Technology (Tech, Data &amp; AI transformation) combined with Operations (insurance BPS / corporate shared services)
(Feb 2025) AXA GBS marked 30 years in India with 'new era of transformation' town halls in Pune and Bengaluru led by CEO Michele Rochefort; it serves 35+ AXA entities with technology solutions, AI, industrial automation and business process services, with 4,000+ staff across Bengaluru, Pune, the UK and Morocco.
(Oct 2024) AXA opened a 160,000 sq ft, four-floor office in Kharadi, Pune for its 4,000-strong India team, stating it is growing Technology, Data &amp; AI, Automation and Consulting capabilities alongside Insurance and Corporate Function services.</t>
    </r>
  </si>
  <si>
    <t xml:space="preserve">https://www.axagbs.com/press-release/axa-unveils-state-of-the-art-office-space-in-pune-expands-its-global-business-services-center
https://www.prnewswire.com/in/news-releases/axa-global-business-services-embarks-on-a-new-era-of-transformation-as-it-celebrates-30-years-in-india-302375701.html
https://www.business-standard.com/content/press-releases-ani/axa-unveils-state-of-the-art-office-space-in-pune-expands-its-global-business-services-center-124100901001_1.html
https://apacnewsnetwork.com/2025/02/axa-global-business-services-embarks-on-new-transformation-journey-celebrates-30-years-in-india</t>
  </si>
  <si>
    <r>
      <rPr>
        <sz val="10"/>
        <color theme="1"/>
        <rFont val="Inter"/>
        <family val="0"/>
        <charset val="1"/>
      </rPr>
      <t xml:space="preserve">Prashanthi Thorat
https://www.axagbs.com/about-us
</t>
    </r>
    <r>
      <rPr>
        <b val="true"/>
        <sz val="10"/>
        <color rgb="FF00008B"/>
        <rFont val="Inter"/>
        <family val="0"/>
        <charset val="1"/>
      </rPr>
      <t xml:space="preserve">
[Oct'26 update – correction] </t>
    </r>
    <r>
      <rPr>
        <sz val="10"/>
        <color rgb="FF00008B"/>
        <rFont val="Inter"/>
        <family val="0"/>
        <charset val="1"/>
      </rPr>
      <t xml:space="preserve">Michele Rochefort, Chief Executive Officer, AXA Global Business Services (also President, AXA GO Morocco; in role since Jun 2022; last confirmed Feb 2025 and on SSON 2025-26 speaker listing). Prashanthi Thorat is EVP - Insurance Operations Services &amp; Corporate Function Services and Whole-time Director (functional head, not GCC head). A possible 2025-26 succession by Eric Berger (ex-AXA GBS Morocco) is unconfirmed - verify before use
Source: https://www.ssonetwork.com/events-ssoweek/speakers/michele-rochefort
https://cxotoday.com/press-release/axa-global-business-services-embarks-on-a-new-era-of-transformation-as-it-celebrates-30-years-in-india/
https://www.axagbs.com/about-us</t>
    </r>
  </si>
  <si>
    <t xml:space="preserve">4000+</t>
  </si>
  <si>
    <t xml:space="preserve">200-500</t>
  </si>
  <si>
    <t xml:space="preserve">Since 1995</t>
  </si>
  <si>
    <t xml:space="preserve">Michele Rochefort</t>
  </si>
  <si>
    <t xml:space="preserve">1. Audit client 
2. Full Scope of services restricted
3. GCSP Approval Required
4. Business Relationship Restriction
5. ACPA and/or IESBA Pre-concurrence Required
6. Firm Loan  Restriction consultation required</t>
  </si>
  <si>
    <r>
      <rPr>
        <sz val="10"/>
        <color theme="1"/>
        <rFont val="Inter"/>
        <family val="0"/>
        <charset val="1"/>
      </rPr>
      <t xml:space="preserve">1.Axa Global services celebrates 30 years of presence in India (11.02.25)
2.AXA Unveils State-of-the-Art Office Space in Pune, Expands its Global Business Services Center 
3.AXA Global Business Services under CEO Michelle Rochefort is becoming a strategic arm</t>
    </r>
    <r>
      <rPr>
        <sz val="10"/>
        <color theme="6"/>
        <rFont val="EYInterstate"/>
        <family val="0"/>
        <charset val="1"/>
      </rPr>
      <t xml:space="preserve">.
4.AXA Reappoints CEO Thomas Buberl
5.In ET GCC discussions, AXA GBS CEO Michelle Rochefort emphasized:
India's engineering talent
AI capabilities
Data capabilities
Technology modernization programs
as critical pillars of AXA's future operating model.
</t>
    </r>
    <r>
      <rPr>
        <sz val="10"/>
        <color theme="1"/>
        <rFont val="EYInterstate"/>
        <family val="0"/>
        <charset val="1"/>
      </rPr>
      <t xml:space="preserve">
</t>
    </r>
  </si>
  <si>
    <t xml:space="preserve">https://www.prnewswire.com/in/news-releases/axa-global-business-services-embarks-on-a-new-era-of-transformation-as-it-celebrates-30-years-in-india-302375701.html
https://www.axagbs.com/press-release/axa-unveils-state-of-the-art-office-space-in-pune-expands-its-global-business-services-center
https://gcc.economictimes.indiatimes.com/news/industry-trends/axa-gbs-driving-innovation-through-strategic-engineering-talent-in-india/125975576
https://www.reinsurancene.ws/thomas-buberl-reappointed-ceo-of-axa-for-four-year-term/
https://gcc.economictimes.indiatimes.com/podcast/podcast/the-gcc-show/why-india-matters-to-axa-gbs/125829577</t>
  </si>
  <si>
    <t xml:space="preserve"> 
AXA Global Business Services Embarks on a New Era of Transformation as it Celebrates 30 Years in India  </t>
  </si>
  <si>
    <t xml:space="preserve">Group audit</t>
  </si>
  <si>
    <t xml:space="preserve">Maha Oulad Benchiba</t>
  </si>
  <si>
    <t xml:space="preserve">Suman Kaushal </t>
  </si>
  <si>
    <r>
      <rPr>
        <sz val="10"/>
        <color theme="1"/>
        <rFont val="Inter"/>
        <family val="0"/>
        <charset val="1"/>
      </rPr>
      <t xml:space="preserve">Bupa Capability Centre – India (BCC India)
</t>
    </r>
    <r>
      <rPr>
        <b val="true"/>
        <sz val="10"/>
        <color rgb="FF00008B"/>
        <rFont val="Inter"/>
        <family val="0"/>
        <charset val="1"/>
      </rPr>
      <t xml:space="preserve">
[Oct'26 update – correction] </t>
    </r>
    <r>
      <rPr>
        <sz val="10"/>
        <color rgb="FF00008B"/>
        <rFont val="Inter"/>
        <family val="0"/>
        <charset val="1"/>
      </rPr>
      <t xml:space="preserve">Bupa Capability Centre Private Limited (trading as Bupa Capability Centre - India / BCC India); CIN U70200HR2025FTC131860, incorporated May 2025 per MCA mirrors (not independently re-confirmed)
Source: https://www.thecompanycheck.com/company/bupa-capability-centre-private-limited/U70200HR2025FTC131860
https://www.tofler.in/bupa-capability-centre-private-limited/company/U70200HR2025FTC131860
https://tracxn.com/d/legal-entities/india/bupa-capability-centre-private-limited/__x5eIy4YGN4LN7PqoalGTulQO1I6s0ZJiL7MQaGNllXQ
https://careers.bupa.co.uk/bupa-capability-centre-india</t>
    </r>
  </si>
  <si>
    <r>
      <rPr>
        <sz val="10"/>
        <color theme="1"/>
        <rFont val="Inter"/>
        <family val="0"/>
        <charset val="1"/>
      </rPr>
      <t xml:space="preserve">New Delhi 
Gurugram
</t>
    </r>
    <r>
      <rPr>
        <b val="true"/>
        <sz val="10"/>
        <color rgb="FF00008B"/>
        <rFont val="Inter"/>
        <family val="0"/>
        <charset val="1"/>
      </rPr>
      <t xml:space="preserve">
[Oct'26 update – correction] </t>
    </r>
    <r>
      <rPr>
        <sz val="10"/>
        <color rgb="FF00008B"/>
        <rFont val="Inter"/>
        <family val="0"/>
        <charset val="1"/>
      </rPr>
      <t xml:space="preserve">Gurugram, Haryana (HO: 12th Floor, Good Earth Trade Tower, Sector 62, Gurugram 122102). No New Delhi office found
Source: https://lei.bloomberg.com/leis/view/335800NO9ADU989FIW84
https://indialei.in/detailed-information/58206482/335800NO9ADU989FIW84/bupa-capability-centre-private-limited/
https://careers.bupa.co.uk/bupa-capability-centre-india</t>
    </r>
  </si>
  <si>
    <r>
      <rPr>
        <b val="true"/>
        <sz val="10"/>
        <color rgb="FF00008B"/>
        <rFont val="Inter"/>
        <family val="0"/>
        <charset val="1"/>
      </rPr>
      <t xml:space="preserve">[Oct'26 update – addition] </t>
    </r>
    <r>
      <rPr>
        <sz val="10"/>
        <color rgb="FF00008B"/>
        <rFont val="Inter"/>
        <family val="0"/>
        <charset val="1"/>
      </rPr>
      <t xml:space="preserve">Technology-led: engineering, product, digital, data &amp; analytics, global infrastructure/internal products, enterprise &amp; solution architecture; plus operations and actuarial teams supporting Bupa UK, India and Asia-Pacific
Source: https://careers.bupa.co.uk/bupa-capability-centre-india
https://careers.bupa.co.uk/bupa-india-careers
https://www.cxodigitalpulse.com/rakesh-chandhok-joins-bupa-capability-centre-india-as-head-of-global-infrastructure-internal-products/
https://careers.bupa.co.uk/search-jobs/bupa-capability-centre-india/gurugram/head-of-solution-architect/R1225123</t>
    </r>
  </si>
  <si>
    <r>
      <rPr>
        <b val="true"/>
        <sz val="10"/>
        <color rgb="FF00008B"/>
        <rFont val="Inter"/>
        <family val="0"/>
        <charset val="1"/>
      </rPr>
      <t xml:space="preserve">[Oct'26 re-check] </t>
    </r>
    <r>
      <rPr>
        <sz val="10"/>
        <color rgb="FF00008B"/>
        <rFont val="Inter"/>
        <family val="0"/>
        <charset val="1"/>
      </rPr>
      <t xml:space="preserve">Three wave-2 searches returned no Bupa press release, target headcount or official figure. Treat the aggregator count as indicative only.</t>
    </r>
  </si>
  <si>
    <r>
      <rPr>
        <b val="true"/>
        <sz val="10"/>
        <color rgb="FF00008B"/>
        <rFont val="Inter"/>
        <family val="0"/>
        <charset val="1"/>
      </rPr>
      <t xml:space="preserve">Focus area: </t>
    </r>
    <r>
      <rPr>
        <sz val="10"/>
        <color rgb="FF00008B"/>
        <rFont val="Inter"/>
        <family val="0"/>
        <charset val="1"/>
      </rPr>
      <t xml:space="preserve">Technology (digital/data/AI engineering, infrastructure) with Operations support
(Oct 2026) Rakesh Chandhok joined Bupa Capability Centre India as Head of Global Infrastructure &amp; Internal Products - a senior technology hire (29+ years in digital infrastructure, SRE, Kubernetes, AI-driven operations) for the Gurugram centre.
(2026) Bupa's careers site positions BCC India as bringing together engineering, product, data and operations teams to 'power innovation and accelerate delivery' for Bupa across the UK, India and Asia-Pacific.
(Announced 2025; effective 1 Jan 2026) Chris Carroll became CEO of Bupa's Global, India &amp; UK market unit, succeeding Carlos Jaureguizar (who moved to CEO Europe &amp; Latin America) and reporting to Group CEO Inaki Ereno.</t>
    </r>
  </si>
  <si>
    <t xml:space="preserve">https://www.cxodigitalpulse.com/rakesh-chandhok-joins-bupa-capability-centre-india-as-head-of-global-infrastructure-internal-products/
https://careers.bupa.co.uk/bupa-capability-centre-india
https://www.bupa.com/news-and-press/press-releases/2025/bupa-appoints-chris-carroll-chief-executive-officer-bupa-global-india-uk
https://corporate-adviser.com/bupa-names-chris-carroll-as-global-india-uk-ceo/</t>
  </si>
  <si>
    <r>
      <rPr>
        <sz val="10"/>
        <color theme="1"/>
        <rFont val="Inter"/>
        <family val="0"/>
        <charset val="1"/>
      </rPr>
      <t xml:space="preserve">Chris Carroll
</t>
    </r>
    <r>
      <rPr>
        <b val="true"/>
        <sz val="10"/>
        <color rgb="FF00008B"/>
        <rFont val="Inter"/>
        <family val="0"/>
        <charset val="1"/>
      </rPr>
      <t xml:space="preserve">
[Oct'26 update – correction] </t>
    </r>
    <r>
      <rPr>
        <sz val="10"/>
        <color rgb="FF00008B"/>
        <rFont val="Inter"/>
        <family val="0"/>
        <charset val="1"/>
      </rPr>
      <t xml:space="preserve">On-site centre head not publicly named. Chris Carroll (sheet entry) is CEO, Bupa Global, India &amp; UK (from 1 Jan 2026, UK-based; succeeded Carlos Jaureguizar) - the market CEO, not the India site lead. Senior on-site technology leader: Rakesh Chandhok, Head of Global Infrastructure &amp; Internal Products (joined Oct 2026)
Source: https://www.bupa.com/news-and-press/press-releases/2025/bupa-appoints-chris-carroll-chief-executive-officer-bupa-global-india-uk
https://corporate-adviser.com/bupa-names-chris-carroll-as-global-india-uk-ceo/
https://www.cxodigitalpulse.com/rakesh-chandhok-joins-bupa-capability-centre-india-as-head-of-global-infrastructure-internal-products/
https://www.tofler.in/bupa-capability-centre-private-limited/company/U70200HR2025FTC131860</t>
    </r>
  </si>
  <si>
    <t xml:space="preserve">Since 1947
9 may 2025 - GCC</t>
  </si>
  <si>
    <t xml:space="preserve">Chris Carroll (BUPA Capability centre )</t>
  </si>
  <si>
    <t xml:space="preserve">NA </t>
  </si>
  <si>
    <r>
      <rPr>
        <sz val="10"/>
        <color theme="1"/>
        <rFont val="Inter"/>
        <family val="0"/>
        <charset val="1"/>
      </rPr>
      <t xml:space="preserve">1.Through Bupa CareConnect, the company signed 11 workplace healthcare agreements at the Global Health Exhibition 2025, reinforcing its move into preventive and employer healthcare services in the Middle East.
2.Bupa invested via the Bupa Ventures Fund, allocating ~$2.2 million to health‑tech startups focused on preventive care and digital health solutions.
3.Bupa Australia agreed to repay millions to members after inaccurately rejected claims, part of a settlement with the Australian Competition and Consumer Commission (ACCC) — highlighting regulatory and service quality risks.
4.Bupa Establishes India GCC as an AI‑ and Digital‑First Capability Hub to Bypass Global Talent Constraints. Formal Incorporation and Rapid Scale‑Up of Bupa Capability Centre India in Gurugram
Sidharth Gupta appointed Head – Talent Acquisition &amp; Employer Branding (APAC &amp; UK) for Bupa Global Capability Centre, based in Gurugram
</t>
    </r>
    <r>
      <rPr>
        <sz val="10"/>
        <color theme="6"/>
        <rFont val="EYInterstate"/>
        <family val="0"/>
        <charset val="1"/>
      </rPr>
      <t xml:space="preserve">5.Bupa has agreed to acquire Partnered Health Group and its network of integrated healthcare services as part of its goal to improve access to high-quality healthcare and support Australia’s health system.</t>
    </r>
  </si>
  <si>
    <t xml:space="preserve">https://www.itij.com/latest/news/bupa-careconnect-signs-11-new-workplace-healthcare-agreements-global-health-exhibition?utm_source=chatgpt.com
https://www.insurancebusinessmag.com/au/news/environmental/bupa-targets-preventative-healthcare-through-startup-investments-532873.aspx?utm_source=chatgpt.com
https://www.abc.net.au/news/2025-06-30/srt-accc-takes-bupa-to-court-for-unconscionable-conduct/105476068?utm_source=chatgpt.com
https://economictimes.indiatimes.com/tech/artificial-intelligence/multinationals-set-up-gccs-in-india-to-bypass-ai-talent-war-ft-report/articleshow/122834748.cms
https://www.falconebiz.com/company/BUPA-CAPABILITY-CENTRE-PRIVATE-LIMITED-U70200HR2025FTC131860
https://hrtoday.in/bupa-global-capability-centre-appoints-sidharth-gupta-as-head-talent-acquisition-employer-branding-apac-uk/
https://media.bupa.com.au/bupa-to-acquire-partnered-health-group/</t>
  </si>
  <si>
    <t xml:space="preserve">Bupa Capability Centre - India Bupa Careers</t>
  </si>
  <si>
    <t xml:space="preserve">not disclosed for gcc 
James Lenton (Group CFO)
https://www.bing.com/search?pglt=163&amp;q=CFO+of+the+BUPA+CAPABILITY+CENTRE+INDIA+PVT+LTD+is+James+Lenton&amp;cvid=b7cfe385fbfa430a864835ceba24987a&amp;gs_lcrp=EgRlZGdlKgYIABBFGDkyBggAEEUYOTIICAEQ6QcY_FXSAQkzMTM4NmowajeoAgCwAgA&amp;FORM=ANNAB1&amp;PC=U531</t>
  </si>
  <si>
    <t xml:space="preserve">1. Only GCC name kept
2.  India head changed.
https://www.bupa.com/news-and-press/press-releases/2025/bupa-appoints-chris-carroll-chief-executive-officer-bupa-global-india-uk</t>
  </si>
  <si>
    <t xml:space="preserve">Cigna Health Solutions India - GCC
Evernorth Health Services India
(The Cigna Group)</t>
  </si>
  <si>
    <r>
      <rPr>
        <sz val="10"/>
        <color theme="1"/>
        <rFont val="Inter"/>
        <family val="0"/>
        <charset val="1"/>
      </rPr>
      <t xml:space="preserve">Mumbai,Hyderabad
</t>
    </r>
    <r>
      <rPr>
        <b val="true"/>
        <sz val="10"/>
        <color rgb="FF00008B"/>
        <rFont val="Inter"/>
        <family val="0"/>
        <charset val="1"/>
      </rPr>
      <t xml:space="preserve">
[Oct'26 update – correction] </t>
    </r>
    <r>
      <rPr>
        <sz val="10"/>
        <color rgb="FF00008B"/>
        <rFont val="Inter"/>
        <family val="0"/>
        <charset val="1"/>
      </rPr>
      <t xml:space="preserve">Hyderabad (HO - HITEC City; four floors of ~1 lakh sq ft each by Apr 2025). Bengaluru (Cigna Health Solutions India) per existing sheet, not re-confirmed. No Mumbai office found
Source: https://www.digitalhealthnews.com/cigna-s-evernorth-launches-first-global-innovation-hub-in-hyderabad
https://www.projectstoday.com/News/Evernorth-Health-Services-expands-presence-in-Hyderabad-GCC-inaugurated
https://www.businessofgcc.com/gcc-data/companies/the-cigna-group-india-bengaluru</t>
    </r>
  </si>
  <si>
    <r>
      <rPr>
        <b val="true"/>
        <sz val="10"/>
        <color rgb="FF00008B"/>
        <rFont val="Inter"/>
        <family val="0"/>
        <charset val="1"/>
      </rPr>
      <t xml:space="preserve">[Oct'26 update – addition] </t>
    </r>
    <r>
      <rPr>
        <sz val="10"/>
        <color rgb="FF00008B"/>
        <rFont val="Inter"/>
        <family val="0"/>
        <charset val="1"/>
      </rPr>
      <t xml:space="preserve">Technology-led: generative AI, software engineering, end-to-end product development/ownership, process improvement, data &amp; analytics (Hyderabad); Bengaluru centre covers data, analytics, operations and technology
Source: https://www.digitalhealthnews.com/cigna-s-evernorth-launches-first-global-innovation-hub-in-hyderabad
https://www.hrkatha.com/features/how-evernorth-is-building-a-workforce-for-the-future-at-its-hyderabad-gcc/
https://builtin.com/job/infrastructure-engineering-advisor-ai-ml-engineer-hih/7665534</t>
    </r>
  </si>
  <si>
    <r>
      <rPr>
        <b val="true"/>
        <sz val="10"/>
        <color rgb="FF00008B"/>
        <rFont val="Inter"/>
        <family val="0"/>
        <charset val="1"/>
      </rPr>
      <t xml:space="preserve">[Oct'26 update – addition] </t>
    </r>
    <r>
      <rPr>
        <sz val="10"/>
        <color rgb="FF00008B"/>
        <rFont val="Inter"/>
        <family val="0"/>
        <charset val="1"/>
      </rPr>
      <t xml:space="preserve">No company-published figure. Initial-phase plan 1,000+ at the Nov 2024 launch (Evernorth's largest GCC). Third-party estimates, not independently confirmed: ~1,500 in India (Revelio Labs, Apr 2026); 1,700+ in Hyderabad with a 5,000+ by 2027 target (HR Katha, early 2026)
Source: https://www.reveliolabs.com/companies/evernorth/employees/
https://www.hrkatha.com/features/how-evernorth-is-building-a-workforce-for-the-future-at-its-hyderabad-gcc/
https://www.digitalhealthnews.com/cigna-s-evernorth-launches-first-global-innovation-hub-in-hyderabad</t>
    </r>
  </si>
  <si>
    <r>
      <rPr>
        <b val="true"/>
        <sz val="10"/>
        <color rgb="FF00008B"/>
        <rFont val="Inter"/>
        <family val="0"/>
        <charset val="1"/>
      </rPr>
      <t xml:space="preserve">Focus area: </t>
    </r>
    <r>
      <rPr>
        <sz val="10"/>
        <color rgb="FF00008B"/>
        <rFont val="Inter"/>
        <family val="0"/>
        <charset val="1"/>
      </rPr>
      <t xml:space="preserve">Technology (Data &amp; AI-led transformation, product engineering)
(Early 2026) HR Katha profile of the Hyderabad GCC: Evernorth's recruitment drive spans all of India (nearly 20% of new hires relocated to Hyderabad) and teams hold end-to-end product ownership in generative AI, product development and software engineering; the article cites 1,700+ staff and a 5,000+ by 2027 target (not independently confirmed).
(Jul 2025) Evernorth appointed Prashanti Bodugum (ex-VP GCC, Walmart Global Tech) as Head of Evernorth India / Hyderabad Innovation Hub, effective 30 Jun 2025, to lead digital transformation.
(Nov 2024) Evernorth inaugurated its first and largest innovation hub outside the US in Hyderabad (opened by Telangana IT Minister Sridhar Babu and Cigna Group CIO Noelle Eder), focused on generative AI, product development, analytics and software engineering, with 1,000+ hires planned in phase one.</t>
    </r>
  </si>
  <si>
    <t xml:space="preserve">https://www.hrkatha.com/features/how-evernorth-is-building-a-workforce-for-the-future-at-its-hyderabad-gcc/
https://www.mediainfoline.com/movement/evernorth-appoints-prashanti-bodugum-as-new-head-of-hyderabad-innovation-hub
https://www.digitalhealthnews.com/cigna-s-evernorth-launches-first-global-innovation-hub-in-hyderabad</t>
  </si>
  <si>
    <t xml:space="preserve">Prashanti Bodugum</t>
  </si>
  <si>
    <t xml:space="preserve">72000 +
72500</t>
  </si>
  <si>
    <t xml:space="preserve">~4000 - 5000</t>
  </si>
  <si>
    <t xml:space="preserve">Since 1982
Feb 2011</t>
  </si>
  <si>
    <r>
      <rPr>
        <sz val="10"/>
        <color theme="6"/>
        <rFont val="EYInterstate"/>
        <family val="0"/>
        <charset val="1"/>
      </rPr>
      <t xml:space="preserve">Brian Evanco (1st Jul'2026)
</t>
    </r>
    <r>
      <rPr>
        <sz val="10"/>
        <color theme="1"/>
        <rFont val="EYInterstate"/>
        <family val="0"/>
        <charset val="1"/>
      </rPr>
      <t xml:space="preserve">David Cordani (The Cigna Group)
Mr. Sandeep Patel ( Cigna health solutions india - gcc)</t>
    </r>
  </si>
  <si>
    <t xml:space="preserve">1. GCSP Approval
2. Consultation required</t>
  </si>
  <si>
    <r>
      <rPr>
        <sz val="10"/>
        <color theme="1"/>
        <rFont val="Inter"/>
        <family val="0"/>
        <charset val="1"/>
      </rPr>
      <t xml:space="preserve">1.Cigna Healthcare Unveils Industry-Leading AI-Powered Digital Tools for a Simple and Reliable Customer Experience (12 June 2025)
2.At the ETGCCWorld GCC Growth Summit 2026, senior leaders from Evernorth.
3.Cigna Group Scales India as a Core Global Technology &amp; AI Hub Through Evernorth and Cigna Health Solutions. Cigna Group launches and scales Evernorth Health Services India as its largest GCC outside the US, while explicitly acknowledging CHSI (Bengaluru) as an existing centre of excellence
</t>
    </r>
    <r>
      <rPr>
        <sz val="10"/>
        <color theme="6"/>
        <rFont val="EYInterstate"/>
        <family val="0"/>
        <charset val="1"/>
      </rPr>
      <t xml:space="preserve">4.Evernorth Launches Pharmacy Forward: A Simpler, Faster Specialty Pharmacy Experience for Patients Managing Complex Conditions
</t>
    </r>
    <r>
      <rPr>
        <sz val="10"/>
        <color theme="1"/>
        <rFont val="EYInterstate"/>
        <family val="0"/>
        <charset val="1"/>
      </rPr>
      <t xml:space="preserve">
</t>
    </r>
    <r>
      <rPr>
        <sz val="10"/>
        <color theme="6"/>
        <rFont val="EYInterstate"/>
        <family val="0"/>
        <charset val="1"/>
      </rPr>
      <t xml:space="preserve">5.Brian Evanko became CEO of The Cigna Group on 1 July 2026, succeeding long-time CEO David Cordani</t>
    </r>
  </si>
  <si>
    <t xml:space="preserve">Press Releases | Cigna Healthcare Newsroom | Cigna Newsroom
https://gcc.economictimes.indiatimes.com/news/gccs-revolutionize-enterprise-value-creation-with-ai-innovation/129902916
https://jobs.thecignagroup.com/us/en/evernorth-india
https://www.expresscomputer.in/exclusives/our-hyderabad-hub-now-drive-end-to-end-delivery-not-just-an-offshore-unit-for-cigna-yadhu-kishore-nandikolla-evernorth-health-services-india/126501/
https://marketchameleon.com/Overview/CI/PressReleases/
https://providernewsroom.com/cigna-healthcare/the-cigna-group-appoints-brian-evanko-chief-executive-officer/</t>
  </si>
  <si>
    <t xml:space="preserve">Cigna Health Solutions India | A Cigna Healthcare Company
https://www.zaubacorp.com/CIGNA-HEALTH-SOLUTIONS-INDIA-PRIVATE-LIMITED-U93090MH2011FTC213985
https://www.cignainternational.com/chsi/our-story
https://www.zaubacorp.com/RAMKUMAR-VENKATACHALAM-08260871
https://www.cignainternational.com/chsi/our-story
</t>
  </si>
  <si>
    <t xml:space="preserve">Matthew Lynch (the cigna group) 
https://www.linkedin.com/in/matthew-lynch-ct</t>
  </si>
  <si>
    <t xml:space="preserve">Rupa Subramanian (Cigna health solution india - gcc) 
https://in.linkedin.com/in/rupa-subramanian-68588436</t>
  </si>
  <si>
    <t xml:space="preserve">India head changed.
https://www.mediainfoline.com/movement/evernorth-appoints-prashanti-bodugum-as-new-head-of-hyderabad-innovation-hub</t>
  </si>
  <si>
    <t xml:space="preserve">Dai‑ichi Life Group Global Capability Center (GCC)</t>
  </si>
  <si>
    <r>
      <rPr>
        <sz val="10"/>
        <color theme="1"/>
        <rFont val="Inter"/>
        <family val="0"/>
        <charset val="1"/>
      </rPr>
      <t xml:space="preserve">Mumbai
</t>
    </r>
    <r>
      <rPr>
        <b val="true"/>
        <sz val="10"/>
        <color rgb="FF00008B"/>
        <rFont val="Inter"/>
        <family val="0"/>
        <charset val="1"/>
      </rPr>
      <t xml:space="preserve">
[Oct'26 update – correction] </t>
    </r>
    <r>
      <rPr>
        <sz val="10"/>
        <color rgb="FF00008B"/>
        <rFont val="Inter"/>
        <family val="0"/>
        <charset val="1"/>
      </rPr>
      <t xml:space="preserve">Hyderabad (not Mumbai)
Source: https://www.insurancebusinessmag.com/asia/news/technology/daiichi-life-sets-up-global-tech-hub-in-india-538626.aspx
https://yourstory.com/2025/06/how-dai-ichi-life-and-capgemini-are-powering-insur
https://gccrise.com/dai-ichi-life-group-launches-first-global-capability-centre-in-hyderabad-through-strategic-partnership-with-capgemini/</t>
    </r>
  </si>
  <si>
    <r>
      <rPr>
        <b val="true"/>
        <sz val="10"/>
        <color rgb="FF00008B"/>
        <rFont val="Inter"/>
        <family val="0"/>
        <charset val="1"/>
      </rPr>
      <t xml:space="preserve">[Oct'26 update – addition] </t>
    </r>
    <r>
      <rPr>
        <sz val="10"/>
        <color rgb="FF00008B"/>
        <rFont val="Inter"/>
        <family val="0"/>
        <charset val="1"/>
      </rPr>
      <t xml:space="preserve">Technology: AI and data analytics, software development, cloud/infrastructure modernisation, cybersecurity - executing Dai-ichi Life group IT and digital strategy for Japan, US and Australia
Source: https://gccrise.com/dai-ichi-life-group-launches-first-global-capability-centre-in-hyderabad-through-strategic-partnership-with-capgemini/
https://www.capgemini.com/news/press-releases/dai-ichi-life-group-and-capgemini-sign-multi-year-agreement-to-establish-a-global-capability-center-in-india-to-drive-international-digital-transformation/
https://www.insurancebusinessmag.com/asia/news/technology/daiichi-life-sets-up-global-tech-hub-in-india-538626.aspx</t>
    </r>
  </si>
  <si>
    <r>
      <rPr>
        <b val="true"/>
        <sz val="10"/>
        <color rgb="FF00008B"/>
        <rFont val="Inter"/>
        <family val="0"/>
        <charset val="1"/>
      </rPr>
      <t xml:space="preserve">[Oct'26 re-check – existing text could not be independently verified] </t>
    </r>
    <r>
      <rPr>
        <sz val="10"/>
        <color rgb="FF00008B"/>
        <rFont val="Inter"/>
        <family val="0"/>
        <charset val="1"/>
      </rPr>
      <t xml:space="preserve">The '50-60 at launch, ~600 by 2027' plan appears only on gccrise.com; two independent searches (incl. an exact '600' query) returned no corroboration from Capgemini, Dai-ichi or business press, and the wave-1 '300+' is also unsupported, so no headcount is published (suggest 'Not disclosed').</t>
    </r>
  </si>
  <si>
    <r>
      <rPr>
        <b val="true"/>
        <sz val="10"/>
        <color rgb="FF00008B"/>
        <rFont val="Inter"/>
        <family val="0"/>
        <charset val="1"/>
      </rPr>
      <t xml:space="preserve">Focus area: </t>
    </r>
    <r>
      <rPr>
        <sz val="10"/>
        <color rgb="FF00008B"/>
        <rFont val="Inter"/>
        <family val="0"/>
        <charset val="1"/>
      </rPr>
      <t xml:space="preserve">Technology (AI, data, cloud, cybersecurity - digital transformation)
(Jun 2025) Dai-ichi Life Holdings and Capgemini signed a multi-year agreement to establish a Global Capability Center in India under a Build-Operate-Transfer model, with Dai-ichi to assume control after the foundation phase, to drive the group's international digital transformation.
(Jun 2025) The Hyderabad GCC - the group's first - is technology-focused, covering AI &amp; data, software development, infrastructure modernisation and cybersecurity for Dai-ichi's Japan, US and Australia businesses, with flexibility to extend to other markets.</t>
    </r>
  </si>
  <si>
    <t xml:space="preserve">https://www.capgemini.com/news/press-releases/dai-ichi-life-group-and-capgemini-sign-multi-year-agreement-to-establish-a-global-capability-center-in-india-to-drive-international-digital-transformation/
https://www.insurancebusinessmag.com/asia/news/technology/daiichi-life-sets-up-global-tech-hub-in-india-538626.aspx
https://yourstory.com/2025/06/how-dai-ichi-life-and-capgemini-are-powering-insur</t>
  </si>
  <si>
    <r>
      <rPr>
        <sz val="10"/>
        <color theme="1"/>
        <rFont val="Inter"/>
        <family val="0"/>
        <charset val="1"/>
      </rPr>
      <t xml:space="preserve">G. Saikumar
</t>
    </r>
    <r>
      <rPr>
        <b val="true"/>
        <sz val="10"/>
        <color rgb="FF00008B"/>
        <rFont val="Inter"/>
        <family val="0"/>
        <charset val="1"/>
      </rPr>
      <t xml:space="preserve">
[Oct'26 re-check] </t>
    </r>
    <r>
      <rPr>
        <sz val="10"/>
        <color rgb="FF00008B"/>
        <rFont val="Inter"/>
        <family val="0"/>
        <charset val="1"/>
      </rPr>
      <t xml:space="preserve">Searched 'Dai-ichi Life Global Capability Center India head/CEO/managing director appointed' and 'Dai-ichi Life Hyderabad GCC 2026 head/leader': no appointment surfaced. Recommend replacing 'G. Saikumar' with 'Not disclosed (sponsor: Stephen Barnham, Group CDO-CIO)'. Capgemini's Kaushik Balasubramaniam appeared in results as a Capgemini-side contact, not the GCC head.</t>
    </r>
  </si>
  <si>
    <t xml:space="preserve">Abhay Tewari</t>
  </si>
  <si>
    <r>
      <rPr>
        <sz val="10"/>
        <color theme="1"/>
        <rFont val="Inter"/>
        <family val="0"/>
        <charset val="1"/>
      </rPr>
      <t xml:space="preserve">1.Dai-ichi Life Group and Capgemini sign multi-year agreement to establish a Global Capability Center in India to drive international digital transformation (Build‑Operate‑Transfer (BOT) with Capgemini)
2.Dai-Ichi Life to expand India GCC to 600 employees, taps local tech talent
</t>
    </r>
    <r>
      <rPr>
        <sz val="10"/>
        <color theme="6"/>
        <rFont val="EYInterstate"/>
        <family val="0"/>
        <charset val="1"/>
      </rPr>
      <t xml:space="preserve">3.Daiichi Life Group, Inc. (the “Company”; President and Group CEO: Tetsuya Kikuta) hereby announces 
that, in connection with the asset-backed finance (“ABF”) strategy promoted by Canyon Partners 
(“Canyon”), an affiliate of the Company, it has participated as an anchor investor, together with Canyon’s 
management team and Korea Investment Holdings, in the ABF platform newly launched by Canyon (the 
“ABF Platform”).</t>
    </r>
  </si>
  <si>
    <t xml:space="preserve">https://upstox.com/news/business-news/latest-updates/star-union-life-quantum-street-ai-partner-to-launch-ai-led-investment-products/article-118564/?utm_source=chatgpt.com
https://www.expresscomputer.in/news/star-union-dai-ichi-life-insurances-ai-voice-bot-push-signals-a-larger-shift-in-insurance-cx-playbooks/134259/
https://www.sudlife.in/key-management-persons
https://www.capgemini.com/news/press-releases/dai-ichi-life-group-and-capgemini-sign-multi-year-agreement-to-establish-a-global-capability-center-in-india-to-drive-international-digital-transformation/
https://www.thehindubusinessline.com/money-and-banking/dai-ichi-life-to-expand-india-gcc-to-600-employees-taps-local-tech-talent/article69815511.ece
https://www.daiichilife-group.com/en/news/assets/pdf/2026_index_015.pdf</t>
  </si>
  <si>
    <t xml:space="preserve">G Saikumar</t>
  </si>
  <si>
    <t xml:space="preserve">Masato Negishi</t>
  </si>
  <si>
    <t xml:space="preserve">Factory Mutual (FM) Bengaluru innovation capability centre</t>
  </si>
  <si>
    <r>
      <rPr>
        <sz val="10"/>
        <color theme="1"/>
        <rFont val="Inter"/>
        <family val="0"/>
        <charset val="1"/>
      </rPr>
      <t xml:space="preserve">Bengaluru
</t>
    </r>
    <r>
      <rPr>
        <b val="true"/>
        <sz val="10"/>
        <color rgb="FF00008B"/>
        <rFont val="Inter"/>
        <family val="0"/>
        <charset val="1"/>
      </rPr>
      <t xml:space="preserve">
[Oct'26 update – correction] </t>
    </r>
    <r>
      <rPr>
        <sz val="10"/>
        <color rgb="FF00008B"/>
        <rFont val="Inter"/>
        <family val="0"/>
        <charset val="1"/>
      </rPr>
      <t xml:space="preserve">Bengaluru (innovation centre, HO of FM India); Mumbai (sales/client office, announced 2025, opened Jan 2026)
Source: https://www.fm.com/newsroom/news/2026/fm-strengthens-india-commitment-with-opening-of-mumbai-office
https://www.fm.com/newsroom/news/2025/fm-expands-footprint-in-india-with-new-innovative-centre-in-bengaluru
https://www.nbmcw.com/news/fm-global-expands-footprint-in-india-with-new-innovative-centre-in-bengaluru.html</t>
    </r>
  </si>
  <si>
    <t xml:space="preserve">Technology, artificial intelligence capabilities, enhance client risk engineering services.
https://www.fm.com/Newsroom/news/2025/fm-expands-footprint-in-india-with-new-innovative-centre-in-bengaluru2</t>
  </si>
  <si>
    <r>
      <rPr>
        <sz val="10"/>
        <color theme="1"/>
        <rFont val="Inter"/>
        <family val="0"/>
        <charset val="1"/>
      </rPr>
      <t xml:space="preserve">Info Not available for India GCC
</t>
    </r>
    <r>
      <rPr>
        <b val="true"/>
        <sz val="10"/>
        <color rgb="FF00008B"/>
        <rFont val="Inter"/>
        <family val="0"/>
        <charset val="1"/>
      </rPr>
      <t xml:space="preserve">
[Oct'26 re-check] </t>
    </r>
    <r>
      <rPr>
        <sz val="10"/>
        <color rgb="FF00008B"/>
        <rFont val="Inter"/>
        <family val="0"/>
        <charset val="1"/>
      </rPr>
      <t xml:space="preserve">Two wave-2 searches ('FM India Bengaluru employees headcount 2026', 'FM India jobs team size') returned no number or target. Keep the sheet's 'Info not available' wording but update to 'Not disclosed'.</t>
    </r>
  </si>
  <si>
    <r>
      <rPr>
        <b val="true"/>
        <sz val="10"/>
        <color rgb="FF00008B"/>
        <rFont val="Inter"/>
        <family val="0"/>
        <charset val="1"/>
      </rPr>
      <t xml:space="preserve">Focus area: </t>
    </r>
    <r>
      <rPr>
        <sz val="10"/>
        <color rgb="FF00008B"/>
        <rFont val="Inter"/>
        <family val="0"/>
        <charset val="1"/>
      </rPr>
      <t xml:space="preserve">Technology (science &amp; AI, data/platform engineering) combined with Operations (business operations, risk engineering support)
(Jan 2026) FM opened its Mumbai office (brokers, partners, clients) and confirmed its recently opened Bengaluru global capability centre as a hub for research, analytics and engineering excellence, positioning India as a strategic FM hub for global resilience capabilities.
(Oct 2025, planned start) FM's Bengaluru centre of excellence - its largest innovation centre outside the US - was slated to commence in Oct 2025 to augment science and AI capabilities, enhance client risk engineering services and serve as a springboard for regional growth.
(Jul 2025) FM announced the Bengaluru centre with a client experience centre, said it plans to increase India headcount (product owners, data engineers, platform/software engineers, business operations specialists) and appointed Srini Krishnamurthy SVP FM India.</t>
    </r>
  </si>
  <si>
    <t xml:space="preserve">https://www.fm.com/newsroom/news/2026/fm-strengthens-india-commitment-with-opening-of-mumbai-office
https://www.fm.com/newsroom/news/2025/fm-expands-footprint-in-india-with-new-innovative-centre-in-bengaluru
https://www.insurancebusinessmag.com/asia/news/property/fm-bets-big-on-bengaluru-for-insurance-innovation-hub-544792.aspx
https://www.nbmcw.com/news/fm-global-expands-footprint-in-india-with-new-innovative-centre-in-bengaluru.html</t>
  </si>
  <si>
    <t xml:space="preserve">Srini Krishnamurthy</t>
  </si>
  <si>
    <t xml:space="preserve">Since 2022</t>
  </si>
  <si>
    <t xml:space="preserve">Sumit Khanna</t>
  </si>
  <si>
    <t xml:space="preserve">1.FM Global has announced the opening of a new Centre of Excellence in Bengaluru, aiming to enhance its science and AI capabilities, improve client risk engineering services, and support regional growth. The facility will also feature a client experience centre for training and collaboration. Additionally, FM plans to open a sales office in Mumbai to strengthen its presence in India's financial capital
2. FM has integrated AI into claims workflows, achieving nearly 50% reduction in time from loss reporting to payment on smaller claims
Tools include:
FM Portal (digital platform for claims, engineering &amp; underwriting data)
AI‑assisted fast‑track claims automation (with human‑in‑the‑loop controls)
Focus is on efficiency, accuracy, and informed decision‑making, not pure automation
3.FM Expands Footprint in India with New, Innovative Centre in Bengaluru
ICC strengthens FM’s engineering‑backed risk mitigation strategy by concentrating risk consultants, data scientists, engineers, and software developers in one hub—reinforcing FM’s long‑term pivot toward science‑led insurance.</t>
  </si>
  <si>
    <t xml:space="preserve">FM Expands Footprint in India with New, Innovative Centre in Bengaluru | FM (US)
https://www.claimsjournal.com/news/national/2026/02/02/335326.htm
https://economictimes.indiatimes.com/industry/services/property-/-cstruction/fm-to-set-up-largest-office-outside-us-in-bengaluru/articleshow/122736584.cms
https://newsroom.fmglobal.com/releases/fm-expands-footprint-in-india-with-new-innovative-centre-in-bengaluru</t>
  </si>
  <si>
    <t xml:space="preserve">1. Only GCC name kept
2. India head mentioned:
https://newsroom.fmglobal.com/releases/fm-expands-footprint-in-india-with-new-innovative-centre-in-bengaluru</t>
  </si>
  <si>
    <t xml:space="preserve">First American (India) Private Limited - India GCC</t>
  </si>
  <si>
    <t xml:space="preserve">Bengaluru, Hyderabad, and Salem</t>
  </si>
  <si>
    <t xml:space="preserve">FAI delivers Software Development, IT infrastructure, Data &amp; Analytics, back-office, and knowledge-processing operations.
https://in.linkedin.com/company/first-american-india-pvt-ltd#:~:text=With%20campuses%20in%20Bangalore%2C%20Hyderabad,US%2C%20UK%2C%20Australia%20%26%20Canada.
https://www.firstam.co.in/</t>
  </si>
  <si>
    <r>
      <rPr>
        <sz val="10"/>
        <color theme="1"/>
        <rFont val="Inter"/>
        <family val="0"/>
        <charset val="1"/>
      </rPr>
      <t xml:space="preserve">4885
https://www.greatplacetowork.in/great/company/first-american-india-pvt-ltd/
</t>
    </r>
    <r>
      <rPr>
        <b val="true"/>
        <sz val="10"/>
        <color rgb="FF00008B"/>
        <rFont val="Inter"/>
        <family val="0"/>
        <charset val="1"/>
      </rPr>
      <t xml:space="preserve">
[Oct'26 update – correction] </t>
    </r>
    <r>
      <rPr>
        <sz val="10"/>
        <color rgb="FF00008B"/>
        <rFont val="Inter"/>
        <family val="0"/>
        <charset val="1"/>
      </rPr>
      <t xml:space="preserve">5,043 India-based employees (Great Place To Work India profile, current); Revelio Labs estimate 6,339 (Sep 2025, -6.4% YoY). Sheet's 4,885 is an older GPTW figure
Source: https://www.greatplacetowork.in/great/company/first-american-india-pvt-ltd
https://www.reveliolabs.com/companies/first-american/employees</t>
    </r>
  </si>
  <si>
    <r>
      <rPr>
        <b val="true"/>
        <sz val="10"/>
        <color rgb="FF00008B"/>
        <rFont val="Inter"/>
        <family val="0"/>
        <charset val="1"/>
      </rPr>
      <t xml:space="preserve">Focus area: </t>
    </r>
    <r>
      <rPr>
        <sz val="10"/>
        <color rgb="FF00008B"/>
        <rFont val="Inter"/>
        <family val="0"/>
        <charset val="1"/>
      </rPr>
      <t xml:space="preserve">Technology / Operations (software, data &amp; analytics plus back-office processing); no India-specific 2025-26 strategic announcement found
(Apr 2026) First American marked 11 consecutive years on the Fortune 100 Best Companies to Work For list; its India GCC remains GPTW-certified with ~5,043 India-based employees per Great Place To Work India.
(2025/26) First American India appointed Gautam Mukherjee as Chief Technology Officer for its India operations, signalling continued investment in the Bengaluru technology organisation.
(Sep 2025) First American Financial was named to the Best Workplaces in Financial Services &amp; Insurance list for the ninth year; Revelio Labs data (Sep 2025) shows First American (India) at ~6,339 staff with a -6.4% YoY trend, suggesting consolidation rather than expansion.
(2024/25) First American (India) earned GPTW India recognitions for IT &amp; IT-BPM, Women, Diversity &amp; Inclusion and Health &amp; Wellness, positioning the Bengaluru/Hyderabad/Salem GCC as a software, data and back-office operations centre for US, UK, Australia and Canada.</t>
    </r>
  </si>
  <si>
    <t xml:space="preserve">https://www.firstam.com/news/2026/faf-11-years-fortune-100-best-companies-20260401.html
https://investors.firstam.com/investors/news-and-events/news/press-release-details/2026/First-American-Marks-11-Years-as-One-of-the-Fortune-100-Best-Companies-to-Work-For/default.aspx
https://www.firstam.com/news/2025/faf-best-workplaces-fin-svcs-ninth-year-20250909.html
https://www.cxodigitalpulse.com/?p=59651
https://www.reveliolabs.com/companies/first-american/employees
https://www.greatplacetowork.in/great/company/first-american-india-pvt-ltd</t>
  </si>
  <si>
    <r>
      <rPr>
        <sz val="10"/>
        <color theme="1"/>
        <rFont val="Inter"/>
        <family val="0"/>
        <charset val="1"/>
      </rPr>
      <t xml:space="preserve">Not disclosed
</t>
    </r>
    <r>
      <rPr>
        <b val="true"/>
        <sz val="10"/>
        <color rgb="FF00008B"/>
        <rFont val="Inter"/>
        <family val="0"/>
        <charset val="1"/>
      </rPr>
      <t xml:space="preserve">
[Oct'26 re-check] </t>
    </r>
    <r>
      <rPr>
        <sz val="10"/>
        <color rgb="FF00008B"/>
        <rFont val="Inter"/>
        <family val="0"/>
        <charset val="1"/>
      </rPr>
      <t xml:space="preserve">Unconfirmed (Tracxn only): board of First American (India) Pvt Ltd - David Allen Hancock, Yelandur Madhusoodhana, Christopher Thomas Brinkley, Sandeep Ramdas Narayan, Jayson Eric Murray. Exact date of the Mukherjee CTO appointment not returned by search.</t>
    </r>
  </si>
  <si>
    <t xml:space="preserve">Mark Seaton</t>
  </si>
  <si>
    <t xml:space="preserve">1.First American’s title insurance arm has recently drawn attention for its free property title monitoring and fraud alert service for eligible customers — a strategic response to rising real-estate fraud concerns. This trend positions the company as more proactive in fraud mitigation solutions tied to its core title data and insurance assets
2.First American Title Launches AgentNet® Assist Generative AI Tool, Enhancing Productivity for Title Agents
3. India GCC-Employee count-LinkedIn link attached 4390 employees headcount First American (India) Pvt. Ltd. (FAI) employs ~1,001–5,000 professionals across Bengaluru, Hyderabad, and Salem.
4.First American (India) is a Global Capability Center (GCC) of the First American Financial Corporation (US) - a leading provider of title insurance, settlement services and risk solutions for real estate transactions since 1889. First American also provides title plant management, home warranty, and banking, trust &amp; wealth management services. With locations in Bangalore, Hyderabad and Salem, FAI delivers software development, back-office and knowledge-processing operations to support First American’s global operations in US, UK, Australia &amp; Canada.
5.India GCC (FAI) is a critical delivery engine for AI, analytics, and global operations, with expansion beyond Tier‑I cities.
</t>
  </si>
  <si>
    <t xml:space="preserve">https://www.sahmcapital.com/news/content/a-look-at-first-american-financials-valuation-after-new-title-fraud-monitoring-service-launch-2026-01-21?utm_source=chatgpt.com
 https://www.firstam.com/news/2025/agentnet-assist-gen-ai-tool-20250728.html
https://www.theofficialboard.com/org-chart/first-american
https://in.linkedin.com/company/first-american-india-pvt-ltd
https://www.firstam.co.in/</t>
  </si>
  <si>
    <t xml:space="preserve">Matt F. Wajner</t>
  </si>
  <si>
    <t xml:space="preserve">Only GCC name kept</t>
  </si>
  <si>
    <r>
      <rPr>
        <sz val="10"/>
        <color theme="1"/>
        <rFont val="Inter"/>
        <family val="0"/>
        <charset val="1"/>
      </rPr>
      <t xml:space="preserve">Gallagher Service Center – GSC India (GCC)
</t>
    </r>
    <r>
      <rPr>
        <b val="true"/>
        <sz val="10"/>
        <color rgb="FF00008B"/>
        <rFont val="Inter"/>
        <family val="0"/>
        <charset val="1"/>
      </rPr>
      <t xml:space="preserve">
[Oct'26 update – correction] </t>
    </r>
    <r>
      <rPr>
        <sz val="10"/>
        <color rgb="FF00008B"/>
        <rFont val="Inter"/>
        <family val="0"/>
        <charset val="1"/>
      </rPr>
      <t xml:space="preserve">Gallagher Centre of Excellence LLP (formerly Gallagher Service Center LLP) - GCoE India (GCC)
Source: https://www.barandbench.com/dealstreet/khaitan-co-assists-gallagher-centre-of-excellence-on-leasing-offices-in-bengaluru-gurugram-pune
https://www.greatplacetowork.in/great/company/gallgher-center-of-excellance-gallagher-service-center-llp/
https://www.ajg.com/in/about-us/gallagher-center-of-excellence/</t>
    </r>
  </si>
  <si>
    <r>
      <rPr>
        <sz val="10"/>
        <color theme="1"/>
        <rFont val="Inter"/>
        <family val="0"/>
        <charset val="1"/>
      </rPr>
      <t xml:space="preserve">Bengaluru, Kolhapur, Mumbai, Pune and Shimoga
</t>
    </r>
    <r>
      <rPr>
        <b val="true"/>
        <sz val="10"/>
        <color rgb="FF00008B"/>
        <rFont val="Inter"/>
        <family val="0"/>
        <charset val="1"/>
      </rPr>
      <t xml:space="preserve">
[Oct'26 update – correction] </t>
    </r>
    <r>
      <rPr>
        <sz val="10"/>
        <color rgb="FF00008B"/>
        <rFont val="Inter"/>
        <family val="0"/>
        <charset val="1"/>
      </rPr>
      <t xml:space="preserve">Pune (registered office of the LLP); other India GCoE offices: Bengaluru, Mumbai, Kolhapur, Shimoga, Chandigarh, Kochi; plus newly leased office space in Gurugram (~40,252 sq ft, per Khaitan &amp; Co deal note)
Source: https://jobs.ajg.com/gcoe-home
https://www.barandbench.com/dealstreet/khaitan-co-assists-gallagher-centre-of-excellence-on-leasing-offices-in-bengaluru-gurugram-pune
https://www.greatplacetowork.in/great/company/gallgher-center-of-excellance-gallagher-service-center-llp/</t>
    </r>
  </si>
  <si>
    <t xml:space="preserve">Insurance Operations, Finance, Risk Management, Analytics, Research, Technology, Back-office Services, Knowledge-intensive and niche services, Risk &amp; Consulting business support
https://www.ajg.com/in/about-us/gallagher-center-of-excellence/</t>
  </si>
  <si>
    <r>
      <rPr>
        <sz val="10"/>
        <color theme="1"/>
        <rFont val="Inter"/>
        <family val="0"/>
        <charset val="1"/>
      </rPr>
      <t xml:space="preserve">10000
https://www.ajg.com/in/about-us/gallagher-center-of-excellence/
</t>
    </r>
    <r>
      <rPr>
        <b val="true"/>
        <sz val="10"/>
        <color rgb="FF00008B"/>
        <rFont val="Inter"/>
        <family val="0"/>
        <charset val="1"/>
      </rPr>
      <t xml:space="preserve">
[Oct'26 update – correction] </t>
    </r>
    <r>
      <rPr>
        <sz val="10"/>
        <color rgb="FF00008B"/>
        <rFont val="Inter"/>
        <family val="0"/>
        <charset val="1"/>
      </rPr>
      <t xml:space="preserve">11,525 India-based employees (Great Place To Work India profile, Best Workplaces in Asia 2026); ajg.com India page still shows 10,000 (older)
Source: https://www.greatplacetowork.in/great/company/gallgher-center-of-excellance-gallagher-service-center-llp/
https://www.ajg.com/in/about-us/gallagher-center-of-excellence/</t>
    </r>
  </si>
  <si>
    <r>
      <rPr>
        <b val="true"/>
        <sz val="10"/>
        <color rgb="FF00008B"/>
        <rFont val="Inter"/>
        <family val="0"/>
        <charset val="1"/>
      </rPr>
      <t xml:space="preserve">Focus area: </t>
    </r>
    <r>
      <rPr>
        <sz val="10"/>
        <color rgb="FF00008B"/>
        <rFont val="Inter"/>
        <family val="0"/>
        <charset val="1"/>
      </rPr>
      <t xml:space="preserve">Operations / Technology (combination) - scaling the India shared-services/knowledge centre and rebranding it as a Center of Excellence
(2026) The India LLP now operates as Gallagher Centre of Excellence LLP (formerly Gallagher Service Center LLP), aligning the entity with the group's GCoE branding for operations, analytics, technology and back-office work. [Operations]
(date n/a - deal note, verify) Gallagher Centre of Excellence LLP took new leased offices in Bengaluru (58,189 sq ft, Godrej Hebbal), Gurugram (~40,252 sq ft) and Pune (Gigaspace IT Park, Bluegrass Business Park), advised by Khaitan &amp; Co; the GCoE careers site now lists seven Indian cities including Chandigarh and Kochi. [Operations]
(2026) Gallagher Centre of Excellence was recognised among Best Workplaces in Asia 2026 (Great Place To Work) with 11,525 India-based employees, up from the 10,000 cited on the group's India site. [Operations]
(2025) [NOT AUDITED - budget] Gallagher opened a c.25,000 sq ft flagship Mumbai office at Embassy 247, Vikhroli, for 700 staff (scaling to 1,000+), recruiting in analytics, account management, servicing and project management for its 7,500-plus India workforce.</t>
    </r>
  </si>
  <si>
    <t xml:space="preserve">https://www.barandbench.com/dealstreet/khaitan-co-assists-gallagher-centre-of-excellence-on-leasing-offices-in-bengaluru-gurugram-pune
https://jobs.ajg.com/gcoe-home
https://www.greatplacetowork.in/great/company/gallgher-center-of-excellance-gallagher-service-center-llp/
https://www.constructionweekonline.in/projects-tenders/gallagher-invests-in-flagship-mumbai-office-to-support-its-growth-agenda</t>
  </si>
  <si>
    <r>
      <rPr>
        <sz val="10"/>
        <color theme="1"/>
        <rFont val="Inter"/>
        <family val="0"/>
        <charset val="1"/>
      </rPr>
      <t xml:space="preserve">Sonjoy Kshettry
</t>
    </r>
    <r>
      <rPr>
        <b val="true"/>
        <sz val="10"/>
        <color rgb="FF00008B"/>
        <rFont val="Inter"/>
        <family val="0"/>
        <charset val="1"/>
      </rPr>
      <t xml:space="preserve">
[Oct'26 re-check – existing text could not be independently verified] </t>
    </r>
    <r>
      <rPr>
        <sz val="10"/>
        <color rgb="FF00008B"/>
        <rFont val="Inter"/>
        <family val="0"/>
        <charset val="1"/>
      </rPr>
      <t xml:space="preserve">A dedicated name search for 'Sonjoy Kshettry' + Gallagher returned no result from any source (no LinkedIn, MCA or press extract), so the proposed title and designated-partner claim cannot be supported; the existing sheet cell should be left as is and re-checked by hand.</t>
    </r>
  </si>
  <si>
    <t xml:space="preserve">Since 1927</t>
  </si>
  <si>
    <t xml:space="preserve">J. Patrick Gallagher Jr</t>
  </si>
  <si>
    <r>
      <rPr>
        <sz val="10"/>
        <color theme="1"/>
        <rFont val="Inter"/>
        <family val="0"/>
        <charset val="1"/>
      </rPr>
      <t xml:space="preserve">1.Gallagher announced it has acquired First Actuarial, a well-known UK pension administration and employee benefits consulting firm. This broadens Gallagher’s capability in pension and employee benefits solutions in the UK market.
2.Meenu Agrawal joins Gallagher Center of Excellence as Group Vice President – Talent Acquisition
</t>
    </r>
    <r>
      <rPr>
        <sz val="10"/>
        <color theme="6"/>
        <rFont val="EYInterstate"/>
        <family val="0"/>
        <charset val="1"/>
      </rPr>
      <t xml:space="preserve">3.Gallagher's Risk Placement Services acquired McKee Risk Management, expanding underwriting and risk-management capabilities.</t>
    </r>
  </si>
  <si>
    <t xml:space="preserve">Arthur J. Gallagher &amp; Co. Acquires First Actuarial
https://hrtoday.in/meenu-agrawal-joins-gallagher-center-of-excellence-as-group-vice-president-talent-acquisition/
https://investor.ajg.com/news/default.aspx</t>
  </si>
  <si>
    <t xml:space="preserve">Michael R. Pesch</t>
  </si>
  <si>
    <t xml:space="preserve">Douglas K. Howell</t>
  </si>
  <si>
    <t xml:space="preserve">1. Only GCC name kept
2. India head changed:
https://www.thecompanycheck.com/people/gallagher-service-center-llp/AAI-5010</t>
  </si>
  <si>
    <r>
      <rPr>
        <sz val="10"/>
        <color theme="1"/>
        <rFont val="Inter"/>
        <family val="0"/>
        <charset val="1"/>
      </rPr>
      <t xml:space="preserve">Hannover Re Consulting service india private limited
</t>
    </r>
    <r>
      <rPr>
        <b val="true"/>
        <sz val="10"/>
        <color rgb="FF00008B"/>
        <rFont val="Inter"/>
        <family val="0"/>
        <charset val="1"/>
      </rPr>
      <t xml:space="preserve">
[Oct'26 update – correction] </t>
    </r>
    <r>
      <rPr>
        <sz val="10"/>
        <color rgb="FF00008B"/>
        <rFont val="Inter"/>
        <family val="0"/>
        <charset val="1"/>
      </rPr>
      <t xml:space="preserve">Hannover Re Consulting Services India Private Limited (CIN U74140MH2008FTC187025, inc. 23 Sep 2008, Mumbai; LEI 529900XD8CGKAYCEBT80, status active). Regulated reinsurer is Hannover Rueck SE - India Branch (IRDAI FRB/004, operating since Feb 2017), a reinsurance branch, not a GCC. NOTE: a Zauba search snippet showed the consulting company as 'under liquidation' but the LEI register shows it ACTIVE and it still appears in the branch's related-party filings - MCA status to be confirmed by hand.
Source: https://lei.bloomberg.com/leis/view/529900XD8CGKAYCEBT80
https://corporate-design.hannover-rueck.de/1341692/form-nl-31-related-party-transactions.pdf
https://www.hannover-re.com/en/local-offices/asia/india/
https://www.businessinsurance.com/hannover-re-gets-final-approval-to-open-indian-branch/</t>
    </r>
  </si>
  <si>
    <t xml:space="preserve">Mumbai</t>
  </si>
  <si>
    <r>
      <rPr>
        <sz val="10"/>
        <color theme="1"/>
        <rFont val="Inter"/>
        <family val="0"/>
        <charset val="1"/>
      </rPr>
      <t xml:space="preserve">Finance, Operations - Life &amp; Health Reinsurance Services, Property &amp; Casualty Reinsurance Support, Portfolio Analysis ("Know Your Portfolio"), Client Support Services, Insurance Products &amp; Solutions Support.
https://www.hannover-re.com/en/local-offices/asia/india/life-and-health/#box
</t>
    </r>
    <r>
      <rPr>
        <b val="true"/>
        <sz val="10"/>
        <color rgb="FF00008B"/>
        <rFont val="Inter"/>
        <family val="0"/>
        <charset val="1"/>
      </rPr>
      <t xml:space="preserve">
[Oct'26 update – correction] </t>
    </r>
    <r>
      <rPr>
        <sz val="10"/>
        <color rgb="FF00008B"/>
        <rFont val="Inter"/>
        <family val="0"/>
        <charset val="1"/>
      </rPr>
      <t xml:space="preserve">Reinsurance market-facing office, not a shared-services GCC: Life &amp; Health reinsurance solutions (protection, critical illness, financial solutions) and Property &amp; Casualty reinsurance incl. agricultural risks, written through the IRDAI-licensed India Branch; the consulting company's MCA activity code is business/management consultancy.
Source: https://www.hannover-re.com/en/local-offices/asia/india/life-and-health/
https://www.businessinsurance.com/hannover-re-gets-final-approval-to-open-indian-branch/
https://www.zaubacorp.com/HANNOVER-RE-CONSULTING-SERVICES-INDIA-PRIVATE-LIMITED-U74140MH2008FTC187025</t>
    </r>
  </si>
  <si>
    <r>
      <rPr>
        <sz val="10"/>
        <color theme="1"/>
        <rFont val="Inter"/>
        <family val="0"/>
        <charset val="1"/>
      </rPr>
      <t xml:space="preserve">Info Not available for India GCC
</t>
    </r>
    <r>
      <rPr>
        <b val="true"/>
        <sz val="10"/>
        <color rgb="FF00008B"/>
        <rFont val="Inter"/>
        <family val="0"/>
        <charset val="1"/>
      </rPr>
      <t xml:space="preserve">
[Oct'26 re-check] </t>
    </r>
    <r>
      <rPr>
        <sz val="10"/>
        <color rgb="FF00008B"/>
        <rFont val="Inter"/>
        <family val="0"/>
        <charset val="1"/>
      </rPr>
      <t xml:space="preserve">Searched 'Hannover Re Consulting Services India Private Limited Mumbai' (extended) and the branch/IRDAI query; no headcount in any extract (MCA mirrors, Tracxn, Kompass, hannover-re.com). Branch is a small underwriting office; sheet text 'Info not available' stands.</t>
    </r>
  </si>
  <si>
    <r>
      <rPr>
        <b val="true"/>
        <sz val="10"/>
        <color rgb="FF00008B"/>
        <rFont val="Inter"/>
        <family val="0"/>
        <charset val="1"/>
      </rPr>
      <t xml:space="preserve">Focus area: </t>
    </r>
    <r>
      <rPr>
        <sz val="10"/>
        <color rgb="FF00008B"/>
        <rFont val="Inter"/>
        <family val="0"/>
        <charset val="1"/>
      </rPr>
      <t xml:space="preserve">Operations / Finance (reinsurance underwriting operations and branch finance leadership; no technology-GCC activity found)
(Jan 2026) Hannover Re appointed Prateek Maheshwari, with the India Branch since 2017 as Finance Manager, as CFO of the India Branch, strengthening local finance leadership. [Finance]
(Nov 2024) Hannover Re named Avijit Ghosh India CEO/Principal Officer of the Mumbai branch as part of a wider India leadership reshuffle. [Operations]</t>
    </r>
  </si>
  <si>
    <t xml:space="preserve">https://www.reinsurancene.ws/hannover-re-appoints-prateek-maheshwari-as-cfo-india-branch/
https://asiainsurancereview.com/News/View-NewsLetter-Article/id/94284/type/eDaily/Conferences/Gallery
https://insuranceasianews.com/?p=169986</t>
  </si>
  <si>
    <t xml:space="preserve">Avijit Ghosh</t>
  </si>
  <si>
    <t xml:space="preserve">Since 2017</t>
  </si>
  <si>
    <t xml:space="preserve">1. GCSP Approval
2.Business relationship
3.Firm loan</t>
  </si>
  <si>
    <r>
      <rPr>
        <sz val="10"/>
        <color theme="1"/>
        <rFont val="Inter"/>
        <family val="0"/>
        <charset val="1"/>
      </rPr>
      <t xml:space="preserve">1.In March 2024, the company launched a new specialty reinsurance business unit focused on cyber and digital underwriting, effective from April 1, 2024. This strategic move aims to enhance its position as a trusted partner for insurtechs and clients seeking coverage for cyber risks
2. Hannover Re Unveils Dedicated Cyber and Digital Business Unit for Enhanced Reinsurance Expertise
3.  Hannover Re has named Prateek Maheshwari as Chief Financial Officer of its India branch, the reinsurer announced on LinkedIn on Thursday. Maheshwari joined Hannover Re in 2017 as Finance Manager for the India branch. Prior to his new appointment, he served as Financial Accountant for Hannover Life Re of Australasia. Before joining Hannover, he spent nearly four years at Munich Re.
</t>
    </r>
    <r>
      <rPr>
        <sz val="10"/>
        <color theme="6"/>
        <rFont val="EYInterstate"/>
        <family val="0"/>
        <charset val="1"/>
      </rPr>
      <t xml:space="preserve">4.Hannover Re has made a successful start to financial year 2026 and, in the first quarter of 2026, significantly increased its net group profit by 47.9% to EUR 710.6 million (EUR 480.5 million) despite challenging market conditions, and confirms its targets for the full year.
5.Lemonade, an AI-powered digital insurance company, has signed a business financing agreement with Hannover Re (Ireland) DAC, under which the reinsurer will provide up to $250 million to help fund Lemonade’s sales and marketing spending between January 1, 2027, and December 31, 2028.
</t>
    </r>
    <r>
      <rPr>
        <sz val="10"/>
        <color theme="1"/>
        <rFont val="EYInterstate"/>
        <family val="0"/>
        <charset val="1"/>
      </rPr>
      <t xml:space="preserve">
</t>
    </r>
  </si>
  <si>
    <t xml:space="preserve">https://news.europawire.eu/hannover-re-unveils-dedicated-cyber-and-digital-business-unit-for-enhanced-reinsurance-expertise/eu-press-release/2024/03/26/10/53/52/133057/?utm.com
https://reinasia.com/hannover-re-appoints-prateek-maheshwari-as-cfo-for-india-branch/
https://www.hannover-re.com/en/press/
https://www.reinsurancene.ws/lemonade-enters-into-250m-business-financing-agreement-with-hannover-re/</t>
  </si>
  <si>
    <t xml:space="preserve">Prateek Maheshwari</t>
  </si>
  <si>
    <r>
      <rPr>
        <b val="true"/>
        <sz val="10"/>
        <color theme="1"/>
        <rFont val="EYInterstate"/>
        <family val="0"/>
        <charset val="1"/>
      </rPr>
      <t xml:space="preserve">Insurance Operations:</t>
    </r>
    <r>
      <rPr>
        <sz val="10"/>
        <color theme="1"/>
        <rFont val="EYInterstate"/>
        <family val="0"/>
        <charset val="1"/>
      </rPr>
      <t xml:space="preserve"> Specialty insurance support, underwriting support, claims support, broker servicing.
</t>
    </r>
    <r>
      <rPr>
        <b val="true"/>
        <sz val="10"/>
        <color theme="1"/>
        <rFont val="EYInterstate"/>
        <family val="0"/>
        <charset val="1"/>
      </rPr>
      <t xml:space="preserve">Finance:</t>
    </r>
    <r>
      <rPr>
        <sz val="10"/>
        <color theme="1"/>
        <rFont val="EYInterstate"/>
        <family val="0"/>
        <charset val="1"/>
      </rPr>
      <t xml:space="preserve"> Administrative &amp; support service activities; insurance financial services support.
</t>
    </r>
    <r>
      <rPr>
        <b val="true"/>
        <sz val="10"/>
        <color theme="1"/>
        <rFont val="EYInterstate"/>
        <family val="0"/>
        <charset val="1"/>
      </rPr>
      <t xml:space="preserve">Operations:</t>
    </r>
    <r>
      <rPr>
        <sz val="10"/>
        <color theme="1"/>
        <rFont val="EYInterstate"/>
        <family val="0"/>
        <charset val="1"/>
      </rPr>
      <t xml:space="preserve"> India business operations, underwriting operations, client/broker support, insurance process support.
</t>
    </r>
    <r>
      <rPr>
        <b val="true"/>
        <sz val="10"/>
        <color rgb="FF00008B"/>
        <rFont val="Inter"/>
        <family val="0"/>
        <charset val="1"/>
      </rPr>
      <t xml:space="preserve">
[Oct'26 update – correction] </t>
    </r>
    <r>
      <rPr>
        <sz val="10"/>
        <color rgb="FF00008B"/>
        <rFont val="Inter"/>
        <family val="0"/>
        <charset val="1"/>
      </rPr>
      <t xml:space="preserve">Operations (market-facing): specialty insurance underwriting for the India portfolio (marine, specie, casualty), marine/cargo/specie claims handling, business development and broker distribution for Markel International in India. No finance or technology shared-services activity found.
Source: https://reinasia.com/markel-international-welcomes-three-new-underwriters-in-mumbai/
https://reinasia.com/markel-appoints-sarika-gadekar-to-strengthen-india-marine-claims-capability/
https://www.markel.com/international/news-and-insights/markel-appoints-ravi-jain-business-development-distribution-lead-india</t>
    </r>
  </si>
  <si>
    <r>
      <rPr>
        <sz val="10"/>
        <color theme="1"/>
        <rFont val="Inter"/>
        <family val="0"/>
        <charset val="1"/>
      </rPr>
      <t xml:space="preserve">Info Not available for India GCC. 2yr old approx info given on linkedin i.e 20+ empoyees
https://www.linkedin.com/posts/markel-international_happyanniversary-india-markelstyle-activity-7125122765119983616-rikF
</t>
    </r>
    <r>
      <rPr>
        <b val="true"/>
        <sz val="10"/>
        <color rgb="FF00008B"/>
        <rFont val="Inter"/>
        <family val="0"/>
        <charset val="1"/>
      </rPr>
      <t xml:space="preserve">
[Oct'26 re-check] </t>
    </r>
    <r>
      <rPr>
        <sz val="10"/>
        <color rgb="FF00008B"/>
        <rFont val="Inter"/>
        <family val="0"/>
        <charset val="1"/>
      </rPr>
      <t xml:space="preserve">MCA mirror extract says employee count 'Not declared'; no LinkedIn or GPTW figure surfaced. Existing sheet text (20+ per a 2023 LinkedIn post) remains the only figure; 2026 hires (3 underwriters, 1 claims adjuster, 1 BD lead) imply a team still in the tens, not hundreds.</t>
    </r>
  </si>
  <si>
    <r>
      <rPr>
        <b val="true"/>
        <sz val="10"/>
        <color rgb="FF00008B"/>
        <rFont val="Inter"/>
        <family val="0"/>
        <charset val="1"/>
      </rPr>
      <t xml:space="preserve">Focus area: </t>
    </r>
    <r>
      <rPr>
        <sz val="10"/>
        <color rgb="FF00008B"/>
        <rFont val="Inter"/>
        <family val="0"/>
        <charset val="1"/>
      </rPr>
      <t xml:space="preserve">Operations (building local underwriting, claims and distribution capability in Mumbai; no technology or finance GCC activity)
(Mar 2026) Markel appointed Ravi Jain as Business Development and Distribution Lead - India, based in Mumbai, to work with brokers and expand Markel's footprint across India. [Operations]
(2026, month n/a - verify) Markel appointed Sarika Gadekar (ex-CMA CGM Global Business Services India) as a Mumbai-based claims adjuster to strengthen marine claims capability for its India transport, logistics, cargo and specie portfolio. [Operations]
(date n/a - likely pre-2026, verify) Three underwriters (Srabasti Dhali - specie, Aniket Mehta - marine, Ankur Saxena - casualty) joined Markel International's Mumbai team from Tata AIG, bringing underwriting decisions closer to Indian brokers and clients. [Operations]</t>
    </r>
  </si>
  <si>
    <t xml:space="preserve">https://www.markel.com/international/news-and-insights/markel-appoints-ravi-jain-business-development-distribution-lead-india
https://www.insurancebusinessmag.com/asia/news/marine/markel-adds-local-marine-claims-expertise-in-india-582194.aspx
https://reinasia.com/markel-appoints-sarika-gadekar-to-strengthen-india-marine-claims-capability/
https://reinasia.com/markel-international-welcomes-three-new-underwriters-in-mumbai/</t>
  </si>
  <si>
    <t xml:space="preserve">Deepika Mathur</t>
  </si>
  <si>
    <t xml:space="preserve">Since 2018</t>
  </si>
  <si>
    <t xml:space="preserve">Deepika Mathur</t>
  </si>
  <si>
    <t xml:space="preserve">1. GCSP Approval
2. Consultation required
3.Business relationship
4.Firm loan
</t>
  </si>
  <si>
    <t xml:space="preserve">1. In June 2025, Markel partnered with Insurate, an insurtech firm, to leverage artificial intelligence in enhancing underwriting and risk management for workers' compensation in the middle market.
2. Mar' 26 - Markel International, a division of Markel Insurance, the insurance operations within Markel Group Inc. (NYSE:MKL), today announced the appointment of Maureen Tomlinson to Head of AI, alongside the launch of their AI Centre of Enablement. This strategic hire marks a significant milestone in Markel's continued investment in operational excellence and signals the beginning of its first formalised AI function.
3.Markel Insurance, the insurance operations within Markel Group Inc., has appointed Ravi Jain as Business Development and Distribution Lead for India, based in Mumbai.
</t>
  </si>
  <si>
    <t xml:space="preserve">Markel partners with Insurate for AI-driven workers’ com By Investing.com
https://www.prnewswire.com/news-releases/markel-international-launches-ai-centre-of-enablement-with-appointment-of-head-of-ai-302711437.html
https://www.reinsurancene.ws/markel-international-adds-jain-as-indias-business-development-distribution-lead/</t>
  </si>
  <si>
    <r>
      <rPr>
        <sz val="10"/>
        <color theme="1"/>
        <rFont val="Inter"/>
        <family val="0"/>
        <charset val="1"/>
      </rPr>
      <t xml:space="preserve">Marsh Mclennan Global Services India Private Limited
</t>
    </r>
    <r>
      <rPr>
        <b val="true"/>
        <sz val="10"/>
        <color rgb="FF00008B"/>
        <rFont val="Inter"/>
        <family val="0"/>
        <charset val="1"/>
      </rPr>
      <t xml:space="preserve">
[Oct'26 update – correction] </t>
    </r>
    <r>
      <rPr>
        <sz val="10"/>
        <color rgb="FF00008B"/>
        <rFont val="Inter"/>
        <family val="0"/>
        <charset val="1"/>
      </rPr>
      <t xml:space="preserve">Marsh McLennan Global Services India Private Limited (MMGS) (CIN U74900MH2007FTC170605) - group's India global services centre / GCC
Source: https://www.zaubacorp.com/MARSH-MCLENNAN-GLOBAL-SERVICES-INDIA-PRIVATE-LIMITED-U74900MH2007FTC170605
https://www.weps.org/company/marsh-mclennan-global-services-india-private-limited-mmgs
https://www.thecompanycheck.com/company/marsh-mclennan-global-services-india-private-limited/U74900MH2007FTC170605</t>
    </r>
  </si>
  <si>
    <r>
      <rPr>
        <sz val="10"/>
        <color theme="1"/>
        <rFont val="Inter"/>
        <family val="0"/>
        <charset val="1"/>
      </rPr>
      <t xml:space="preserve">Mumbai and Pune
</t>
    </r>
    <r>
      <rPr>
        <b val="true"/>
        <sz val="10"/>
        <color rgb="FF00008B"/>
        <rFont val="Inter"/>
        <family val="0"/>
        <charset val="1"/>
      </rPr>
      <t xml:space="preserve">
[Oct'26 update – correction] </t>
    </r>
    <r>
      <rPr>
        <sz val="10"/>
        <color rgb="FF00008B"/>
        <rFont val="Inter"/>
        <family val="0"/>
        <charset val="1"/>
      </rPr>
      <t xml:space="preserve">Mumbai (registered office: 1001-A Supreme Business Park, Hiranandani Gardens, Powai, Mumbai 400076); Marsh McLennan India (entities, shared services and businesses combined) operates across Mumbai, Pune, Gurugram, Bengaluru and Chennai per the careers site - MMGS-specific sites beyond Mumbai and Pune not confirmed
Source: https://careers.marshmclennan.com/global/en/india
https://www.zaubacorp.com/MARSH-MCLENNAN-GLOBAL-SERVICES-INDIA-PRIVATE-LIMITED-U74900MH2007FTC170605</t>
    </r>
  </si>
  <si>
    <r>
      <rPr>
        <b val="true"/>
        <sz val="10"/>
        <color theme="1"/>
        <rFont val="EYInterstate"/>
        <family val="0"/>
        <charset val="1"/>
      </rPr>
      <t xml:space="preserve">Finance:</t>
    </r>
    <r>
      <rPr>
        <sz val="10"/>
        <color theme="1"/>
        <rFont val="EYInterstate"/>
        <family val="0"/>
        <charset val="1"/>
      </rPr>
      <t xml:space="preserve"> Finance Operations, Accounts Receivable (Fiduciary), Payroll, Finance Project Management, Corporate Finance Support.
</t>
    </r>
    <r>
      <rPr>
        <b val="true"/>
        <sz val="10"/>
        <color theme="1"/>
        <rFont val="EYInterstate"/>
        <family val="0"/>
        <charset val="1"/>
      </rPr>
      <t xml:space="preserve">Operations:</t>
    </r>
    <r>
      <rPr>
        <sz val="10"/>
        <color theme="1"/>
        <rFont val="EYInterstate"/>
        <family val="0"/>
        <charset val="1"/>
      </rPr>
      <t xml:space="preserve"> Insurance Operations, Risk Consulting Support, Client Services, Survey Administration, Business Operations, Global Shared Services Support.
</t>
    </r>
    <r>
      <rPr>
        <b val="true"/>
        <sz val="10"/>
        <color theme="1"/>
        <rFont val="EYInterstate"/>
        <family val="0"/>
        <charset val="1"/>
      </rPr>
      <t xml:space="preserve">Technology:</t>
    </r>
    <r>
      <rPr>
        <sz val="10"/>
        <color theme="1"/>
        <rFont val="EYInterstate"/>
        <family val="0"/>
        <charset val="1"/>
      </rPr>
      <t xml:space="preserve"> Application Development, Engineering, Technology Operations, IT Risk Management, AI/Data Science, Digital Solutions, Technology Leadership functions.
</t>
    </r>
    <r>
      <rPr>
        <b val="true"/>
        <sz val="10"/>
        <color theme="1"/>
        <rFont val="EYInterstate"/>
        <family val="0"/>
        <charset val="1"/>
      </rPr>
      <t xml:space="preserve">Analytics &amp; Specialized Functions:</t>
    </r>
    <r>
      <rPr>
        <sz val="10"/>
        <color theme="1"/>
        <rFont val="EYInterstate"/>
        <family val="0"/>
        <charset val="1"/>
      </rPr>
      <t xml:space="preserve"> Actuarial Services, Catastrophe Modeling, Research, HR Services, Consulting &amp; Advisory Support, Risk &amp; Strategy Support.
https://in.linkedin.com/jobs/marsh-mclennan-global-services-india-private-limited-%28mmgs%29-jobs?position=1&amp;pageNum=0</t>
    </r>
  </si>
  <si>
    <r>
      <rPr>
        <sz val="10"/>
        <color theme="1"/>
        <rFont val="Inter"/>
        <family val="0"/>
        <charset val="1"/>
      </rPr>
      <t xml:space="preserve">11000
https://www.greatplacetowork.in/great/company/marsh-mclennan-india-private-limited/
</t>
    </r>
    <r>
      <rPr>
        <b val="true"/>
        <sz val="10"/>
        <color rgb="FF00008B"/>
        <rFont val="Inter"/>
        <family val="0"/>
        <charset val="1"/>
      </rPr>
      <t xml:space="preserve">
[Oct'26 update – correction] </t>
    </r>
    <r>
      <rPr>
        <sz val="10"/>
        <color rgb="FF00008B"/>
        <rFont val="Inter"/>
        <family val="0"/>
        <charset val="1"/>
      </rPr>
      <t xml:space="preserve">~11,000 colleagues (Marsh McLennan careers site, India page, 2026). A Tracxn snippet gives 4,616 employees for the MMGS legal entity alone as of 31 Oct 2024 (unverified MCA figure), so ~11,000 likely spans several Marsh McLennan India entities.
Source: https://careers.marshmclennan.com/global/en/india
https://www.weps.org/company/marsh-mclennan-global-services-india-private-limited-mmgs
https://tracxn.com/d/legal-entities/india/marsh-mclennan-global-services-india-private-limited/__DvvD-N8KehfNIkZspPIraIGiWGaYm6ZxROe20etVLAg</t>
    </r>
  </si>
  <si>
    <r>
      <rPr>
        <b val="true"/>
        <sz val="10"/>
        <color rgb="FF00008B"/>
        <rFont val="Inter"/>
        <family val="0"/>
        <charset val="1"/>
      </rPr>
      <t xml:space="preserve">Focus area: </t>
    </r>
    <r>
      <rPr>
        <sz val="10"/>
        <color rgb="FF00008B"/>
        <rFont val="Inter"/>
        <family val="0"/>
        <charset val="1"/>
      </rPr>
      <t xml:space="preserve">Operations / Technology (combination) - multi-city shared-services and technology centre; 2026 news is thin and mostly employer-brand recognition
(2025) Long-time MMGS India GCC CEO Dinesh Deo completed his 2018-2025 tenure, during which MMGS more than doubled its multi-city India operations; a successor has not been publicly identified. [Operations]
(2026, month n/a) MMGS describes itself on the group careers site as the India global services centre with about 11,000 colleagues across operations, technology, consulting &amp; advisory and corporate services, within a Marsh McLennan India footprint spanning Mumbai, Pune, Gurugram, Bengaluru and Chennai. [Operations]
(Jan 2026, group context - not a GCC event) Marsh McLennan appointed Andrea Bono CEO for India, Middle East and Africa (Dubai-based), placing the Indian operating businesses under a regional structure; no change announced for MMGS leadership. [Operations]</t>
    </r>
  </si>
  <si>
    <t xml:space="preserve">https://gcc.icai.org/ca-dinesh-deo/
https://careers.marshmclennan.com/global/en/india
https://www.peoplematters.in/news/appointments/marsh-mclennan-appoints-andrea-bono-as-ceo-of-india-middle-east-and-africa-47072</t>
  </si>
  <si>
    <r>
      <rPr>
        <sz val="10"/>
        <color theme="1"/>
        <rFont val="Inter"/>
        <family val="0"/>
        <charset val="1"/>
      </rPr>
      <t xml:space="preserve">Dinesh Deo
</t>
    </r>
    <r>
      <rPr>
        <b val="true"/>
        <sz val="10"/>
        <color rgb="FF00008B"/>
        <rFont val="Inter"/>
        <family val="0"/>
        <charset val="1"/>
      </rPr>
      <t xml:space="preserve">
[Oct'26 update – correction] </t>
    </r>
    <r>
      <rPr>
        <sz val="10"/>
        <color rgb="FF00008B"/>
        <rFont val="Inter"/>
        <family val="0"/>
        <charset val="1"/>
      </rPr>
      <t xml:space="preserve">Dinesh Deo has LEFT: he was CEO of Marsh McLennan India GCC (MMGS) 2018-2025 and is now a Non-Executive Director at Computershare Business Support Services and independent advisor. Successor not identified - VERIFY.
Source: https://gcc.icai.org/ca-dinesh-deo/
https://gcc.icai.org/?p=7186</t>
    </r>
  </si>
  <si>
    <t xml:space="preserve">4500-4600</t>
  </si>
  <si>
    <t xml:space="preserve">Since 2007</t>
  </si>
  <si>
    <t xml:space="preserve">Sanjay Kedia</t>
  </si>
  <si>
    <t xml:space="preserve">1. GCSP Approval
2. Consultation required
3.Reverse restriction
4. Firm loan</t>
  </si>
  <si>
    <r>
      <rPr>
        <sz val="10"/>
        <color theme="1"/>
        <rFont val="Inter"/>
        <family val="0"/>
        <charset val="1"/>
      </rPr>
      <t xml:space="preserve">1.A new Business and Client Services (BCS) unit focused on technology, data, AI and analytics will centralize operational excellence for all units. The company’s stock ticker is expected to change to MRSH in early 2026
2.Marsh McLennan Agency announced targeted AI investments focused on quote comparison, coverage‑gap analysis, and contract review—moving from pilots to high‑impact use cases.
3.Marsh McLennan appointed Andrea Bono as CEO for India, Middle East &amp; Africa (IMEA), effective Jan 2026, reinforcing focus on analytics‑enabled delivery and growth across the region (with India as a core talent base).
</t>
    </r>
    <r>
      <rPr>
        <sz val="10"/>
        <color theme="6"/>
        <rFont val="EYInterstate"/>
        <family val="0"/>
        <charset val="1"/>
      </rPr>
      <t xml:space="preserve">4.(Marsh Nexus), an innovative captive insurance offering which supports multinational organizations in managing the risks and costs associated with their international employee benefits programs.</t>
    </r>
  </si>
  <si>
    <t xml:space="preserve">Marsh McLennan and its businesses will brand as Marsh
https://insuranceasia.com/insurance/news/marsh-mclennan-india-names-sanjay-kedia-new-ceo
https://www.corporate.marsh.com/about/leadership.html
https://ffnews.com/newsarticle/hiring/marsh-mclennan-appoints-andrea-bono-as-ceo-india-middle-east-and-africa/
https://www.insurancebusinessmag.com/us/news/technology/marsh-mclennan-agency-tackles-complexity-with-data-platforms-and-targeted-ai-investment-571858.aspx</t>
  </si>
  <si>
    <t xml:space="preserve">Marsh McLennan and its businesses will brand as Marsh
https://insuranceasia.com/insurance/news/marsh-mclennan-india-names-sanjay-kedia-new-ceo
https://www.corporate.marsh.com/about/leadership.html
https://www.insurancebusinessmag.com/us/news/technology/marsh-mclennan-agency-tackles-complexity-with-data-platforms-and-targeted-ai-investment-571858.aspx
https://www.marsh.com/en/about/media/marsh-launches-marsh-nexus-captive-solution.html</t>
  </si>
  <si>
    <t xml:space="preserve">Raseen Trilokinath Gupta</t>
  </si>
  <si>
    <t xml:space="preserve">India head changed
https://economictimes.indiatimes.com/news/india/growing-global-focus-on-digitisation-and-innovation-will-further-drive-interest-in-india-dinesh-deo-marsh-mclennan-global-services-india/articleshow/107009850.cms</t>
  </si>
  <si>
    <r>
      <rPr>
        <sz val="10"/>
        <color theme="1"/>
        <rFont val="Inter"/>
        <family val="0"/>
        <charset val="1"/>
      </rPr>
      <t xml:space="preserve">MassMutual’s Global Business Services India LLP
</t>
    </r>
    <r>
      <rPr>
        <b val="true"/>
        <sz val="10"/>
        <color rgb="FF00008B"/>
        <rFont val="Inter"/>
        <family val="0"/>
        <charset val="1"/>
      </rPr>
      <t xml:space="preserve">
[Oct'26 update – correction; audit: not audited] </t>
    </r>
    <r>
      <rPr>
        <sz val="10"/>
        <color rgb="FF00008B"/>
        <rFont val="Inter"/>
        <family val="0"/>
        <charset val="1"/>
      </rPr>
      <t xml:space="preserve">MassMutual Global Business Services India LLP (MassMutual India GCC)
Source: https://www.greatplacetowork.in/great/company/massmutual-global-business-services-india-llp/
https://www.dnb.com/business-directory/company-profiles.massmutual_global_business_services_india_llp.518c5b1debb1b6d619f8d7598043e555.html</t>
    </r>
  </si>
  <si>
    <t xml:space="preserve">Hyderabad</t>
  </si>
  <si>
    <r>
      <rPr>
        <b val="true"/>
        <sz val="10"/>
        <color theme="1"/>
        <rFont val="EYInterstate"/>
        <family val="0"/>
        <charset val="1"/>
      </rPr>
      <t xml:space="preserve">Technology:</t>
    </r>
    <r>
      <rPr>
        <sz val="10"/>
        <color theme="1"/>
        <rFont val="EYInterstate"/>
        <family val="0"/>
        <charset val="1"/>
      </rPr>
      <t xml:space="preserve"> Full Stack Development, Application Development, Technology Delivery &amp; Operations, DevOps, Quality Assurance, Security Engineering, Cloud Engineering, Data Science, AI &amp; ML, RPA, Platform Engineering.
</t>
    </r>
    <r>
      <rPr>
        <b val="true"/>
        <sz val="10"/>
        <color theme="1"/>
        <rFont val="EYInterstate"/>
        <family val="0"/>
        <charset val="1"/>
      </rPr>
      <t xml:space="preserve">Operations:</t>
    </r>
    <r>
      <rPr>
        <sz val="10"/>
        <color theme="1"/>
        <rFont val="EYInterstate"/>
        <family val="0"/>
        <charset val="1"/>
      </rPr>
      <t xml:space="preserve"> Insurance Operations, Wealth Management Operations, Digital Operations, Partner Services, Project Management, Business Analysis.
https://timesofindia.indiatimes.com/business/india-business/massmutual-gcc-in-hyderabad-grows-to-1700-in-3-years/articleshow/106141332.cms
</t>
    </r>
    <r>
      <rPr>
        <b val="true"/>
        <sz val="10"/>
        <color theme="1"/>
        <rFont val="EYInterstate"/>
        <family val="0"/>
        <charset val="1"/>
      </rPr>
      <t xml:space="preserve">Finance / Risk:</t>
    </r>
    <r>
      <rPr>
        <sz val="10"/>
        <color theme="1"/>
        <rFont val="EYInterstate"/>
        <family val="0"/>
        <charset val="1"/>
      </rPr>
      <t xml:space="preserve"> Global Procurement, Risk &amp; Compliance, Fraud Prevention, Financial Services support.
https://timesofindia.indiatimes.com/business/india-business/massmutual-gcc-in-hyderabad-grows-to-1700-in-3-years/articleshow/106141332.cms
</t>
    </r>
  </si>
  <si>
    <t xml:space="preserve">2100+
https://www.greatplacetowork.in/great/company/massmutual-global-business-services-india-llp/</t>
  </si>
  <si>
    <r>
      <rPr>
        <b val="true"/>
        <sz val="10"/>
        <color rgb="FF00008B"/>
        <rFont val="Inter"/>
        <family val="0"/>
        <charset val="1"/>
      </rPr>
      <t xml:space="preserve">Focus area: </t>
    </r>
    <r>
      <rPr>
        <sz val="10"/>
        <color rgb="FF00008B"/>
        <rFont val="Inter"/>
        <family val="0"/>
        <charset val="1"/>
      </rPr>
      <t xml:space="preserve">Technology / Operations (combination) - engineering, data science and insurance operations hub in Hyderabad; steady hiring rather than new announcements in 2026
(Aug 2026) MassMutual announced plans to increase headcount at its Hyderabad GCC and to set up more domain-specific centres of excellence there, led by India GCC head Ravi Tangirala. [Operations]
(2026, month n/a - GPTW figure not re-confirmed) Great Place To Work India lists MassMutual Global Business Services India LLP with 2,103 India-based employees, up from about 1,700 in late 2023. [Operations]
(2021-22, background) MassMutual doubled Hyderabad headcount from ~450 towards a 1,000 target and expanded to a second floor (1.5 lakh sq ft total) at BSR IT SEZ, Financial District. [Technology/Operations]</t>
    </r>
  </si>
  <si>
    <t xml:space="preserve">https://telanganatoday.com/tag/ravi-tangirala
https://www.greatplacetowork.in/great/company/massmutual-global-business-services-india-llp/
https://www.hrkatha.com/hiring-firing/massmutual-plans-to-hire-1000-by-year-end-in-hyderabad/
https://deccanherald.com/business/massmutual-opens-global-capability-center-in-hyderabad-937907.html</t>
  </si>
  <si>
    <t xml:space="preserve">Ravi K. Tangirala</t>
  </si>
  <si>
    <t xml:space="preserve">1200-1400</t>
  </si>
  <si>
    <t xml:space="preserve">Since 1851</t>
  </si>
  <si>
    <t xml:space="preserve">1.MassMutual expanded its brand presence by becoming the Official Wealth Management Partner of the Formula 1 Heineken Las Vegas Grand Prix (2025). This sponsorship is part of a broader trend of aligning with high-performance sports to elevate brand visibility and connect with affluent clients.
Recent reviews rate MassMutual as a top life insurance company for 2026, highlighting its exceptional financial strength, wide range of life insurance products, and low complaint volume. The review also notes the record dividend payout as a competitive advantage.
2. The Hyderabad GCC is a major contributor to software development, QA, cloud, data science, and therefore a key execution arm for this AI‑driven SDLC.
3.These CoEs directly support life insurance operations, policy servicing, digital channels, and enterprise platforms.
</t>
  </si>
  <si>
    <t xml:space="preserve">https://www.f1lasvegasgp.com/2025/10/massmutual-accelerates-brand-presence-with-sponsorship-of-the-formula-1-heineken-las-vegas-grand-prix-2025-as-the-official-wealth-management-partner/
https://www.nerdwallet.com/insurance/life/massmutual-life-insurance-review
https://marquistopexecutives.com/2024/05/06/ravi-tangirala/
https://leadiq.com/c/massmutual-india/617823e9990e636b3ee22fa3/employee-directory
Forbes (Dec 29 2025): MassMutual Moving At ‘Warp Speed’ On AI Efforts
https://www.forbes.com/sites/stevennorton/2025/12/29/massmutual-moving-at-warp-speed-on-ai-efforts/
Telangana Today (GCC CoE expansion):
https://telanganatoday.com/massmutual-to-increase-headcount-in-hyderabad [telanganatoday.com]
enRightPR coverage on GCC technology excellence:
https://www.enrightpr.in/massmutual-to-spur-its-technology-excellence-in-gcc/</t>
  </si>
  <si>
    <t xml:space="preserve">https://www.corporatereport.com/massmutual/2024/ar/governance/
https://www.corporatereport.com/massmutual/2024/ar/governance/
https://www.corporatereport.com/massmutual/2024/ar/governance/
https://www.massmutual.com/newsroom</t>
  </si>
  <si>
    <t xml:space="preserve">Mary Jane Fortin</t>
  </si>
  <si>
    <t xml:space="preserve">Geoffrey Craddock</t>
  </si>
  <si>
    <r>
      <rPr>
        <sz val="10"/>
        <color theme="1"/>
        <rFont val="Inter"/>
        <family val="0"/>
        <charset val="1"/>
      </rPr>
      <t xml:space="preserve">MetLife Global Operations Support Center (GOSC)
</t>
    </r>
    <r>
      <rPr>
        <b val="true"/>
        <sz val="10"/>
        <color rgb="FF00008B"/>
        <rFont val="Inter"/>
        <family val="0"/>
        <charset val="1"/>
      </rPr>
      <t xml:space="preserve">
[Oct'26 update – correction] </t>
    </r>
    <r>
      <rPr>
        <sz val="10"/>
        <color rgb="FF00008B"/>
        <rFont val="Inter"/>
        <family val="0"/>
        <charset val="1"/>
      </rPr>
      <t xml:space="preserve">MetLife Global Operations Support Center Private Limited (GOSC), now branded MetLife Global Capability Center (MGCC)
Source: https://www.dnb.com/business-directory/company-profiles/metlife-global-operations-support-center-private-limited.d0c72bd49fe30d2fc6c5fba38774d067
https://www.metlifecareers.com/en_US/ml/in</t>
    </r>
  </si>
  <si>
    <t xml:space="preserve">Noida, Jaipur, Hyderabad, &amp; Pune</t>
  </si>
  <si>
    <r>
      <rPr>
        <b val="true"/>
        <sz val="10"/>
        <color theme="1"/>
        <rFont val="EYInterstate"/>
        <family val="0"/>
        <charset val="1"/>
      </rPr>
      <t xml:space="preserve">Finance: </t>
    </r>
    <r>
      <rPr>
        <sz val="10"/>
        <color theme="1"/>
        <rFont val="EYInterstate"/>
        <family val="0"/>
        <charset val="1"/>
      </rPr>
      <t xml:space="preserve">Finance support, Financial Reporting, Accounting, Billing Support, Corporate Functions, FP&amp;A-related support. GOSC publicly states support in Finance and Corporate Functions.
</t>
    </r>
    <r>
      <rPr>
        <b val="true"/>
        <sz val="10"/>
        <color theme="1"/>
        <rFont val="EYInterstate"/>
        <family val="0"/>
        <charset val="1"/>
      </rPr>
      <t xml:space="preserve">Operations:</t>
    </r>
    <r>
      <rPr>
        <sz val="10"/>
        <color theme="1"/>
        <rFont val="EYInterstate"/>
        <family val="0"/>
        <charset val="1"/>
      </rPr>
      <t xml:space="preserve"> Sales Support, Claims Management, Billing, Policy Administration, Underwriting Support, Clinical Resource Support, Insurance Operations.
</t>
    </r>
    <r>
      <rPr>
        <b val="true"/>
        <sz val="10"/>
        <color theme="1"/>
        <rFont val="EYInterstate"/>
        <family val="0"/>
        <charset val="1"/>
      </rPr>
      <t xml:space="preserve">Technology:</t>
    </r>
    <r>
      <rPr>
        <sz val="10"/>
        <color theme="1"/>
        <rFont val="EYInterstate"/>
        <family val="0"/>
        <charset val="1"/>
      </rPr>
      <t xml:space="preserve"> Engineering, Technology Services, Information Security, Data &amp; Analytics, Business Intelligence, AI-powered Analytics, Digital Solutions.
</t>
    </r>
    <r>
      <rPr>
        <b val="true"/>
        <sz val="10"/>
        <color theme="1"/>
        <rFont val="EYInterstate"/>
        <family val="0"/>
        <charset val="1"/>
      </rPr>
      <t xml:space="preserve">Analytics &amp; Specialized Functions:</t>
    </r>
    <r>
      <rPr>
        <sz val="10"/>
        <color theme="1"/>
        <rFont val="EYInterstate"/>
        <family val="0"/>
        <charset val="1"/>
      </rPr>
      <t xml:space="preserve"> Data Analytics, Business Intelligence, Actuarial Support, Program &amp; Project Management, Underwriting Analytics.
https://www.greatplacetowork.in/great/company/metlife-global-operations-support-center-pvt-ltd/</t>
    </r>
  </si>
  <si>
    <t xml:space="preserve">6500+
https://www.metlifecareers.com/en_US/ml/in</t>
  </si>
  <si>
    <r>
      <rPr>
        <b val="true"/>
        <sz val="10"/>
        <color rgb="FF00008B"/>
        <rFont val="Inter"/>
        <family val="0"/>
        <charset val="1"/>
      </rPr>
      <t xml:space="preserve">Focus area: </t>
    </r>
    <r>
      <rPr>
        <sz val="10"/>
        <color rgb="FF00008B"/>
        <rFont val="Inter"/>
        <family val="0"/>
        <charset val="1"/>
      </rPr>
      <t xml:space="preserve">Technology (AI, analytics and engineering capacity expansion across Noida and Hyderabad), with Operations scale-up
(Mar 2026) MetLife GCC leased about 75,000 sq ft (Tower 3, 12th-13th floors; ~Rs 41.84 lakh/month, five-year term) at Oxygen Business Park, Sector 144, Noida to scale its India technology, analytics, digital, finance and operations teams. [Operations]
(2026, month n/a) [NOT AUDITED - budget] At DevSparks 2026 in Pune, MetLife GCC leaders described India GCCs moving beyond delivery to owning products, platforms and AI systems for the global enterprise. [Technology]
(Sep 2026) MetLife appointed Dimple Kaloya (ex-HSBC Head of People, Global Capability Network India) as MGCC Chief HR Officer, building out leadership for the 6,500+ person centre. [Operations]</t>
    </r>
  </si>
  <si>
    <t xml:space="preserve">https://dwello.in/news/4184-lakh-monthly-rent-metlife-gcc-leases-75000-sq-ft-office-in-noida
https://yourstory.com/2026/04/tdelivery-hubs-decisions-centres-indias-gccs-reshape-global-enterprisehe-ys
https://www.peoplematters.in/news/appointments/ex-hsbc-hr-leader-dimple-kaloya-joins-metlife-gcc-as-chro-51515
https://thecsruniverse.com/articles/metlife-appoints-dimple-kaloya-as-mgcc-chief-hr-officer</t>
  </si>
  <si>
    <r>
      <rPr>
        <sz val="10"/>
        <color theme="1"/>
        <rFont val="Inter"/>
        <family val="0"/>
        <charset val="1"/>
      </rPr>
      <t xml:space="preserve">Ashish Kumar
</t>
    </r>
    <r>
      <rPr>
        <b val="true"/>
        <sz val="10"/>
        <color rgb="FF00008B"/>
        <rFont val="Inter"/>
        <family val="0"/>
        <charset val="1"/>
      </rPr>
      <t xml:space="preserve">
[Oct'26 update – correction] </t>
    </r>
    <r>
      <rPr>
        <sz val="10"/>
        <color rgb="FF00008B"/>
        <rFont val="Inter"/>
        <family val="0"/>
        <charset val="1"/>
      </rPr>
      <t xml:space="preserve">Ashish Kumar Srivastava - Managing Director &amp; Head, MetLife Global Capability Center (MGCC), India (speaker, nasscom GCC Summit 2026; quoted as MGCC head in Sep 2026 CHRO announcement)
Source: https://thenasscomgccsummit2026.sched.com/speaker/ashish_kumar_srivastava.29nkzyec
https://www.peoplematters.in/news/appointments/ex-hsbc-hr-leader-dimple-kaloya-joins-metlife-gcc-as-chro-51515
https://thecsruniverse.com/articles/metlife-appoints-dimple-kaloya-as-mgcc-chief-hr-officer</t>
    </r>
  </si>
  <si>
    <t xml:space="preserve">45000 +</t>
  </si>
  <si>
    <t xml:space="preserve">Ashish Kumar</t>
  </si>
  <si>
    <t xml:space="preserve">1. GCSP Approval
2. Consultation required
3.Business relationships restrictions
4. Firm Loan
5.Reverse Restrictions
</t>
  </si>
  <si>
    <r>
      <rPr>
        <sz val="10"/>
        <color theme="1"/>
        <rFont val="Inter"/>
        <family val="0"/>
        <charset val="1"/>
      </rPr>
      <t xml:space="preserve">1.MetLife has rebranded its India operations as the MetLife Global Capability Center (MGCC), uniting teams in Noida and Jaipur to drive digital innovation, cybersecurity, and IT modernization, with technology associates starting in April 2025 to advance emerging tech and analytics.
2.Global insurance major MetLife has expanded its Global Capability Center (GCC) footprint in India by leasing nearly 75,000 sq. ft. of office space at Oxygen Business Park in Sector 144, Noida.
3.MetLife announced the expansion of their India operations with the creation of technology hubs in Hyderabad and Pune. This move reinforces the organization’s continued commitment to enable growth, digital innovation and excellence across MetLife’s global network
</t>
    </r>
    <r>
      <rPr>
        <sz val="10"/>
        <color theme="6"/>
        <rFont val="EYInterstate"/>
        <family val="0"/>
        <charset val="1"/>
      </rPr>
      <t xml:space="preserve">4.MetLife, one of the world’s leading financial services companies, announced that it has been ranked 16 in India’s Best Companies To Work For in 2026 by Great Place To Work®.</t>
    </r>
  </si>
  <si>
    <t xml:space="preserve">MetLife Accelerates Digital Transformation with New Global Capability Center - TOH
https://ssfglobal.in/industry_action/metlife-expands-noida-gcc-with-new-lease-at-oxygen-business-park/
https://thetimesofhindustan.com/metlife-accelerates-digital-transformation-with-new-global-capability-center/
https://365telugu.com/metlife-gcc-named-among-indias-best-companies-to-work-for-2026/
</t>
  </si>
  <si>
    <t xml:space="preserve">India - Global Capability Center | MetLife Careers
https://www.thecompanycheck.com/company/metlife-global-operations-support-center-private-limited/U72900DL2008PTC176695</t>
  </si>
  <si>
    <t xml:space="preserve">John D. McCallion</t>
  </si>
  <si>
    <t xml:space="preserve">Marlene Debel</t>
  </si>
  <si>
    <t xml:space="preserve">Swiss Re Global Business Solutions India Pvt. Ltd.</t>
  </si>
  <si>
    <t xml:space="preserve">Bengaluru &amp; Hyderabad</t>
  </si>
  <si>
    <r>
      <rPr>
        <b val="true"/>
        <sz val="10"/>
        <color theme="1"/>
        <rFont val="EYInterstate"/>
        <family val="0"/>
        <charset val="1"/>
      </rPr>
      <t xml:space="preserve">Finance: </t>
    </r>
    <r>
      <rPr>
        <sz val="10"/>
        <color theme="1"/>
        <rFont val="EYInterstate"/>
        <family val="0"/>
        <charset val="1"/>
      </rPr>
      <t xml:space="preserve">Finance &amp; Accounting support, Technical Accounting, Financial Reporting, Treasury-related support, Business Finance functions.
</t>
    </r>
    <r>
      <rPr>
        <b val="true"/>
        <sz val="10"/>
        <color theme="1"/>
        <rFont val="EYInterstate"/>
        <family val="0"/>
        <charset val="1"/>
      </rPr>
      <t xml:space="preserve">Operations:</t>
    </r>
    <r>
      <rPr>
        <sz val="10"/>
        <color theme="1"/>
        <rFont val="EYInterstate"/>
        <family val="0"/>
        <charset val="1"/>
      </rPr>
      <t xml:space="preserve"> Re/Insurance Operations, Underwriting Support, Operations Insights, Risk Management Support, Business Services, Project Management.
</t>
    </r>
    <r>
      <rPr>
        <b val="true"/>
        <sz val="10"/>
        <color theme="1"/>
        <rFont val="EYInterstate"/>
        <family val="0"/>
        <charset val="1"/>
      </rPr>
      <t xml:space="preserve">Technology:</t>
    </r>
    <r>
      <rPr>
        <sz val="10"/>
        <color theme="1"/>
        <rFont val="EYInterstate"/>
        <family val="0"/>
        <charset val="1"/>
      </rPr>
      <t xml:space="preserve"> Engineering, Data Science, Data Engineering, AI, Analytics, Digital Solutions, Automation, Technology Transformation, InsurTech Solutions, Cloud &amp; Enterprise Architecture.
https://gcc.economictimes.indiatimes.com/news/swiss-res-india-operations-a-model-for-global-business-solutions/125403419</t>
    </r>
  </si>
  <si>
    <r>
      <rPr>
        <sz val="10"/>
        <color theme="1"/>
        <rFont val="Inter"/>
        <family val="0"/>
        <charset val="1"/>
      </rPr>
      <t xml:space="preserve">2000+
https://www.swissre.com/careers/india.html
</t>
    </r>
    <r>
      <rPr>
        <b val="true"/>
        <sz val="10"/>
        <color rgb="FF00008B"/>
        <rFont val="Inter"/>
        <family val="0"/>
        <charset val="1"/>
      </rPr>
      <t xml:space="preserve">
[Oct'26 update – correction] </t>
    </r>
    <r>
      <rPr>
        <sz val="10"/>
        <color rgb="FF00008B"/>
        <rFont val="Inter"/>
        <family val="0"/>
        <charset val="1"/>
      </rPr>
      <t xml:space="preserve">2,500+ professionals (Swiss Re careers page; Business Standard interview May 2025: ~2,500 of ~14,000 group employees); up from 1,600+ at May 2022 Hyderabad launch. No 2026 figure published.
Source: https://www.swissre.com/careers/india.html
https://www.business-standard.com/companies/interviews/india-to-soon-have-about-50-of-swiss-re-s-global-tech-talent-amit-kalra-125051100389_1.html
https://www.swissre.com/media/press-release/pr-20220510-swissre-gbs-india-inovation-hub-of-hyderabad.html</t>
    </r>
  </si>
  <si>
    <r>
      <rPr>
        <b val="true"/>
        <sz val="10"/>
        <color rgb="FF00008B"/>
        <rFont val="Inter"/>
        <family val="0"/>
        <charset val="1"/>
      </rPr>
      <t xml:space="preserve">Focus area: </t>
    </r>
    <r>
      <rPr>
        <sz val="10"/>
        <color rgb="FF00008B"/>
        <rFont val="Inter"/>
        <family val="0"/>
        <charset val="1"/>
      </rPr>
      <t xml:space="preserve">Technology (primary) / Operations
(Jul 2026) Amit Kalra, head of Swiss Re Global Business Solutions (19+ years at Swiss Re), left to become Head of Zurich Capability Centers effective 1 July 2026, leaving GBS India in a leadership transition with no successor publicly announced.
(May 2025) In a Business Standard interview Kalra said India would soon host about 50% of Swiss Re's global technology talent, with roughly 2,500 of ~14,000 group employees already in India, underscoring a technology/AI-led mandate for Bengaluru and Hyderabad.
(May 2022) Swiss Re GBS India opened its Hyderabad centre as a data/technology innovation hub alongside Bengaluru (then 1,600+ employees), the base from which the centre has grown to 2,500+ professionals.</t>
    </r>
  </si>
  <si>
    <t xml:space="preserve">https://reinsurancene.ws/zurich-appoints-amit-kalra-to-lead-new-global-capability-center-in-india/
https://www.business-standard.com/companies/interviews/india-to-soon-have-about-50-of-swiss-re-s-global-tech-talent-amit-kalra-125051100389_1.html
https://www.swissre.com/media/press-release/pr-20220510-swissre-gbs-india-inovation-hub-of-hyderabad.html</t>
  </si>
  <si>
    <r>
      <rPr>
        <strike val="true"/>
        <sz val="10"/>
        <color rgb="FF000000"/>
        <rFont val="EYInterstate"/>
        <family val="0"/>
        <charset val="1"/>
      </rPr>
      <t xml:space="preserve">Amit Kalra
</t>
    </r>
    <r>
      <rPr>
        <sz val="10"/>
        <color rgb="FF000000"/>
        <rFont val="EYInterstate"/>
        <family val="0"/>
        <charset val="1"/>
      </rPr>
      <t xml:space="preserve">
</t>
    </r>
    <r>
      <rPr>
        <b val="true"/>
        <sz val="10"/>
        <color rgb="FF7030A0"/>
        <rFont val="EYInterstate"/>
        <family val="0"/>
        <charset val="1"/>
      </rPr>
      <t xml:space="preserve">Vacant / not yet announced — Amit Kalra (MD &amp; Head, Swiss Re GBS India) departed to join Zurich Insurance Group effective 1 July 2026. Successor at Swiss Re GBS India not publicly announced as of 14 Jul 2026.
</t>
    </r>
    <r>
      <rPr>
        <b val="true"/>
        <sz val="10"/>
        <color rgb="FF00008B"/>
        <rFont val="Inter"/>
        <family val="0"/>
        <charset val="1"/>
      </rPr>
      <t xml:space="preserve">
[Oct'26 update – correction] </t>
    </r>
    <r>
      <rPr>
        <sz val="10"/>
        <color rgb="FF00008B"/>
        <rFont val="Inter"/>
        <family val="0"/>
        <charset val="1"/>
      </rPr>
      <t xml:space="preserve">Vacant / successor not publicly announced. Amit Kalra (Head, Global Business Solutions) left to become Global Head of Zurich Capability Centers effective 1 July 2026; no Swiss Re announcement of a new GBS India head found as of 6 Oct 2026.
Source: https://reinsurancene.ws/zurich-appoints-amit-kalra-to-lead-new-global-capability-center-in-india/
https://reinasia.com/zurich-taps-amit-kalra-to-lead-new-global-capability-centre-in-india/
https://hrtoday.in/amit-kalra-appointed-as-global-head-of-zurich-capability-centers-at-zurich-insurance-group/</t>
    </r>
  </si>
  <si>
    <t xml:space="preserve">Since 2001</t>
  </si>
  <si>
    <t xml:space="preserve">Amit Kalra</t>
  </si>
  <si>
    <t xml:space="preserve">1. GCSP Approval
2. Reverse restrictions</t>
  </si>
  <si>
    <r>
      <rPr>
        <sz val="10"/>
        <color rgb="FF000000"/>
        <rFont val="EYInterstate"/>
        <family val="0"/>
        <charset val="1"/>
      </rPr>
      <t xml:space="preserve">1.Amit Kalra, MD and Head of Swiss Re GBS India, stated that India will soon host around 50% of Swiss Re’s global tech talent, boosting the company’s data, analytics, and risk modeling capabilities.
2. Swiss Re is reshaping underwriting and claims through GenAI and advanced analytics
3.India to soon have about 50% of Swiss Re's global tech talent: Amit Kalra
4.Global reinsurer Swiss Re has officially launched its new state-of-the-art office in Hyderabad, signaling a significant expansion of its operations in India. The newly inaugurated workspace is designed to be more than just a physical office — it embodies Swiss Re’s vision for the future: one that champions innovation, inclusion, and high-impact collaboration.
</t>
    </r>
    <r>
      <rPr>
        <sz val="10"/>
        <color rgb="FF196B24"/>
        <rFont val="EYInterstate"/>
        <family val="0"/>
        <charset val="1"/>
      </rPr>
      <t xml:space="preserve">5.Swiss Re GBS India signed an MoU with IIRM Hyderabad to support insurance-industry capability development and talent building.
</t>
    </r>
    <r>
      <rPr>
        <b val="true"/>
        <sz val="10"/>
        <color rgb="FF7030A0"/>
        <rFont val="EYInterstate"/>
        <family val="0"/>
        <charset val="1"/>
      </rPr>
      <t xml:space="preserve">6. Apr' 26 - Amit Kalra, who spent nearly 19-20 years at Swiss Re and most recently served as MD &amp; Head of Global Business Solutions (including the India GCC), announced his departure to join Zurich Insurance Group as Global Head of Zurich Capability Centers, effective 1 July 2026. A successor at Swiss Re GBS India had not been publicly named as of 14 July 2026.
7. Swiss Re appointed Anna Ziswiler as Head of Property &amp; Casualty (P&amp;C) Reinsurance for Southeast Asia, India, Hong Kong, Taiwan and Korea, effective 1 May 2026</t>
    </r>
  </si>
  <si>
    <t xml:space="preserve">India to soon have about 50% of Swiss Re's global tech talent: Amit Kalra | Interviews - Business Standard
https://www.swissre.com/risk-knowledge/advancing-societal-benefits-digitalisation/how-generative-ai-is-transforming-insurance-claims-claimsgenai.html
https://asiainsurancepost.com/archives/50595
https://www.linkedin.com/posts/analytics-india-magazine_global-reinsurer-swiss-re-has-officially-activity-7342559467030441984--SGk/
https://theiirm.ac.in/swiss-re-gbs-india-signs-mou/
https://reinasia.com/zurich-taps-amit-kalra-to-lead-new-global-capability-centre-in-india/ (Kalra departure/Zurich move)
https://www.reinsurancene.ws/swiss-re-names-ziswiler-as-head-pc-re-southeast-asia-india-hong-kong-taiwan-and-korea/</t>
  </si>
  <si>
    <t xml:space="preserve">https://www.swissre.com/about-us/our-leadership.html
https://en.wikipedia.org/wiki/Swiss_Re</t>
  </si>
  <si>
    <t xml:space="preserve">Ursula La Roche</t>
  </si>
  <si>
    <t xml:space="preserve">Sathish Kumar Durai</t>
  </si>
  <si>
    <t xml:space="preserve">Bernhard Kaufmann</t>
  </si>
  <si>
    <t xml:space="preserve">India head changed
https://gcc.economictimes.indiatimes.com/news/swiss-res-india-operations-a-model-for-global-business-solutions/125403419</t>
  </si>
  <si>
    <t xml:space="preserve">StanCorp Global Services India Private Limited (The Standard India)</t>
  </si>
  <si>
    <t xml:space="preserve">Technology: Technology Transformation, Software Engineering, AI, Cloud, Enterprise Platforms, Digital Experience, Technology-enabled Services.
Operations: Shared Support Services, Global Operations Support, Business Transformation, Customer Experience Support, Technology-enabled Operations.
Finance/Compliance: Financial, Compliance and Regulatory support functions overseen by India leadership.
https://www.thehindubusinessline.com/info-tech/the-standard-expands-india-gcc-targets-nearly-400-employees-by-year-end/article71370099.ece</t>
  </si>
  <si>
    <r>
      <rPr>
        <sz val="10"/>
        <color theme="1"/>
        <rFont val="Inter"/>
        <family val="0"/>
        <charset val="1"/>
      </rPr>
      <t xml:space="preserve">175+
https://timesofindia.indiatimes.com/business/india-business/us-insurer-the-standard-expands-india-footprint-with-new-capability-center/articleshow/125431239.cms
</t>
    </r>
    <r>
      <rPr>
        <b val="true"/>
        <sz val="10"/>
        <color rgb="FF00008B"/>
        <rFont val="Inter"/>
        <family val="0"/>
        <charset val="1"/>
      </rPr>
      <t xml:space="preserve">
[Oct'26 update – correction] </t>
    </r>
    <r>
      <rPr>
        <sz val="10"/>
        <color rgb="FF00008B"/>
        <rFont val="Inter"/>
        <family val="0"/>
        <charset val="1"/>
      </rPr>
      <t xml:space="preserve">~175 at launch (Nov 2025, transferred from Allstate India); target of nearly 400 by end-2026 (Apr 2026 announcement). No mid-2026 actual figure published.
Source: https://www.peoplematters.in/news/business/the-standard-grows-india-gcc-to-400-positioning-bengaluru-at-the-centre-of-its-innovation-strategy-51594
https://yourstory.com/enterprise-story/2025/11/us-financial-services-firm-the-standard-opens-new-gcc-in-india</t>
    </r>
  </si>
  <si>
    <r>
      <rPr>
        <b val="true"/>
        <sz val="10"/>
        <color rgb="FF00008B"/>
        <rFont val="Inter"/>
        <family val="0"/>
        <charset val="1"/>
      </rPr>
      <t xml:space="preserve">Focus area: </t>
    </r>
    <r>
      <rPr>
        <sz val="10"/>
        <color rgb="FF00008B"/>
        <rFont val="Inter"/>
        <family val="0"/>
        <charset val="1"/>
      </rPr>
      <t xml:space="preserve">Technology (primary) / Operations
(Apr 2026) The Standard inaugurated its permanent Bengaluru office (opened by Karnataka IT minister Priyank Kharge) and said it will nearly double the India GCC to almost 400 employees by end-2026, positioning Bengaluru as its innovation hub for AI engineering, cloud, data/analytics and insurance operations.
(Nov 2025) The Standard launched StanCorp Global Services India Pvt Ltd as its new GCC with ~175 employees in Bengaluru and Pune inherited via the Allstate Employer Voluntary Benefits acquisition, and named Mohua Sengupta SVP &amp; Country Head.
(2026, after the Apr 2026 Bengaluru launch; month n/a) The Standard India announced a new India leadership team - Atul Agrawal (Head of Technology), Manishekaran Amalasekharan (Head of Finance), Neeti Khanka (Head of HR), Sanjay Pathak (Chief of Staff &amp; India Site Operations Lead) and Aditya Pal Singh (Head of Talent Acquisition) - to scale technology, finance and people capabilities.</t>
    </r>
  </si>
  <si>
    <t xml:space="preserve">https://www.peoplematters.in/news/business/the-standard-grows-india-gcc-to-400-positioning-bengaluru-at-the-centre-of-its-innovation-strategy-51594
https://yourstory.com/enterprise-story/2025/11/us-financial-services-firm-the-standard-opens-new-gcc-in-india
https://cxotoday.com/media-coverage/the-standard-india-strengthens-leadership-team-after-bengaluru-office-launch/
https://www.peoplematters.in/news/leadership/the-standard-india-appoints-new-hr-talent-acquisition-and-technology-heads-51147</t>
  </si>
  <si>
    <t xml:space="preserve">Mohua Sengupta, SVP &amp; Country Head – India</t>
  </si>
  <si>
    <t xml:space="preserve">5,001–10,000 </t>
  </si>
  <si>
    <t xml:space="preserve">Since 1906</t>
  </si>
  <si>
    <t xml:space="preserve">Dan McMillan (Group co) </t>
  </si>
  <si>
    <t xml:space="preserve">The Standard has completed the acquisition of Allstate’s Employer Voluntary Benefits business for about $2 billion, significantly strengthening its workplace benefits portfolio (including voluntary benefits). The acquired business will be integrated and marketed under The Standard brand, expanding offerings in disability, life, vision, dental, and related employer‑sponsored products.
1.The Standard launched a new Global Capability Center (GCC) in India — a strategic move reflecting its growing global operations and talent expansion following the Allstate benefit acquisition. Initial staffing started with approximately 175 employees transitioning from Allstate India to The Standard India.
2.The Standard and OneDigital Expand Secure Future PEP Nationally
3.The Standard Promotes Nathan McKinstry to Senior Vice President of Employee Voluntary Benefits in IT (23 March 2026) 
4.The Standard Partners With the University of Texas at Dallas to Increase Access to the Actuarial Science Program (8 April 2026) 
5.The Standard Promotes Paul Freese to Assistant Vice President of Loan Operations, StanCorp Mortgage Investors (31 Dec 2025)
6.The Standard Names Elice Lee as Regional Vice President in Retirement Plans (17 March 2025) 
7.The Standard Names Rob Kerscher Regional Vice President in Retirement Plans (3 November 2025) </t>
  </si>
  <si>
    <t xml:space="preserve">https://timesofindia.indiatimes.com/business/india-business/us-insurer-the-standard-expands-india-footprint-with-new-capability-center/articleshow/125431239.cms
The Standard finalizes Allstate voluntary benefits acquisition | Insurance Business
https://analyticsindiamag.com/ai-news-updates/the-standard-launches-new-gcc-in-india/
https://www.standard.com/get-to-know-standard/newsroom/press-releases/standard-and-onedigital-expand-secure-future-pep-nationally
https://www.standard.com/get-to-know-standard/newsroom/press-releases/standard-promotes-nathan-mckinstry-senior-vice-president-employee-voluntary 
https://www.standard.com/get-to-know-standard/newsroom/press-releases/standard-promotes-paul-freese-assistant-vice-president-loan-operations-stancorp
https://www.standard.com/get-to-know-standard/newsroom/press-releases/standard-partners-university-texas-dallas-increase-access-actuarial-science
https://www.standard.com/get-to-know-standard/newsroom/press-releases/standard-names-elice-lee-regional-vice-president-retirement-plans
https://www.standard.com/get-to-know-standard/newsroom/press-releases/standard-names-rob-kerscher-regional-vice-president-retirement-plans</t>
  </si>
  <si>
    <t xml:space="preserve">The Standard Expands Global Footprint with New Office and Mohua Sengupta as Country Head in India, ETGCC 
https://www.linkedin.com/company/the-standard/</t>
  </si>
  <si>
    <t xml:space="preserve">Lauren Canfield (Group company)</t>
  </si>
  <si>
    <t xml:space="preserve">M&amp;G Global Services Private Limited</t>
  </si>
  <si>
    <t xml:space="preserve">Mumbai and Pune
https://group.mandg.com/site-services/mg-india</t>
  </si>
  <si>
    <r>
      <rPr>
        <sz val="10"/>
        <color theme="1"/>
        <rFont val="Inter"/>
        <family val="0"/>
        <charset val="1"/>
      </rPr>
      <t xml:space="preserve">Strategic Innovation and Digital Hub
https://group.mandg.com/site-services/mg-india
</t>
    </r>
    <r>
      <rPr>
        <b val="true"/>
        <sz val="10"/>
        <color rgb="FF00008B"/>
        <rFont val="Inter"/>
        <family val="0"/>
        <charset val="1"/>
      </rPr>
      <t xml:space="preserve">
[Oct'26 update – correction] </t>
    </r>
    <r>
      <rPr>
        <sz val="10"/>
        <color rgb="FF00008B"/>
        <rFont val="Inter"/>
        <family val="0"/>
        <charset val="1"/>
      </rPr>
      <t xml:space="preserve">Technology: Digital Services (digital engineering, AI, advanced analytics, RPA, BI &amp; insights), IT. Operations: Business Transformation, Management Consulting &amp; Strategy, Customer Service, Risk &amp; Compliance, Audit, M&amp;G Investments support. Finance: Finance &amp; Actuarial (incl. finance operations, statutory reporting, reference data management).
Source: https://www.mandg.com/mandgglobalservices.com
https://in.linkedin.com/company/m&amp;gglobalservicesprivatelimited
https://builtin.com/job/avp-reference-data-management-finance-operations/6460531</t>
    </r>
  </si>
  <si>
    <r>
      <rPr>
        <b val="true"/>
        <sz val="10"/>
        <color rgb="FF00008B"/>
        <rFont val="Inter"/>
        <family val="0"/>
        <charset val="1"/>
      </rPr>
      <t xml:space="preserve">[Oct'26 update – addition] </t>
    </r>
    <r>
      <rPr>
        <sz val="10"/>
        <color rgb="FF00008B"/>
        <rFont val="Inter"/>
        <family val="0"/>
        <charset val="1"/>
      </rPr>
      <t xml:space="preserve">~1,000-2,000 (aggregator bands 2025-26; one aggregator lists 1,428 for 2025 - indicative only). No company-published figure.
Source: https://nodeflair.com/companies/m-g-global-services
https://www.signalhire.com/overview/10fa-india-private-limited-an-m-g-plc-company</t>
    </r>
  </si>
  <si>
    <r>
      <rPr>
        <b val="true"/>
        <sz val="10"/>
        <color rgb="FF00008B"/>
        <rFont val="Inter"/>
        <family val="0"/>
        <charset val="1"/>
      </rPr>
      <t xml:space="preserve">Focus area: </t>
    </r>
    <r>
      <rPr>
        <sz val="10"/>
        <color rgb="FF00008B"/>
        <rFont val="Inter"/>
        <family val="0"/>
        <charset val="1"/>
      </rPr>
      <t xml:space="preserve">Technology / Finance (combination)
(Feb 2026) M&amp;G Global Services was actively hiring in Mumbai and Pune for finance-operations, front-office application-support and enterprise-security roles (four openings listed in Feb 2026), consistent with continued build-out of its finance and technology lines.
(2026, month n/a) M&amp;G describes its India centre as leveraging technology, AI, automation and process excellence, with Digital Services (digital engineering, AI, advanced analytics, RPA, BI) alongside Finance &amp; Actuarial as core service lines.</t>
    </r>
  </si>
  <si>
    <t xml:space="preserve">https://nodeflair.com/companies/m-g-global-services
https://www.mandg.com/mandgglobalservices.com
https://builtin.com/job/avp-reference-data-management-finance-operations/6460531</t>
  </si>
  <si>
    <r>
      <rPr>
        <sz val="10"/>
        <color theme="1"/>
        <rFont val="Inter"/>
        <family val="0"/>
        <charset val="1"/>
      </rPr>
      <t xml:space="preserve">Zahabiya Officewala
</t>
    </r>
    <r>
      <rPr>
        <b val="true"/>
        <sz val="10"/>
        <color rgb="FF00008B"/>
        <rFont val="Inter"/>
        <family val="0"/>
        <charset val="1"/>
      </rPr>
      <t xml:space="preserve">
[Oct'26 re-check – existing text could not be independently verified] </t>
    </r>
    <r>
      <rPr>
        <sz val="10"/>
        <color rgb="FF00008B"/>
        <rFont val="Inter"/>
        <family val="0"/>
        <charset val="1"/>
      </rPr>
      <t xml:space="preserve">Only aggregator listings (RocketReach, prospeo/efinancialcareers 'key contacts') name Zahabiya Officewala as Managing Director; an exact-name search returned no M&amp;G announcement, LinkedIn page, MCA record or press item, so the leader cannot be sent to the client as verified. Client follow-up: check M&amp;G Global Services LinkedIn page for the MD.</t>
    </r>
  </si>
  <si>
    <t xml:space="preserve">Andrea Rossi </t>
  </si>
  <si>
    <t xml:space="preserve"> GCSP Approval</t>
  </si>
  <si>
    <r>
      <rPr>
        <sz val="10"/>
        <color theme="1"/>
        <rFont val="Inter"/>
        <family val="0"/>
        <charset val="1"/>
      </rPr>
      <t xml:space="preserve">1.Gaurish Wagh Appointed as Global People Development Lead India at M&amp;G Global Services Private Limited
2.M&amp;G Global services sponsored the 25th Global Conference of Actuaries (GCA) 2026. As one of the leading platforms for actuarial dialogue and professional exchange, GCA brings together practitioners, industry leaders and emerging talent from across the profession.
3.M&amp;G sponsored the nasscom Technology Confluence 2025. The discussion explored how AI is transforming leadership, culture, and workforce models in an AI-driven era. Colleagues from our Mumbai and Pune offices attended as delegates, gaining insights into emerging trends and industry priorities.
</t>
    </r>
    <r>
      <rPr>
        <sz val="10"/>
        <color theme="6"/>
        <rFont val="EYInterstate"/>
        <family val="0"/>
        <charset val="1"/>
      </rPr>
      <t xml:space="preserve"> 4. M&amp;G Rebrands Indian Operations as "M&amp;G India"</t>
    </r>
  </si>
  <si>
    <t xml:space="preserve">Gaurish Wagh Appointed as Global People Development Lead India at M&amp;G Global Services Private Limited - Global HR News &amp; Updates
https://www.linkedin.com/company/m&amp;gglobalservicesprivatelimited/posts/?feedView=all
https://group.mandg.com/news-and-insights/press-releases/2026/27-04-2026</t>
  </si>
  <si>
    <t xml:space="preserve">
https://www.zaubacorp.com/M-AND-G-GLOBAL-SERVICES-PRIVATE-LIMITED-U74140MH2002PTC137446#google_vignette
https://www.thecompanycheck.com/company/mg-global-services-private-limited/U74140MH2002PTC137446</t>
  </si>
  <si>
    <t xml:space="preserve">Sriram Kameshwar</t>
  </si>
  <si>
    <t xml:space="preserve">Shawn gamble</t>
  </si>
  <si>
    <r>
      <rPr>
        <sz val="10"/>
        <color theme="1"/>
        <rFont val="Inter"/>
        <family val="0"/>
        <charset val="1"/>
      </rPr>
      <t xml:space="preserve">Chubb Limited
</t>
    </r>
    <r>
      <rPr>
        <b val="true"/>
        <sz val="10"/>
        <color rgb="FF00008B"/>
        <rFont val="Inter"/>
        <family val="0"/>
        <charset val="1"/>
      </rPr>
      <t xml:space="preserve">
[Oct'26 update – correction] </t>
    </r>
    <r>
      <rPr>
        <sz val="10"/>
        <color rgb="FF00008B"/>
        <rFont val="Inter"/>
        <family val="0"/>
        <charset val="1"/>
      </rPr>
      <t xml:space="preserve">Chubb Business Services India Private Limited (CIN U72900TG2022FTC161404; also Chubb Business Services India LLP, LLPIN AAQ-0741, set up 2019) - parent Chubb Limited
Source: https://www.thecompanycheck.com/company/chubb-business-services-india-private-limited/U72900TG2022FTC161404
https://www.zaubacorp.com/company/CHUBB-BUSINESS-SERVICES-INDIA-LLP/AAQ-0741
https://www.greatplacetowork.in/great/company/chubb-business-services-india-private-limited/
https://news.chubb.com/2019-09-12-Chubb-to-Launch-Business-Services-Center-in-India-to-Provide-Technology-Digital-and-Analytics-Support</t>
    </r>
  </si>
  <si>
    <t xml:space="preserve">Hyderabad, Bangalore and Bhubaneshwar
https://www.greatplacetowork.in/great/company/chubb-business-services-india-private-limited/</t>
  </si>
  <si>
    <t xml:space="preserve">Technology, analytics, operations, and automation-focused
https://about.chubb.com/careers/engineering-centers/india-engineering-center.html</t>
  </si>
  <si>
    <r>
      <rPr>
        <sz val="10"/>
        <color theme="1"/>
        <rFont val="Inter"/>
        <family val="0"/>
        <charset val="1"/>
      </rPr>
      <t xml:space="preserve">2300 approx.
https://www.greatplacetowork.in/great/company/chubb-business-services-india-private-limited/
</t>
    </r>
    <r>
      <rPr>
        <b val="true"/>
        <sz val="10"/>
        <color rgb="FF00008B"/>
        <rFont val="Inter"/>
        <family val="0"/>
        <charset val="1"/>
      </rPr>
      <t xml:space="preserve">
[Oct'26 update – correction] </t>
    </r>
    <r>
      <rPr>
        <sz val="10"/>
        <color rgb="FF00008B"/>
        <rFont val="Inter"/>
        <family val="0"/>
        <charset val="1"/>
      </rPr>
      <t xml:space="preserve">~2,300-2,500 (businessofgcc: 2,290 for 2025; GPTW page: 'over 2,500 professionals'); Chennai centre to add ~220 (announced Jul 2026).
Source: https://www.businessofgcc.com/gcc-data/companies/chubb-india
https://www.greatplacetowork.in/great/company/chubb-business-services-india-private-limited/
https://www.hrkatha.com/news/chubb-and-nordex-to-drive-job-creation-with-chennai-gcc-and-rd-expansion/</t>
    </r>
  </si>
  <si>
    <r>
      <rPr>
        <b val="true"/>
        <sz val="10"/>
        <color rgb="FF00008B"/>
        <rFont val="Inter"/>
        <family val="0"/>
        <charset val="1"/>
      </rPr>
      <t xml:space="preserve">Focus area: </t>
    </r>
    <r>
      <rPr>
        <sz val="10"/>
        <color rgb="FF00008B"/>
        <rFont val="Inter"/>
        <family val="0"/>
        <charset val="1"/>
      </rPr>
      <t xml:space="preserve">Technology (primary) / Operations
(Jul 2026) On 30 July 2026 Chubb signed an MoU with Guidance Tamil Nadu to set up its first Chennai GCC, creating ~220 high-skilled jobs alongside existing Hyderabad and Bengaluru operations, with focus on AI for underwriting, claims analytics and digital platform engineering.
(2026) Chubb is hiring in Chennai for data associate, data scientist, analyst and principal engineer roles, positioning the city as a delivery hub focused on analytics and engineering talent.
(2025) businessofgcc data lists Chubb Business Services India at ~2,290 employees across Hyderabad, Bengaluru and Bhubaneswar, with the company's own copy citing over 2,500 professionals.</t>
    </r>
  </si>
  <si>
    <t xml:space="preserve">https://www.dtnext.in/news/tamilnadu/tamil-nadu-signs-two-mous-for-gcc-expansion-rs-1000-cr-projects-to-create-2600-jobs
https://www.hrkatha.com/news/chubb-and-nordex-to-drive-job-creation-with-chennai-gcc-and-rd-expansion/
https://www.businessofgcc.com/gcc-data/companies/chubb-india
https://www.greatplacetowork.in/great/company/chubb-business-services-india-private-limited/</t>
  </si>
  <si>
    <r>
      <rPr>
        <sz val="10"/>
        <color theme="1"/>
        <rFont val="Inter"/>
        <family val="0"/>
        <charset val="1"/>
      </rPr>
      <t xml:space="preserve">Mohan Narayanaswamy
</t>
    </r>
    <r>
      <rPr>
        <b val="true"/>
        <sz val="10"/>
        <color rgb="FF00008B"/>
        <rFont val="Inter"/>
        <family val="0"/>
        <charset val="1"/>
      </rPr>
      <t xml:space="preserve">
[Oct'26 re-check – existing text could not be independently verified] </t>
    </r>
    <r>
      <rPr>
        <sz val="10"/>
        <color rgb="FF00008B"/>
        <rFont val="Inter"/>
        <family val="0"/>
        <charset val="1"/>
      </rPr>
      <t xml:space="preserve">Exact-name search for 'Mohan Narayanaswamy' + Chubb India returned only a Tofler MCA director record (Narayanasamy Mohan, DIN 01772098, director in 8 companies) with no Chubb link in the extract and no press/LinkedIn naming any India centre head; the Rohin Govindarajan 'Global Head of Engineering Centers' claim is LinkedIn-only and unverified. No head can be sent to the client.</t>
    </r>
  </si>
  <si>
    <t xml:space="preserve">Since 2019</t>
  </si>
  <si>
    <t xml:space="preserve">1.Apr'26 - Separately from the GCC story, in April 2026, reports indicated Chubb is exploring a re‑entry into the Indian insurance market after nearly two decades, following regulatory liberalization (100% FDI)
2.Chubb is launching AI‑embedded tools and platforms globally to optimize underwriting and operations (19 November 2025). The platform uses proprietary AI models to analyze customer personas and dynamically recommend insurance products via APIs and SDKs for digital partners worldwide.
3.Chubb lays out ambitious digital transformation plans with focus on AI &amp; automation (Chubb utilizes data, technology, and processes to digitally enable workflows and drive significant expense reductions) - December 2025
4.Chubb Names Seshadri Iyer to Lead Global Operations, Technology and Digital Transformation (11 March 2026). The reorganization strengthens focus on data, AI, cloud, and platform modernization, areas where India is already Chubb’s largest execution and engineering base
5.India is now Chubb’s largest engineering center globally, ahead of Mexico and Greece, reflecting a long‑term bet on India for core insurance technology development
</t>
  </si>
  <si>
    <t xml:space="preserve">https://www.moneycontrol.com/banking/global-insurer-chubb-explores-india-re-entry-after-two-decades-article-13891678.html
Chubb launches AI embedded engine; Trucordia acquires 5: Insurance news | Digital Insurance
https://www.processexcellencenetwork.com/digital-transformation/news/chubb-lays-out-ambitious-digital-transformation-plans-with-focus-on-ai-automation
https://news.chubb.com/2026-03-11-Chubb-Names-Seshadri-Iyer-to-Lead-Global-Operations,-Technology-and-Digital-Transformation
https://timesofindia.indiatimes.com/city/hyderabad/chubbs-tech-hub-expansion-hyderabad-leads-as-major-global-workforce-center/articleshow/115310608.cms
</t>
  </si>
  <si>
    <t xml:space="preserve">Chubb's Tech Hub Expansion: Hyderabad Leads as Major Global Workforce Center | Hyderabad News - The Times of India</t>
  </si>
  <si>
    <t xml:space="preserve">Mong-Diep Dee Le (chief auditor)</t>
  </si>
  <si>
    <t xml:space="preserve">Peter Enns</t>
  </si>
  <si>
    <t xml:space="preserve"> Frances D. O'Brien </t>
  </si>
  <si>
    <r>
      <rPr>
        <sz val="10"/>
        <color theme="1"/>
        <rFont val="Inter"/>
        <family val="0"/>
        <charset val="1"/>
      </rPr>
      <t xml:space="preserve">Guardian India Operations Private Limited
</t>
    </r>
    <r>
      <rPr>
        <b val="true"/>
        <sz val="10"/>
        <color rgb="FF00008B"/>
        <rFont val="Inter"/>
        <family val="0"/>
        <charset val="1"/>
      </rPr>
      <t xml:space="preserve">
[Oct'26 update – correction] </t>
    </r>
    <r>
      <rPr>
        <sz val="10"/>
        <color rgb="FF00008B"/>
        <rFont val="Inter"/>
        <family val="0"/>
        <charset val="1"/>
      </rPr>
      <t xml:space="preserve">Guardian India Operations Private Limited (CIN U72200TN2003PTC051154, not re-verified) - 100% acquired by HCLTech for USD 10.5m (announced 16 Jul 2026; completed 31 Jul 2026); now an HCLTech dedicated Strategic Business Unit serving Guardian under a 7-year services agreement
Source: https://www.outlookbusiness.com/corporate/hcltech-to-acquire-guardian-india-for-105-million-2000-employees-to-transition
https://www.sahi.com/news/hcl-technologies-completes-full-purchase-of-guardian-india-operations-on-july-31-2026-2229-PE1_COR
https://filingreader.com/news-wire/mumbai/2026-07-16/hcltech-to-acquire-guardian-india-operations-in-105m-deal
https://news.ventureintelligence.com/ma/hcltech-acquires-us-based-guardian-life-insurance%E2%80%99s-gcc-unit-in-india-for-%2410.5-m</t>
    </r>
  </si>
  <si>
    <r>
      <rPr>
        <sz val="10"/>
        <color theme="1"/>
        <rFont val="Inter"/>
        <family val="0"/>
        <charset val="1"/>
      </rPr>
      <t xml:space="preserve">Chennai, Gurugram, New Delhi, Ankleshwar, Mumbai and Noida
https://www.ambitionbox.com/overview/guardian-india-overview/locations
</t>
    </r>
    <r>
      <rPr>
        <b val="true"/>
        <sz val="10"/>
        <color rgb="FF00008B"/>
        <rFont val="Inter"/>
        <family val="0"/>
        <charset val="1"/>
      </rPr>
      <t xml:space="preserve">
[Oct'26 update – correction] </t>
    </r>
    <r>
      <rPr>
        <sz val="10"/>
        <color rgb="FF00008B"/>
        <rFont val="Inter"/>
        <family val="0"/>
        <charset val="1"/>
      </rPr>
      <t xml:space="preserve">Chennai (HQ) &amp; Gurugram
Source: https://www.sightsinplus.com/news/appointments/guardian-appoints-karunakaran-azhisur-as-country-head-india
https://www.outlookbusiness.com/corporate/hcltech-to-acquire-guardian-india-for-105-million-2000-employees-to-transition
https://www.greatplacetowork.in/great/company/guardian-india-operations-pvt-ltd
https://yourstory.com/enterprise-story/2025/03/india-gcc-microcosm-guardian-life-insurance-shiney-prasad</t>
    </r>
  </si>
  <si>
    <t xml:space="preserve">Information and Communication. In detail, this covers computer programming, consultancy and related activities.
https://www.thecompanycheck.com/company/guardian-india-operations-private-limited/U72200TN2003PTC051154
[Oct'26 update – correction] Technology: software engineering, AI/ML, data science, platform engineering, 'suggestive decisioning' for the US business. Operations: business operations / shared services, underwriting support. Finance: finance and actuarial roles. (IT &amp; ITES services, consulting and business solutions to Guardian and affiliates.)
Source: https://yourstory.com/enterprise-story/2025/03/india-gcc-microcosm-guardian-life-insurance-shiney-prasad
https://www.greatplacetowork.in/great/company/guardian-india-operations-pvt-ltd
https://www.outlookbusiness.com/corporate/hcltech-to-acquire-guardian-india-for-105-million-2000-employees-to-transition</t>
  </si>
  <si>
    <t xml:space="preserve">2000 approx.
https://www.greatplacetowork.in/great/company/guardian-india-operations-pvt-ltd/</t>
  </si>
  <si>
    <r>
      <rPr>
        <b val="true"/>
        <sz val="10"/>
        <color rgb="FF00008B"/>
        <rFont val="Inter"/>
        <family val="0"/>
        <charset val="1"/>
      </rPr>
      <t xml:space="preserve">Focus area: </t>
    </r>
    <r>
      <rPr>
        <sz val="10"/>
        <color rgb="FF00008B"/>
        <rFont val="Inter"/>
        <family val="0"/>
        <charset val="1"/>
      </rPr>
      <t xml:space="preserve">Technology (primary) / Operations
(Jul 2026) HCLTech announced on 16 Jul 2026 the acquisition of 100% of Guardian India Operations for USD 10.5 million, with nearly 2,000 Chennai and Gurugram employees moving to a dedicated HCLTech Strategic Business Unit led by Karunakaran Azhisur, under a 7-year agreement to drive AI-led modernisation (HCLTech 'AI Force' agentic capabilities); the purchase completed on 31 Jul 2026.
(Jan 2026) Guardian appointed its CIO Karunakaran Azhisur as Country Head - India, overseeing all India operations while continuing to lead technology, reporting to Guardian's Chief Strategy Officer.
(Mar 2025) Then-head Shiney Prasad described the India GCC as a 'microcosm' of Guardian building tech solutions for the US market, with emphasis on AI/ML, data science and business operations plus actuarial, finance and underwriting roles.</t>
    </r>
  </si>
  <si>
    <t xml:space="preserve">https://www.outlookbusiness.com/corporate/hcltech-to-acquire-guardian-india-for-105-million-2000-employees-to-transition
https://cxomedia.in/2026/01/21/guardian-india-appoints-karunakaran-azhisur-as-country-head/
https://yourstory.com/enterprise-story/2025/03/india-gcc-microcosm-guardian-life-insurance-shiney-prasad
https://www.sahi.com/news/hcl-technologies-completes-full-purchase-of-guardian-india-operations-on-july-31-2026-2229-PE1_COR</t>
  </si>
  <si>
    <r>
      <rPr>
        <sz val="10"/>
        <color theme="1"/>
        <rFont val="Inter"/>
        <family val="0"/>
        <charset val="1"/>
      </rPr>
      <t xml:space="preserve">Karunakaran (Karun) Azhisur
https://www.sightsinplus.com/news/appointments/guardian-appoints-karunakaran-azhisur-as-country-head-india
</t>
    </r>
    <r>
      <rPr>
        <b val="true"/>
        <sz val="10"/>
        <color rgb="FF00008B"/>
        <rFont val="Inter"/>
        <family val="0"/>
        <charset val="1"/>
      </rPr>
      <t xml:space="preserve">
[Oct'26 update – correction] </t>
    </r>
    <r>
      <rPr>
        <sz val="10"/>
        <color rgb="FF00008B"/>
        <rFont val="Inter"/>
        <family val="0"/>
        <charset val="1"/>
      </rPr>
      <t xml:space="preserve">Karunakaran (Karun) Azhisur - Country Head India &amp; CIO (appointed 21 Jan 2026, reporting to Michael Prestileo, Guardian CSO and Chair of Guardian India Board); on completion of the HCLTech acquisition (31 Jul 2026) he joined HCLTech to lead the Guardian-dedicated Strategic Business Unit.
Source: https://www.outlookbusiness.com/corporate/hcltech-to-acquire-guardian-india-for-105-million-2000-employees-to-transition
https://cxomedia.in/2026/01/21/guardian-india-appoints-karunakaran-azhisur-as-country-head/
https://www.sightsinplus.com/news/appointments/guardian-appoints-karunakaran-azhisur-as-country-head-india</t>
    </r>
  </si>
  <si>
    <t xml:space="preserve">Arijit Mukherji</t>
  </si>
  <si>
    <t xml:space="preserve">1.Guardian is undertaking a major tech transformation, moving away from legacy mainframe systems to modern cloud‑enabled microservices. This enables faster product development, improved operational efficiency, and better digital experiences for brokers and employers.
2.India GCC is a microcosm of Guardian Life Insurance building tech solutions for the American market. The global capability centre of Guardian Life Insurance in India supplements and complements the parent company. Its campuses in Gurugram and Chennai are creating valuable intellectual property related to the insurance industry.
3.Karunakaran (Karun) Azhisur was appointed Country Head – India, while continuing as Chief Information Officer (CIO) of Guardian India.
4.Guardian India Continues Operating as a Multi‑Location GCC Across Chennai and Gurugram</t>
  </si>
  <si>
    <t xml:space="preserve">https://yourstory.com/enterprise-story/2025/03/india-gcc-microcosm-guardian-life-insurance-shiney-prasad
https://gcc.economictimes.indiatimes.com/news/people-culture/guardian-india-names-karunakaran-azhisur-as-new-country-head/126960296
https://www.guardianlife.com/about-guardian/where-we-work/india</t>
  </si>
  <si>
    <t xml:space="preserve">‘India GCC is a microcosm of Guardian Life Insurance building tech solutions for the American market’ | YourStory</t>
  </si>
  <si>
    <t xml:space="preserve">Ankit Singh Chaudhury</t>
  </si>
  <si>
    <t xml:space="preserve">Deepa Baburaaj</t>
  </si>
  <si>
    <r>
      <rPr>
        <sz val="10"/>
        <color theme="1"/>
        <rFont val="Inter"/>
        <family val="0"/>
        <charset val="1"/>
      </rPr>
      <t xml:space="preserve">TIAA Global Capabilities (TIAA GC)
</t>
    </r>
    <r>
      <rPr>
        <b val="true"/>
        <sz val="10"/>
        <color rgb="FF00008B"/>
        <rFont val="Inter"/>
        <family val="0"/>
        <charset val="1"/>
      </rPr>
      <t xml:space="preserve">
[Oct'26 update – correction] </t>
    </r>
    <r>
      <rPr>
        <sz val="10"/>
        <color rgb="FF00008B"/>
        <rFont val="Inter"/>
        <family val="0"/>
        <charset val="1"/>
      </rPr>
      <t xml:space="preserve">TIAA Global Capabilities Private Limited (formerly TIAA Global Business Services (India) Pvt Ltd; ROC Mumbai per Tracxn; brand: TIAA Global Capabilities / TIAA GC; est. 2016)
Source: https://tracxn.com/d/legal-entities/india/tiaa-global-capabilities-private-limited/__FuT_ZIBWUoOVOE5O8hGvZLUxcIxSxxO0_FduMbAp1H0
https://www.constructionworld.in/policy-updates-and-economic-news/tiaa-global-capabilities-leases-255713-square-feet-in-pune/96764
https://www.greatplacetowork.in/great/company/tiaa-global-business-services-india-pvt-ltd</t>
    </r>
  </si>
  <si>
    <r>
      <rPr>
        <sz val="10"/>
        <color theme="1"/>
        <rFont val="Inter"/>
        <family val="0"/>
        <charset val="1"/>
      </rPr>
      <t xml:space="preserve">Mumbai, Pune and Navi Mumbai
https://www.ambitionbox.com/overview/tiaa-overview/locations
</t>
    </r>
    <r>
      <rPr>
        <b val="true"/>
        <sz val="10"/>
        <color rgb="FF00008B"/>
        <rFont val="Inter"/>
        <family val="0"/>
        <charset val="1"/>
      </rPr>
      <t xml:space="preserve">
[Oct'26 update – correction] </t>
    </r>
    <r>
      <rPr>
        <sz val="10"/>
        <color rgb="FF00008B"/>
        <rFont val="Inter"/>
        <family val="0"/>
        <charset val="1"/>
      </rPr>
      <t xml:space="preserve">Mumbai (HQ) &amp; Pune (new 255,713 sq ft Wagholi campus from Dec 2026)
Source: https://www.constructionworld.in/policy-updates-and-economic-news/tiaa-global-capabilities-leases-255713-square-feet-in-pune/96764
https://tracxn.com/d/legal-entities/india/tiaa-global-capabilities-private-limited/__FuT_ZIBWUoOVOE5O8hGvZLUxcIxSxxO0_FduMbAp1H0</t>
    </r>
  </si>
  <si>
    <t xml:space="preserve">Global Technology, Operations, and Shared Services
https://www.greatplacetowork.in/great/company/tiaa-global-business-services-india-pvt-ltd/</t>
  </si>
  <si>
    <r>
      <rPr>
        <sz val="10"/>
        <color theme="1"/>
        <rFont val="Inter"/>
        <family val="0"/>
        <charset val="1"/>
      </rPr>
      <t xml:space="preserve">2700 approx.
https://www.greatplacetowork.in/great/company/tiaa-global-business-services-india-pvt-ltd/
</t>
    </r>
    <r>
      <rPr>
        <b val="true"/>
        <sz val="10"/>
        <color rgb="FF00008B"/>
        <rFont val="Inter"/>
        <family val="0"/>
        <charset val="1"/>
      </rPr>
      <t xml:space="preserve">
[Oct'26 update – correction] </t>
    </r>
    <r>
      <rPr>
        <sz val="10"/>
        <color rgb="FF00008B"/>
        <rFont val="Inter"/>
        <family val="0"/>
        <charset val="1"/>
      </rPr>
      <t xml:space="preserve">~3,500 associates (2026, Pune lease coverage)
Source: https://www.constructionworld.in/policy-updates-and-economic-news/tiaa-global-capabilities-leases-255713-square-feet-in-pune/96764</t>
    </r>
  </si>
  <si>
    <r>
      <rPr>
        <b val="true"/>
        <sz val="10"/>
        <color rgb="FF00008B"/>
        <rFont val="Inter"/>
        <family val="0"/>
        <charset val="1"/>
      </rPr>
      <t xml:space="preserve">Focus area: </t>
    </r>
    <r>
      <rPr>
        <sz val="10"/>
        <color rgb="FF00008B"/>
        <rFont val="Inter"/>
        <family val="0"/>
        <charset val="1"/>
      </rPr>
      <t xml:space="preserve">Technology (primary) / Operations
(2026, month n/a) TIAA Global Capabilities leased 255,713 sq ft at Panchshil Vantage, Wagholi, Pune on a 10-year term (occupancy Dec 2026 and Jun 2027) to consolidate teams and expand AI, data &amp; analytics, risk management and client-experience capabilities; the centre already houses ~3,500 associates in Mumbai and Pune.
(Apr 2026) Deepak Gupta was elevated to Head of TIAA Global Capabilities and joined the TIAA India Board, with a mandate to lead GCC strategy, operational excellence and innovation-led growth across technology, operations and shared services.
(2026, month n/a) Gupta is a listed speaker at the nasscom GCC Summit 2026, consistent with TIAA GC positioning itself as a technology-led capability centre.</t>
    </r>
  </si>
  <si>
    <t xml:space="preserve">https://www.constructionworld.in/policy-updates-and-economic-news/tiaa-global-capabilities-leases-255713-square-feet-in-pune/96764
https://hrtoday.in/deepak-gupta-appointed-as-head-of-tiaa-global-capabilities-and-member-of-the-tiaa-india-board-of-directors/
https://thenasscomgccsummit2026.sched.com/speaker/deepak_gupta.29mvr47b</t>
  </si>
  <si>
    <t xml:space="preserve">Deepak Gupta
https://www.linkedin.com/feed/update/urn:li:activity:7445415670017679361/</t>
  </si>
  <si>
    <t xml:space="preserve">Since 2016</t>
  </si>
  <si>
    <t xml:space="preserve">Oindrila Majumdar</t>
  </si>
  <si>
    <t xml:space="preserve">1. GCSP Approval
2. Consultation required
3. Reverse Restrictions
</t>
  </si>
  <si>
    <r>
      <rPr>
        <sz val="10"/>
        <color theme="1"/>
        <rFont val="Inter"/>
        <family val="0"/>
        <charset val="1"/>
      </rPr>
      <t xml:space="preserve">1.Enterprise GenAI platform: TIAA launched TIAA gAIt, a secure, enterprise‑wide GenAI platform enabling generative AI use cases across client servicing, content, research, asset management, and cybersecurity awareness.
2.AI Power Day was a key milestone in TIAA Global Capabilities’ journey to AI-enabled excellence. Creation of a digital library of 30+ finance‑specific AI prompts and use cases to embed AI into daily work, especially in finance and analytics roles.
3.Deepak Gupta was appointed Head of TIAA Global Capabilities, joining TIAA’s Global Leadership Team and the TIAA India Board, reporting to the Chief Operating, Information &amp; Digital Officer.
4.TIAA Global Capabilities Pvt Ltd (formerly known as TIAA Global Business Services (India) Pvt Ltd) is a Great Place To Work
</t>
    </r>
    <r>
      <rPr>
        <sz val="10"/>
        <color theme="6"/>
        <rFont val="EYInterstate"/>
        <family val="0"/>
        <charset val="1"/>
      </rPr>
      <t xml:space="preserve">5.Nuveen, TIAA and Principal® Expand Access to Guaranteed Lifetime Income, Marking the Milestone with Bobby Bonilla on His Annual Payday
</t>
    </r>
    <r>
      <rPr>
        <sz val="10"/>
        <color theme="1"/>
        <rFont val="EYInterstate"/>
        <family val="0"/>
        <charset val="1"/>
      </rPr>
      <t xml:space="preserve">
</t>
    </r>
  </si>
  <si>
    <t xml:space="preserve">https://www.tiaa.org/public/about-tiaa/news-press/news/2024/07-17
https://www.linkedin.com/posts/val-volkau-4a9a7333_tiaaproud-activity-7435338616417128448-h2jm/
TIAA Global Capabilities Pvt Ltd (formerly known as TIAA Global Business Services (India) Pvt Ltd), a Great Place To Work
https://www.linkedin.com/feed/update/urn:li:share:7443440723737108480/
https://www.prnewswire.com/news-releases/nuveen-tiaa-and-principal-expand-access-to-guaranteed-lifetime-income-marking-the-milestone-with-bobby-bonilla-on-his-annual-payday-302815828.html
</t>
  </si>
  <si>
    <t xml:space="preserve">TIAA Careers | Global Capabilities</t>
  </si>
  <si>
    <t xml:space="preserve">Dave Dowrich</t>
  </si>
  <si>
    <t xml:space="preserve">Mike Cowell</t>
  </si>
  <si>
    <r>
      <rPr>
        <sz val="10"/>
        <color theme="1"/>
        <rFont val="Inter"/>
        <family val="0"/>
        <charset val="1"/>
      </rPr>
      <t xml:space="preserve">SunLife Global Solutions
</t>
    </r>
    <r>
      <rPr>
        <b val="true"/>
        <sz val="10"/>
        <color rgb="FF00008B"/>
        <rFont val="Inter"/>
        <family val="0"/>
        <charset val="1"/>
      </rPr>
      <t xml:space="preserve">
[Oct'26 update – correction] </t>
    </r>
    <r>
      <rPr>
        <sz val="10"/>
        <color rgb="FF00008B"/>
        <rFont val="Inter"/>
        <family val="0"/>
        <charset val="1"/>
      </rPr>
      <t xml:space="preserve">Sun Life Global Solutions Private Limited (SLGS India; formerly Sun Life Asia Service Centres)
Source: https://www.sunlife.com/slgs/en/
https://www.greatplacetowork.in/great/company/sun-life-india-service-centre-pvt-ltd</t>
    </r>
  </si>
  <si>
    <r>
      <rPr>
        <sz val="10"/>
        <color theme="1"/>
        <rFont val="Inter"/>
        <family val="0"/>
        <charset val="1"/>
      </rPr>
      <t xml:space="preserve">Gurugram, Bangalore, New Delhi and Noida
https://www.ambitionbox.com/overview/sun-life-global-solutions-overview/locations
</t>
    </r>
    <r>
      <rPr>
        <b val="true"/>
        <sz val="10"/>
        <color rgb="FF00008B"/>
        <rFont val="Inter"/>
        <family val="0"/>
        <charset val="1"/>
      </rPr>
      <t xml:space="preserve">
[Oct'26 update – correction] </t>
    </r>
    <r>
      <rPr>
        <sz val="10"/>
        <color rgb="FF00008B"/>
        <rFont val="Inter"/>
        <family val="0"/>
        <charset val="1"/>
      </rPr>
      <t xml:space="preserve">HO: Gurugram. Other: Bengaluru. (No company source supports New Delhi or Noida.)
Source: https://www.sunlife.com/slgs/en/newsroom/press-releases/2026/sun-life-global-solutions-india-at-20/
https://www.greatplacetowork.in/great/company/sun-life-india-service-centre-pvt-ltd</t>
    </r>
  </si>
  <si>
    <r>
      <rPr>
        <b val="true"/>
        <sz val="10"/>
        <color rgb="FF00008B"/>
        <rFont val="Inter"/>
        <family val="0"/>
        <charset val="1"/>
      </rPr>
      <t xml:space="preserve">[Oct'26 update – addition] </t>
    </r>
    <r>
      <rPr>
        <sz val="10"/>
        <color rgb="FF00008B"/>
        <rFont val="Inter"/>
        <family val="0"/>
        <charset val="1"/>
      </rPr>
      <t xml:space="preserve">Technology (engineering, APIs, AI/ML and Gen AI, cloud/AWS, data, test automation), Operations, Analytics, Actuarial, HR, Finance, Risk &amp; Compliance, supporting Sun Life across 28 markets
Source: https://www.sunlife.com/slgs/en/newsroom/press-releases/2026/sun-life-global-solutions-india-at-20/
https://www.sunlife.com/slgs/en/newsroom/press-releases/2026/sun-life-appoints-bianca-ilibasic-as-managing-director-sun-life/</t>
    </r>
  </si>
  <si>
    <r>
      <rPr>
        <b val="true"/>
        <sz val="10"/>
        <color rgb="FF00008B"/>
        <rFont val="Inter"/>
        <family val="0"/>
        <charset val="1"/>
      </rPr>
      <t xml:space="preserve">[Oct'26 update – addition] </t>
    </r>
    <r>
      <rPr>
        <sz val="10"/>
        <color rgb="FF00008B"/>
        <rFont val="Inter"/>
        <family val="0"/>
        <charset val="1"/>
      </rPr>
      <t xml:space="preserve">~3,030 India-based employees (Great Place to Work India profile, undated). No dated 2026 total disclosed; company cites 1,100+ engineers and 200+ AWS professionals (2026).
Source: https://www.greatplacetowork.in/great/company/sun-life-india-service-centre-pvt-ltd
https://www.sunlife.com/slgs/en/newsroom/press-releases/2026/sun-life-global-solutions-india-at-20/</t>
    </r>
  </si>
  <si>
    <r>
      <rPr>
        <b val="true"/>
        <sz val="10"/>
        <color rgb="FF00008B"/>
        <rFont val="Inter"/>
        <family val="0"/>
        <charset val="1"/>
      </rPr>
      <t xml:space="preserve">Focus area: </t>
    </r>
    <r>
      <rPr>
        <sz val="10"/>
        <color rgb="FF00008B"/>
        <rFont val="Inter"/>
        <family val="0"/>
        <charset val="1"/>
      </rPr>
      <t xml:space="preserve">Technology (AI-led modernization) + Operations
(2026) SLGS India marked 20 years in India, citing 20+ Gen AI innovation pilots built for global deployment, 1,100+ engineers and 200+ AWS professionals, partnerships with IIT Indore and work with 20+ FinTech/InsurTech startups.
(May 2026) Sun Life appointed Bianca Ilibasic (ex-VP &amp; Chief Operations Officer, Sun Life Asia) as MD of SLGS across India and the Philippines, effective 18 May 2026.
(May 2026) Ilibasic's stated mandate is to scale SLGS as an enterprise capability supporting Sun Life across 28 markets, with teams spanning Technology, Operations, Analytics, Actuarial, HR, Finance and Risk &amp; Compliance.</t>
    </r>
  </si>
  <si>
    <t xml:space="preserve">https://www.sunlife.com/slgs/en/newsroom/press-releases/2026/sun-life-global-solutions-india-at-20/
https://www.sunlife.com/slgs/en/newsroom/press-releases/2026/sun-life-appoints-bianca-ilibasic-as-managing-director-sun-life/
https://reinasia.com/bianca-ilibasic-appointed-md-for-sun-life-global-solutions/</t>
  </si>
  <si>
    <r>
      <rPr>
        <sz val="10"/>
        <color theme="1"/>
        <rFont val="Inter"/>
        <family val="0"/>
        <charset val="1"/>
      </rPr>
      <t xml:space="preserve">Tarun Sareen
</t>
    </r>
    <r>
      <rPr>
        <b val="true"/>
        <sz val="10"/>
        <color rgb="FF00008B"/>
        <rFont val="Inter"/>
        <family val="0"/>
        <charset val="1"/>
      </rPr>
      <t xml:space="preserve">
[Oct'26 update – correction] </t>
    </r>
    <r>
      <rPr>
        <sz val="10"/>
        <color rgb="FF00008B"/>
        <rFont val="Inter"/>
        <family val="0"/>
        <charset val="1"/>
      </rPr>
      <t xml:space="preserve">Bianca Ilibasic, Managing Director, Sun Life Global Solutions (India &amp; Philippines) - appointed 18 May 2026; previously VP &amp; Chief Operations Officer, Sun Life Asia.
Source: https://www.sunlife.com/slgs/en/newsroom/press-releases/2026/sun-life-appoints-bianca-ilibasic-as-managing-director-sun-life/
https://www.sunlife.com/slgs/en/about-us/our-leaders/bianca-ilibasic/
https://reinasia.com/bianca-ilibasic-appointed-md-for-sun-life-global-solutions/</t>
    </r>
  </si>
  <si>
    <t xml:space="preserve">Since 2006</t>
  </si>
  <si>
    <t xml:space="preserve">Sujoy Ghosh</t>
  </si>
  <si>
    <t xml:space="preserve">1.Sun Life Global Solutions India at 20: Driving Enterprise Impact, Innovation and transformation
2.India and the Philippines together serve all Sun Life geographies — Canada, the U.S., Asia, and Asset Management &amp; Corporate functions. Over two decades, SLGS moved from application maintenance and operations to enterprise‑wide digital transformation, AI, engineering, analytics, actuarial, finance, legal, and HR shared services.
3.In 2024–2025, SLGS developed 20+ Generative AI proofs‑of‑concept, many of which moved into production — including intelligent chatbots, workflow automation, and developer productivity tools.
4.India teams now handle complete customer and policy lifecycles, including onboarding, underwriting, servicing, and claims for multiple product lines.
5.SLGS is scaling AI-led innovation with 20+ GenAI pilots, collaborating with 20+ FinTech and InsurTech startups, and strengthening advanced analytics capabilities through academic partnerships, including IIT Indore.
6.Bianca Ilibasic appointed Managing Director of Sun Life Global Solutions.</t>
  </si>
  <si>
    <t xml:space="preserve">Sun Life Global Solutions India at 20: Driving Enterprise Impact, Innovation and transformation | Sun Life Global Solutions
https://gcc.economictimes.indiatimes.com/videos/power-talks/gccs-as-growth-engines-inside-sun-life-global-solutions-ai-journey/126136910?utm_source=top_news&amp;utm_medium=tagListing
https://etedge-insights.com/trending/sun-life-global-solutions-india-marks-20-years-of-transformation-and-innovation/
https://www.techcircle.in/2025/07/14/significant-rise-in-strategic-leadership-roles-at-sun-life-global-solutions-in-last-5-yrs-ajayan-narayanan
https://www.expresscomputer.in/exclusives/mirror-operations-shifted-us-from-lift-and-shift-to-transform-and-shift-rajat-vibhas-sun-life-global-solutions-india/127163/
https://www.linkedin.com/posts/gccpulse_globalcapabilitycentres-gccnews-activity-7431629843320020992-fAJE/
https://gcc.economictimes.indiatimes.com/news/people-culture/bianca-ilibasic-appointed-managing-director-of-sun-life-global-solutions/131171852</t>
  </si>
  <si>
    <t xml:space="preserve">Group level only </t>
  </si>
  <si>
    <r>
      <rPr>
        <sz val="10"/>
        <color theme="1"/>
        <rFont val="Inter"/>
        <family val="0"/>
        <charset val="1"/>
      </rPr>
      <t xml:space="preserve">Optum India (GCC)
</t>
    </r>
    <r>
      <rPr>
        <b val="true"/>
        <sz val="10"/>
        <color rgb="FF00008B"/>
        <rFont val="Inter"/>
        <family val="0"/>
        <charset val="1"/>
      </rPr>
      <t xml:space="preserve">
[Oct'26 update – correction] </t>
    </r>
    <r>
      <rPr>
        <sz val="10"/>
        <color rgb="FF00008B"/>
        <rFont val="Inter"/>
        <family val="0"/>
        <charset val="1"/>
      </rPr>
      <t xml:space="preserve">Optum India - Optum Global Solutions (India) Private Limited (UnitedHealth Group; India legal entity launched Apr 2011)
Source: https://www.optum.in/content/dam/optum3/optum/india/images/Optum%20in%20India%20brochure.pdf
https://lei.bloomberg.com/leis/view/6354002HYUD7BHRA3L38
https://www.optum.in/about.html</t>
    </r>
  </si>
  <si>
    <t xml:space="preserve">Hyderabad, Bengaluru, Chennai, Noida and Gurugram
https://www.optum.in/contact.html</t>
  </si>
  <si>
    <r>
      <rPr>
        <b val="true"/>
        <sz val="10"/>
        <color rgb="FF00008B"/>
        <rFont val="Inter"/>
        <family val="0"/>
        <charset val="1"/>
      </rPr>
      <t xml:space="preserve">[Oct'26 update – addition] </t>
    </r>
    <r>
      <rPr>
        <sz val="10"/>
        <color rgb="FF00008B"/>
        <rFont val="Inter"/>
        <family val="0"/>
        <charset val="1"/>
      </rPr>
      <t xml:space="preserve">Technology (software/product engineering, health data analytics, claims technology, pharmacy care platforms, digital health apps, AI), healthcare operations (claims processing, revenue cycle, clinical/pharmacy support), customer operations and shared services
Source: https://www.businessofgcc.com/gcc-data/companies/unitedhealth-group-india-gurugram
https://prod-in.optum.com/about/news/how-gccs-are-shaping-global-strategies-future-leaders.html
https://zinnov.com/centers-of-excellence/healthcare-gccs-in-india-the-state-of-play-2026-blog/</t>
    </r>
  </si>
  <si>
    <r>
      <rPr>
        <b val="true"/>
        <sz val="10"/>
        <color rgb="FF00008B"/>
        <rFont val="Inter"/>
        <family val="0"/>
        <charset val="1"/>
      </rPr>
      <t xml:space="preserve">[Oct'26 update – addition] </t>
    </r>
    <r>
      <rPr>
        <sz val="10"/>
        <color rgb="FF00008B"/>
        <rFont val="Inter"/>
        <family val="0"/>
        <charset val="1"/>
      </rPr>
      <t xml:space="preserve">30,000+ (Optum India's own brochure). Third-party: ~40,000 with a stated target of 45,000 by 2027 (businessofgcc GCC profile, 2026).
Source: https://www.optum.in/content/dam/optum3/optum/india/images/Optum%20in%20India%20brochure.pdf
https://www.businessofgcc.com/gcc-data/companies/unitedhealth-group-india-gurugram</t>
    </r>
  </si>
  <si>
    <r>
      <rPr>
        <b val="true"/>
        <sz val="10"/>
        <color rgb="FF00008B"/>
        <rFont val="Inter"/>
        <family val="0"/>
        <charset val="1"/>
      </rPr>
      <t xml:space="preserve">Focus area: </t>
    </r>
    <r>
      <rPr>
        <sz val="10"/>
        <color rgb="FF00008B"/>
        <rFont val="Inter"/>
        <family val="0"/>
        <charset val="1"/>
      </rPr>
      <t xml:space="preserve">Technology (AI, engineering) + Operations (claims/healthcare ops scale-up)
(2025) Optum Global Solutions leased 500,000 sq ft at Embassy Splendid Tech Zone, Chennai (Rs 70-75/sq ft), for a new healthcare GCC slated to start by Q3 2025, adding to ~750,000 sq ft already occupied in Noida and Bengaluru.
(2026, month n/a) GCC trackers put Optum India at ~40,000 professionals across health data analytics, software engineering, claims technology and pharmacy platforms, with a target of 45,000 by 2027; Optum's own brochure cites a 30K+ workforce across five cities.
(2026, month n/a) Optum India MD Uma Ratnam Krishnan was named in Analytics India Magazine's Top Life Sciences and Healthcare GCC Heads in India 2026 and is a listed speaker at the nasscom GCC Summit 2026.</t>
    </r>
  </si>
  <si>
    <t xml:space="preserve">https://www.digitalhealthnews.com/optum-expands-healthcare-gcc-network-with-chennai-office-lease
https://www.businessofgcc.com/gcc-data/companies/unitedhealth-group-india-gurugram
https://www.optum.in/about/news/uma-ratnam-krishnan-top-gcc-leader-2026.html
https://www.optum.in/content/dam/optum3/optum/india/images/Optum%20in%20India%20brochure.pdf</t>
  </si>
  <si>
    <t xml:space="preserve">Uma Ratnam Krishnan (MD &amp; CEO ) of optum india</t>
  </si>
  <si>
    <t xml:space="preserve">Since 2022
</t>
  </si>
  <si>
    <t xml:space="preserve">Andrew Witty</t>
  </si>
  <si>
    <r>
      <rPr>
        <sz val="10"/>
        <color theme="1"/>
        <rFont val="Inter"/>
        <family val="0"/>
        <charset val="1"/>
      </rPr>
      <t xml:space="preserve">1.'- Optum is advancing AI-powered digital prior authorization to reshape care delivery
 - Optum uses AI to drive affordability and accelerate value-based care adoption
 - Optum Real expands with Microsoft to improve the provider experience across claims and reimbursement
 - Optum IIIT-Hyderabad to set up startup studio
 - ANSR and Optum Launch AI Platform for Healthcare's In-House Tech Hubs
 - GCCs are shaping global healthcare strategies and future leaders
2.With over two decades of presence and operations across five cities, Optum India exemplifies this evolution. The center integrates technology, data, operations and clinical expertise to deliver end-to-end healthcare solutions. “We are not just supporting global teams — we are co-creating with them,” Krishnan noted.
3.A key driver of this transformation is India’s vast and diverse talent pool. In India, over 1.6 million professionals are currently employed in GCCs, and that number is expected to rise to 4.2 million by 2030. Krishnan also underscored the growing inclusion of women in leadership, with 30% of future global roles expected to be held by women in India. 
She called for continued investment in second-tier cities like Indore, Vizag and Kota to tap into untapped talent and reduce operational costs.
</t>
    </r>
    <r>
      <rPr>
        <sz val="10"/>
        <color theme="6"/>
        <rFont val="EYInterstate"/>
        <family val="0"/>
        <charset val="1"/>
      </rPr>
      <t xml:space="preserve">4.ANSR has launched a new Healthcare GCC Accelerator powered by advanced AI capabilities in partnership with Optum. Announced on April 2, 2026, the platform helps healthcare enterprises rapidly build and scale AI-enabled Global Capability Centres (GCCs) by integrating strategy, site setup, workforce planning, governance, and Optum.ai technologies for modernizing operations in areas like revenue cycle management, prior authorization, and clinical workflows.</t>
    </r>
  </si>
  <si>
    <t xml:space="preserve">https://www.optum.com/en/about-us/news/page.hub5.ai-powered-digital-prior-authorization.html
https://briefglance.com/articles/ansr-and-optum-launch-ai-platform-for-healthcares-in-house-tech-hubs
https://www.optum.com/en/about-us/news/page.hub5.ai-drives-affordability-accelerate-value-based-care-adoption.html
Optum is advancing AI-powered digital prior authorization to reshape care delivery
https://www.optum.com/en/about-us/news/page.hub5.ai-drives-affordability-accelerate-value-based-care-adoption.html
https://www.optum.com/en/about-us/news/page.hub5.improving-provider-experience-across-claims-reimbursement.html
https://telanganatoday.com/optum-iiit-hyderabad-to-set-up-startup-studio
https://www.optum.in/about/news/how-gccs-are-shaping-global-strategies-future-leaders.html
https://healthbuzz.in/ansr-launches-ai-powered-healthcare-gcc-accelerator-to-accelerate-digital-transformation/
</t>
  </si>
  <si>
    <t xml:space="preserve">Work here</t>
  </si>
  <si>
    <t xml:space="preserve">Chetan Garg</t>
  </si>
  <si>
    <r>
      <rPr>
        <sz val="10"/>
        <color theme="1"/>
        <rFont val="Inter"/>
        <family val="0"/>
        <charset val="1"/>
      </rPr>
      <t xml:space="preserve">Prudential Service India (GCC)
</t>
    </r>
    <r>
      <rPr>
        <b val="true"/>
        <sz val="10"/>
        <color rgb="FF00008B"/>
        <rFont val="Inter"/>
        <family val="0"/>
        <charset val="1"/>
      </rPr>
      <t xml:space="preserve">
[Oct'26 update – correction] </t>
    </r>
    <r>
      <rPr>
        <sz val="10"/>
        <color rgb="FF00008B"/>
        <rFont val="Inter"/>
        <family val="0"/>
        <charset val="1"/>
      </rPr>
      <t xml:space="preserve">Prudential Services India (global services hub of Prudential plc, Bengaluru; opened 12 Mar 2025)
Source: https://www.prudentialplc.com/en/newsroom/company-news/2025/prudential-launches-global-services-hub-in-bengaluru-india/
https://www.asiainsurancereview.com/News/View-NewsLetter-Article/id/91026/Type/eDaily</t>
    </r>
  </si>
  <si>
    <t xml:space="preserve">Bengaluru
https://www.prudentialplc.com/en/newsroom/company-news/2025/prudential-launches-global-services-hub-in-bengaluru-india/</t>
  </si>
  <si>
    <t xml:space="preserve">Technology, operations, data, AI, software development, automated testing, cybersecurity, data analytics, innovation and digital transformation
https://www.prudentialplc.com/en/newsroom/company-news/2025/prudential-launches-global-services-hub-in-bengaluru-india/</t>
  </si>
  <si>
    <r>
      <rPr>
        <sz val="10"/>
        <color rgb="FF3A7D22"/>
        <rFont val="Inter"/>
        <family val="0"/>
        <charset val="1"/>
      </rPr>
      <t xml:space="preserve">Not Verifiable (~400 (Mar'25))
https://www.prudentialplc.com/en/newsroom/company-news/2025/prudential-launches-global-services-hub-in-bengaluru-india/
</t>
    </r>
    <r>
      <rPr>
        <b val="true"/>
        <sz val="10"/>
        <color rgb="FF00008B"/>
        <rFont val="Inter"/>
        <family val="0"/>
        <charset val="1"/>
      </rPr>
      <t xml:space="preserve">
[Oct'26 update – correction] </t>
    </r>
    <r>
      <rPr>
        <sz val="10"/>
        <color rgb="FF00008B"/>
        <rFont val="Inter"/>
        <family val="0"/>
        <charset val="1"/>
      </rPr>
      <t xml:space="preserve">Current FTE not disclosed. Company target: 400+ technology, AI/data and operations professionals within three years of the Mar 2025 launch.
Source: https://www.prudentialplc.com/en/newsroom/company-news/2025/prudential-launches-global-services-hub-in-bengaluru-india/
https://www.finews.asia/finance/42932-prudential-services-india-bengaluru-technology-data-ai-software-development-automated-testing-cybersecurity</t>
    </r>
  </si>
  <si>
    <r>
      <rPr>
        <b val="true"/>
        <sz val="10"/>
        <color rgb="FF00008B"/>
        <rFont val="Inter"/>
        <family val="0"/>
        <charset val="1"/>
      </rPr>
      <t xml:space="preserve">Focus area: </t>
    </r>
    <r>
      <rPr>
        <sz val="10"/>
        <color rgb="FF00008B"/>
        <rFont val="Inter"/>
        <family val="0"/>
        <charset val="1"/>
      </rPr>
      <t xml:space="preserve">Technology (data, AI, software, cyber) + Operations
(Mar 2025) Prudential plc opened Prudential Services India in Bengaluru on 12 Mar 2025, one of two global services hubs for Asia &amp; Africa, targeting 400+ technology, AI/data and operations professionals within three years; launch officiated by CTOO Anette Bronder.
(Jun 2025) Prudential plc's CEO met Finance Minister Nirmala Sitharaman and reaffirmed the group's strategic commitment to India (services hub plus health-insurance JV). [not audited - budget]
(Aug 2026) Prudential plc's 2026 half-year results (27 Aug 2026; adjusted operating profit +9% to USD 1,812m, new business profit +8%) continued the group's investment programme; no hub-specific statement was visible in search extracts.</t>
    </r>
  </si>
  <si>
    <t xml:space="preserve">https://www.prudentialplc.com/en/newsroom/company-news/2025/prudential-launches-global-services-hub-in-bengaluru-india/
https://www.malaymail.com/news/money/mediaoutreach/2025/06/20/prudential-plc-ceo-expresses-strategic-commitment-to-india-in-meeting-with-union-finance-minister-nirmala-sitharaman/390189
https://www.prudentialplc.com/en/newsroom/company-news/2026/prudential-plc-2026-half-year-results/</t>
  </si>
  <si>
    <t xml:space="preserve">Naveen Tahilyani
https://www.prudentialplc.com/en/newsroom/company-news/2025/prudential-plc-appoints-new-regional-ceo-and-new-eastspring-ceo/
[Oct'26 re-check] Searched 'Prudential Services India head / country head / hub lead / managing director 2026' (extended) and 'Prudential Services India linkedin head of' (extended): no named site head returned. Only a Bengaluru 'Director - HR Operations, Systems and Shared Services' vacancy surfaced. Recommend sheet shows 'Not publicly disclosed (reports to Anette Bronder, CTOO, Prudential plc)'.</t>
  </si>
  <si>
    <t xml:space="preserve">400+</t>
  </si>
  <si>
    <t xml:space="preserve">Since 2025
</t>
  </si>
  <si>
    <t xml:space="preserve">Anil Wadhwani</t>
  </si>
  <si>
    <t xml:space="preserve">1.Prudential Launches Global Services Hub in Bengaluru, India. This strategic investment underscores Prudential’s commitment to the Indian market and its focus on digital transformation. It is one of only two global services hubs supporting Prudential’s operations across Asia and Africa (24 markets).
2.This strategic GCC will serve as a critical engine for innovation, supporting Prudential’s operations across Asia and Africa, and is set to hire over 400 professionals in areas such as AI, data science, software development, cybersecurity, and automated testing in the next three years.
3.Prudential plc repositions its India operations through a controlling stake in Bharti Life Insurance</t>
  </si>
  <si>
    <t xml:space="preserve">Prudential Launches Global Services Hub in Bengaluru, India | Prudential plc
https://hubbis.com/news/prudential-establishes-global-services-hub-in-india-to-drive-innovation
https://www.londonstockexchange.com/news-article/PRU/prudential-plc-repositions-its-india-operations/17595604</t>
  </si>
  <si>
    <t xml:space="preserve">Prudential Launches Global Services Hub in Bengaluru, India | Prudential plc</t>
  </si>
  <si>
    <r>
      <rPr>
        <sz val="10"/>
        <color theme="1"/>
        <rFont val="Inter"/>
        <family val="0"/>
        <charset val="1"/>
      </rPr>
      <t xml:space="preserve">Principal Global Services(GCC)
(Principal Financial Group, USA)
</t>
    </r>
    <r>
      <rPr>
        <b val="true"/>
        <sz val="10"/>
        <color rgb="FF00008B"/>
        <rFont val="Inter"/>
        <family val="0"/>
        <charset val="1"/>
      </rPr>
      <t xml:space="preserve">
[Oct'26 update – correction] </t>
    </r>
    <r>
      <rPr>
        <sz val="10"/>
        <color rgb="FF00008B"/>
        <rFont val="Inter"/>
        <family val="0"/>
        <charset val="1"/>
      </rPr>
      <t xml:space="preserve">Principal Global Services (Principal Financial Group, USA) - India global in-house centre, operating since 2006
Source: https://nodeflair.com/companies/principal-global-services
https://www.linkedin.com/company/principalglobalservices</t>
    </r>
  </si>
  <si>
    <t xml:space="preserve">Pune and Hyderabad
https://www.principal.com/about-us/our-company/worldwide-locations</t>
  </si>
  <si>
    <t xml:space="preserve">Technology, Engineering, Retirement Services, Insurance Operations, Asset Management Support, Data Analytics, Compliance, Finance, HR, Risk Functions
https://careers.principal.com/in/jobs</t>
  </si>
  <si>
    <r>
      <rPr>
        <sz val="10"/>
        <color rgb="FF3A7D22"/>
        <rFont val="Inter"/>
        <family val="0"/>
        <charset val="1"/>
      </rPr>
      <t xml:space="preserve">Not Verifiable (~3061,Sep'24)
https://tracxn.com/d/legal-entities/india/principal-global-services-private-limited/___3ABQRX0xxtgd7vcLSrpOuFKxh8AUe7St6BOxpA9ydo
</t>
    </r>
    <r>
      <rPr>
        <b val="true"/>
        <sz val="10"/>
        <color rgb="FF00008B"/>
        <rFont val="Inter"/>
        <family val="0"/>
        <charset val="1"/>
      </rPr>
      <t xml:space="preserve">
[Oct'26 update – correction] </t>
    </r>
    <r>
      <rPr>
        <sz val="10"/>
        <color rgb="FF00008B"/>
        <rFont val="Inter"/>
        <family val="0"/>
        <charset val="1"/>
      </rPr>
      <t xml:space="preserve">1,001-5,000 (company profile band, global incl. Manila). Researcher's '4,000+ across Pune and Hyderabad' (careers.principal.com/in) not independently re-surfaced; treat as indicative.
Source: https://nodeflair.com/companies/principal-global-services
https://careers.principal.com/in</t>
    </r>
  </si>
  <si>
    <r>
      <rPr>
        <b val="true"/>
        <sz val="10"/>
        <color rgb="FF00008B"/>
        <rFont val="Inter"/>
        <family val="0"/>
        <charset val="1"/>
      </rPr>
      <t xml:space="preserve">Focus area: </t>
    </r>
    <r>
      <rPr>
        <sz val="10"/>
        <color rgb="FF00008B"/>
        <rFont val="Inter"/>
        <family val="0"/>
        <charset val="1"/>
      </rPr>
      <t xml:space="preserve">Technology + Operations (medium-low confidence: no dated 2025-26 Principal newsroom item on the India hub surfaced)
(2026, month n/a) Principal Global Services operates as Principal Financial Group's global in-house centre from Pune, Hyderabad and Manila (1,001-5,000 staff band), supporting technology and business functions for retirement, insurance and asset management.
(2025-26, month n/a) Long-time MD Madhavi Dahanukar left Principal Global Services to become EVP &amp; Global Head of Operations at EXL (EXL bio cites her prior CEO role at the Principal captive); a successor for the India hub has not been announced publicly.</t>
    </r>
  </si>
  <si>
    <t xml:space="preserve">https://nodeflair.com/companies/principal-global-services
https://careers.principal.com/in
https://www.exlservice.com/bio/madhavi-dahanukar</t>
  </si>
  <si>
    <r>
      <rPr>
        <sz val="10"/>
        <color theme="1"/>
        <rFont val="Inter"/>
        <family val="0"/>
        <charset val="1"/>
      </rPr>
      <t xml:space="preserve">Madhavi Dahanukar
</t>
    </r>
    <r>
      <rPr>
        <b val="true"/>
        <sz val="10"/>
        <color rgb="FF00008B"/>
        <rFont val="Inter"/>
        <family val="0"/>
        <charset val="1"/>
      </rPr>
      <t xml:space="preserve">
[Oct'26 update – correction] </t>
    </r>
    <r>
      <rPr>
        <sz val="10"/>
        <color rgb="FF00008B"/>
        <rFont val="Inter"/>
        <family val="0"/>
        <charset val="1"/>
      </rPr>
      <t xml:space="preserve">Madhavi Dahanukar has left: she is now Executive Vice President &amp; Global Head of Operations at EXL (EXL bio describes her prior role as CEO of the Principal captive). Current head of Principal Global Services India not publicly identified.
Source: https://www.exlservice.com/bio/madhavi-dahanukar
https://hrtoday.in/madhavi-dahanukar-appointed-as-executive-vice-president-and-global-head-of-operations-at-exl/
https://sharedservicesforum.in/?p=5928</t>
    </r>
  </si>
  <si>
    <t xml:space="preserve">Dan Houston</t>
  </si>
  <si>
    <t xml:space="preserve">1. Scope of services Restricted
2. Business Relationship Restricted
3. Firm Loan Restricted
4. Consultation Required on Scope of Service
5. Audit Client Vendor 
6. GCSP Approval is Required
7. ACPA and/or IESBA Pre-concurrence Required</t>
  </si>
  <si>
    <t xml:space="preserve">1.Principal Financial Group has been recognized as one of the 2024 Top Employers for Tech Talent™ in India by the Everest Group. Principal Global Services ranked in the top 25 companies in the assessment conducted for India-based tech centers of more than 140 brands. 
2.Principal added an AI-Generated Answer feature to its public site Search function, making the firm the first in our coverage group to implement AI within the customer-facing digital experience.
</t>
  </si>
  <si>
    <t xml:space="preserve">https://www.linkedin.com/posts/principalglobalservices_we-are-proud-to-announce-that-principal-financial-activity-7249737828945850368-sWEF/
https://corporateinsight.com/ai-in-life-insurance-principals-feature-and-new-adoption-tools/</t>
  </si>
  <si>
    <t xml:space="preserve">Worldwide locations | Principal</t>
  </si>
  <si>
    <r>
      <rPr>
        <sz val="10"/>
        <color theme="1"/>
        <rFont val="Inter"/>
        <family val="0"/>
        <charset val="1"/>
      </rPr>
      <t xml:space="preserve">N2G Worldwide Insurance Services
</t>
    </r>
    <r>
      <rPr>
        <b val="true"/>
        <sz val="10"/>
        <color rgb="FF00008B"/>
        <rFont val="Inter"/>
        <family val="0"/>
        <charset val="1"/>
      </rPr>
      <t xml:space="preserve">
[Oct'26 update – correction] </t>
    </r>
    <r>
      <rPr>
        <sz val="10"/>
        <color rgb="FF00008B"/>
        <rFont val="Inter"/>
        <family val="0"/>
        <charset val="1"/>
      </rPr>
      <t xml:space="preserve">N2G Global Services Private Limited, Pune - India GCC of N2G Worldwide Insurance Services, LLC (New Jersey JV of Nationwide Mutual Insurance and Generali Global Corporate &amp; Commercial); set-up advised by TT&amp;A, announced Mar 2025
Source: https://www.barandbench.com/law-firms/dealstreet/tta-assists-n2g-insurance-on-setting-up-global-capability-center-in-india
https://tta.in/?p=12496
https://www.generalicee.com/article/press-releases/nationwide-and-generali-announce-joint-venture-to-offer-seamless-multinational-commercial-insurance-solutions</t>
    </r>
  </si>
  <si>
    <t xml:space="preserve">Pune
https://tracxn.com/d/legal-entities/india/n2g-global-services-private-limited/__Hhb-sbfnRo-8huMcAvjdWgmIvrM7KoBJBcoNxRAoaJM#about</t>
  </si>
  <si>
    <t xml:space="preserve">Technology and Business operations
https://in.linkedin.com/company/n2g-global-services</t>
  </si>
  <si>
    <r>
      <rPr>
        <sz val="10"/>
        <color theme="1"/>
        <rFont val="Inter"/>
        <family val="0"/>
        <charset val="1"/>
      </rPr>
      <t xml:space="preserve">Not verifiable
</t>
    </r>
    <r>
      <rPr>
        <b val="true"/>
        <sz val="10"/>
        <color rgb="FF00008B"/>
        <rFont val="Inter"/>
        <family val="0"/>
        <charset val="1"/>
      </rPr>
      <t xml:space="preserve">
[Oct'26 re-check] </t>
    </r>
    <r>
      <rPr>
        <sz val="10"/>
        <color rgb="FF00008B"/>
        <rFont val="Inter"/>
        <family val="0"/>
        <charset val="1"/>
      </rPr>
      <t xml:space="preserve">Two searches (Tracxn/LinkedIn headcount) returned no figure. Keep RocketReach ~28 as indicative only.</t>
    </r>
  </si>
  <si>
    <r>
      <rPr>
        <b val="true"/>
        <sz val="10"/>
        <color rgb="FF00008B"/>
        <rFont val="Inter"/>
        <family val="0"/>
        <charset val="1"/>
      </rPr>
      <t xml:space="preserve">Focus area: </t>
    </r>
    <r>
      <rPr>
        <sz val="10"/>
        <color rgb="FF00008B"/>
        <rFont val="Inter"/>
        <family val="0"/>
        <charset val="1"/>
      </rPr>
      <t xml:space="preserve">Technology + Operations (new-build GCC)
(Mar 2025) N2G Worldwide Insurance Services announced its India global capability centre in Pune (N2G Global Services Pvt Ltd; advised by Talwar Thakore &amp; Associates on incorporation and intercompany agreements) to access Indian talent in information technology and insurance operations.
(Feb 2020) Parent N2G was formed as a Nationwide Mutual-Generali Global Corporate &amp; Commercial joint venture offering multinational commercial insurance in 160+ countries, the business the Pune centre now supports.</t>
    </r>
  </si>
  <si>
    <t xml:space="preserve">https://www.barandbench.com/law-firms/dealstreet/tta-assists-n2g-insurance-on-setting-up-global-capability-center-in-india
https://tta.in/?p=12496
https://carriermanagement.com/news/2020/02/27/203728.htm</t>
  </si>
  <si>
    <r>
      <rPr>
        <sz val="10"/>
        <color theme="1"/>
        <rFont val="Inter"/>
        <family val="0"/>
        <charset val="1"/>
      </rPr>
      <t xml:space="preserve">Not disclosed
</t>
    </r>
    <r>
      <rPr>
        <b val="true"/>
        <sz val="10"/>
        <color rgb="FF00008B"/>
        <rFont val="Inter"/>
        <family val="0"/>
        <charset val="1"/>
      </rPr>
      <t xml:space="preserve">
[Oct'26 re-check – existing text could not be independently verified] </t>
    </r>
    <r>
      <rPr>
        <sz val="10"/>
        <color rgb="FF00008B"/>
        <rFont val="Inter"/>
        <family val="0"/>
        <charset val="1"/>
      </rPr>
      <t xml:space="preserve">Two searches ('Sachin Joshi N2G Global Services Pune Head of IT' and an N2G/LinkedIn director query) returned no result linking Sachin Joshi or Christian Zwingel to N2G Global Services; the LinkedIn profile URLs could not be corroborated, so the leader addition is rejected.</t>
    </r>
  </si>
  <si>
    <t xml:space="preserve">Not available</t>
  </si>
  <si>
    <t xml:space="preserve">11–50 Pune</t>
  </si>
  <si>
    <t xml:space="preserve">Since 2025</t>
  </si>
  <si>
    <t xml:space="preserve">Kevin M strong</t>
  </si>
  <si>
    <t xml:space="preserve">Not found in GIS</t>
  </si>
  <si>
    <r>
      <rPr>
        <sz val="10"/>
        <color theme="1"/>
        <rFont val="Inter"/>
        <family val="0"/>
        <charset val="1"/>
      </rPr>
      <t xml:space="preserve">N2G Worldwide Insurance Services, LLC (the joint venture between Nationwide and Generali) in India
1.Bar &amp; Bench (Dealstreet, March 6, 2025) confirms the establishment of N2G’s GCC in Pune, India, including legal and operational setup
2. Mar' 26 - TT&amp;A advised N2G Worldwide Insurance Services, LLC, a leading provider of a variety of insurance products around the world, to establish its global capability center (GCC) in India. The TT&amp;A team provided end-to-end assistance in setting up the GCC including entity incorporation, formalizing various intercompany agreements, and providing legal and regulatory advice in relation to the establishment of the GCC. 
</t>
    </r>
    <r>
      <rPr>
        <sz val="10"/>
        <color theme="6"/>
        <rFont val="EYInterstate"/>
        <family val="0"/>
        <charset val="1"/>
      </rPr>
      <t xml:space="preserve">3.TT&amp;A assisted N2G Worldwide Insurance Services, LLC, on establishing its global capability center in India.</t>
    </r>
  </si>
  <si>
    <t xml:space="preserve">https://news.nationwide.com/kevin-m-strong-named-new-n2g-ceo/
https://n2g.com/about.html
https://tta.in/tta-advised-n2g-worldwide-insurance-services-llc-in-relation-to-the-establishment-of-the-gcc/
https://www.barandbench.com/dealstreet/tta-assists-n2g-insurance-on-setting-up-global-capability-center-in-india
</t>
  </si>
  <si>
    <t xml:space="preserve">Agnes Dres</t>
  </si>
  <si>
    <r>
      <rPr>
        <sz val="10"/>
        <color theme="1"/>
        <rFont val="Inter"/>
        <family val="0"/>
        <charset val="1"/>
      </rPr>
      <t xml:space="preserve">ERGO Technology and Services Pvt. Ltd.
</t>
    </r>
    <r>
      <rPr>
        <b val="true"/>
        <sz val="10"/>
        <color rgb="FF00008B"/>
        <rFont val="Inter"/>
        <family val="0"/>
        <charset val="1"/>
      </rPr>
      <t xml:space="preserve">
[Oct'26 update – correction] </t>
    </r>
    <r>
      <rPr>
        <sz val="10"/>
        <color rgb="FF00008B"/>
        <rFont val="Inter"/>
        <family val="0"/>
        <charset val="1"/>
      </rPr>
      <t xml:space="preserve">ERGO Technology &amp; Services Private Limited (ET&amp;S India; established Mumbai early 2022; technology hub of ERGO Group / Munich Re alongside ITERGO Germany and ET&amp;S Poland)
Source: https://www.ergo.com/en/microsite/ergo-technology-services-india
https://www.ergo.com/en/microsite/ergo-technology-services-india/about-ets-india</t>
    </r>
  </si>
  <si>
    <t xml:space="preserve">Mumbai
https://www.ambitionbox.com/overview/ergo-technology-and-services-overview/locations</t>
  </si>
  <si>
    <t xml:space="preserve">Software Engineering, Enterprise IT, Digital Transformation, Insurance Technology, Global IT Services, Product Development Support
https://www.ergo.com/en/microsite/ergo-technology-services-india/expertise</t>
  </si>
  <si>
    <r>
      <rPr>
        <sz val="10"/>
        <color rgb="FF3A7D22"/>
        <rFont val="Inter"/>
        <family val="0"/>
        <charset val="1"/>
      </rPr>
      <t xml:space="preserve">760
https://www.greatplacetowork.in/great/company/ergo-technology-services-limited/
</t>
    </r>
    <r>
      <rPr>
        <b val="true"/>
        <sz val="10"/>
        <color rgb="FF00008B"/>
        <rFont val="Inter"/>
        <family val="0"/>
        <charset val="1"/>
      </rPr>
      <t xml:space="preserve">
[Oct'26 update – correction] </t>
    </r>
    <r>
      <rPr>
        <sz val="10"/>
        <color rgb="FF00008B"/>
        <rFont val="Inter"/>
        <family val="0"/>
        <charset val="1"/>
      </rPr>
      <t xml:space="preserve">557 India-based employees (Great Place to Work India certification data / ERGO microsite, undated). Launch target was 400 software professionals in year one (2022). LeadIQ 'nearly 800' not independently verified.
Source: https://www.greatplacetowork.in/great/company/ergo-technology-services-limited
https://www.ergo.com/en/microsite/ergo-technology-services-india</t>
    </r>
  </si>
  <si>
    <r>
      <rPr>
        <b val="true"/>
        <sz val="10"/>
        <color rgb="FF00008B"/>
        <rFont val="Inter"/>
        <family val="0"/>
        <charset val="1"/>
      </rPr>
      <t xml:space="preserve">Focus area: </t>
    </r>
    <r>
      <rPr>
        <sz val="10"/>
        <color rgb="FF00008B"/>
        <rFont val="Inter"/>
        <family val="0"/>
        <charset val="1"/>
      </rPr>
      <t xml:space="preserve">Technology
(Feb 2022) ERGO Group launched its third tech hub, ERGO Technology &amp; Services Pvt Ltd in Mumbai, targeting 400 software professionals in its first year to support ERGO's ambition of becoming a leading tech-driven insurer.
(Undated, c.2024-25) GPTW India certification data lists 557 India-based employees at ET&amp;S India, Mumbai, i.e. above the year-one target.
(2026) ET&amp;S India operates as the offshore leg of ERGO's three-hub model (ITERGO Germany on-shore, ET&amp;S Poland near-shore, India offshore), providing technology services across the ERGO Group / Munich Re.</t>
    </r>
  </si>
  <si>
    <t xml:space="preserve">https://www.business-standard.com/content/press-releases-ani/ergo-group-ag-launches-3rd-tech-hub-of-ergo-technology-and-services-management-in-mumbai-india-122022801127_1.html
https://tradebrains.in/features/?p=25913
https://www.ergo.com/en/microsite/ergo-technology-services-india
https://www.greatplacetowork.in/great/company/ergo-technology-services-limited</t>
  </si>
  <si>
    <t xml:space="preserve">Mehmood Mansoori</t>
  </si>
  <si>
    <t xml:space="preserve">760-800</t>
  </si>
  <si>
    <t xml:space="preserve">Mehmood Hasan Mansoori</t>
  </si>
  <si>
    <r>
      <rPr>
        <sz val="10"/>
        <color theme="1"/>
        <rFont val="Inter"/>
        <family val="0"/>
        <charset val="1"/>
      </rPr>
      <t xml:space="preserve">1. German insurer Ergo will invest over €130 million over five years to build its generative AI (GenAI) infrastructure.
Mark Klein, Chief Digital Officer of Ergo Group said “We are in the process of scaling AIcross all key processes in multiple countries. The time for pilots is over. These systems now have to deliver measurable business value.” Klein added that Ergo has already deployed over 110 AI algorithms across business functions, and is focused on expanding these use cases across seven European markets. “Scaling is essential. AI doesn’t come cheap. If you don’t reuse assets and deploy solutions across markets, you will never arrive at a sustainable business case,”
2. Aug' 25 - CamCom Technologies, an award-winning, industry-agnostic computer vision company headquartered in Bengaluru, has entered into a strategic partnership with ERGO Group AG, one of Europe's leading insurance groups. Under this collaboration, CamCom will serve as the primary technology partner for ERGO's AI-powered visual inspection solution, which is now being rolled out across multiple European markets.
</t>
    </r>
    <r>
      <rPr>
        <sz val="10"/>
        <color theme="6"/>
        <rFont val="EYInterstate"/>
        <family val="0"/>
        <charset val="1"/>
      </rPr>
      <t xml:space="preserve">3.ET&amp;S in India is a part of ERGO Technology &amp; Services Management AG, a global technology holding, with competencies in digital transformation, know-how in creating and implementing complex IT systems with a focus on the quality of solutions and a portfolio aligned with the entire value chain of the insurance market.
</t>
    </r>
    <r>
      <rPr>
        <sz val="10"/>
        <color theme="1"/>
        <rFont val="EYInterstate"/>
        <family val="0"/>
        <charset val="1"/>
      </rPr>
      <t xml:space="preserve">
</t>
    </r>
  </si>
  <si>
    <t xml:space="preserve">http://timesofindia.indiatimes.com/articleshow/123018438.cms?utm_source=contentofinterest&amp;utm_medium=text&amp;utm_campaign=cppst
https://mail.itnewsonline.com/news/ERGO-Group-AG-Launches-3rd-Tech-Hub-of-ERGO-Technology-and-Services-Management-in-Mumbai-India/8428
https://www.greatplacetowork.in/great/company/ergo-technology-services-limited
https://contactout.com/Mehmood-Mansoori-19652218
https://www.business-standard.com/content/press-releases-ani/india-s-camcom-technologies-announces-strategic-partnership-with-ergo-group-ag-in-landmark-global-ai-deployment-for-insurance-sector-125080200640_1.html
https://www.ergo.com/en/microsite/ergo-technology-services-india
</t>
  </si>
  <si>
    <t xml:space="preserve">https://contactout.com/Mehmood-Mansoori-19652218
https://www.thecompanycheck.com/people-profile/pramod-kumar-agarwal/ACSPA8606L</t>
  </si>
  <si>
    <t xml:space="preserve">Pramod Kumar Agarwal</t>
  </si>
  <si>
    <r>
      <rPr>
        <sz val="10"/>
        <color theme="1"/>
        <rFont val="Inter"/>
        <family val="0"/>
        <charset val="1"/>
      </rPr>
      <t xml:space="preserve">Hartford Global Services Private ltd</t>
    </r>
    <r>
      <rPr>
        <b val="true"/>
        <sz val="10"/>
        <color rgb="FF00008B"/>
        <rFont val="Inter"/>
        <family val="0"/>
        <charset val="1"/>
      </rPr>
      <t xml:space="preserve">
[Oct'26 update – correction] Hartford Global Services Private Limited (The Hartford's India global technology centre; LEI 335800AJOBD1GXWVBG60; CIN U62099TS2025FTC202536, incorporated 20 Aug 2025, ROC Hyderabad)
Source: https://lei.bloomberg.com/leis/view/335800AJOBD1GXWVBG60
https://tracxn.com/d/legal-entities/india/hartford-global-services-private-limited/__q6pfnoXwGYWtKCykM9tA7AbtKBOhFg6diMkRTAb6UuY
https://www.crematrix.com/blog/?p=1346</t>
    </r>
  </si>
  <si>
    <t xml:space="preserve">1.Technology engineering and Global technology operations
2.Digital platforms
3.Artificial Intelligence
https://gcc.economictimes.indiatimes.com/news/the-hartford-opens-new-technology-center-in-hyderabad-set-to-create-1200-jobs/128704797</t>
  </si>
  <si>
    <r>
      <rPr>
        <sz val="10"/>
        <color theme="1"/>
        <rFont val="Inter"/>
        <family val="0"/>
        <charset val="1"/>
      </rPr>
      <t xml:space="preserve">Not verifiable (~1200 employees)
https://www.linkedin.com/posts/et-gcc_gcc-hartford-globalcapabilitycentres-activity-7431651108068130816-SoGE
</t>
    </r>
    <r>
      <rPr>
        <b val="true"/>
        <sz val="10"/>
        <color rgb="FF00008B"/>
        <rFont val="Inter"/>
        <family val="0"/>
        <charset val="1"/>
      </rPr>
      <t xml:space="preserve">
[Oct'26 re-check] </t>
    </r>
    <r>
      <rPr>
        <sz val="10"/>
        <color rgb="FF00008B"/>
        <rFont val="Inter"/>
        <family val="0"/>
        <charset val="1"/>
      </rPr>
      <t xml:space="preserve">No actual current headcount surfaced. Existing sheet text ('Not verifiable (~1200 employees)') should read as a target, not a current figure.</t>
    </r>
  </si>
  <si>
    <r>
      <rPr>
        <b val="true"/>
        <sz val="10"/>
        <color rgb="FF00008B"/>
        <rFont val="Inter"/>
        <family val="0"/>
        <charset val="1"/>
      </rPr>
      <t xml:space="preserve">Focus area: </t>
    </r>
    <r>
      <rPr>
        <sz val="10"/>
        <color rgb="FF00008B"/>
        <rFont val="Inter"/>
        <family val="0"/>
        <charset val="1"/>
      </rPr>
      <t xml:space="preserve">Technology
(Sep 2025) The Hartford announced (12 Sep 2025) the launch of a technology centre in Hyderabad to drive innovation and AI transformation, its first India entry, and opened the centre on 30 Sep 2025 with a plan to scale to nearly 1,200 staff.
(Jan 2026) Hartford Global Services leased 1.59 lakh sq ft (21st and 22nd floors) at Kalyani Trident, Gachibowli, Hyderabad for about Rs 92.3 lakh a month (Rs 58/sq ft) on a five-year lease with a three-year lock-in; rent starts 1 Mar 2026 (21st floor) and 1 Sep 2026 (22nd floor).
(Feb 2026) Telangana IT Minister D Sridhar Babu formally inaugurated The Hartford's 160,000 sq ft global technology centre in Hyderabad's Financial District on 23 Feb 2026; the centre focuses on AI, digital innovation and engineering, collaborating with The Hartford's US hubs in Hartford, Charlotte, Chicago and Columbus.</t>
    </r>
  </si>
  <si>
    <t xml:space="preserve">https://www.theweek.in/wire-updates/business/2025/09/12/dcm46-the-hartford.html
https://www.crematrix.com/blog/?p=1346
https://www.siasat.com/us-insurance-major-the-hartford-opens-global-tech-centre-in-hyderabad-3374371/</t>
  </si>
  <si>
    <r>
      <rPr>
        <sz val="10"/>
        <color theme="1"/>
        <rFont val="Inter"/>
        <family val="0"/>
        <charset val="1"/>
      </rPr>
      <t xml:space="preserve">Surya Prakash Thammiraju
https://timesofindia.indiatimes.com/city/hyderabad/200-year-old-us-insurer-the-hartford-opens-first-india-global-tech-centre-in-hyderabad/articleshow/128727054.cms
</t>
    </r>
    <r>
      <rPr>
        <b val="true"/>
        <sz val="10"/>
        <color rgb="FF00008B"/>
        <rFont val="Inter"/>
        <family val="0"/>
        <charset val="1"/>
      </rPr>
      <t xml:space="preserve">
[Oct'26 update – correction] </t>
    </r>
    <r>
      <rPr>
        <sz val="10"/>
        <color rgb="FF00008B"/>
        <rFont val="Inter"/>
        <family val="0"/>
        <charset val="1"/>
      </rPr>
      <t xml:space="preserve">Padmavati Rallapalli, Head of HR, The Hartford Technology Center Hyderabad; site/country head not confirmed in credible indexed sources
Source: https://www.thepeoplesboard.com/news/the-hartford-technology-center-in-hyderabad-appoints-padmavati-rallapalli-as-head-of-hr/</t>
    </r>
  </si>
  <si>
    <t xml:space="preserve">~19100 </t>
  </si>
  <si>
    <t xml:space="preserve">20 August 2025 
</t>
  </si>
  <si>
    <t xml:space="preserve">Christopher Swift</t>
  </si>
  <si>
    <t xml:space="preserve">1. GCSP Approval required
</t>
  </si>
  <si>
    <r>
      <rPr>
        <sz val="10"/>
        <color theme="1"/>
        <rFont val="Inter"/>
        <family val="0"/>
        <charset val="1"/>
      </rPr>
      <t xml:space="preserve">1. US-based insurance player The Hartford on Monday opened its first global technology centre in India in February 2026, spread over 1.6 lakh sq ft at Hyderabad’s Financial District, and it is expected to scale up to nearly 1,200 employees over the next few years.
Capgemini engaged to support initial setup and operational excellence of the India GCC.
2. The Chief Data, AI &amp; Operations Officer stated that India teams will apply AI and emerging technologies to elevate enterprise capabilities while maintaining regulatory and ethical standards.
</t>
    </r>
    <r>
      <rPr>
        <sz val="10"/>
        <color theme="6"/>
        <rFont val="EYInterstate"/>
        <family val="0"/>
        <charset val="1"/>
      </rPr>
      <t xml:space="preserve">3.Pritam Banerjee Joins The Hartford India as Senior Director to Lead AI Initiatives Across Business Lines</t>
    </r>
  </si>
  <si>
    <t xml:space="preserve">https://timesofindia.indiatimes.com/city/hyderabad/200-year-old-us-insurer-the-hartford-opens-first-india-global-tech-centre-in-hyderabad/articleshow/128727054.cms
https://www.deccanchronicle.com/business/the-hartford-announces-launch-of-technology-center-in-hyderabad-1903048
https://www.business-standard.com/content/press-releases-ani/the-hartford-opens-technology-center-in-hyderabad-to-accelerate-ai-innovation-125100100615_1.html
https://hrtoday.in/pritam-banerjee-joins-the-hartford-india-as-senior-director-to-lead-ai-initiatives-across-business-lines/
</t>
  </si>
  <si>
    <t xml:space="preserve">Srikanth Lanka</t>
  </si>
  <si>
    <r>
      <rPr>
        <b val="true"/>
        <sz val="10"/>
        <color theme="6"/>
        <rFont val="Inter"/>
        <family val="0"/>
        <charset val="1"/>
      </rPr>
      <t xml:space="preserve">Zurich Insurance group
</t>
    </r>
    <r>
      <rPr>
        <b val="true"/>
        <sz val="10"/>
        <color rgb="FF00008B"/>
        <rFont val="Inter"/>
        <family val="0"/>
        <charset val="1"/>
      </rPr>
      <t xml:space="preserve">
[Oct'26 update – correction] </t>
    </r>
    <r>
      <rPr>
        <sz val="10"/>
        <color rgb="FF00008B"/>
        <rFont val="Inter"/>
        <family val="0"/>
        <charset val="1"/>
      </rPr>
      <t xml:space="preserve">Zurich Insurance Group - Zurich Global Capability Center, Hyderabad (branded 'Zurich Capability Centers'; Indian legal entity name not identified in MCA mirrors)
Source: https://www.prnewswire.com/in/news-releases/zurich-launches-global-capability-center-in-hyderabad-to-power-next-gen-tech-and-ai-302755480.html
https://explorer.hub71.com/news/feed/zurich-insurance-launches-global-capability-center-in-hyderabad-to-advance-ai-and-tech-capabilities
https://www.reinsurancene.ws/zurich-appoints-amit-kalra-to-lead-new-global-capability-center-in-india/</t>
    </r>
  </si>
  <si>
    <t xml:space="preserve">1.Technology operations
2.AI &amp; Analytics
3.Cybersecurity
4.Digital platforms
5.Business operations
https://timesofindia.indiatimes.com/city/hyderabad/zurich-insurance-opens-gcc-in-hyderabad/articleshow/130616701.cms</t>
  </si>
  <si>
    <r>
      <rPr>
        <sz val="10"/>
        <color theme="1"/>
        <rFont val="Inter"/>
        <family val="0"/>
        <charset val="1"/>
      </rPr>
      <t xml:space="preserve">Not verifiable
</t>
    </r>
    <r>
      <rPr>
        <b val="true"/>
        <sz val="10"/>
        <color rgb="FF00008B"/>
        <rFont val="Inter"/>
        <family val="0"/>
        <charset val="1"/>
      </rPr>
      <t xml:space="preserve">
[Oct'26 update – addition] </t>
    </r>
    <r>
      <rPr>
        <sz val="10"/>
        <color rgb="FF00008B"/>
        <rFont val="Inter"/>
        <family val="0"/>
        <charset val="1"/>
      </rPr>
      <t xml:space="preserve">Not disclosed in Zurich's own release; trade press (Hub71 news feed / Digital Terminal) reports the centre will create over 1,000 jobs (Apr 2026)
Source: https://explorer.hub71.com/news/feed/zurich-insurance-launches-global-capability-center-in-hyderabad-to-advance-ai-and-tech-capabilities
https://digitalterminal.in/tech-companies/zurich-insurance-group-launches-new-hyderabad-gcc-to-boost-ai-growth-appoints-amit-kalra-as-global-head</t>
    </r>
  </si>
  <si>
    <r>
      <rPr>
        <b val="true"/>
        <sz val="10"/>
        <color rgb="FF00008B"/>
        <rFont val="Inter"/>
        <family val="0"/>
        <charset val="1"/>
      </rPr>
      <t xml:space="preserve">Focus area: </t>
    </r>
    <r>
      <rPr>
        <sz val="10"/>
        <color rgb="FF00008B"/>
        <rFont val="Inter"/>
        <family val="0"/>
        <charset val="1"/>
      </rPr>
      <t xml:space="preserve">Technology
(Apr 2026) Zurich Insurance Group announced (28 Apr 2026) a Global Capability Center in Hyderabad to advance technology and AI capabilities, with end-to-end ownership across engineering, data and core business operations and AI-enabled ways of working embedded from day one.
(Apr 2026) Zurich said the Hyderabad centre will recruit specialists in cloud engineering, data and AI, application development, cybersecurity and quality engineering; trade press reports it will create over 1,000 jobs.
(Jul 2026) Amit Kalra (ex-Swiss Re, Head of Global Business Solutions) took up the new global role of Head of Zurich Capability Centers from 1 Jul 2026, based in India, to shape group capability-centre strategy and lead the Hyderabad build-out.</t>
    </r>
  </si>
  <si>
    <t xml:space="preserve">https://www.prnewswire.com/in/news-releases/zurich-launches-global-capability-center-in-hyderabad-to-power-next-gen-tech-and-ai-302755480.html
https://explorer.hub71.com/news/feed/zurich-insurance-launches-global-capability-center-in-hyderabad-to-advance-ai-and-tech-capabilities
https://www.reinsurancene.ws/zurich-appoints-amit-kalra-to-lead-new-global-capability-center-in-india/</t>
  </si>
  <si>
    <t xml:space="preserve">60000+</t>
  </si>
  <si>
    <t xml:space="preserve">April,2026</t>
  </si>
  <si>
    <t xml:space="preserve">Mario Greco (Global)</t>
  </si>
  <si>
    <t xml:space="preserve">1. Zurich opens GCC in Hyderabad, appoints Amit Kalra as India Head (28th April'26)
2.According to a statement, the Hyderabad centre will act as a strategic extension of Zurich’s global operating model, with end-to-end ownership across engineering, data and core business operations. The centre will embed AI-enabled ways of working into how solutions are designed, delivered and scaled across the Group.
</t>
  </si>
  <si>
    <t xml:space="preserve">https://gcc.economictimes.indiatimes.com/news/workplace-transformation/zurich-insurance-group-launches-global-capability-center-in-hyderabad-appoints-amit-kalra-as-head/130579683
https://yourstory.com/enterprise-story/2026/04/zurich-insurance-group-gcc-in-hyderabad</t>
  </si>
  <si>
    <t xml:space="preserve">Carelon Global Solutions India LLP
(GCC of Elevance Health, Inc.  parent of Anthem Blue Cross Blue Shield / Carelon)</t>
  </si>
  <si>
    <t xml:space="preserve">Bengaluru, Hyderabad &amp; Gurugram</t>
  </si>
  <si>
    <t xml:space="preserve">1.Cloud Engineering
2.Ops and business process
3.AI/Gen AI
4.Software engineering
5.Machine Learning
6.Data Analytics
7.Engineering &amp; Technology
https://www.businessofgcc.com/gcc-data/companies/elevance-health-india</t>
  </si>
  <si>
    <t xml:space="preserve">15071 employees as on Apr 01, 2026
https://tracxn.com/d/legal-entities/india/carelon-global-solutions-india-llp/__t5LyM-s_Qomr3Pl1A8yaRuQEDYf5b_gqcK3ODIcKVYY</t>
  </si>
  <si>
    <r>
      <rPr>
        <b val="true"/>
        <sz val="10"/>
        <color rgb="FF00008B"/>
        <rFont val="Inter"/>
        <family val="0"/>
        <charset val="1"/>
      </rPr>
      <t xml:space="preserve">Focus area: </t>
    </r>
    <r>
      <rPr>
        <sz val="10"/>
        <color rgb="FF00008B"/>
        <rFont val="Inter"/>
        <family val="0"/>
        <charset val="1"/>
      </rPr>
      <t xml:space="preserve">Operations / Technology
(2026, month n/a) Carelon Global Solutions was named one of the Most Impactful GCCs of India at the ET Edge GCC Summit 2026 in Bengaluru for the second consecutive time (company awards page).
(2026, month n/a) CGS India received the Leadership in Transport Safety Implementation Award at MoveInSync Prodcon 2026 for its Safe Commute initiative (company awards page).
(Apr 2026) Tracxn records Carelon Global Solutions India LLP at 15,071 employees (1 Apr 2026) versus 17,180 in Feb 2025, while the company site cites 18,000+ associates across Bengaluru, Hyderabad and Gurugram (Tracxn figure not re-verified in audit).</t>
    </r>
  </si>
  <si>
    <t xml:space="preserve">https://www.anthem.com/content/carelon/public-cgs/us/en/home-in/about-us/awards.html
https://www.anthem.com/content/carelon/public-cgs/us/en/home-in/about-us/awards.html
https://tracxn.com/d/legal-entities/india/carelon-global-solutions-india-llp/__t5LyM-s_Qomr3Pl1A8yaRuQEDYf5b_gqcK3ODIcKVYY</t>
  </si>
  <si>
    <t xml:space="preserve">Mosur Krishnamoorthy (Krishnamoorthy) Saisekar — VP &amp; Chief Country Executive, Carelon Global Solutions India</t>
  </si>
  <si>
    <t xml:space="preserve">~103,000 (Elevance Health, global)</t>
  </si>
  <si>
    <t xml:space="preserve">~18,000-25,000 (sources vary; ~17,180 per FY21 filing, 18,000+ per 2025 company profile, 25,000+ per LinkedIn global Carelon Global Solutions incl. non-India sites)</t>
  </si>
  <si>
    <t xml:space="preserve">Since 2000 (as Legato Health Technologies; rebranded Carelon Global Solutions in 2022)</t>
  </si>
  <si>
    <t xml:space="preserve">Gail K. Boudreaux (Chair, President &amp; CEO, Elevance Health)</t>
  </si>
  <si>
    <t xml:space="preserve">1.Full scope of service restrictions
2.Audit committee pre approval and/or IESBA pre-concurrence required for services
3.GSCP approval required
4.Business relationships restrictions
5.Firm loans</t>
  </si>
  <si>
    <t xml:space="preserve">1. Carelon Global Solutions India (formerly Legato Health Technologies) is the Global Capability Center of Elevance Health (formerly Anthem), one of the largest US health insurers. It provides IT application support, data analytics, digital solutions/automation, and Business-Process-as-a-Service (BPaaS) for Elevance Health's health plans, providers and systems, from offices in Bengaluru, Hyderabad and Gurugram.
2. Carelon Global Solutions India is led locally by Mosur Krishnamoorthy (Krishnamoorthy) Saisekar, VP &amp; Chief Country Executive, who has represented the India centre at forums including IIM Bangalore's Extended Leadership Team programme.
3. Elevance Health continues to scale Carelon (its healthcare-services arm, launched 2022) as a growth engine alongside Anthem Blue Cross Blue Shield plans; Elevance's India GCC is one of the largest health-insurance-linked GCCs in India by headcount (18,000+ employees).
4. As of 2025, Elevance subsidiaries Carelon Behavioral Health and Anthem Blue Cross and Blue Shield have faced 'ghost network' litigation in the US (New York/Connecticut).</t>
  </si>
  <si>
    <t xml:space="preserve">https://www.carelonglobal.in/
https://en.wikipedia.org/wiki/Elevance_Health
https://digest.iimb.ac.in/2023/04/elt-programme-for-carelon-global-solutions-india-ltd-llp-2/ (Krishnamoorthy Saisekar, VP &amp; Chief Country Executive)
https://tracxn.com/d/legal-entities/india/carelon-global-solutions-india-llp/</t>
  </si>
  <si>
    <t xml:space="preserve">Carelon Global Solutions India LinkedIn; Elevance Health Investor Relations (elevancehealth.com)</t>
  </si>
  <si>
    <t xml:space="preserve">Not disclosed (Elevance Health Group CFO: Mark Kaye)</t>
  </si>
  <si>
    <r>
      <rPr>
        <b val="true"/>
        <sz val="10"/>
        <color theme="6"/>
        <rFont val="Inter"/>
        <family val="0"/>
        <charset val="1"/>
      </rPr>
      <t xml:space="preserve">Intact India GCC (Gurugram)
(formerly RSA India GCC; Intact Financial Corporation)
</t>
    </r>
    <r>
      <rPr>
        <b val="true"/>
        <sz val="10"/>
        <color rgb="FF00008B"/>
        <rFont val="Inter"/>
        <family val="0"/>
        <charset val="1"/>
      </rPr>
      <t xml:space="preserve">
[Oct'26 update – correction] </t>
    </r>
    <r>
      <rPr>
        <sz val="10"/>
        <color rgb="FF00008B"/>
        <rFont val="Inter"/>
        <family val="0"/>
        <charset val="1"/>
      </rPr>
      <t xml:space="preserve">Intact Business Services Private Limited (CIN U66290HR2010FTC049525 per Zauba; U67190 variant on TheCompanyCheck; incorporated 9 Dec 2010, ROC Delhi; subsidiary of a company incorporated outside India - Royal &amp; Sun Alliance Insurance Ltd / Intact Financial Corporation; formerly RSA Actuarial Services (India) Private Limited) - trades as Intact India / RSA India (An Intact Company); Intact Insurance (UK) also lists an 'India branch' at DLF Cyber City
Source: https://www.zaubacorp.com/INTACT-BUSINESS-SERVICES-PRIVATE-LIMITED-U66290HR2010FTC049525
https://www.thecompanycheck.com/company/rsa-actuarial-services-india-private-limited/U67190HR2010FTC049525
https://www.intactinsurance.co.uk/india-branch/leadership
https://in.linkedin.com/company/intact-india</t>
    </r>
  </si>
  <si>
    <r>
      <rPr>
        <b val="true"/>
        <sz val="10"/>
        <color theme="6"/>
        <rFont val="Inter"/>
        <family val="0"/>
        <charset val="1"/>
      </rPr>
      <t xml:space="preserve">Gurugram
</t>
    </r>
    <r>
      <rPr>
        <b val="true"/>
        <sz val="10"/>
        <color rgb="FF00008B"/>
        <rFont val="Inter"/>
        <family val="0"/>
        <charset val="1"/>
      </rPr>
      <t xml:space="preserve">
[Oct'26 update – correction] </t>
    </r>
    <r>
      <rPr>
        <sz val="10"/>
        <color rgb="FF00008B"/>
        <rFont val="Inter"/>
        <family val="0"/>
        <charset val="1"/>
      </rPr>
      <t xml:space="preserve">Gurugram (registered office: 11th Floor, Building 10B, DLF Cyber City Phase II; Intact Insurance UK India branch office: 1st Floor, Building 10C, DLF Cyber City Phase II)
Source: https://www.zaubacorp.com/INTACT-BUSINESS-SERVICES-PRIVATE-LIMITED-U66290HR2010FTC049525
https://intactinsurance.co.uk/contact-us</t>
    </r>
  </si>
  <si>
    <r>
      <rPr>
        <b val="true"/>
        <sz val="10"/>
        <color rgb="FF00008B"/>
        <rFont val="Inter"/>
        <family val="0"/>
        <charset val="1"/>
      </rPr>
      <t xml:space="preserve">[Oct'26 update – addition] </t>
    </r>
    <r>
      <rPr>
        <sz val="10"/>
        <color rgb="FF00008B"/>
        <rFont val="Inter"/>
        <family val="0"/>
        <charset val="1"/>
      </rPr>
      <t xml:space="preserve">1. Finance (controllership, global finance operations, compliance &amp; reporting) 2. Technology / IT 3. Operations - integrated under a Chief of Finance, Technology and Operations 4. Actuarial (pricing, capital modelling, reserving) for the Intact/RSA group - per the entity's former name 'RSA Actuarial Services (India)' and researcher-cited Kompass / job-ad excerpts (not re-verified in audit)
Source: https://hrtoday.in/sameer-madan-joins-intact-india-as-chief-of-finance-technology-and-operations-for-india-gcc/
https://www.cxodigitalpulse.com/?p=46685
https://in.kompass.com/c/rsa-actuarial-services-india-private-limited/in442774/
https://www.jobaaj.com/job/rsa-india-an-intact-company-actuary-reserving-team-gurugram-haryana-4-to-6-years-791855</t>
    </r>
  </si>
  <si>
    <r>
      <rPr>
        <b val="true"/>
        <sz val="10"/>
        <color rgb="FF00008B"/>
        <rFont val="Inter"/>
        <family val="0"/>
        <charset val="1"/>
      </rPr>
      <t xml:space="preserve">[Oct'26 re-check – existing text could not be independently verified] </t>
    </r>
    <r>
      <rPr>
        <sz val="10"/>
        <color rgb="FF00008B"/>
        <rFont val="Inter"/>
        <family val="0"/>
        <charset val="1"/>
      </rPr>
      <t xml:space="preserve">Two searches (entity-level and 'employees headcount revenue tracxn thecompanycheck') returned only Zauba registration data with no headcount or revenue, so the 174-employee / Rs 50-100 Cr figures are unproven and cleared.</t>
    </r>
  </si>
  <si>
    <r>
      <rPr>
        <b val="true"/>
        <sz val="10"/>
        <color rgb="FF00008B"/>
        <rFont val="Inter"/>
        <family val="0"/>
        <charset val="1"/>
      </rPr>
      <t xml:space="preserve">Focus area: </t>
    </r>
    <r>
      <rPr>
        <sz val="10"/>
        <color rgb="FF00008B"/>
        <rFont val="Inter"/>
        <family val="0"/>
        <charset val="1"/>
      </rPr>
      <t xml:space="preserve">Finance / Operations / Technology
(Mar 2026) Intact's India GCC in Gurugram appointed Sameer Madan (ex-Agilent, ex-Fractal) as Chief of Finance, Technology and Operations, consolidating finance, IT and operations leadership of the centre under one executive.
(2026, month n/a) The Indian entity now appears on MCA mirrors as Intact Business Services Private Limited (CIN root ...HR2010FTC049525, formerly RSA Actuarial Services (India) Private Limited), completing the RSA-to-Intact rebrand of the Gurugram centre, which still advertises roles under 'RSA India (An Intact Company)'.</t>
    </r>
  </si>
  <si>
    <t xml:space="preserve">https://www.cxodigitalpulse.com/?p=46685
https://www.zaubacorp.com/INTACT-BUSINESS-SERVICES-PRIVATE-LIMITED-U66290HR2010FTC049525</t>
  </si>
  <si>
    <t xml:space="preserve">Sameer Madan — Chief of Finance, Technology and Operations (CFTO), India GCC</t>
  </si>
  <si>
    <t xml:space="preserve">~32,000 (Intact Financial Corporation, global)</t>
  </si>
  <si>
    <t xml:space="preserve">Since RSA's original India centre; rebranded to Intact India following Intact/Tryg's 2021 acquisition of RSA Insurance Group</t>
  </si>
  <si>
    <t xml:space="preserve">Charles Brindamour (CEO, Intact Financial Corporation)</t>
  </si>
  <si>
    <t xml:space="preserve">1.Full scope of service restrictions
2.Audit committee pre approval and/or IESBA pre-concurrence required for services
3.GSCP approval required
4.Business relationships restrictions
5.Firm loans
6.Consultation required</t>
  </si>
  <si>
    <t xml:space="preserve">1. Intact India (previously RSA India) is the Gurugram-based Global Capability Center of Intact Financial Corporation (TSX: IFC), the largest P&amp;C insurer in Canada and a leading specialty insurer in North America, UK and Ireland (via its 2021 acquisition of RSA Insurance Group, in partnership with Tryg). The centre continues to operate award-winning Guidewire, claims-platform, cloud/Azure data &amp; analytics, and finance-transformation teams that were originally built under RSA.
2. Mar' 26 - Intact appointed Sameer Madan as Chief of Finance, Technology and Operations (CFTO) for the India GCC, based in Gurugram, focused on AI-led finance transformation and building integrated enterprise functions (see also Top 20 UK tab, RSA/Intact row, for the same appointment from the UK-entity perspective).
3. Intact Financial Corporation published its 2025 Annual Report in March 2026 (CEO Charles Brindamour) and held its AGM on 6 May 2026; the Group reported a global workforce of ~32,000 employees.</t>
  </si>
  <si>
    <t xml:space="preserve">https://in.linkedin.com/company/rsaindia (RSA India / An Intact Company)
https://hrtoday.in/sameer-madan-joins-intact-india-as-chief-of-finance-technology-and-operations-for-india-gcc/
https://www.newswire.ca/news-releases/intact-financial-corporation-publishes-2025-annual-report-and-2026-management-proxy-circular-844375134.html</t>
  </si>
  <si>
    <t xml:space="preserve">Intact Financial Corporation 2025 Annual Report / Management Proxy Circular; simplywall.st leadership profile</t>
  </si>
  <si>
    <t xml:space="preserve">Not disclosed (Group CFO: Ken Anderson, ex-RSA UK &amp; International CFO)</t>
  </si>
  <si>
    <t xml:space="preserve">PFI India Innovation Centre (GCC of Prudential Financial, Inc., USA)
</t>
  </si>
  <si>
    <t xml:space="preserve">Gurugram</t>
  </si>
  <si>
    <r>
      <rPr>
        <b val="true"/>
        <sz val="10"/>
        <color rgb="FF00008B"/>
        <rFont val="Inter"/>
        <family val="0"/>
        <charset val="1"/>
      </rPr>
      <t xml:space="preserve">[Oct'26 update – addition; audit: not audited] </t>
    </r>
    <r>
      <rPr>
        <sz val="10"/>
        <color rgb="FF00008B"/>
        <rFont val="Inter"/>
        <family val="0"/>
        <charset val="1"/>
      </rPr>
      <t xml:space="preserve">1. AI / GenAI 2. Data engineering and analytics 3. Cybersecurity 4. Digital product development and digital platforms 5. Enterprise technology 6. Operations and automation 7. Global transformation support for PFI's US and global businesses
Source: https://www.uniindia.com/business-economy/business-haryana-pfi-innovation-centre/188639
https://ssfglobal.in/industry_action/prudential-financial-builds-gurugram-innovation-centre-around-ai-data-and-global-capability-ownership/</t>
    </r>
  </si>
  <si>
    <r>
      <rPr>
        <b val="true"/>
        <sz val="10"/>
        <color rgb="FF00008B"/>
        <rFont val="Inter"/>
        <family val="0"/>
        <charset val="1"/>
      </rPr>
      <t xml:space="preserve">[Oct'26 update – addition] </t>
    </r>
    <r>
      <rPr>
        <sz val="10"/>
        <color rgb="FF00008B"/>
        <rFont val="Inter"/>
        <family val="0"/>
        <charset val="1"/>
      </rPr>
      <t xml:space="preserve">Not disclosed by PFI or the Haryana government (no headcount or hiring target in Sep 2026 inauguration coverage)
Source: https://www.uniindia.com/business-economy/business-haryana-pfi-innovation-centre/188639</t>
    </r>
  </si>
  <si>
    <r>
      <rPr>
        <b val="true"/>
        <sz val="10"/>
        <color rgb="FF00008B"/>
        <rFont val="Inter"/>
        <family val="0"/>
        <charset val="1"/>
      </rPr>
      <t xml:space="preserve">Focus area: </t>
    </r>
    <r>
      <rPr>
        <sz val="10"/>
        <color rgb="FF00008B"/>
        <rFont val="Inter"/>
        <family val="0"/>
        <charset val="1"/>
      </rPr>
      <t xml:space="preserve">Technology (with Operations)
(Sep 2026) Haryana Industries and Commerce Minister Rao Narbir Singh inaugurated PFI Innovation Centre India at DLF Cyber City, Gurugram (reported 22 Sep 2026, inauguration 'on Monday' i.e. 21 Sep 2026) under the state's GCC policy - Prudential Financial's first India innovation centre, which the minister said reflects investor confidence in Haryana's ecosystem.</t>
    </r>
  </si>
  <si>
    <t xml:space="preserve">https://www.uniindia.com/business-economy/business-haryana-pfi-innovation-centre/188639</t>
  </si>
  <si>
    <r>
      <rPr>
        <b val="true"/>
        <sz val="10"/>
        <color theme="6"/>
        <rFont val="Inter"/>
        <family val="0"/>
        <charset val="1"/>
      </rPr>
      <t xml:space="preserve">Not disclosed
</t>
    </r>
    <r>
      <rPr>
        <b val="true"/>
        <sz val="10"/>
        <color rgb="FF00008B"/>
        <rFont val="Inter"/>
        <family val="0"/>
        <charset val="1"/>
      </rPr>
      <t xml:space="preserve">
[Oct'26 re-check – existing text could not be independently verified] </t>
    </r>
    <r>
      <rPr>
        <sz val="10"/>
        <color rgb="FF00008B"/>
        <rFont val="Inter"/>
        <family val="0"/>
        <charset val="1"/>
      </rPr>
      <t xml:space="preserve">Two searches naming Goel and Nischal with PFI Innovation Centre India returned no supporting extract (the UNI summary did not mention Goel; the People Matters URL did not surface), so the leader names are cleared pending page-level confirmation.</t>
    </r>
  </si>
  <si>
    <t xml:space="preserve">Charles F. Lowrey (Chairman &amp; CEO, Prudential Financial, Inc.)</t>
  </si>
  <si>
    <t xml:space="preserve">1. Prudential Financial, Inc. (NYSE: PRU) — the New Jersey-headquartered US life insurer and asset manager operating in India under the 'Pramerica' and 'PFI' brand names — has built a new Innovation Centre in Gurugram, describing it as part of its continuing growth strategy. This is a SEPARATE company and GCC from UK-listed Prudential plc (Anil Wadhwani, CEO), whose own Bengaluru GCC is already captured at row 27 ('Prudential Service India'); the two 'Prudential' names are explicitly unaffiliated, as both companies state on their respective websites.
2. PFI's only prior India presence of note was Pramerica Systems, whose employees and select assets were acquired by TCS in 2020 — meaning the new Gurugram Innovation Centre represents a fresh, direct GCC build-out by PFI itself rather than a continuation of the divested BPO unit.
3. Locally, Prudential Financial's India-linked joint ventures include Pramerica Life Insurance (with Piramal Finance) and Pramerica Mutual Fund, both branded 'Pramerica' and distinct from the GCC/Innovation Centre.</t>
  </si>
  <si>
    <t xml:space="preserve">https://www.prudential.com/links/about/worldwide-locations/india
https://www.pfi.com/india
https://www.bloomberg.com/news/articles/2020-11-12/tcs-is-said-to-acquire-pramerica-services-unit-from-prudential</t>
  </si>
  <si>
    <t xml:space="preserve">pfi.com/india; prudential.com worldwide locations page</t>
  </si>
  <si>
    <r>
      <rPr>
        <b val="true"/>
        <sz val="10"/>
        <color theme="6"/>
        <rFont val="Inter"/>
        <family val="0"/>
        <charset val="1"/>
      </rPr>
      <t xml:space="preserve">Assurant India GCC
</t>
    </r>
    <r>
      <rPr>
        <b val="true"/>
        <sz val="10"/>
        <color rgb="FF00008B"/>
        <rFont val="Inter"/>
        <family val="0"/>
        <charset val="1"/>
      </rPr>
      <t xml:space="preserve">
[Oct'26 update – addition] </t>
    </r>
    <r>
      <rPr>
        <sz val="10"/>
        <color rgb="FF00008B"/>
        <rFont val="Inter"/>
        <family val="0"/>
        <charset val="1"/>
      </rPr>
      <t xml:space="preserve">Assurant Warranty Solutions (India) Private Limited (CIN U74140TN2014FTC098384, LEI 9845003E4B6C83B27B14, incorporated 9 Dec 2014, registered office No. 44/38 Veerabadran Street, Nungambakkam, Chennai; the GPTW-certified and hiring entity for Assurant's India GCC). Sister entity: Assurant Automotive Warranty Solutions (India) Private Limited (CIN U74900TN2013PTC094323; not re-verified)
Source: https://leikart.com/leicert/9845003E4B6C83B27B14
https://www.greatplacetowork.in/great/company/assurant-india
https://www.sec.gov/Archives/edgar/data/1267238/000126723825000008/aiz12312024-ex214q24.htm
https://www.thecompanycheck.com/company/assurant-automotive-warranty-solutions-india-private-limited/U74900TN2013PTC094323</t>
    </r>
  </si>
  <si>
    <r>
      <rPr>
        <b val="true"/>
        <sz val="10"/>
        <color theme="6"/>
        <rFont val="Inter"/>
        <family val="0"/>
        <charset val="1"/>
      </rPr>
      <t xml:space="preserve">Hyderabad, Bengaluru, Chennai, Gurugram &amp; Mumbai
</t>
    </r>
    <r>
      <rPr>
        <b val="true"/>
        <sz val="10"/>
        <color rgb="FF00008B"/>
        <rFont val="Inter"/>
        <family val="0"/>
        <charset val="1"/>
      </rPr>
      <t xml:space="preserve">
[Oct'26 update – correction] </t>
    </r>
    <r>
      <rPr>
        <sz val="10"/>
        <color rgb="FF00008B"/>
        <rFont val="Inter"/>
        <family val="0"/>
        <charset val="1"/>
      </rPr>
      <t xml:space="preserve">Chennai (registered office), Bengaluru &amp; Mumbai (main offices; 'remote-first' per GPTW); roles also advertised in Hyderabad and Gurugram
Source: https://jobs.assurant.com/en/locations/india/
https://www.greatplacetowork.in/great/company/assurant-india
https://leikart.com/leicert/9845003E4B6C83B27B14</t>
    </r>
  </si>
  <si>
    <r>
      <rPr>
        <b val="true"/>
        <sz val="10"/>
        <color rgb="FF00008B"/>
        <rFont val="Inter"/>
        <family val="0"/>
        <charset val="1"/>
      </rPr>
      <t xml:space="preserve">[Oct'26 update – addition] </t>
    </r>
    <r>
      <rPr>
        <sz val="10"/>
        <color rgb="FF00008B"/>
        <rFont val="Inter"/>
        <family val="0"/>
        <charset val="1"/>
      </rPr>
      <t xml:space="preserve">Technology (software engineering), data and analytics (incl. reinsurance accounting/data analytics), finance, HR, operations and customer contact; the India GCC supports Assurant's global operations across technology, analytics and insurance for its device, auto and home protection businesses
Source: https://jobs.assurant.com/en/locations/india/
https://jobs.assurant.com/en/jobs/job/lead-reinsurance-data-analyst-accounting-data-analytics-hyderabad-r-114140
https://www.jobaaj.com/job/assurant-warranty-solutions-india-pvt-ltd-assurant-specialist-customer-contact-operations-bangalore-3-to-5-years-963463</t>
    </r>
  </si>
  <si>
    <r>
      <rPr>
        <b val="true"/>
        <sz val="10"/>
        <color rgb="FF00008B"/>
        <rFont val="Inter"/>
        <family val="0"/>
        <charset val="1"/>
      </rPr>
      <t xml:space="preserve">[Oct'26 update – addition] </t>
    </r>
    <r>
      <rPr>
        <sz val="10"/>
        <color rgb="FF00008B"/>
        <rFont val="Inter"/>
        <family val="0"/>
        <charset val="1"/>
      </rPr>
      <t xml:space="preserve">537 India-based employees (Great Place to Work India profile for Assurant Warranty Solutions (India) Pvt Ltd, 2025-26 certification cycle); earlier Tracxn/MCA-derived figure 362 as on 31 Oct 2024; no company-published India figure
Source: https://www.greatplacetowork.in/great/company/assurant-india
https://tracxn.com/d/legal-entities/india/assurant-warranty-solutions-india-private-limited/__r5ka9531UWhS7ZP4ljO8CwQmcb3znp3eaEjgILbAKtc</t>
    </r>
  </si>
  <si>
    <r>
      <rPr>
        <b val="true"/>
        <sz val="10"/>
        <color rgb="FF00008B"/>
        <rFont val="Inter"/>
        <family val="0"/>
        <charset val="1"/>
      </rPr>
      <t xml:space="preserve">Focus area: </t>
    </r>
    <r>
      <rPr>
        <sz val="10"/>
        <color rgb="FF00008B"/>
        <rFont val="Inter"/>
        <family val="0"/>
        <charset val="1"/>
      </rPr>
      <t xml:space="preserve">Operations / Technology
(Apr 2026) Assurant appointed Harini Kannan (ex-HDFC ERGO) as Country Head - India, with India described as central to growth ambitions across Auto and Consumer Living solutions and a growing Global Capability Centre.
(2025-26) Assurant added India (with the UK and Canada) to its Great Place to Work certified list, now 14 countries, with 97% of India employees surveyed endorsing it; the certified entity is Assurant Warranty Solutions (India) Private Limited (537 India-based employees).
(2026, month n/a) Assurant is recruiting in India across technology, data (e.g. reinsurance accounting and data analytics in Hyderabad), finance, HR and operations in Hyderabad, Bengaluru, Chennai, Gurgaon and Mumbai, with a remote-first model and offices in Chennai, Bengaluru and Mumbai.</t>
    </r>
  </si>
  <si>
    <t xml:space="preserve">https://hrtoday.in/harini-kannan-appointed-as-country-head-india-at-assurant/
https://jobs.assurant.com/en/blog/latest-news/assurant-adds-the-uk-india-and-canada-to-great-place-to-work-list/
https://jobs.assurant.com/en/locations/india/</t>
  </si>
  <si>
    <r>
      <rPr>
        <b val="true"/>
        <sz val="10"/>
        <color theme="6"/>
        <rFont val="Inter"/>
        <family val="0"/>
        <charset val="1"/>
      </rPr>
      <t xml:space="preserve">Not disclosed
</t>
    </r>
    <r>
      <rPr>
        <b val="true"/>
        <sz val="10"/>
        <color rgb="FF00008B"/>
        <rFont val="Inter"/>
        <family val="0"/>
        <charset val="1"/>
      </rPr>
      <t xml:space="preserve">
[Oct'26 update – addition] </t>
    </r>
    <r>
      <rPr>
        <sz val="10"/>
        <color rgb="FF00008B"/>
        <rFont val="Inter"/>
        <family val="0"/>
        <charset val="1"/>
      </rPr>
      <t xml:space="preserve">Harini Kannan - Country Head, India, Assurant (appointed Apr 2026; ex-HDFC ERGO General Insurance, multiple senior roles); remit covers Auto and Consumer Living businesses plus the growing GCC
Source: https://hrtoday.in/harini-kannan-appointed-as-country-head-india-at-assurant/
https://www.theofficialboard.com/news/assurant</t>
    </r>
  </si>
  <si>
    <t xml:space="preserve">Keith Demmings (President &amp; CEO, Assurant, Inc.)</t>
  </si>
  <si>
    <t xml:space="preserve">1..GSCP approval required
2.Reverse restrictions</t>
  </si>
  <si>
    <t xml:space="preserve">1. Assurant, Inc. (NYSE: AIZ) — the US-headquartered global specialty insurer known for mobile device protection, extended service contracts, and lender-placed/renters insurance — operates a Global Capability Center in India spanning technology, analytics, and insurance services, with roles across Hyderabad, Bengaluru, Chennai, Gurugram and Mumbai.
2. Assurant states its India GCC is Great Place to Work® certified, and highlights internal career-progression stories (e.g., data-services interns converting to full-time Data Warehouse Developer roles) as part of its India talent narrative.</t>
  </si>
  <si>
    <t xml:space="preserve">https://www.assurant.in/</t>
  </si>
  <si>
    <t xml:space="preserve">assurant.com investor relations (for Group CEO/CFO); jobs.assurant.com/en/locations/india (GCC description)</t>
  </si>
  <si>
    <t xml:space="preserve">Nationwide Global Services Center Pvt. Ltd. (Nationwide Mutual Insurance, USA) </t>
  </si>
  <si>
    <r>
      <rPr>
        <b val="true"/>
        <sz val="10"/>
        <color rgb="FF00008B"/>
        <rFont val="Inter"/>
        <family val="0"/>
        <charset val="1"/>
      </rPr>
      <t xml:space="preserve">[Oct'26 update – addition] </t>
    </r>
    <r>
      <rPr>
        <sz val="10"/>
        <color rgb="FF00008B"/>
        <rFont val="Inter"/>
        <family val="0"/>
        <charset val="1"/>
      </rPr>
      <t xml:space="preserve">Technology and Operations: AI, data analytics, cloud engineering, cybersecurity, software development and digital transformation plus business operations, supporting a 24x7 global operating model for Nationwide's US P&amp;C and Financial businesses
Source: https://www.businessworld.in/article/us-insurer-nationwide-opens-hyderabad-global-services-centre-613994
https://telanganatoday.com/us-insurance-giant-nationwide-opens-global-services-centre-in-hyderabad
https://news.nationwide.com/nationwide-expands-technology-operations-to-fourth-campus/</t>
    </r>
  </si>
  <si>
    <r>
      <rPr>
        <b val="true"/>
        <sz val="10"/>
        <color rgb="FF00008B"/>
        <rFont val="Inter"/>
        <family val="0"/>
        <charset val="1"/>
      </rPr>
      <t xml:space="preserve">[Oct'26 update – addition] </t>
    </r>
    <r>
      <rPr>
        <sz val="10"/>
        <color rgb="FF00008B"/>
        <rFont val="Inter"/>
        <family val="0"/>
        <charset val="1"/>
      </rPr>
      <t xml:space="preserve">~60 employees at launch (Jul 2026), with a stated aim to grow past 100 (NewsBytes launch coverage); Nationwide itself disclosed no investment, headcount or hiring targets
Source: https://www.newsbytesapp.com/news/business/nationwide-opens-1st-international-campus-in-hyderabad-boosting-global-operations/tldr
https://telanganatoday.com/us-insurance-giant-nationwide-opens-global-services-centre-in-hyderabad
https://www.business-standard.com/finance/insurance/us-insurer-nationwide-launches-hyderabad-centre-to-expand-globally-126070801234_1.html</t>
    </r>
  </si>
  <si>
    <r>
      <rPr>
        <b val="true"/>
        <sz val="10"/>
        <color rgb="FF00008B"/>
        <rFont val="Inter"/>
        <family val="0"/>
        <charset val="1"/>
      </rPr>
      <t xml:space="preserve">Focus area: </t>
    </r>
    <r>
      <rPr>
        <sz val="10"/>
        <color rgb="FF00008B"/>
        <rFont val="Inter"/>
        <family val="0"/>
        <charset val="1"/>
      </rPr>
      <t xml:space="preserve">Technology (primary) / Operations
(Jul 2026) On 8 Jul 2026 Nationwide opened Nationwide Global Services Center Pvt Ltd ('Nationwide India') in Hyderabad - its first international campus - to support technology, engineering, digital and business operations on a 24x7 model, with Vikas Jaswal named SVP &amp; MD; the centre started with about 60 employees and aims to exceed 100 (investment not disclosed).
(Jul 2026) Nationwide's newsroom described Hyderabad as its fourth technology campus (after Columbus, Des Moines, Scottsdale), intended to give round-the-clock technology support and reduce reliance on third-party contractors.
(Oct 2025) On 29 Oct 2025 Nationwide announced a $1.5 billion technology and AI investment through 2028, with $100 million a year earmarked for AI over three years - the modernisation programme the Hyderabad centre is built to support.
(Dec 2025) Nationwide named Michael Carrel (30+ years in Nationwide Technology, previously CTO of Nationwide Financial) as enterprise Chief Technology Officer as Jim Fowler left for Lumen Technologies from January 2026; CEO Kirt Walker said Carrel will champion enterprise adoption of AI.
(Jul 2025) Hyderabad press reported Nationwide Mutual (alongside Costco) preparing a GCC at Raheja Mindspace, with operations initially expected by March 2026.</t>
    </r>
  </si>
  <si>
    <t xml:space="preserve">https://telanganatoday.com/us-insurance-giant-nationwide-opens-global-services-centre-in-hyderabad
https://www.newsbytesapp.com/news/business/nationwide-opens-1st-international-campus-in-hyderabad-boosting-global-operations/tldr
https://news.nationwide.com/nationwide-expands-technology-operations-to-fourth-campus/
https://www.fortune.com/2025/10/29/why-insurer-nationwide-is-investing-1-5-billion-through-2028-on-ai-and-other-tech-initiatives
https://news.nationwide.com/nationwide-appoints-michael-carrel-to-chief-technology-officer-jim-fowler-departs/
https://www.etvbharat.com/en/!state/hyderabad-emerges-as-a-hub-for-global-capability-centers-closes-in-on-bengaluru-enn25072204756</t>
  </si>
  <si>
    <r>
      <rPr>
        <b val="true"/>
        <sz val="10"/>
        <color rgb="FF275317"/>
        <rFont val="Inter"/>
        <family val="0"/>
        <charset val="1"/>
      </rPr>
      <t xml:space="preserve">Vikas Jaswal</t>
    </r>
    <r>
      <rPr>
        <sz val="10"/>
        <color theme="1"/>
        <rFont val="EYInterstate"/>
        <family val="0"/>
        <charset val="1"/>
      </rPr>
      <t xml:space="preserve"> Senior Vice President &amp; Managing Director, Nationwide India.</t>
    </r>
  </si>
  <si>
    <t xml:space="preserve">25,000+</t>
  </si>
  <si>
    <t xml:space="preserve">July'2026</t>
  </si>
  <si>
    <t xml:space="preserve">1.GSCP Approval required</t>
  </si>
  <si>
    <t xml:space="preserve">1.Nationwide established its first international GCC through Nationwide Global Services Center Pvt. Ltd. in Hyderabad.
2.The new India center will support engineering, digital, technology and business functions under a global operating model.</t>
  </si>
  <si>
    <t xml:space="preserve">Nationwide Launches First International Global Capability Center in Hyderabad, ETGCC
https://www.moneycontrol.com/news/business/information-technology/us-insurer-nationwide-opens-first-india-gcc-in-hyderabad-13969286.html</t>
  </si>
  <si>
    <t xml:space="preserve">Tim Frommeyer</t>
  </si>
  <si>
    <r>
      <rPr>
        <b val="true"/>
        <sz val="10"/>
        <color rgb="FF275317"/>
        <rFont val="Inter"/>
        <family val="0"/>
        <charset val="1"/>
      </rPr>
      <t xml:space="preserve">Genworth India GCC (Genworth Financial, USA)
</t>
    </r>
    <r>
      <rPr>
        <b val="true"/>
        <sz val="10"/>
        <color rgb="FF00008B"/>
        <rFont val="Inter"/>
        <family val="0"/>
        <charset val="1"/>
      </rPr>
      <t xml:space="preserve">
[Oct'26 update – correction] </t>
    </r>
    <r>
      <rPr>
        <sz val="10"/>
        <color rgb="FF00008B"/>
        <rFont val="Inter"/>
        <family val="0"/>
        <charset val="1"/>
      </rPr>
      <t xml:space="preserve">Genworth Financial India Private Limited (Genworth Financial, USA) - CIN U74140DL2012FTC241864, incorporated 10 Sep 2012
Source: https://www.zaubacorp.com/GENWORTH-FINANCIAL-INDIA-PRIVATE-LIMITED-U74140DL2012FTC241864
https://www.thecompanycheck.com/company/genworth-financial-india-private-limited/U74140DL2012FTC241864
https://www.dnb.com/business-directory/company-profiles/genworth-financial-india-private-limited.5bc160b88ea837cc57d296d10954074d
https://www.sec.gov/Archives/edgar/data/1276520/000119312523053994/d437995dex21.htm</t>
    </r>
  </si>
  <si>
    <r>
      <rPr>
        <b val="true"/>
        <sz val="10"/>
        <color rgb="FF275317"/>
        <rFont val="Inter"/>
        <family val="0"/>
        <charset val="1"/>
      </rPr>
      <t xml:space="preserve">Delhi NCR (Gurugram region)
</t>
    </r>
    <r>
      <rPr>
        <b val="true"/>
        <sz val="10"/>
        <color rgb="FF00008B"/>
        <rFont val="Inter"/>
        <family val="0"/>
        <charset val="1"/>
      </rPr>
      <t xml:space="preserve">
[Oct'26 update – correction; audit: not audited] </t>
    </r>
    <r>
      <rPr>
        <sz val="10"/>
        <color rgb="FF00008B"/>
        <rFont val="Inter"/>
        <family val="0"/>
        <charset val="1"/>
      </rPr>
      <t xml:space="preserve">Gurugram (Tower A, 1st Floor, DLF Building 9, DLF Phase III); registered office New Delhi (A-47, Lower Ground Floor, Hauz Khas); workforce operates on a permanent work-from-home model
Source: https://www.zaubacorp.com/GENWORTH-FINANCIAL-INDIA-PRIVATE-LIMITED-U74140DL2012FTC241864
https://cleartax.in/f/company/genworth-financial-india-private-limited/U74140DL2012FTC241864/
https://www.linkedin.com/showcase/genworthindia</t>
    </r>
  </si>
  <si>
    <r>
      <rPr>
        <sz val="10"/>
        <color rgb="FF275317"/>
        <rFont val="Inter"/>
        <family val="0"/>
        <charset val="1"/>
      </rPr>
      <t xml:space="preserve">IT, Operations, Finance and Sourcing
https://www.linkedin.com/showcase/genworthindia
</t>
    </r>
    <r>
      <rPr>
        <b val="true"/>
        <sz val="10"/>
        <color rgb="FF00008B"/>
        <rFont val="Inter"/>
        <family val="0"/>
        <charset val="1"/>
      </rPr>
      <t xml:space="preserve">
[Oct'26 update – correction; audit: not audited] </t>
    </r>
    <r>
      <rPr>
        <sz val="10"/>
        <color rgb="FF00008B"/>
        <rFont val="Inter"/>
        <family val="0"/>
        <charset val="1"/>
      </rPr>
      <t xml:space="preserve">Technology (application development/IT solutions for Genworth US businesses), Operations (long-term-care claims processing, customer service) and Finance (Finance Lead and Associate Accountant roles advertised in India, 2026); Sourcing not independently evidenced
Source: https://www.linkedin.com/showcase/genworthindia
https://www.linkedin.com/in/asif-kazi-a70a1355/
https://builtinbengaluru.in/job/finance-lead/3082704
https://builtinbengaluru.in/job/associate-accountant/3082701</t>
    </r>
  </si>
  <si>
    <r>
      <rPr>
        <sz val="10"/>
        <color rgb="FF275317"/>
        <rFont val="Inter"/>
        <family val="0"/>
        <charset val="1"/>
      </rPr>
      <t xml:space="preserve">51-200 
https://in.linkedin.com/showcase/genworthindia/
</t>
    </r>
    <r>
      <rPr>
        <b val="true"/>
        <sz val="10"/>
        <color rgb="FF00008B"/>
        <rFont val="Inter"/>
        <family val="0"/>
        <charset val="1"/>
      </rPr>
      <t xml:space="preserve">
[Oct'26 re-check – existing text could not be independently verified] </t>
    </r>
    <r>
      <rPr>
        <sz val="10"/>
        <color rgb="FF00008B"/>
        <rFont val="Inter"/>
        <family val="0"/>
        <charset val="1"/>
      </rPr>
      <t xml:space="preserve">Researcher admitted the '135 employees' page could not be pinned; targeted search by CIN returned only SEC subsidiary lists with no headcount, so the figure is unproven.</t>
    </r>
  </si>
  <si>
    <r>
      <rPr>
        <b val="true"/>
        <sz val="10"/>
        <color rgb="FF00008B"/>
        <rFont val="Inter"/>
        <family val="0"/>
        <charset val="1"/>
      </rPr>
      <t xml:space="preserve">Focus area: </t>
    </r>
    <r>
      <rPr>
        <sz val="10"/>
        <color rgb="FF00008B"/>
        <rFont val="Inter"/>
        <family val="0"/>
        <charset val="1"/>
      </rPr>
      <t xml:space="preserve">Technology / Operations (with Finance support roles)</t>
    </r>
    <r>
      <rPr>
        <b val="true"/>
        <sz val="10"/>
        <color rgb="FF00008B"/>
        <rFont val="Inter"/>
        <family val="0"/>
        <charset val="1"/>
      </rPr>
      <t xml:space="preserve">  [audit: not audited]
</t>
    </r>
    <r>
      <rPr>
        <sz val="10"/>
        <color rgb="FF00008B"/>
        <rFont val="Inter"/>
        <family val="0"/>
        <charset val="1"/>
      </rPr>
      <t xml:space="preserve">
(Sep 2025) Genworth Financial India Pvt Ltd held its AGM on 18 Sep 2025 and filed FY25 accounts (balance sheet 31 Mar 2025), confirming the Gurugram entity remains active in the business-outsourcing line.
(Oct 2025) Parent Genworth's CareScout subsidiary announced (15 Oct 2025) and completed (31 Oct 2025) the ~$15 million acquisition of Seniorly to build direct-to-consumer long-term-care navigation technology - a product/tech push the India technology team supports.
(2026, month n/a) Genworth India's LinkedIn showcase positions the unit as a growing GCC delivering technology solutions and customer service to Genworth's US businesses on a permanent work-from-home model.
(2026, month n/a) Genworth advertised India-based Finance Lead and Associate Accountant roles, indicating finance/accounting work is also being placed in the India centre.</t>
    </r>
  </si>
  <si>
    <t xml:space="preserve">https://www.tofler.in/genworth-financial-india-private-limited/company/U74140DL2012FTC241864
https://www.nasdaq.com/press-release/carescout-completes-acquisition-seniorly-2025-10-31
https://www.linkedin.com/showcase/genworthindia
https://builtinbengaluru.in/job/finance-lead/3082704</t>
  </si>
  <si>
    <r>
      <rPr>
        <b val="true"/>
        <sz val="10"/>
        <color rgb="FF275317"/>
        <rFont val="Inter"/>
        <family val="0"/>
        <charset val="1"/>
      </rPr>
      <t xml:space="preserve">Bijal Shah</t>
    </r>
    <r>
      <rPr>
        <sz val="10"/>
        <color rgb="FF275317"/>
        <rFont val="EYInterstate"/>
        <family val="0"/>
        <charset val="1"/>
      </rPr>
      <t xml:space="preserve"> Country Head &amp; GCC Leader
</t>
    </r>
    <r>
      <rPr>
        <b val="true"/>
        <sz val="10"/>
        <color rgb="FF00008B"/>
        <rFont val="Inter"/>
        <family val="0"/>
        <charset val="1"/>
      </rPr>
      <t xml:space="preserve">
[Oct'26 re-check – existing text could not be independently verified] </t>
    </r>
    <r>
      <rPr>
        <sz val="10"/>
        <color rgb="FF00008B"/>
        <rFont val="Inter"/>
        <family val="0"/>
        <charset val="1"/>
      </rPr>
      <t xml:space="preserve">Two targeted searches ('Bijal Shah' Genworth India; with Country Head) returned no extract linking Bijal Shah to Genworth - only an unrelated Bijal Shah (Lumenis India country manager, 2018); a qorpiq director page surfaced but without readable content. Client should confirm directly on LinkedIn before use.</t>
    </r>
  </si>
  <si>
    <t xml:space="preserve">2,500–3,000</t>
  </si>
  <si>
    <t xml:space="preserve">150+</t>
  </si>
  <si>
    <t xml:space="preserve">Jerome Upton</t>
  </si>
  <si>
    <t xml:space="preserve">1.GSCP Approval required
2.Business relationship restrictions
3.Firm loan
4.Consultation required</t>
  </si>
  <si>
    <t xml:space="preserve">1.Genworth India is the capability center for Genworth North America. It offers innovative technology solutions and customer service to the US businesses and customers.
2.Genworth's CareScout business continues rolling out Care Assurance, a standalone long-term care insurance solution.
As of Q1 2026:
Product available in 41 U.S. states.
Represents Genworth's push into next-generation LTC insurance offerings.
3.CEO Thomas McInerney on temporary leave; CFO Jerome Upton becomes Interim CEO</t>
  </si>
  <si>
    <t xml:space="preserve">Genworth India | LinkedIn
https://investor.genworth.com/
https://investor.genworth.com/news-events
</t>
  </si>
  <si>
    <t xml:space="preserve">Corporate Leadership :: Genworth Financial, Inc. (GNW)</t>
  </si>
  <si>
    <t xml:space="preserve">Blake Hodges</t>
  </si>
  <si>
    <r>
      <rPr>
        <b val="true"/>
        <sz val="10"/>
        <color rgb="FF00008B"/>
        <rFont val="Inter"/>
        <family val="0"/>
        <charset val="1"/>
      </rPr>
      <t xml:space="preserve">[Oct'26 addition] </t>
    </r>
    <r>
      <rPr>
        <sz val="10"/>
        <color rgb="FF00008B"/>
        <rFont val="Inter"/>
        <family val="0"/>
        <charset val="1"/>
      </rPr>
      <t xml:space="preserve">Voya India (Voya Global Services Private Limited, formerly VFI SLK Global Services Private Limited)
(Voya Financial (USA; employee benefits/group life &amp; disability, retirement, investment management))
Source: https://ssfglobal.in/?p=41624
https://gcc.et-edge.com/?p=1000
https://www.greatplacetowork.in/great/company/vfi-slk-global-sevices
https://www.voyaindia.com/</t>
    </r>
  </si>
  <si>
    <t xml:space="preserve">Bengaluru (HQ, Manyata Embassy Business Park); Hyderabad (new GCC at Raheja Mindspace IT Park, launched 2026)</t>
  </si>
  <si>
    <t xml:space="preserve">Technology, data/AI, operations for Voya Health (employee benefits), Wealth (retirement) and Investment Management; described as Voya's strategic Global Capability Centre</t>
  </si>
  <si>
    <t xml:space="preserve">3,000+ across Bengaluru and Hyderabad (2026, per ssfglobal/ET-Edge GCC coverage); ~3,132 (Mar 2026, Revelio Labs, wave 1)</t>
  </si>
  <si>
    <t xml:space="preserve">Sharada Nandakumar, President &amp; CEO, Voya India (confirmed: gcc.et-edge.com profile and ssfglobal.in Hyderabad launch coverage)</t>
  </si>
  <si>
    <t xml:space="preserve">2019 (as VFI SLK JV with SLK Software; later wholly owned and renamed Voya Global Services)</t>
  </si>
  <si>
    <t xml:space="preserve">https://ssfglobal.in/?p=41624
https://gcc.et-edge.com/?p=1000
https://www.greatplacetowork.in/great/company/vfi-slk-global-sevices
https://www.voyaindia.com/</t>
  </si>
  <si>
    <t xml:space="preserve">Strongest omission. Wave-2 searches firmed up the India head (Sharada Nandakumar), the second site (Hyderabad, Raheja Mindspace) and the 3,000+ headcount.</t>
  </si>
  <si>
    <r>
      <rPr>
        <b val="true"/>
        <sz val="10"/>
        <color rgb="FF00008B"/>
        <rFont val="Inter"/>
        <family val="0"/>
        <charset val="1"/>
      </rPr>
      <t xml:space="preserve">[Oct'26 addition] </t>
    </r>
    <r>
      <rPr>
        <sz val="10"/>
        <color rgb="FF00008B"/>
        <rFont val="Inter"/>
        <family val="0"/>
        <charset val="1"/>
      </rPr>
      <t xml:space="preserve">Allianz Technology SE (India) - distinct legal entity from Allianz Services Private Limited, which is already in the tracker
(Allianz SE (Germany) - Allianz Technology SE)
Source: https://tech.allianz.com/india/about-us.html
https://www.tech.allianz.com/en/contact/india.html
https://www.greatplacetowork.in/great/company/allianz-technology-se-india/
https://coverager.com/allianz-indian-it-hub-3400-employees-100-bots-1-mission/
https://technopark.org/company-details/5870
https://www.sightsinplus.com/news/appointments/allianz-technology-appoints-mansi-nigam-as-chief-people-and-culture-officer-india/
https://www.exchange4media.com/industry-briefing-news/allianz-appoints-ritu-arora-as-country-head-of-india-148459.html</t>
    </r>
  </si>
  <si>
    <t xml:space="preserve">Pune and Trivandrum (Technopark; India HQ)</t>
  </si>
  <si>
    <t xml:space="preserve">Technology: application development, AI/ML, data, engineering, R&amp;D; Allianz's global IT provider</t>
  </si>
  <si>
    <t xml:space="preserve">3,500+ (company 'About us' page, 2025-26); 3,400 cited by Coverager earlier</t>
  </si>
  <si>
    <t xml:space="preserve">not captured for Allianz Technology India (no MD/country-head title found). Context: Ritu Arora appointed Allianz Country Head of India, group level, 16 Oct 2025 (exchange4media/reinasia) - not the Allianz Technology GCC head; Mansi Nigam is CPCO India from March 2026 (sightsinplus); global CEO Agostino Ferrara.</t>
  </si>
  <si>
    <t xml:space="preserve">not captured (Technopark Trivandrum listing; long-standing)</t>
  </si>
  <si>
    <t xml:space="preserve">https://tech.allianz.com/india/about-us.html
https://www.tech.allianz.com/en/contact/india.html
https://www.greatplacetowork.in/great/company/allianz-technology-se-india/
https://coverager.com/allianz-indian-it-hub-3400-employees-100-bots-1-mission/
https://technopark.org/company-details/5870
https://www.sightsinplus.com/news/appointments/allianz-technology-appoints-mansi-nigam-as-chief-people-and-culture-officer-india/
https://www.exchange4media.com/industry-briefing-news/allianz-appoints-ritu-arora-as-country-head-of-india-148459.html</t>
  </si>
  <si>
    <t xml:space="preserve">The tracker lists 'Allianz Service Private limited' (Allianz Services: ~4,000 staff, insurance operations, Trivandrum/Mumbai/Pune). Allianz Technology is a separate 3,500+ technology captive in the same cities; client should decide whether to list it separately or fold into one Allianz row with combined headcount (~7,500).</t>
  </si>
  <si>
    <r>
      <rPr>
        <b val="true"/>
        <sz val="10"/>
        <color rgb="FF00008B"/>
        <rFont val="Inter"/>
        <family val="0"/>
        <charset val="1"/>
      </rPr>
      <t xml:space="preserve">[Oct'26 addition] </t>
    </r>
    <r>
      <rPr>
        <sz val="10"/>
        <color rgb="FF00008B"/>
        <rFont val="Inter"/>
        <family val="0"/>
        <charset val="1"/>
      </rPr>
      <t xml:space="preserve">Ameriprise India LLP
(Ameriprise Financial (USA; RiverSource life/annuity insurance arm plus wealth and asset management))
Source: https://www.ameriprise.com/careers/india-jobs/about-ameriprise-india/index
https://www.greatplacetowork.in/great/company/ameriprise-india-llp</t>
    </r>
  </si>
  <si>
    <t xml:space="preserve">Gurugram (Udyog Vihar, since 2005); Noida (Embassy Oxygen Business Park, since Jan 2018); Hyderabad (operational Feb 2025)</t>
  </si>
  <si>
    <t xml:space="preserve">Technology, Business Analytics, Finance Operations, Legal &amp; Compliance Services, Asset Management and Advice &amp; Wealth Management support for the U.S., the UK, EMEA and APAC (company careers page)</t>
  </si>
  <si>
    <t xml:space="preserve">3,400+ (company careers page, 2025-26)</t>
  </si>
  <si>
    <t xml:space="preserve">not captured (two targeted searches returned no MD/country-head name for Ameriprise India LLP)</t>
  </si>
  <si>
    <t xml:space="preserve">2005 (Gurugram, started with 14 employees)</t>
  </si>
  <si>
    <t xml:space="preserve">https://www.ameriprise.com/careers/india-jobs/about-ameriprise-india/index
https://www.greatplacetowork.in/great/company/ameriprise-india-llp</t>
  </si>
  <si>
    <t xml:space="preserve">Existence is certain; fit is a judgement call. Ameriprise is primarily a wealth/asset manager, but RiverSource Life Insurance is a material segment and the India centre supports all business units. Flag for client decision, same way as Empower/TIAA/Principal are already included.</t>
  </si>
  <si>
    <r>
      <rPr>
        <b val="true"/>
        <sz val="10"/>
        <color rgb="FF00008B"/>
        <rFont val="Inter"/>
        <family val="0"/>
        <charset val="1"/>
      </rPr>
      <t xml:space="preserve">[Oct'26 addition] </t>
    </r>
    <r>
      <rPr>
        <sz val="10"/>
        <color rgb="FF00008B"/>
        <rFont val="Inter"/>
        <family val="0"/>
        <charset val="1"/>
      </rPr>
      <t xml:space="preserve">FNF India Private Limited
(Fidelity National Financial (USA; title insurer))
Source: https://www.greatplacetowork.in/great/company/fnf-india-private-limited
https://www.reveliolabs.com/companies/fnf-india/employees
https://www.inman.com/2010/10/07/fidelity-growing-india-title-operations/
https://gcc.et-edge.com/2025-bangalore/?p=8399
https://www.zaubacorp.com/FNF-INDIA-PRIVATE-LIMITED-U72900KA2007PTC041356</t>
    </r>
  </si>
  <si>
    <t xml:space="preserve">Global captive service centre for all FNF family companies: business process, knowledge-based and technology services for US title/settlement operations</t>
  </si>
  <si>
    <t xml:space="preserve">~3,817 (Revelio Labs, 2026); 'close to 4,000' (Great Place to Work profile); et-edge speaker profile of the MD claims growth to 5,000 'across multiple locations' (unverified, may include non-Bengaluru sites)</t>
  </si>
  <si>
    <t xml:space="preserve">George Inasu, Managing Director &amp; Country Head, FNF India (gcc.et-edge.com 2025 Bangalore speaker profile; ssonetwork.com)</t>
  </si>
  <si>
    <t xml:space="preserve">2005 (services start, per GPTW profile); FNF India Private Limited incorporated 2 Jan 2007 (Zauba/MCA CIN U72900KA2007PTC041356)</t>
  </si>
  <si>
    <t xml:space="preserve">https://www.greatplacetowork.in/great/company/fnf-india-private-limited
https://www.reveliolabs.com/companies/fnf-india/employees
https://www.inman.com/2010/10/07/fidelity-growing-india-title-operations/
https://gcc.et-edge.com/2025-bangalore/?p=8399
https://www.zaubacorp.com/FNF-INDIA-PRIVATE-LIMITED-U72900KA2007PTC041356</t>
  </si>
  <si>
    <t xml:space="preserve">Same scope caveat as First American (India), which is already in the tracker: title insurance. If First American stays, FNF India is the obvious peer omission.</t>
  </si>
  <si>
    <t xml:space="preserve">List of Global Reinsurance branch/Broking companies in India</t>
  </si>
  <si>
    <t xml:space="preserve">Name of Entity</t>
  </si>
  <si>
    <t xml:space="preserve">Head-Office Location</t>
  </si>
  <si>
    <r>
      <rPr>
        <sz val="10"/>
        <color theme="1"/>
        <rFont val="Inter"/>
        <family val="0"/>
        <charset val="1"/>
      </rPr>
      <t xml:space="preserve">AXA XL Insurance - India Reinsurance Branch (XL)
</t>
    </r>
    <r>
      <rPr>
        <b val="true"/>
        <sz val="10"/>
        <color rgb="FF00008B"/>
        <rFont val="Inter"/>
        <family val="0"/>
        <charset val="1"/>
      </rPr>
      <t xml:space="preserve">
[Oct'26 update – correction] </t>
    </r>
    <r>
      <rPr>
        <sz val="10"/>
        <color rgb="FF00008B"/>
        <rFont val="Inter"/>
        <family val="0"/>
        <charset val="1"/>
      </rPr>
      <t xml:space="preserve">XL Insurance Company SE - India Reinsurance Branch (AXA XL, AXA Group); IRDAI foreign reinsurance branch Reg. No. FRB/007 (MCA foreign-company no. F06169), operating since Apr 2017. NOTE: IRDAI-regulated reinsurance branch, not a GCC. AXA's separate India GCC is AXA Global Business Services Pvt Ltd (AXA GBS), Bengaluru/Pune
Source: https://axaxl.com/reinsurance/our-companies/xl-insurance-company-se
https://irdai.gov.in/list-of-reinsurer-branches
https://cxotoday.com/press-release/axa-global-business-services-embarks-on-a-new-era-of-transformation-as-it-celebrates-30-years-in-india/</t>
    </r>
  </si>
  <si>
    <r>
      <rPr>
        <sz val="10"/>
        <color theme="1"/>
        <rFont val="Inter"/>
        <family val="0"/>
        <charset val="1"/>
      </rPr>
      <t xml:space="preserve">Mumbai
Bengaluru &amp; Pune
</t>
    </r>
    <r>
      <rPr>
        <b val="true"/>
        <sz val="10"/>
        <color rgb="FF00008B"/>
        <rFont val="Inter"/>
        <family val="0"/>
        <charset val="1"/>
      </rPr>
      <t xml:space="preserve">
[Oct'26 update – correction] </t>
    </r>
    <r>
      <rPr>
        <sz val="10"/>
        <color rgb="FF00008B"/>
        <rFont val="Inter"/>
        <family val="0"/>
        <charset val="1"/>
      </rPr>
      <t xml:space="preserve">Branch: Mumbai only (Unit 608, 6th Floor, INS Tower A Wing, Plot C-63, G Block, Bandra Kurla Complex, Mumbai 400051). Bengaluru (HQ) and Pune belong to the separate GCC entity AXA Global Business Services Pvt Ltd
Source: https://axaxl.com/reinsurance/our-companies/xl-insurance-company-se
https://axaxl.com/search/locations?country=india
https://www.axagbs.com/press-release/axa-unveils-state-of-the-art-office-space-in-pune-expands-its-global-business-services-center</t>
    </r>
  </si>
  <si>
    <t xml:space="preserve">Reinsurance and Insurance Functions :
Property Reinsurance
Casualty Reinsurance
Specialty Reinsurance Lines
Agriculture Reinsurance
https://axaxl.com/insurance
</t>
  </si>
  <si>
    <r>
      <rPr>
        <sz val="10"/>
        <color theme="1"/>
        <rFont val="Inter"/>
        <family val="0"/>
        <charset val="1"/>
      </rPr>
      <t xml:space="preserve">Not verifiable
</t>
    </r>
    <r>
      <rPr>
        <b val="true"/>
        <sz val="10"/>
        <color rgb="FF00008B"/>
        <rFont val="Inter"/>
        <family val="0"/>
        <charset val="1"/>
      </rPr>
      <t xml:space="preserve">
[Oct'26 re-check] </t>
    </r>
    <r>
      <rPr>
        <sz val="10"/>
        <color rgb="FF00008B"/>
        <rFont val="Inter"/>
        <family val="0"/>
        <charset val="1"/>
      </rPr>
      <t xml:space="preserve">Two wave-2 searches (XL Insurance Company SE India branch 2026; AXA Global Business Services India employees 2026) found no branch FTE figure; AXA XL publishes only named appointments. The 8,945 AXA-India figure is a Revelio Labs model covering all AXA entities in India, not the GBS GCC alone, so it is listed second. The wave-1 unattributed '2,182 India employees' figure remains unused.</t>
    </r>
  </si>
  <si>
    <r>
      <rPr>
        <b val="true"/>
        <sz val="10"/>
        <color rgb="FF00008B"/>
        <rFont val="Inter"/>
        <family val="0"/>
        <charset val="1"/>
      </rPr>
      <t xml:space="preserve">Focus area: </t>
    </r>
    <r>
      <rPr>
        <sz val="10"/>
        <color rgb="FF00008B"/>
        <rFont val="Inter"/>
        <family val="0"/>
        <charset val="1"/>
      </rPr>
      <t xml:space="preserve">Operations (branch underwriting build-out) / Technology (AXA GBS GCC automation, data and AI)
(Apr 2025) Alok Shukla assumed the role of CEO of XL Insurance Company SE - India Reinsurance Branch on 1 Apr 2025, replacing Joseph Augustine, with a brief to grow the reinsurance book from Mumbai.
(May 2025) AXA XL strengthened the India branch with Saumitra Sharma (ex-Swiss Re) as Chief Underwriting Officer from 12 May 2025 and Akash Jain as Underwriting Assistant from 14 May 2025, plus property underwriting, claims and underwriting-support hires.
(Feb 2025) AXA GBS marked 30 years in India with 4,000+ staff across Bangalore, Pune, UK and Morocco and a shift from transactional work to an output-based model centred on technology, automation, data analytics and AI, anchored by its new Pune office for a 4,000-strong India team.</t>
    </r>
  </si>
  <si>
    <t xml:space="preserve">https://www.reinsurancene.ws/alok-shukla-named-ceo-of-xl-insurance-india-reinsurance-branch/
https://axaxl.com/press-releases/axa-xl-strengthens-team-in-india-with-key-appointments
https://cxotoday.com/press-release/axa-global-business-services-embarks-on-a-new-era-of-transformation-as-it-celebrates-30-years-in-india/
https://www.reinsurancene.ws/axa-xl-bolsters-indian-team-with-several-senior-appointments/</t>
  </si>
  <si>
    <r>
      <rPr>
        <b val="true"/>
        <sz val="10"/>
        <color rgb="FF00008B"/>
        <rFont val="Inter"/>
        <family val="0"/>
        <charset val="1"/>
      </rPr>
      <t xml:space="preserve">[Oct'26 update – addition] </t>
    </r>
    <r>
      <rPr>
        <sz val="10"/>
        <color rgb="FF00008B"/>
        <rFont val="Inter"/>
        <family val="0"/>
        <charset val="1"/>
      </rPr>
      <t xml:space="preserve">Branch: Alok Shukla, CEO, XL Insurance Company SE - India Reinsurance Branch (assumed role 1 Apr 2025; succeeded Joseph Augustine). CUO: Saumitra Sharma (joined 12 May 2025 from Swiss Re). AXA GBS (GCC): Michele Rochefort, CEO (since 2022; confirmed in Feb 2025 release) - a reported mid-2026 succession by Eric Berger (ex-DG, AXA Services Maroc) is not independently confirmed
Source: https://www.reinsurancene.ws/alok-shukla-named-ceo-of-xl-insurance-india-reinsurance-branch/
https://axaxl.com/press-releases/axa-xl-strengthens-team-in-india-with-key-appointments
https://www.insurancebusinessmag.com/asia/news/breaking-news/axa-xl-builds-india-bench-with-strategic-appointments-535759.aspx
https://cxotoday.com/press-release/axa-global-business-services-embarks-on-a-new-era-of-transformation-as-it-celebrates-30-years-in-india/</t>
    </r>
  </si>
  <si>
    <t xml:space="preserve">Since 1986</t>
  </si>
  <si>
    <t xml:space="preserve">Alok Shukla</t>
  </si>
  <si>
    <t xml:space="preserve">1.AXA XL Strengthens Team in India with Key Appointments (14 May 2025) 
</t>
  </si>
  <si>
    <t xml:space="preserve">https://axaxl.com/press-releases/axa-xl-strengthens-team-in-india-with-key-appointments</t>
  </si>
  <si>
    <t xml:space="preserve">AXA opens new office in Pune, expands Global Business Services centre - CNBC TV18
https://rocketreach.co/axa-xl-profile_b455dbe3fc94dd99</t>
  </si>
  <si>
    <t xml:space="preserve">Amit Agrawal</t>
  </si>
  <si>
    <t xml:space="preserve">AXA Group CRO</t>
  </si>
  <si>
    <t xml:space="preserve">India head mentioned
https://axaxl.com/press-releases/axa-xl-strengthens-team-in-india-with-key-appointments</t>
  </si>
  <si>
    <r>
      <rPr>
        <sz val="10"/>
        <color theme="1"/>
        <rFont val="Inter"/>
        <family val="0"/>
        <charset val="1"/>
      </rPr>
      <t xml:space="preserve">Empower Insurance
</t>
    </r>
    <r>
      <rPr>
        <b val="true"/>
        <sz val="10"/>
        <color rgb="FF00008B"/>
        <rFont val="Inter"/>
        <family val="0"/>
        <charset val="1"/>
      </rPr>
      <t xml:space="preserve">
[Oct'26 update – correction; audit: not audited] </t>
    </r>
    <r>
      <rPr>
        <sz val="10"/>
        <color rgb="FF00008B"/>
        <rFont val="Inter"/>
        <family val="0"/>
        <charset val="1"/>
      </rPr>
      <t xml:space="preserve">Empower Global Business Services India Private Limited (formerly Great-West Global Business Services India Pvt Ltd; Empower Annuity Insurance Company of America / Great-West Lifeco) - CIN U74900KA2014FTC077522, incorporated 2 Dec 2014. NOTE: GCC of a US retirement-plan recordkeeper, not a reinsurance branch or broker; should move out of the reinsurance section
Source: https://tracxn.com/d/legal-entities/india/empower-global-business-services-india-private-limited/__UHD-bRAFkVn6Gm50sKg0VoBBjJsA3HQ52LwiChoKh9w
https://www.thecompanycheck.com/company/empower-global-business-services-india-private-limited/U74900KA2014FTC077522
https://indialei.in/detailed-information/277772/254900XP426OOHV1FM18/empower-global-business-services-india-private-limited/</t>
    </r>
  </si>
  <si>
    <r>
      <rPr>
        <sz val="10"/>
        <color rgb="FF3A7D22"/>
        <rFont val="Inter"/>
        <family val="0"/>
        <charset val="1"/>
      </rPr>
      <t xml:space="preserve">1.Engineering
2.Sales &amp; Marketing
3.Finance and Ops
https://www.reveliolabs.com/companies/empower-india/employees
</t>
    </r>
    <r>
      <rPr>
        <b val="true"/>
        <sz val="10"/>
        <color rgb="FF00008B"/>
        <rFont val="Inter"/>
        <family val="0"/>
        <charset val="1"/>
      </rPr>
      <t xml:space="preserve">
[Oct'26 update – correction; audit: not audited] </t>
    </r>
    <r>
      <rPr>
        <sz val="10"/>
        <color rgb="FF00008B"/>
        <rFont val="Inter"/>
        <family val="0"/>
        <charset val="1"/>
      </rPr>
      <t xml:space="preserve">Technology (software engineering, data engineering/streaming, DevOps, site reliability, quality engineering - majority of open India roles, Oct 2026), Operations (transition management / PMO analysts and similar) and HR; provides 24x7 technology support to Empower US. Sales &amp; Marketing not evidenced
Source: https://jobs.empower.com/india
https://jobs.empower.com/job/bengaluru/sr-analyst-transition-mgmt-and-pmo/42743/90573714496
https://in.linkedin.com/company/empower-india</t>
    </r>
  </si>
  <si>
    <r>
      <rPr>
        <sz val="10"/>
        <color rgb="FF3A7D22"/>
        <rFont val="Inter"/>
        <family val="0"/>
        <charset val="1"/>
      </rPr>
      <t xml:space="preserve">735,Apr'26
https://www.reveliolabs.com/companies/empower-india/employees
</t>
    </r>
    <r>
      <rPr>
        <b val="true"/>
        <sz val="10"/>
        <color rgb="FF00008B"/>
        <rFont val="Inter"/>
        <family val="0"/>
        <charset val="1"/>
      </rPr>
      <t xml:space="preserve">
[Oct'26 update – correction] </t>
    </r>
    <r>
      <rPr>
        <sz val="10"/>
        <color rgb="FF00008B"/>
        <rFont val="Inter"/>
        <family val="0"/>
        <charset val="1"/>
      </rPr>
      <t xml:space="preserve">~705 (Revelio Labs estimate, Dec 2025 update; 2025 average 704, +18.9% vs 2024). No company-published figure
Source: https://www.reveliolabs.com/companies/empower-india/employees/</t>
    </r>
  </si>
  <si>
    <r>
      <rPr>
        <b val="true"/>
        <sz val="10"/>
        <color rgb="FF00008B"/>
        <rFont val="Inter"/>
        <family val="0"/>
        <charset val="1"/>
      </rPr>
      <t xml:space="preserve">Focus area: </t>
    </r>
    <r>
      <rPr>
        <sz val="10"/>
        <color rgb="FF00008B"/>
        <rFont val="Inter"/>
        <family val="0"/>
        <charset val="1"/>
      </rPr>
      <t xml:space="preserve">Technology
(Oct 2026) Empower's careers site listed 77 open India positions, 56 of them in Technology (senior/principal software engineers, data streaming, DevOps, SRE, quality engineering), with postings dated 30 Sep and 5 Oct 2026 - an engineering-led build-out in Bengaluru.
(Dec 2025) Revelio Labs estimated Empower India headcount at about 705, with 2025 average headcount up 18.9% on 2024, indicating sustained growth of the Bengaluru centre.
(2026, month n/a) Empower's India careers page highlights its Bengaluru team and India Top Employer recognition; Shilpy Sharma (Regional HR Head, APAC) is credited with the certification; the company's LinkedIn page describes round-the-clock technology support to the US business.</t>
    </r>
  </si>
  <si>
    <t xml:space="preserve">https://jobs.empower.com/india-jobs
https://www.reveliolabs.com/companies/empower-india/employees/
https://jobs.empower.com/india</t>
  </si>
  <si>
    <r>
      <rPr>
        <b val="true"/>
        <sz val="10"/>
        <color rgb="FF00008B"/>
        <rFont val="Inter"/>
        <family val="0"/>
        <charset val="1"/>
      </rPr>
      <t xml:space="preserve">[Oct'26 re-check] </t>
    </r>
    <r>
      <rPr>
        <sz val="10"/>
        <color rgb="FF00008B"/>
        <rFont val="Inter"/>
        <family val="0"/>
        <charset val="1"/>
      </rPr>
      <t xml:space="preserve">Two wave-2 searches targeted the India leader. The Empower India careers page extract names Shilpy Sharma as Country Head; the Humantic and RocketReach profiles call her Regional HR Head APAC with expertise in building GCCs and credit her with Empower's Top Employer certification (2024-2025). Possible that the careers page features the HR head rather than the site MD - flag for client confirmation on LinkedIn. Confidence low-medium.</t>
    </r>
  </si>
  <si>
    <t xml:space="preserve">Since 1891</t>
  </si>
  <si>
    <t xml:space="preserve">Edmund F. Murphy III</t>
  </si>
  <si>
    <t xml:space="preserve">1.Empower Insurance Brokers Private Limited is a newly incorporated on 19th September (2024) in Raipur Chhattisgarh, Indian‑owned insurance broking startup based in Raipur, operating domestically with basic advisory and intermediary services and no global, GCC, or AI‑led transformation footprint disclosed to date.
2. Empower Insurance does not have a publicly named CEO; the company is currently led by its founder‑directors Ramias Sohanlal Sharma and Vijendra Ramniwas Sharma.
</t>
  </si>
  <si>
    <t xml:space="preserve">https://tracxn.com/d/legal-entities/india/empower-insurance-brokers-private-limited/__eckhKmSEhPA-mW0w3YCDeh--Y1rqdUEn41Yw2D0EAIY
https://www.thecompanycheck.com/company/empower-insurance-brokers-private-limited/U66220CT2024PTC016865</t>
  </si>
  <si>
    <t xml:space="preserve">not disclosed</t>
  </si>
  <si>
    <t xml:space="preserve">Rajgopalan Iyengar</t>
  </si>
  <si>
    <t xml:space="preserve">India head mentioned
https://empowerindia.in/contact.html</t>
  </si>
  <si>
    <t xml:space="preserve">General Reinsurance AG (India Branch) </t>
  </si>
  <si>
    <r>
      <rPr>
        <b val="true"/>
        <sz val="10"/>
        <color rgb="FF00008B"/>
        <rFont val="Inter"/>
        <family val="0"/>
        <charset val="1"/>
      </rPr>
      <t xml:space="preserve">[Oct'26 update – addition] </t>
    </r>
    <r>
      <rPr>
        <sz val="10"/>
        <color rgb="FF00008B"/>
        <rFont val="Inter"/>
        <family val="0"/>
        <charset val="1"/>
      </rPr>
      <t xml:space="preserve">Life &amp; Health and Property &amp; Casualty reinsurance (treaty and facultative) for Indian insurers, with L&amp;H the historical core (Gen Re served India's L&amp;H market for 15 years before the branch) and P&amp;C growth being explored; includes product and business development support
Source: https://www.genre.com/us/contactus/branch/asia/mumbai
https://www.insurancebusinessmag.com/asia/news/breaking-news/warren-buffetbacked-gen-re-commences-india-operations-76512.aspx
https://www.businesswire.com/news/home/20170514005025/en/Gen-Re-Receives-Reinsurance-Branch-License-in-India</t>
    </r>
  </si>
  <si>
    <r>
      <rPr>
        <b val="true"/>
        <sz val="10"/>
        <color rgb="FF00008B"/>
        <rFont val="Inter"/>
        <family val="0"/>
        <charset val="1"/>
      </rPr>
      <t xml:space="preserve">[Oct'26 re-check] </t>
    </r>
    <r>
      <rPr>
        <sz val="10"/>
        <color rgb="FF00008B"/>
        <rFont val="Inter"/>
        <family val="0"/>
        <charset val="1"/>
      </rPr>
      <t xml:space="preserve">Two wave-2 searches ('Gen Re' India branch Mumbai 2026 Vijay Mudaliar employees; 'Gen Re' India 2026 OR 2025 announcement) returned no headcount in IRDAI disclosures, genre.com, Tracxn or news. Branch is a small underwriting/actuarial team.</t>
    </r>
  </si>
  <si>
    <r>
      <rPr>
        <b val="true"/>
        <sz val="10"/>
        <color rgb="FF00008B"/>
        <rFont val="Inter"/>
        <family val="0"/>
        <charset val="1"/>
      </rPr>
      <t xml:space="preserve">Focus area: </t>
    </r>
    <r>
      <rPr>
        <sz val="10"/>
        <color rgb="FF00008B"/>
        <rFont val="Inter"/>
        <family val="0"/>
        <charset val="1"/>
      </rPr>
      <t xml:space="preserve">Operations (reinsurance underwriting; Life &amp; Health core)</t>
    </r>
    <r>
      <rPr>
        <b val="true"/>
        <sz val="10"/>
        <color rgb="FF00008B"/>
        <rFont val="Inter"/>
        <family val="0"/>
        <charset val="1"/>
      </rPr>
      <t xml:space="preserve">  [audit: not audited]
</t>
    </r>
    <r>
      <rPr>
        <sz val="10"/>
        <color rgb="FF00008B"/>
        <rFont val="Inter"/>
        <family val="0"/>
        <charset val="1"/>
      </rPr>
      <t xml:space="preserve">
(Jul 2026) On 31 Jul 2026 Bajaj Finserv's board approved entry into reinsurance via a wholly owned subsidiary, the third private player targeting India's reinsurance market in about a year - sharpening competition for foreign branches such as Gen Re.
(Jan 2025) Aon launched an India Life &amp; Health reinsurance practice and hired Neha Shah from Gen Re India as chief actuary - evidence of Gen Re India's role as a talent pool in the growing L&amp;H reinsurance market.
(2024, FY2023-24 filing) Gen Re India's IRDAI public disclosure for FRB/008 continued to list Vijay Mudaliar as CEO, with the Mumbai branch active in L&amp;H and P&amp;C reinsurance.
(2026, month n/a) Gen Re's Mumbai branch page continues to show Vijay Mudaliar as CEO at Dynasty Business Park, Andheri East; no new India appointment, expansion or product announcement was found for 2025-2026.</t>
    </r>
  </si>
  <si>
    <t xml:space="preserve">https://www.insurancebusinessmag.com/reinsurance/news/breaking-news/bajaj-finserv-targets-reinsurance-entry-as-indias-private-market-expands-584521.aspx
https://aon.mediaroom.com/news-releases?item=138414
https://www.genre.com/content/dam/generalreinsuranceprogram/documents/grin-public-disclosure2324-en.pdf
https://www.genre.com/us/contactus/branch/asia/mumbai</t>
  </si>
  <si>
    <r>
      <rPr>
        <b val="true"/>
        <sz val="10"/>
        <color rgb="FF00008B"/>
        <rFont val="Inter"/>
        <family val="0"/>
        <charset val="1"/>
      </rPr>
      <t xml:space="preserve">[Oct'26 update – addition] </t>
    </r>
    <r>
      <rPr>
        <sz val="10"/>
        <color rgb="FF00008B"/>
        <rFont val="Inter"/>
        <family val="0"/>
        <charset val="1"/>
      </rPr>
      <t xml:space="preserve">Vijay Mudaliar, Chief Executive Officer / Principal Officer, General Reinsurance AG - India Branch (Mumbai); founding CEO at the 2017 launch was Venkatesh N. Chakravarty
Source: https://www.genre.com/us/contactus/branch/asia/mumbai
https://www.zoominfo.com/p/Vijay-Mudaliar/9404671668
https://www.genre.com/content/dam/generalreinsuranceprogram/documents/grin-public-disclosure2324-en.pdf
https://esi.in/finance/insurance/reinsurer-branches/general-reinsurance-ag-india-branch/</t>
    </r>
  </si>
  <si>
    <t xml:space="preserve">Vijay Mudaliar</t>
  </si>
  <si>
    <t xml:space="preserve">1. GCSP Approval</t>
  </si>
  <si>
    <t xml:space="preserve">1.Chief Executive Officer (India Branch)
Vijay Mudaliar — Chief Executive Officer, General Reinsurance AG – India Branch
2.Kara Raiguel — President &amp; CEO, General Re Corporation (Global)</t>
  </si>
  <si>
    <t xml:space="preserve">https://www.gicouncil.in/about-the-council/organization-structure/members-of-the-gi-council/
https://www.genre.com/us/aboutus/leadership-team
</t>
  </si>
  <si>
    <t xml:space="preserve">Vinod Rathi</t>
  </si>
  <si>
    <t xml:space="preserve">Sanjeeb Kumar</t>
  </si>
  <si>
    <t xml:space="preserve">India head mentioned
https://www.the-digital-insurer.com/gen-re-blog/in-conversation-with-sanjeeb-kumar/</t>
  </si>
  <si>
    <r>
      <rPr>
        <b val="true"/>
        <sz val="10"/>
        <color rgb="FF00008B"/>
        <rFont val="Inter"/>
        <family val="0"/>
        <charset val="1"/>
      </rPr>
      <t xml:space="preserve">[Oct'26 update – addition] </t>
    </r>
    <r>
      <rPr>
        <sz val="10"/>
        <color rgb="FF00008B"/>
        <rFont val="Inter"/>
        <family val="0"/>
        <charset val="1"/>
      </rPr>
      <t xml:space="preserve">Onshore reinsurance platform: Lloyd's managing agents set up service companies on the Lloyd's India platform (e.g. MS Amlin first in 2017; Markel) to underwrite reinsurance onshore; Lloyd's India provides regulatory, compliance, finance and market-access functions. GIFT City licence lets managing agents set up service companies in GIFT and underwrite business there (first user: Niyam Syndicate 2047, from 1 Apr 2026)
Source: https://www.lloyds.com/india
https://www.reinsurancene.ws/lloyds-india-branch-opens-welcomes-ms-amlin-first-syndicate/
https://tools.prnewswire.com/en-us/live/20823/release/20260331EN22212
https://beinsure.com/news/niyam-syndicate-2047-draws-lloyds-reinsurance-interest-in-gift-city/</t>
    </r>
  </si>
  <si>
    <r>
      <rPr>
        <b val="true"/>
        <sz val="10"/>
        <color rgb="FF00008B"/>
        <rFont val="Inter"/>
        <family val="0"/>
        <charset val="1"/>
      </rPr>
      <t xml:space="preserve">[Oct'26 re-check] </t>
    </r>
    <r>
      <rPr>
        <sz val="10"/>
        <color rgb="FF00008B"/>
        <rFont val="Inter"/>
        <family val="0"/>
        <charset val="1"/>
      </rPr>
      <t xml:space="preserve">Two wave-2 Lloyd's India searches returned no headcount (lloyds.com/india, FY2025 NL-form financials index, Asia Insurance Post, Reinsurance News, Business Insurance).</t>
    </r>
  </si>
  <si>
    <r>
      <rPr>
        <b val="true"/>
        <sz val="10"/>
        <color rgb="FF00008B"/>
        <rFont val="Inter"/>
        <family val="0"/>
        <charset val="1"/>
      </rPr>
      <t xml:space="preserve">Focus area: </t>
    </r>
    <r>
      <rPr>
        <sz val="10"/>
        <color rgb="FF00008B"/>
        <rFont val="Inter"/>
        <family val="0"/>
        <charset val="1"/>
      </rPr>
      <t xml:space="preserve">Operations (market-access and platform expansion)
(Jan 2026) On 18 Jan 2026 Lloyd's India announced that CFO Shefali Sehwani had been promoted to CEO &amp; Country Manager, succeeding Shankar Garigiparthy who had led the India platform since 2017.
(Mar 2026) Lloyd's moved to establish a GIFT City platform separate from and in addition to Mumbai: IFSCA described its application as 'under process' in March 2026 and The Insurer reported approval on 25 Mar 2026; Lloyd's says it expects to be authorised and operational in GIFT City in 2026, allowing managing agents to set up service companies and underwrite from GIFT.
(Apr 2026) Niyam Syndicate 2047 (J.C. Flowers-backed; Polo as managing agent per Insurance Business) began underwriting on 1 Apr 2026 as the first Lloyd's syndicate established in GIFT City, having received Lloyd's in-principle approval in Jan 2026.
(May 2026) Shefali Sehwani spoke as CEO &amp; Country Manager of Lloyd's India at the Bombay Chamber Insurance Summit (29 May 2026) on the changing reinsurance landscape.</t>
    </r>
  </si>
  <si>
    <t xml:space="preserve">https://asiainsurancepost.com/archives/75498
https://www.theinsurer.com/ti/news/lloyds-receives-india-gift-city-license-approval-2026-03-25/
https://tools.prnewswire.com/en-us/live/20823/release/20260331EN22212
https://x.com/BombayChamber/status/2057708286405972364
https://www.reinsurancene.ws/lloyds-reported-to-have-applied-to-set-up-in-indias-gift-city/
https://www.insurancebusinessmag.com/asia/news/breaking-news/polo-backs-first-lloyds-syndicate-in-indias-gift-city-571939.aspx</t>
  </si>
  <si>
    <r>
      <rPr>
        <b val="true"/>
        <sz val="10"/>
        <color rgb="FF00008B"/>
        <rFont val="Inter"/>
        <family val="0"/>
        <charset val="1"/>
      </rPr>
      <t xml:space="preserve">[Oct'26 update – addition] </t>
    </r>
    <r>
      <rPr>
        <sz val="10"/>
        <color rgb="FF00008B"/>
        <rFont val="Inter"/>
        <family val="0"/>
        <charset val="1"/>
      </rPr>
      <t xml:space="preserve">Shefali Sehwani, CEO &amp; Country Manager, Lloyd's India (announced 18 Jan 2026; promoted from CFO, in which role she joined in 2018; succeeded Shankar Garigiparthy, CEO 2017-2025)
Source: https://asiainsurancepost.com/archives/75498
https://www.lloyds.com/india
https://x.com/BombayChamber/status/2057708286405972364
https://www.linkedin.com/in/shefali-sehwani-4a8b9898/</t>
    </r>
  </si>
  <si>
    <t xml:space="preserve">Shefali Sehwani</t>
  </si>
  <si>
    <r>
      <rPr>
        <sz val="10"/>
        <color theme="1"/>
        <rFont val="Inter"/>
        <family val="0"/>
        <charset val="1"/>
      </rPr>
      <t xml:space="preserve">1.IRDAI has permitted foreign reinsurance branches, including Lloyd’s India, to repatriate up to 20% of their excess assigned capital. This move aims to attract more players and allow free movement of capital in the Indian reinsurance market.
</t>
    </r>
    <r>
      <rPr>
        <sz val="10"/>
        <color theme="6"/>
        <rFont val="EYInterstate"/>
        <family val="0"/>
        <charset val="1"/>
      </rPr>
      <t xml:space="preserve">2.Jun' 26 - Lloyd’s is continuing to strengthen its multinational offering by signing a new agreement with ICICI Lombard General Insurance Company Ltd to act as its local partner in India. Expanding global access for market participants and a creating an efficient and flexible Lloyd’s marketplace.
3.Lloyd's applied to establish operations in GIFT City, strengthening India's reinsurance hub ambitions.</t>
    </r>
  </si>
  <si>
    <t xml:space="preserve">Foreign reinsurers can repatriate up to 20% of excess assigned capital, says Irdai
https://www.thehindubusinessline.com/money-and-banking/lloyds-of-london-to-anchor-global-reinsurance-presence-in-gift-city/article70756724.ece
https://www.lloyds.com/insights/news/new-local-partner-in-india
https://www.reinsurancene.ws/lloyds-reported-to-have-applied-to-set-up-in-indias-gift-city/</t>
  </si>
  <si>
    <t xml:space="preserve">Shefali Sehwani succeeds Shankar Gargipathy as Lloyd’s India CEO - Asia Insurance Post
https://hrtoday.in/manish-bhandari-appointed-as-chief-financial-officer-india-branch-at-lloyds/
https://en.wikipedia.org/wiki/Lloyd%27s_of_London</t>
  </si>
  <si>
    <t xml:space="preserve">Manish Bhandari</t>
  </si>
  <si>
    <r>
      <rPr>
        <sz val="10"/>
        <color theme="1"/>
        <rFont val="Inter"/>
        <family val="0"/>
        <charset val="1"/>
      </rPr>
      <t xml:space="preserve">Munich Re, India Branch
</t>
    </r>
    <r>
      <rPr>
        <b val="true"/>
        <sz val="10"/>
        <color rgb="FF00008B"/>
        <rFont val="Inter"/>
        <family val="0"/>
        <charset val="1"/>
      </rPr>
      <t xml:space="preserve">
[Oct'26 update – correction] </t>
    </r>
    <r>
      <rPr>
        <sz val="10"/>
        <color rgb="FF00008B"/>
        <rFont val="Inter"/>
        <family val="0"/>
        <charset val="1"/>
      </rPr>
      <t xml:space="preserve">Munich Reinsurance Company - India Branch (Munich Re India Branch). IRDAI-registered composite foreign reinsurer branch (opened Mumbai Jan 2017) - NOT a GCC. Group's separate India GCC: ERGO Technology &amp; Services Private Limited (ET&amp;S India), Mumbai - offshore development centre/technology hub of ERGO Group (Munich Re Group), founded 2022.
Source: https://www.munichre.com/en/company/media-relations/media-information-and-corporate-news/corporate-news/2017/2017-01-03-munich-re-reinsurance-branch-office-in-mumbai.html
https://www.businessinsurance.com/munich-re-joins-reinsurers-india-market-swiss-re-hannover-re/
https://www.ergo.com/en/microsite/ergo-technology-services-india/about-ets-india</t>
    </r>
  </si>
  <si>
    <r>
      <rPr>
        <b val="true"/>
        <sz val="10"/>
        <color rgb="FF00008B"/>
        <rFont val="Inter"/>
        <family val="0"/>
        <charset val="1"/>
      </rPr>
      <t xml:space="preserve">[Oct'26 update – addition] </t>
    </r>
    <r>
      <rPr>
        <sz val="10"/>
        <color rgb="FF00008B"/>
        <rFont val="Inter"/>
        <family val="0"/>
        <charset val="1"/>
      </rPr>
      <t xml:space="preserve">Branch: composite (P&amp;C, life &amp; health) reinsurance underwriting, client management, marketing actuarial/pricing and risk analytics for India, Sri Lanka and Bangladesh - not a GCC. Group GCC (ET&amp;S India, Mumbai): offshore development centre delivering IT solutions/software engineering for ERGO Group across insurance lines.
Source: https://hrtoday.in/?p=68858
https://www.businessinsurance.com/munich-re-joins-reinsurers-india-market-swiss-re-hannover-re/
https://www.ergo.com/en/microsite/ergo-technology-services-india/about-ets-india</t>
    </r>
  </si>
  <si>
    <r>
      <rPr>
        <b val="true"/>
        <sz val="10"/>
        <color rgb="FF00008B"/>
        <rFont val="Inter"/>
        <family val="0"/>
        <charset val="1"/>
      </rPr>
      <t xml:space="preserve">[Oct'26 re-check] </t>
    </r>
    <r>
      <rPr>
        <sz val="10"/>
        <color rgb="FF00008B"/>
        <rFont val="Inter"/>
        <family val="0"/>
        <charset val="1"/>
      </rPr>
      <t xml:space="preserve">Searched 'Munich Re India branch Mumbai employees LinkedIn headcount' - no branch-level figure exists in any index. Conflicting ET&amp;S India figures: Revelio Labs 557 (workforce-data estimate) vs the company/LinkedIn self-description of nearly 800 (wave 1). Both weak; the company's own figure is listed first in the sheet text per addendum rule. Branch is likely &lt;100 staff but that is inference, not evidence.</t>
    </r>
  </si>
  <si>
    <r>
      <rPr>
        <b val="true"/>
        <sz val="10"/>
        <color rgb="FF00008B"/>
        <rFont val="Inter"/>
        <family val="0"/>
        <charset val="1"/>
      </rPr>
      <t xml:space="preserve">Focus area: </t>
    </r>
    <r>
      <rPr>
        <sz val="10"/>
        <color rgb="FF00008B"/>
        <rFont val="Inter"/>
        <family val="0"/>
        <charset val="1"/>
      </rPr>
      <t xml:space="preserve">Operations (reinsurance branch: actuarial/pricing build-out) / Technology (group GCC ET&amp;S India)
(Feb 2026) Munich Re appointed Ramakant Rajgopal Malpani (ex-Hannover Re India CFO) as Chief Marketing Actuary for India, leading marketing actuarial strategy, client engagement, pricing excellence and risk analytics - a Mumbai branch capability build-out.
(Jul 2026) Ankur Gupta, Munich Re India's head of client management (Jul 2019-Jun 2026), left to become PartnerRe's India CEO effective June 2026 - talent competition for the Mumbai branch as new reinsurers enter India.
(Sep 2026) At the Rendez-Vous de Septembre 2026 in Monte Carlo, Munich Re said 89% of companies feel inadequately protected against cyber risk and framed AI as a multiplier of cyber threats - the group agenda the India branch underwrites into.
(2026, month n/a) ERGO Technology &amp; Services India, the group's Mumbai offshore development centre founded 2022, is estimated at 557 India-based employees (Revelio Labs) - the group's technology GCC in India.</t>
    </r>
  </si>
  <si>
    <t xml:space="preserve">https://hrtoday.in/munich-re-appoints-ramakant-rajgopal-malpani-as-chief-marketing-actuary/
https://www.insurancebusinessmag.com/reinsurance/news/breaking-news/partnerre-fills-india-ceo-role-as-global-reinsurers-race-for-position-582771.aspx
https://www.reinsurancene.ws/partnerre-names-ankur-gupta-as-ceo-india/
https://www.insurancebusinessmag.com/reinsurance/news/breaking-news/cyber-reinsurance-market-hits-new-high-as-ai-risks-reshape-coverage--munich-re-573895.aspx
https://www.reveliolabs.com/companies/ergo-technology-services/employees</t>
  </si>
  <si>
    <r>
      <rPr>
        <b val="true"/>
        <sz val="10"/>
        <color rgb="FF00008B"/>
        <rFont val="Inter"/>
        <family val="0"/>
        <charset val="1"/>
      </rPr>
      <t xml:space="preserve">[Oct'26 update – addition] </t>
    </r>
    <r>
      <rPr>
        <sz val="10"/>
        <color rgb="FF00008B"/>
        <rFont val="Inter"/>
        <family val="0"/>
        <charset val="1"/>
      </rPr>
      <t xml:space="preserve">Surbhi Goel, CEO, Munich Re India Branch (Mumbai) - responsible for P&amp;C reinsurance in India; effective Oct 2024, succeeded Hitesh Kotak; no exit/successor news found to Oct 2026. Group GCC ET&amp;S India: Mehmood Mansoori, Managing Director &amp; CEO (ergo.com); Pramod Kumar Agarwal, Executive Director &amp; CFO (researcher extract, not independently re-confirmed).
Source: https://www.theweek.in/wire-updates/business/2024/04/18/dcm55-munich-re-group.html
https://www.businessinsurance.com/munich-re-names-new-india-chief/
https://www.munichre.com/en/company/about-munich-re/munich-re-worldwide.html
https://www.ergo.com/en/microsite/ergo-technology-services-india/about-ets-india</t>
    </r>
  </si>
  <si>
    <t xml:space="preserve">Surbhi Goel</t>
  </si>
  <si>
    <t xml:space="preserve">1. Audit client 
2. Scope of services restricted
3. GCSP Approval
4.Entity for which attest/AUP report is issued-scope of service restrictions
5. Entity for which sustainability assurance report is issued-requiring compliance with independence policy parts-1,2,3,6-full scope of service restrictions
6.Audit committee prepaproval &amp; or IESBA pre concurrence required for services
7. Firm loan
8.Business relationship restrictions
9.Consultation required</t>
  </si>
  <si>
    <r>
      <rPr>
        <sz val="10"/>
        <color rgb="FF000000"/>
        <rFont val="EYInterstate"/>
        <family val="0"/>
        <charset val="1"/>
      </rPr>
      <t xml:space="preserve">1.In October 2025, Munich Re, along with Gallagher Insurance Brokers and New India Assurance, launched India’s first parametric pandemic insurance for The Phoenix Mills Ltd, providing rapid coverage for business losses from epidemics using predefined triggers.
2.Munich Re integrated Sixfold AI into its REALYTIX ZERO platform
3.Foreign reinsurers now account for ~50%+ market share in India
Munich Re is a top foreign reinsurer benefiting from:
IRDAI branch regulations
Growth in specialty, cyber, climate &amp; engineering lines
</t>
    </r>
    <r>
      <rPr>
        <b val="true"/>
        <sz val="10"/>
        <color theme="6"/>
        <rFont val="EYInterstate"/>
        <family val="0"/>
        <charset val="1"/>
      </rPr>
      <t xml:space="preserve">4. Munich Re generated a stronger Q1 2026 net result of EUR 1.7 billion (vs EUR 1.1 billion in Q1 2025), with the technical result up ~EUR 600 million on low major-loss costs in reinsurance. At its 2026 AGM, the Group approved a dividend of EUR 24 per share for 2025, after a record net result of EUR 6.1 billion for the year — supporting continued investment capacity for its India branch and broader APAC franchise.</t>
    </r>
  </si>
  <si>
    <t xml:space="preserve">Gallagher creates India’s First Pandemic Insurance using parametric triggers Launched by New India Assurance, Reinsured by Munich Re
https://insurancedailynews.com/iir/post/munich-re-integrates-sixfold-ai-into-realytix-zero-platform 
https://www.newscase.com/munich-res-ai-integration-and-capital-returns-anchor-strategy-amid-market-volatility/
https://www.insurancebusinessmag.com/reinsurance/news/breaking-news/gic-res-dominance-fades-as-global-reinsurers-gain-nearly-half-of-market-share-537349.aspx</t>
  </si>
  <si>
    <t xml:space="preserve">Kavitha Manickavasagam</t>
  </si>
  <si>
    <r>
      <rPr>
        <sz val="10"/>
        <color theme="1"/>
        <rFont val="Inter"/>
        <family val="0"/>
        <charset val="1"/>
      </rPr>
      <t xml:space="preserve">RGA Reinsurance Company , India Branch
</t>
    </r>
    <r>
      <rPr>
        <b val="true"/>
        <sz val="10"/>
        <color rgb="FF00008B"/>
        <rFont val="Inter"/>
        <family val="0"/>
        <charset val="1"/>
      </rPr>
      <t xml:space="preserve">
[Oct'26 update – correction] </t>
    </r>
    <r>
      <rPr>
        <sz val="10"/>
        <color rgb="FF00008B"/>
        <rFont val="Inter"/>
        <family val="0"/>
        <charset val="1"/>
      </rPr>
      <t xml:space="preserve">RGA Reinsurance Company - India Branch (RGA India); licensed in 2017 as 'RGA Life Reinsurance Company of Canada - India Branch'. IRDAI-registered life &amp; health foreign reinsurer branch - NOT a GCC. A separate entity 'RGA Global Shared Services India Private Limited' (CIN U67200MH2005PTC153973, Mumbai) appears only in MCA aggregator data (Tofler); no company/press source names it - treat as unconfirmed.
Source: https://www.rgare.com/our-company/people/detail/sunil-sharma
https://www.reinsurancene.ws/rga-names-sunil-sharma-as-india-ceo/
https://www.tofler.in/rga-global-shared-services-india-private-limited/company/U67200MH2005PTC153973</t>
    </r>
  </si>
  <si>
    <r>
      <rPr>
        <sz val="10"/>
        <color theme="1"/>
        <rFont val="Inter"/>
        <family val="0"/>
        <charset val="1"/>
      </rPr>
      <t xml:space="preserve">Finance, Operations, Analytics and Technology
https://www.rgare.com/global-presence/asia-pacific/india
</t>
    </r>
    <r>
      <rPr>
        <b val="true"/>
        <sz val="10"/>
        <color rgb="FF00008B"/>
        <rFont val="Inter"/>
        <family val="0"/>
        <charset val="1"/>
      </rPr>
      <t xml:space="preserve">
[Oct'26 update – correction] </t>
    </r>
    <r>
      <rPr>
        <sz val="10"/>
        <color rgb="FF00008B"/>
        <rFont val="Inter"/>
        <family val="0"/>
        <charset val="1"/>
      </rPr>
      <t xml:space="preserve">Branch: life &amp; health reinsurance (individual life, living benefits/critical illness, credit life), financial solutions for risk/capital management, bancassurance and telemarketing support - underwriting, actuarial, pricing and client management; local finance/operations support. RGA Global Shared Services India Pvt Ltd: small group business-support entity (FY25 revenue Rs 22.8 Cr per Tofler - MCA aggregator data, not independently confirmed).
Source: https://www.rgare.com/global-presence/asia-pacific/india
https://www.tofler.in/rga-global-shared-services-india-private-limited/company/U67200MH2005PTC153973</t>
    </r>
  </si>
  <si>
    <r>
      <rPr>
        <sz val="10"/>
        <color theme="1"/>
        <rFont val="Inter"/>
        <family val="0"/>
        <charset val="1"/>
      </rPr>
      <t xml:space="preserve">200 approx.
https://internshala.com/company/rga-reinsurance-company-india-branch-1761731659
</t>
    </r>
    <r>
      <rPr>
        <b val="true"/>
        <sz val="10"/>
        <color rgb="FF00008B"/>
        <rFont val="Inter"/>
        <family val="0"/>
        <charset val="1"/>
      </rPr>
      <t xml:space="preserve">
[Oct'26 re-check] </t>
    </r>
    <r>
      <rPr>
        <sz val="10"/>
        <color rgb="FF00008B"/>
        <rFont val="Inter"/>
        <family val="0"/>
        <charset val="1"/>
      </rPr>
      <t xml:space="preserve">Searched '"RGA Global Shared Services India" employees' and 'RGA India 2026 reinsurance news Mumbai shared services'; both returned only branch/CEO coverage and unrelated ADP shared-services results. Headcount remains unverifiable.</t>
    </r>
  </si>
  <si>
    <r>
      <rPr>
        <b val="true"/>
        <sz val="10"/>
        <color rgb="FF00008B"/>
        <rFont val="Inter"/>
        <family val="0"/>
        <charset val="1"/>
      </rPr>
      <t xml:space="preserve">Focus area: </t>
    </r>
    <r>
      <rPr>
        <sz val="10"/>
        <color rgb="FF00008B"/>
        <rFont val="Inter"/>
        <family val="0"/>
        <charset val="1"/>
      </rPr>
      <t xml:space="preserve">Operations (life &amp; health reinsurance market growth, actuarial/underwriting); no evidence of a technology or finance GCC build-out
(2026, month n/a) In an early-2026 RGA knowledge-centre article, RGA India CEO Sunil Sharma argued that life and health reinsurers play a crucial role in making insurance more equitable, sustainable and available across income groups in India.
(Dec 2026, scheduled) Sharma is a plenary speaker ('The risk equation: insurance, reinsurance and the road ahead') at the IFoA India Conference 2026, 7-8 Dec 2026 - a market-facing actuarial focus for the Mumbai branch.
(Jan 2024) RGA named Sunil Sharma CEO of its India branch, bringing 30+ years' actuarial and risk leadership from Kotak Life - the branch's leadership has been stable since.
(FY Mar 2025) RGA Global Shared Services India Pvt Ltd posted revenue of Rs 22.8 Cr per Tofler (MCA aggregator; not independently confirmed) - any Mumbai shared-services entity remains small.</t>
    </r>
  </si>
  <si>
    <t xml:space="preserve">https://www.rgare.com/knowledge-center/article/reinsurers-can-help-expand-insurance-reach-and-awareness-in-india
https://www.linkedin.com/in/sharmasunilm/
https://www.reinsurancene.ws/rga-names-sunil-sharma-as-india-ceo/
https://www.lifeinsuranceinternational.com/news/rga-appoints-sunil-sharma-as-india-ceo
https://www.tofler.in/rga-global-shared-services-india-private-limited/company/U67200MH2005PTC153973</t>
  </si>
  <si>
    <r>
      <rPr>
        <b val="true"/>
        <sz val="10"/>
        <color rgb="FF00008B"/>
        <rFont val="Inter"/>
        <family val="0"/>
        <charset val="1"/>
      </rPr>
      <t xml:space="preserve">[Oct'26 update – addition] </t>
    </r>
    <r>
      <rPr>
        <sz val="10"/>
        <color rgb="FF00008B"/>
        <rFont val="Inter"/>
        <family val="0"/>
        <charset val="1"/>
      </rPr>
      <t xml:space="preserve">Sunil Sharma, CEO, RGA Reinsurance Company - India Branch (Mumbai), appointed Jan 2024 (ex-Kotak Life President, Chief Actuary &amp; CRO; IFoA council member). No exit/successor news found; in-post 2026 evidence (RGA knowledge-centre article early 2026; IFoA India Conference 7-8 Dec 2026 billing) per researcher, not independently re-confirmed.
Source: https://ceoworld.biz/2024/01/26/rga-india-appoints-sunil-sharma-as-ceo/
https://www.rgare.com/our-company/people/detail/sunil-sharma
https://www.rgare.com/knowledge-center/article/reinsurers-can-help-expand-insurance-reach-and-awareness-in-india
https://www.linkedin.com/in/sharmasunilm/</t>
    </r>
  </si>
  <si>
    <t xml:space="preserve">Sunil Sharma</t>
  </si>
  <si>
    <t xml:space="preserve">1. GCSP Approval
</t>
  </si>
  <si>
    <r>
      <rPr>
        <sz val="10"/>
        <color rgb="FF000000"/>
        <rFont val="EYInterstate"/>
        <family val="0"/>
        <charset val="1"/>
      </rPr>
      <t xml:space="preserve">1.RGA has adopted generative AI, including Meta’s Llama 4 Scout and GPT-4.1, to streamline policy document processing, enhancing operational efficiency and compliance.
2.DigitalOwl and RGA Form Collaborative Underwriting Technology Partnership
</t>
    </r>
    <r>
      <rPr>
        <b val="true"/>
        <sz val="10"/>
        <color theme="6"/>
        <rFont val="EYInterstate"/>
        <family val="0"/>
        <charset val="1"/>
      </rPr>
      <t xml:space="preserve">3. RGA India CEO Sunil Sharma told Asia Insurance Review that life and health reinsurers have a critical role in expanding India's insurance reach — citing weak distribution networks, low awareness and fragmented health data as key gaps reinsurers can help close through capital, digital distribution support, wellness-linked product design and AI/analytics-enabled underwriting.
4. RGA's Financial Strength Rating was affirmed at A+ (Superior) by AM Best in February 2026, and RGA was named to Fortune's World's Most Admired Companies list (January 2026), underscoring the parent's financial strength behind the India branch.</t>
    </r>
  </si>
  <si>
    <t xml:space="preserve">GenAI adoption accelerates in re/insurance as RGA outlines quarterly advancements | Reinsurance Business
https://www.insurtechinsights.com/digitalowl-and-rga-form-collaborative-underwriting-technology-partnership/</t>
  </si>
  <si>
    <t xml:space="preserve">https://www.rgare.com/our-company/people/detail/sunil-sharma
https://www.rgare.com/global-presence/asia-pacific/india
https://stockanalysis.com/stocks/rga/employees/</t>
  </si>
  <si>
    <t xml:space="preserve">Not Disclosed</t>
  </si>
  <si>
    <t xml:space="preserve">Axel André</t>
  </si>
  <si>
    <t xml:space="preserve">Jonathan Porter</t>
  </si>
  <si>
    <r>
      <rPr>
        <sz val="10"/>
        <color theme="1"/>
        <rFont val="Inter"/>
        <family val="0"/>
        <charset val="1"/>
      </rPr>
      <t xml:space="preserve">Finance, Operations and Analytics 
https://www.scor.com/en/scor-se-india-branch
</t>
    </r>
    <r>
      <rPr>
        <b val="true"/>
        <sz val="10"/>
        <color rgb="FF00008B"/>
        <rFont val="Inter"/>
        <family val="0"/>
        <charset val="1"/>
      </rPr>
      <t xml:space="preserve">
[Oct'26 update – correction] </t>
    </r>
    <r>
      <rPr>
        <sz val="10"/>
        <color rgb="FF00008B"/>
        <rFont val="Inter"/>
        <family val="0"/>
        <charset val="1"/>
      </rPr>
      <t xml:space="preserve">Reinsurance branch, not GCC: P&amp;C treaty and facultative reinsurance (incl. agriculture and credit specialty) and life reinsurance for Indian clients - underwriting, actuarial (incl. intern hiring) and client management, with local finance/operations support.
Source: https://www.scor.com/en/scor-se-india-branch
https://www.scor.com/en/press-release/scor-reaches-new-milestone-its-application-open-composite-branch-office-india
https://simplify.jobs/p/6bb2e19d-86c8-450a-8b93-bda2f528ab05/Actuarial-Intern</t>
    </r>
  </si>
  <si>
    <r>
      <rPr>
        <sz val="10"/>
        <color theme="1"/>
        <rFont val="Inter"/>
        <family val="0"/>
        <charset val="1"/>
      </rPr>
      <t xml:space="preserve">30 Approx. (Year 2022, current info not available)
https://www.scor.com/sites/default/files/2022-12/NL-41-Offices%20Information.pdf
</t>
    </r>
    <r>
      <rPr>
        <b val="true"/>
        <sz val="10"/>
        <color rgb="FF00008B"/>
        <rFont val="Inter"/>
        <family val="0"/>
        <charset val="1"/>
      </rPr>
      <t xml:space="preserve">
[Oct'26 re-check] </t>
    </r>
    <r>
      <rPr>
        <sz val="10"/>
        <color rgb="FF00008B"/>
        <rFont val="Inter"/>
        <family val="0"/>
        <charset val="1"/>
      </rPr>
      <t xml:space="preserve">The 2022 figure is the only one in the index. AmbitionBox has a SCOR overview page but the extract carried no India staff number.</t>
    </r>
  </si>
  <si>
    <r>
      <rPr>
        <b val="true"/>
        <sz val="10"/>
        <color rgb="FF00008B"/>
        <rFont val="Inter"/>
        <family val="0"/>
        <charset val="1"/>
      </rPr>
      <t xml:space="preserve">Focus area: </t>
    </r>
    <r>
      <rPr>
        <sz val="10"/>
        <color rgb="FF00008B"/>
        <rFont val="Inter"/>
        <family val="0"/>
        <charset val="1"/>
      </rPr>
      <t xml:space="preserve">Operations (reinsurance underwriting/actuarial growth); parent-level Finance leadership change
(Jan 2026) At the Global Reinsurance Summit 2026 (Mumbai, 19 Jan 2026), SCOR India CEO Parag Gupta, in a fireside chat with IRDAI Member (Non-Life) Deepak Sood, said India's low penetration, infrastructure build-out, growing catastrophe exposure and demand for surety, parametric, cyber and specialty covers will require deeper, more sophisticated reinsurance support.
(2026, month n/a) SCOR is recruiting a Summer 2026 Actuarial Intern for its Mumbai branch (hybrid) - evidence of modest local actuarial team growth rather than a GCC build-out (job-aggregator source; not independently re-confirmed).
(Jan 2026) SCOR group announced (14 Jan 2026) that L&amp;H CEO Philipp Ruede becomes Group CFO effective 7 Mar 2026, succeeding Francois de Varenne - a parent finance-leadership change with no India GCC implication found.</t>
    </r>
  </si>
  <si>
    <t xml:space="preserve">https://www.reinsurancene.ws/india-will-inevitably-require-deeper-more-sophisticated-reinsurance-support-gupta-scor/
https://simplify.jobs/p/6bb2e19d-86c8-450a-8b93-bda2f528ab05/Actuarial-Intern
https://www.globenewswire.com/news-release/2026/01/14/3218414/0/en/SCOR-announces-changes-to-its-Group-Executive-Committee.html
https://www.insurancebusinessmag.com/reinsurance/news/breaking-news/scor-names-landh-chief-philipp-ruede-as-next-group-cfo-561896.aspx</t>
  </si>
  <si>
    <r>
      <rPr>
        <b val="true"/>
        <sz val="10"/>
        <color rgb="FF00008B"/>
        <rFont val="Inter"/>
        <family val="0"/>
        <charset val="1"/>
      </rPr>
      <t xml:space="preserve">[Oct'26 update – addition] </t>
    </r>
    <r>
      <rPr>
        <sz val="10"/>
        <color rgb="FF00008B"/>
        <rFont val="Inter"/>
        <family val="0"/>
        <charset val="1"/>
      </rPr>
      <t xml:space="preserve">Parag Gupta, CEO &amp; Principal Officer, SCOR SE - India Branch (Mumbai); CEO per SCOR's IRDAI board-of-directors disclosure dated 30 Sep 2022 and the IRDAI reinsurer-branch directory (earlier Chief Underwriting Officer P&amp;C, 2019). In post Jan 2026: spoke as SCOR India CEO at the Global Reinsurance Summit 2026, Mumbai, 19 Jan 2026. No 2026 change found.
Source: https://www.scor.com/sites/default/files/2022-12/NL-42-BOD.pdf
https://esi.in/finance/insurance/reinsurer-branches/scor-se-india-branch/
https://www.scor.com/sites/default/files/india_2019_q4_nl34.pdf
https://www.reinsurancene.ws/india-will-inevitably-require-deeper-more-sophisticated-reinsurance-support-gupta-scor/</t>
    </r>
  </si>
  <si>
    <t xml:space="preserve">3621
</t>
  </si>
  <si>
    <t xml:space="preserve">30
</t>
  </si>
  <si>
    <t xml:space="preserve">Parag Gupta</t>
  </si>
  <si>
    <t xml:space="preserve">1. Partial scope of service restrictions
2. GCSP Approval
3. Business relationship restrictions
4.Firm loan</t>
  </si>
  <si>
    <t xml:space="preserve">1.SCOR is acting as a lead insurer in a newly launched facility designed to insure AI and data center infrastructure risks—an emerging risk segment that traditional reinsurers are now targeting.
SCOR and AXA have formed a consortium at Lloyd’s of London to provide insurance for ecological restoration projects, aimed at unlocking investment for environmental resilience.
2. SCOR’s automated underwriting solutions (e.g., Velogica, VClaims) deployed across multiple regions, including APAC.
</t>
  </si>
  <si>
    <t xml:space="preserve">https://www.insurancebusinessmag.com/reinsurance/news/breaking-news/scor-takes-lead-role-in-global-ai-infrastructure-facility-562322.aspx?utm_source=chatgpt.com
https://www.scor.com/en/news/scor-and-axa-join-forces-launch-lloyds-consortium-ecological-restoration-insurance?utm_source=chatgpt.com
https://www.scor.com/en/scor-se-india-branch
https://www.scor.com/en/press-releases-and-news</t>
  </si>
  <si>
    <t xml:space="preserve">Mayank Tandon</t>
  </si>
  <si>
    <r>
      <rPr>
        <sz val="10"/>
        <color theme="1"/>
        <rFont val="Inter"/>
        <family val="0"/>
        <charset val="1"/>
      </rPr>
      <t xml:space="preserve">Swiss Reinsurance Company Ltd, India Branch
</t>
    </r>
    <r>
      <rPr>
        <b val="true"/>
        <sz val="10"/>
        <color rgb="FF00008B"/>
        <rFont val="Inter"/>
        <family val="0"/>
        <charset val="1"/>
      </rPr>
      <t xml:space="preserve">
[Oct'26 update – correction] </t>
    </r>
    <r>
      <rPr>
        <sz val="10"/>
        <color rgb="FF00008B"/>
        <rFont val="Inter"/>
        <family val="0"/>
        <charset val="1"/>
      </rPr>
      <t xml:space="preserve">Swiss Re Global Business Solutions India Private Limited (GCC; CIN U74140KA2000PTC027640, inc. 2000, Bengaluru; formerly Swiss Re Shared Services India Pvt Ltd). Separate IRDAI entity: Swiss Reinsurance Company Ltd - India Branch (Mumbai, opened 2017) - a regulated reinsurance branch, not a GCC.
Source: https://www.thecompanycheck.com/company/swiss-re-global-business-solutions-india-private-limited/U74140KA2000PTC027640
https://tracxn.com/d/legal-entities/india/swiss-re-global-business-solutions-india-private-limited/__puS1Y1u6BNX4odbMyh-utLbvZm2EnoT0Tcc7-XeIDoc
https://www.swissre.com/dam/jcr:a2e54bf3-8847-4d41-ade3-0df124538194/pr-20220510-swissre-gbs-india-inovation-hub-of-hyderabad.pdf
https://www.reinsurancene.ws/swiss-re-gets-india-reinsurance-branch-license/</t>
    </r>
  </si>
  <si>
    <r>
      <rPr>
        <sz val="10"/>
        <color theme="1"/>
        <rFont val="Inter"/>
        <family val="0"/>
        <charset val="1"/>
      </rPr>
      <t xml:space="preserve">Mumbai,</t>
    </r>
    <r>
      <rPr>
        <sz val="10"/>
        <color rgb="FF3A7D22"/>
        <rFont val="EYInterstate"/>
        <family val="0"/>
        <charset val="1"/>
      </rPr>
      <t xml:space="preserve">Bengluru and Hyderabad
https://www.swissre.com/careers/india.html
</t>
    </r>
    <r>
      <rPr>
        <b val="true"/>
        <sz val="10"/>
        <color rgb="FF00008B"/>
        <rFont val="Inter"/>
        <family val="0"/>
        <charset val="1"/>
      </rPr>
      <t xml:space="preserve">
[Oct'26 update – correction] </t>
    </r>
    <r>
      <rPr>
        <sz val="10"/>
        <color rgb="FF00008B"/>
        <rFont val="Inter"/>
        <family val="0"/>
        <charset val="1"/>
      </rPr>
      <t xml:space="preserve">GCC HO: Bengaluru; other office: Hyderabad (opened May 2022). Reinsurance branch: Mumbai.
Source: https://www.swissre.com/dam/jcr:a2e54bf3-8847-4d41-ade3-0df124538194/pr-20220510-swissre-gbs-india-inovation-hub-of-hyderabad.pdf
https://www.reinsurancene.ws/swiss-re-gbs-to-open-new-tech-centre-in-hyderabad-india/
https://www.swissre.com/careers/india.html</t>
    </r>
  </si>
  <si>
    <t xml:space="preserve">1.Finance and Accounting
2.Data Analytics
3.Machine Learning
4.R&amp;D
5.Software Engineeriing and IT ops
6.Acturial and Risk Functions
7.Digital and Technological functions
https://www.businessofgcc.com/gcc-data/companies/swiss-re-india-gurugram</t>
  </si>
  <si>
    <t xml:space="preserve">~2374 
https://www.businessofgcc.com/gcc-data/companies/swiss-re-india-gurugram</t>
  </si>
  <si>
    <r>
      <rPr>
        <b val="true"/>
        <sz val="10"/>
        <color rgb="FF00008B"/>
        <rFont val="Inter"/>
        <family val="0"/>
        <charset val="1"/>
      </rPr>
      <t xml:space="preserve">Focus area: </t>
    </r>
    <r>
      <rPr>
        <sz val="10"/>
        <color rgb="FF00008B"/>
        <rFont val="Inter"/>
        <family val="0"/>
        <charset val="1"/>
      </rPr>
      <t xml:space="preserve">Technology (AI/ML, software engineering, data science) with Finance &amp; Operations shared services
(Jul 2026) Long-time Swiss Re GBS India head Amit Kalra (19+ years at Swiss Re) left to lead Zurich Insurance's new Hyderabad Global Capability Centre from 1 Jul 2026 - a leadership gap at the Bengaluru/Hyderabad GCC and a sign of competition for GCC leaders.
(May 2025) Amit Kalra told Business Standard India will soon host about 50% of Swiss Re's global technology talent; the India tech team grew from 150 to 750 in three years and India staff total ~2,500 of 14,000 globally (researcher-sourced; not independently re-confirmed).
(2025, month n/a) Swiss Re GBS India is hiring across data science, data engineering, software engineering, ML/AI, finance &amp; accounting and R&amp;D, with focus on AI for catastrophe modelling and climate-risk analytics; headcount 2,374 (2025) vs 1,000 (2019).
(May 2022) Swiss Re GBS India opened its Hyderabad centre to onboard expertise in key digital roles complementing the Bengaluru hub.</t>
    </r>
  </si>
  <si>
    <t xml:space="preserve">https://reinsurancene.ws/zurich-appoints-amit-kalra-to-lead-new-global-capability-center-in-india/
https://www.business-standard.com/companies/interviews/india-to-soon-have-about-50-of-swiss-re-s-global-tech-talent-amit-kalra-125051100389_1.html
https://www.businessofgcc.com/gcc-data/companies/swiss-re-india-gurugram
https://www.swissre.com/dam/jcr:a2e54bf3-8847-4d41-ade3-0df124538194/pr-20220510-swissre-gbs-india-inovation-hub-of-hyderabad.pdf</t>
  </si>
  <si>
    <r>
      <rPr>
        <b val="true"/>
        <sz val="10"/>
        <color rgb="FF00008B"/>
        <rFont val="Inter"/>
        <family val="0"/>
        <charset val="1"/>
      </rPr>
      <t xml:space="preserve">[Oct'26 update – correction] </t>
    </r>
    <r>
      <rPr>
        <sz val="10"/>
        <color rgb="FF00008B"/>
        <rFont val="Inter"/>
        <family val="0"/>
        <charset val="1"/>
      </rPr>
      <t xml:space="preserve">GCC: Amit Kalra (MD, Head Global Business Solutions, Swiss Re GBS India, Bengaluru) LEFT Swiss Re after 19+ years - joined Zurich Insurance Group as Head of Zurich Capability Centres (new Hyderabad GCC) effective 1 Jul 2026. Successor as head of Swiss Re GBS India not yet announced in the index (board per MCA aggregator: Nicola Jane Parton, Sarah Louise Nubeebuckus, Jan Arnold Jaeger - not re-checked). Branch: Amitabha Ray, CEO, Swiss Reinsurance Company Ltd - India Branch (Mumbai), since 1 Apr 2024, succeeded Hadi Riachi.
Source: https://reinsurancene.ws/zurich-appoints-amit-kalra-to-lead-new-global-capability-center-in-india/
https://reinasia.com/zurich-taps-amit-kalra-to-lead-new-global-capability-centre-in-india/
https://www.swissre.com/profile/Amit_Kalra/ip_f2cb75
https://www.businessinsurance.com/swiss-re-names-new-india-chief/
https://www.reinsurancene.ws/swiss-re-veteran-amitabha-ray-appointed-as-ceo-of-india-branch/</t>
    </r>
  </si>
  <si>
    <t xml:space="preserve">60
</t>
  </si>
  <si>
    <t xml:space="preserve">Amitabha Ray</t>
  </si>
  <si>
    <r>
      <rPr>
        <sz val="10"/>
        <color theme="1"/>
        <rFont val="Inter"/>
        <family val="0"/>
        <charset val="1"/>
      </rPr>
      <t xml:space="preserve">1.Swiss Re India is actively engaged in broader governance, risk, and compliance (GRC) discussions. Swiss GRC, a Swiss software firm, recently launched in India, aiming to support local businesses in managing regulatory and compliance challenges, targeting USD 10 million in revenue for FY2025.
</t>
    </r>
    <r>
      <rPr>
        <sz val="10"/>
        <color theme="6"/>
        <rFont val="EYInterstate"/>
        <family val="0"/>
        <charset val="1"/>
      </rPr>
      <t xml:space="preserve">2.Swiss Re projects India among the world's fastest-growing insurance markets through 2030.</t>
    </r>
  </si>
  <si>
    <t xml:space="preserve">https://www.business-standard.com/amp/companies/news/swiss-grc-targets-revenue-of-10-million-from-indian-market-in-fy25-124020601359_1.html?utm.com
https://www.swissre.com/media/press-release/pr-20260119-india-insurance-market-growth-outlook.html
</t>
  </si>
  <si>
    <t xml:space="preserve">https://www.swissre.com/profile/Amitabha_Ray/ip_88cead
https://www.swissre.com/dam/jcr:8c1d60d9-cd5b-48b6-a14e-c3d4902a73de/NL-42-BOARD%20OF%20DIRECTORS%20&amp;%20KEY%20MANAGEMENT%20PERSONS.pdf</t>
  </si>
  <si>
    <r>
      <rPr>
        <sz val="10"/>
        <color theme="1"/>
        <rFont val="Inter"/>
        <family val="0"/>
        <charset val="1"/>
      </rPr>
      <t xml:space="preserve">Volante Global Services India Pvt.Ltd-lloyd's India
</t>
    </r>
    <r>
      <rPr>
        <b val="true"/>
        <sz val="10"/>
        <color rgb="FF00008B"/>
        <rFont val="Inter"/>
        <family val="0"/>
        <charset val="1"/>
      </rPr>
      <t xml:space="preserve">
[Oct'26 update – correction] </t>
    </r>
    <r>
      <rPr>
        <sz val="10"/>
        <color rgb="FF00008B"/>
        <rFont val="Inter"/>
        <family val="0"/>
        <charset val="1"/>
      </rPr>
      <t xml:space="preserve">Volante Global Services India Private Limited (CIN U74999MH2022FTC394424, inc. 2022, Mumbai) - intended Lloyd's syndicate (Syndicate 1699) service company of Volante Global, to write via Lloyd's India (the IRDAI-registered Lloyd's reinsurance branch, Mumbai, opened 2017). India office announced Apr 2023; in Apr 2026 Volante, after a strategic review of its global footprint, opted NOT to start India operations - entity effectively dormant/withdrawn. Reinsurance service company, NOT a GCC; no Lloyd's shared-services/technology GCC in India found. Note: Lloyd's platform in GIFT City went live with Niyam Syndicate 2047 (Polo Managing Agency) underwriting from 1 Apr 2026 (separate from Lloyd's India, Mumbai).
Source: https://www.tofler.in/volante-global-services-india-private-limited/company/U74999MH2022FTC394424
https://reinasia.com/volante-u-turns-on-india-operations-launch/
https://www.reinsurancene.ws/volante-names-laxmeekant-walikar-as-md-of-indian-subcontinent/
https://www.insurancebusinessmag.com/asia/news/breaking-news/polo-backs-first-lloyds-syndicate-in-indias-gift-city-571939.aspx
https://www.lloyds.com/india</t>
    </r>
  </si>
  <si>
    <t xml:space="preserve">Mumbai
https://www.tofler.in/volante-global-services-india-private-limited/company/U74999MH2022FTC394424</t>
  </si>
  <si>
    <r>
      <rPr>
        <b val="true"/>
        <sz val="10"/>
        <color rgb="FF00008B"/>
        <rFont val="Inter"/>
        <family val="0"/>
        <charset val="1"/>
      </rPr>
      <t xml:space="preserve">[Oct'26 update – addition] </t>
    </r>
    <r>
      <rPr>
        <sz val="10"/>
        <color rgb="FF00008B"/>
        <rFont val="Inter"/>
        <family val="0"/>
        <charset val="1"/>
      </rPr>
      <t xml:space="preserve">Intended underwriting service company for Volante Global's Lloyd's Syndicate 1699: specialty (re)insurance underwriting and distribution for the Indian subcontinent through Lloyd's India. Volante decided in Apr 2026 not to start Indian operations, so no active function. Not a finance/technology GCC.
Source: https://reinasia.com/volante-u-turns-on-india-operations-launch/
https://www.reinsurancene.ws/volante-names-laxmeekant-walikar-as-md-of-indian-subcontinent/
https://insuranceasianews.com/lloyds-player-volante-global-launches-india-office/</t>
    </r>
  </si>
  <si>
    <r>
      <rPr>
        <b val="true"/>
        <sz val="10"/>
        <color rgb="FF00008B"/>
        <rFont val="Inter"/>
        <family val="0"/>
        <charset val="1"/>
      </rPr>
      <t xml:space="preserve">[Oct'26 re-check] </t>
    </r>
    <r>
      <rPr>
        <sz val="10"/>
        <color rgb="FF00008B"/>
        <rFont val="Inter"/>
        <family val="0"/>
        <charset val="1"/>
      </rPr>
      <t xml:space="preserve">Lloyd's India publishes IRDAI NL financial forms (lloyds.com/india-financials-2025) but the extract carried no staff count.</t>
    </r>
  </si>
  <si>
    <r>
      <rPr>
        <b val="true"/>
        <sz val="10"/>
        <color rgb="FF00008B"/>
        <rFont val="Inter"/>
        <family val="0"/>
        <charset val="1"/>
      </rPr>
      <t xml:space="preserve">Focus area: </t>
    </r>
    <r>
      <rPr>
        <sz val="10"/>
        <color rgb="FF00008B"/>
        <rFont val="Inter"/>
        <family val="0"/>
        <charset val="1"/>
      </rPr>
      <t xml:space="preserve">Operations (Volante withdrew from India Apr 2026; Lloyd's India platform expansion to GIFT City via Niyam Syndicate 2047)
(Apr 2026) Volante Global, after a strategic review of its global footprint, decided not to start operations in India - a U-turn on the Mumbai service company announced in Apr 2023 (ReinAsia).
(Apr 2026) Niyam Syndicate 2047, managed by Polo Managing Agency, became the first Lloyd's syndicate established in GIFT City and began underwriting on 1 Apr 2026, after Lloyd's in-principle approval in Jan 2026 - Lloyd's second Indian platform alongside Lloyd's India in Mumbai.
(Jan 2026) Niyam Group received in-principle approval from Lloyd's Council for Syndicate 2047, the first Lloyd's syndicate dedicated to the Indian market (The Insurer, 9 Jan 2026).
(Apr 2023) Volante Global launched its India office in Mumbai with Laxmeekant Walikar as MD Indian Subcontinent to set up Syndicate 1699's India service company via Lloyd's India; Walikar has since moved to Africa Specialty Risks.</t>
    </r>
  </si>
  <si>
    <t xml:space="preserve">https://reinasia.com/volante-u-turns-on-india-operations-launch/
https://www.insurancebusinessmag.com/asia/news/breaking-news/polo-backs-first-lloyds-syndicate-in-indias-gift-city-571939.aspx
https://www.theinsurer.com/ti/news/exclusive-niyam-group-receives-in-principle-approval-for-india-focused-lloyds-2026-01-09/
https://www.reinsurancene.ws/volante-names-laxmeekant-walikar-as-md-of-indian-subcontinent/
https://www.businessinsurance.com/lloyds-plans-new-operation-in-indias-gift-city/</t>
  </si>
  <si>
    <r>
      <rPr>
        <b val="true"/>
        <sz val="10"/>
        <color rgb="FF00008B"/>
        <rFont val="Inter"/>
        <family val="0"/>
        <charset val="1"/>
      </rPr>
      <t xml:space="preserve">[Oct'26 update – addition] </t>
    </r>
    <r>
      <rPr>
        <sz val="10"/>
        <color rgb="FF00008B"/>
        <rFont val="Inter"/>
        <family val="0"/>
        <charset val="1"/>
      </rPr>
      <t xml:space="preserve">Volante: Laxmeekant Walikar was appointed MD - Indian Subcontinent (joined Nov 2022, announced Apr 2023; ex-AXA XL CUO) but Volante withdrew from India in Apr 2026 and Walikar has since been named Principal Officer &amp; MD India of Africa Specialty Risks - no current Volante India leader. Lloyd's India (branch): Shefali Sehwani - confirmed as CFO, Lloyd's India (listed on lloyds.com India contact page); researcher's claim that she was promoted to CEO &amp; Country Manager succeeding Shankar Garigiparthy (country manager since 2016) is NOT independently confirmed.
Source: https://www.reinsurancene.ws/volante-names-laxmeekant-walikar-as-md-of-indian-subcontinent/
https://www.reinsurancene.ws/africa-specialty-risks-appoints-laxmeekant-walikar-as-principal-officer-md-india/
https://www.lloyds.com/lloyds/offices/asia/india
https://asiainsurancepost.com/archives/75498
https://www.linkedin.com/in/shefali-sehwani-4a8b9898/</t>
    </r>
  </si>
  <si>
    <t xml:space="preserve">November 2022 
</t>
  </si>
  <si>
    <t xml:space="preserve">Bobby Swarup</t>
  </si>
  <si>
    <t xml:space="preserve">1. GCSP Approval
2. Consultation required on scope of service 
3. Consultation required on Business Relationship
4. Consultation required on Firm Loan </t>
  </si>
  <si>
    <t xml:space="preserve">1.In November 2024, Volante received a license from the IRDAI to join the existing Lloyd’s platform in Mumbai. This move enhances India’s reinsurance capacity and positions Volante alongside other global reinsurers operating in the country.
2.Surrender of Certificate of Registration No. LLOYD’S/SC/004 upon request of Volante Global Services India Pvt. Ltd. as a Service Company of Lloyd’s India and Volante 1699 as a Syndicate of Lloyd’s.  (20 March 2026)</t>
  </si>
  <si>
    <t xml:space="preserve">Berkley Asia and Lloyd’s Syndicate Volante venture into Indian markets - Asia Insurance Post
file:///C:/Users/LB815QY/Downloads/%E0%A4%B5%E0%A5%8B%E0%A4%B2%E0%A4%BE%E0%A4%82%E0%A4%9F%20%E0%A4%97%E0%A5%8D%E0%A4%B2%E0%A5%8B%E0%A4%AC%E0%A4%B2%20%E0%A4%B8%E0%A4%B0%E0%A5%8D%E0%A4%B5%E0%A4%BF%E0%A4%B8%E0%A5%87%E0%A4%9C%E0%A4%BC%20%E0%A4%87%E0%A4%82%E0%A4%A1%E0%A4%BF%E0%A4%AF%E0%A4%BE%20%E0%A4%AA%E0%A5%8D%E0%A4%B0%E0%A4%BE%E0%A4%87%E0%A4%B5%E0%A5%87%E0%A4%9F%20%E0%A4%B2%E0%A4%BF%20%E0%A4%95%E0%A4%BE%20%E0%A4%AA%E0%A4%82%E0%A4%9C%E0%A5%80%E0%A4%95%E0%A4%B0%E0%A4%A3%20%E0%A4%AA%E0%A5%8D%E0%A4%B0%E0%A4%AE%E0%A4%BE%E0%A4%A3%E0%A4%AA%E0%A4%A4%E0%A5%8D%E0%A4%B0%20%E0%A4%95%E0%A4%BE%20%E0%A4%85%E0%A4%AD%E0%A5%8D%E0%A4%AF%E0%A4%B0%E0%A5%8D%E0%A4%AA%E0%A4%A3%20_%20Surrender%20of%20COR%20of%20Volante%20Global%20Services%20India%20Pvt%20Ltd.pdf</t>
  </si>
  <si>
    <t xml:space="preserve">Mumbai
https://axaxl.com/reinsurance/our-companies/xl-insurance-company-se</t>
  </si>
  <si>
    <r>
      <rPr>
        <b val="true"/>
        <sz val="10"/>
        <color rgb="FF00008B"/>
        <rFont val="Inter"/>
        <family val="0"/>
        <charset val="1"/>
      </rPr>
      <t xml:space="preserve">[Oct'26 update – addition] </t>
    </r>
    <r>
      <rPr>
        <sz val="10"/>
        <color rgb="FF00008B"/>
        <rFont val="Inter"/>
        <family val="0"/>
        <charset val="1"/>
      </rPr>
      <t xml:space="preserve">Reinsurance branch: Property, Casualty and Specialty (incl. agriculture) facultative/treaty reinsurance for insurers in India, Sri Lanka, Maldives, Bangladesh and Nepal; Mumbai team covers underwriting (CUO + underwriters), claims and support functions. Not a GCC.
Source: https://www.reinsurancene.ws/alok-shukla-named-ceo-of-xl-insurance-india-reinsurance-branch/
https://reinasia.com/axa-xl-continues-india-build-out-with-five-appointments-including-saumitra-sharma-as-cuo/
https://axaxl.com/press-releases/axa-xl-strengthens-team-in-india-with-key-appointments</t>
    </r>
  </si>
  <si>
    <r>
      <rPr>
        <b val="true"/>
        <sz val="10"/>
        <color rgb="FF00008B"/>
        <rFont val="Inter"/>
        <family val="0"/>
        <charset val="1"/>
      </rPr>
      <t xml:space="preserve">[Oct'26 re-check] </t>
    </r>
    <r>
      <rPr>
        <sz val="10"/>
        <color rgb="FF00008B"/>
        <rFont val="Inter"/>
        <family val="0"/>
        <charset val="1"/>
      </rPr>
      <t xml:space="preserve">No branch FTE published. The 4,000 figure is for AXA GBS (separate entity).</t>
    </r>
  </si>
  <si>
    <r>
      <rPr>
        <b val="true"/>
        <sz val="10"/>
        <color rgb="FF00008B"/>
        <rFont val="Inter"/>
        <family val="0"/>
        <charset val="1"/>
      </rPr>
      <t xml:space="preserve">Focus area: </t>
    </r>
    <r>
      <rPr>
        <sz val="10"/>
        <color rgb="FF00008B"/>
        <rFont val="Inter"/>
        <family val="0"/>
        <charset val="1"/>
      </rPr>
      <t xml:space="preserve">Operations (reinsurance underwriting team build-out); group-level Operations/Technology GCC (AXA GBS) separate
(Apr 2025) Alok Shukla became CEO of XL Insurance Company SE - India Reinsurance Branch on 1 Apr 2025, replacing Joseph Augustine, with AXA XL positioning him to build out the Indian facultative book.
(Apr-May 2025) AXA XL continued its India build-out with five Mumbai appointments joining between 1 Apr and 14 May 2025, including Saumitra Sharma as Chief Underwriting Officer (from Swiss Re), a property/energy/construction underwriter, a claims specialist and two underwriting support roles - expanding underwriting, claims and operations capacity.
(Feb 2025) AXA Global Business Services - the AXA Group's separate India GCC - celebrated 30 years in India and launched a new transformation journey with its 4,000+ Bengaluru/Pune workforce.
(2024-2025, month n/a) AXA GBS opened a 160,000 sq ft, four-floor office in Kharadi, Pune, for its 4,000-strong India team, to drive innovation and service delivery (axagbs.com release; date not captured).</t>
    </r>
  </si>
  <si>
    <t xml:space="preserve">https://www.reinsurancene.ws/alok-shukla-named-ceo-of-xl-insurance-india-reinsurance-branch/
https://axaxl.com/press-releases/axa-xl-strengthens-team-in-india-with-key-appointments
https://reinasia.com/axa-xl-continues-india-build-out-with-five-appointments-including-saumitra-sharma-as-cuo/
https://apacnewsnetwork.com/2025/02/axa-global-business-services-embarks-on-new-transformation-journey-celebrates-30-years-in-india
https://www.axagbs.com/press-release/axa-unveils-state-of-the-art-office-space-in-pune-expands-its-global-business-services-center</t>
  </si>
  <si>
    <r>
      <rPr>
        <b val="true"/>
        <sz val="10"/>
        <color rgb="FF00008B"/>
        <rFont val="Inter"/>
        <family val="0"/>
        <charset val="1"/>
      </rPr>
      <t xml:space="preserve">[Oct'26 update – addition] </t>
    </r>
    <r>
      <rPr>
        <sz val="10"/>
        <color rgb="FF00008B"/>
        <rFont val="Inter"/>
        <family val="0"/>
        <charset val="1"/>
      </rPr>
      <t xml:space="preserve">Alok Shukla, CEO, XL Insurance Company SE - India Reinsurance Branch (Mumbai), effective 1 Apr 2025; succeeded Joseph Augustine (CEO since 2018). Ex-Munich Re Head of Underwriting and ex-Bharti AXA General Insurance; no exit news as of Oct 2026. Saumitra Sharma, Chief Underwriting Officer (joined 12 May 2025 from Swiss Re). AXA GBS CEO: Michele Rochefort (Feb 2025).
Source: https://www.reinsurancene.ws/alok-shukla-named-ceo-of-xl-insurance-india-reinsurance-branch/
https://www.intelligentinsurer.com/axa-xl-lands-munich-re-talent-for-new-india-reinsurance-ceo
https://reinasia.com/axa-xl-continues-india-build-out-with-five-appointments-including-saumitra-sharma-as-cuo/
https://apacnewsnetwork.com/2025/02/axa-global-business-services-embarks-on-new-transformation-journey-celebrates-30-years-in-india</t>
    </r>
  </si>
  <si>
    <t xml:space="preserve">1. Scope of services Restricted
2. Business Relationship Restricted
3. Consultation on Firm Loan Restriction
4. GCSP Approval is Required
5. ACPA and/or IESBA Pre-concurrence Required</t>
  </si>
  <si>
    <t xml:space="preserve">XL Insurance’s team expansion shows a strategic emphasis on facultative reinsurance, which involves customized coverage for individual risk portfolios — often reflecting higher technical underwriting demand from Indian markets.</t>
  </si>
  <si>
    <t xml:space="preserve">AXA XL builds India bench with strategic appointments | Insurance Business</t>
  </si>
  <si>
    <t xml:space="preserve">Avneet Kumar Gupta</t>
  </si>
  <si>
    <r>
      <rPr>
        <sz val="10"/>
        <color theme="1"/>
        <rFont val="Inter"/>
        <family val="0"/>
        <charset val="1"/>
      </rPr>
      <t xml:space="preserve">WTW India Insurance Brokers Pvt. Ltd
</t>
    </r>
    <r>
      <rPr>
        <b val="true"/>
        <sz val="10"/>
        <color rgb="FF00008B"/>
        <rFont val="Inter"/>
        <family val="0"/>
        <charset val="1"/>
      </rPr>
      <t xml:space="preserve">
[Oct'26 update – correction] </t>
    </r>
    <r>
      <rPr>
        <sz val="10"/>
        <color rgb="FF00008B"/>
        <rFont val="Inter"/>
        <family val="0"/>
        <charset val="1"/>
      </rPr>
      <t xml:space="preserve">WTW India Global Delivery Center (GDC) operates through two WTW affiliates: WTW Global Delivery and Solutions India Pvt. Ltd (Mumbai and Gurugram; formerly Willis Processing Services India Pvt Ltd; researcher-cited CIN U72300MH1992PTC066724, ROC Mumbai, inc. 1992 - CIN not re-pulled by audit) and Acclaris Business Solutions Pvt. Ltd (Kolkata and Siliguri). Both are separate from the IRDAI-licensed broker Willis Towers Watson India Insurance Brokers Pvt. Ltd (100% WTW-owned since Apr 2022).
Source: https://www.wtwco.com/en-us/notices/wtw-affiliates-and-partners-who-process-personal-information
https://www.zaubacorp.com/company/WTW-GLOBAL-DELIVERY-AND-SOLUTIONS-INDIA-PRIVATE-LIMITED/U72300MH1992PTC066724
https://insurancebusinessmag.com/asia/news/breaking-news/wtw-announces-full-acquisition-of-indian-joint-venture-402192.aspx
https://www.peoplematters.in/news/appointments/wtw-appoints-vivek-nath-as-new-head-of-india-receives-irdais-approval-for-full-ownership-33543</t>
    </r>
  </si>
  <si>
    <r>
      <rPr>
        <sz val="10"/>
        <color theme="1"/>
        <rFont val="Inter"/>
        <family val="0"/>
        <charset val="1"/>
      </rPr>
      <t xml:space="preserve">Bengaluru, Chennai, Gurugram, Hyderabad, Kolkata, Mumbai, Noida, Pune and Ahmedabad
https://www.wtwco.com/en-in/about-us/wtw-india-insurance-brokers
</t>
    </r>
    <r>
      <rPr>
        <b val="true"/>
        <sz val="10"/>
        <color rgb="FF00008B"/>
        <rFont val="Inter"/>
        <family val="0"/>
        <charset val="1"/>
      </rPr>
      <t xml:space="preserve">
[Oct'26 update – correction] </t>
    </r>
    <r>
      <rPr>
        <sz val="10"/>
        <color rgb="FF00008B"/>
        <rFont val="Inter"/>
        <family val="0"/>
        <charset val="1"/>
      </rPr>
      <t xml:space="preserve">HO: Mumbai. GDC sites: Mumbai and Gurugram (WTW Global Delivery and Solutions India Pvt Ltd); Kolkata and Siliguri (Acclaris Business Solutions Pvt Ltd, WTW affiliate). Four-site footprint consistent with the 2023 HR Asia profile. (The 9-city list in the existing cell and its wtwco.com link are the broking entity's offices, not GDC sites.)
Source: https://www.wtwco.com/en-us/notices/wtw-affiliates-and-partners-who-process-personal-information
https://hr.asia/awards/2023-event/india2023/wtw-india-global-delivery-center-in-2023/</t>
    </r>
  </si>
  <si>
    <r>
      <rPr>
        <sz val="10"/>
        <color theme="1"/>
        <rFont val="Inter"/>
        <family val="0"/>
        <charset val="1"/>
      </rPr>
      <t xml:space="preserve">Finance, Operations, Analytics and Technology
http://wtwco.com/en-in/solutions/insurance-consulting-and-technology
</t>
    </r>
    <r>
      <rPr>
        <b val="true"/>
        <sz val="10"/>
        <color rgb="FF00008B"/>
        <rFont val="Inter"/>
        <family val="0"/>
        <charset val="1"/>
      </rPr>
      <t xml:space="preserve">
[Oct'26 update – correction] </t>
    </r>
    <r>
      <rPr>
        <sz val="10"/>
        <color rgb="FF00008B"/>
        <rFont val="Inter"/>
        <family val="0"/>
        <charset val="1"/>
      </rPr>
      <t xml:space="preserve">Business operations and support for WTW businesses globally: actuarial, advisory (consulting support), technology enablement, data management and analytics (WTW Global Delivery and Solutions India, Mumbai/Gurugram); benefits/health-account administration (Acclaris, Kolkata/Siliguri); plus a technical recruitment hub (per 2026 careers posting).
Source: https://www.wtwco.com/en-us/notices/wtw-affiliates-and-partners-who-process-personal-information
https://careers.wtwco.com/zh/jobs/technical-recruitment-lead-india
https://hr.asia/awards/2023-event/india2023/wtw-india-global-delivery-center-in-2023/</t>
    </r>
  </si>
  <si>
    <r>
      <rPr>
        <sz val="10"/>
        <color theme="1"/>
        <rFont val="Inter"/>
        <family val="0"/>
        <charset val="1"/>
      </rPr>
      <t xml:space="preserve">4700+
https://economictimes.indiatimes.com/news/company/corporate-trends/wtws-india-global-delivery-centre-marks-successful-growth-and-expansion-through-strategic-global-transformation-programme/articleshow/113118272.cms
</t>
    </r>
    <r>
      <rPr>
        <b val="true"/>
        <sz val="10"/>
        <color rgb="FF00008B"/>
        <rFont val="Inter"/>
        <family val="0"/>
        <charset val="1"/>
      </rPr>
      <t xml:space="preserve">
[Oct'26 update – correction] </t>
    </r>
    <r>
      <rPr>
        <sz val="10"/>
        <color rgb="FF00008B"/>
        <rFont val="Inter"/>
        <family val="0"/>
        <charset val="1"/>
      </rPr>
      <t xml:space="preserve">4,000+ colleagues across four sites (WTW India GDC, both entities, 2023 - HR Asia / WTW 30-year feature); 4,700+ per ET (Sep 2024, researcher-cited, not re-verified). The researcher's entity-level figure of 4,572 (1 Mar 2026, Tracxn/EPFO for WTW Global Delivery and Solutions India only) could not be re-surfaced by the audit and should be treated as indicative; note it would exclude Acclaris (Kolkata/Siliguri) staff.
Source: https://hr.asia/awards/2023-event/india2023/wtw-india-global-delivery-center-in-2023/
https://zee5.com/articles/?p=9478836
https://economictimes.indiatimes.com/news/company/corporate-trends/wtws-india-global-delivery-centre-marks-successful-growth-and-expansion-through-strategic-global-transformation-programme/articleshow/113118272.cms
https://tracxn.com/d/legal-entities/india/wtw-global-delivery-and-solutions-india-private-limited/__c4hDJphJM88IL8sC-3ZHwyi1mCcbWCzqt21Akt8zuOE</t>
    </r>
  </si>
  <si>
    <r>
      <rPr>
        <b val="true"/>
        <sz val="10"/>
        <color rgb="FF00008B"/>
        <rFont val="Inter"/>
        <family val="0"/>
        <charset val="1"/>
      </rPr>
      <t xml:space="preserve">Focus area: </t>
    </r>
    <r>
      <rPr>
        <sz val="10"/>
        <color rgb="FF00008B"/>
        <rFont val="Inter"/>
        <family val="0"/>
        <charset val="1"/>
      </rPr>
      <t xml:space="preserve">Operations and Technology (two-entity multi-function delivery centre; tech recruitment and AI-enabled processes emphasised)
(2026, month n/a) WTW's India GDC careers posting for a Technical Recruitment Lead calls the centre one of the fastest-growing engines of the global organisation, planning hundreds of hires a year from high-volume tech hiring to niche specialist roles and embedding AI-enabled tools into recruiting.
(Dec 2025) WTW's affiliate disclosure sets out the GDC's two-entity structure: WTW Global Delivery and Solutions India (Mumbai, Gurugram - actuarial, advisory, technology enablement, data management and analytics) and Acclaris Business Solutions (Kolkata, Siliguri), i.e. a multi-entity, multi-function operations footprint.
(Jul 2026) WTW India GDC leadership profiled its learning platforms, manager development and wellbeing programmes as part of sustaining a culture of workplace excellence at the centre (researcher-sourced brand-speak interview; not re-audited within budget).</t>
    </r>
  </si>
  <si>
    <t xml:space="preserve">https://careers.wtwco.com/zh/jobs/technical-recruitment-lead-india
https://www.wtwco.com/en-us/notices/wtw-affiliates-and-partners-who-process-personal-information
https://marksmendaily.com/brand-speak/what-are-the-key-actions-wtw-india-global-delivery-center-is-taking-to-create-and-sustain-a-culture-of-workplace-excellence/</t>
  </si>
  <si>
    <r>
      <rPr>
        <b val="true"/>
        <sz val="10"/>
        <color rgb="FF00008B"/>
        <rFont val="Inter"/>
        <family val="0"/>
        <charset val="1"/>
      </rPr>
      <t xml:space="preserve">[Oct'26 update – addition] </t>
    </r>
    <r>
      <rPr>
        <sz val="10"/>
        <color rgb="FF00008B"/>
        <rFont val="Inter"/>
        <family val="0"/>
        <charset val="1"/>
      </rPr>
      <t xml:space="preserve">Vivek Nath, Head of India / Managing Director South Asia, WTW (appointed head of India Apr 2022, succeeding Rohit Jain; no exit news found as of Oct 2026). GDC-level head: the researcher's proposed Sudhir Mahadevapura (MD, WTW Global Delivery and Solutions India Pvt Ltd per MCA director records) could not be confirmed by the audit in two name searches and is withheld pending a WTW/LinkedIn source.
Source: https://www.peoplematters.in/news/appointments/wtw-appoints-vivek-nath-as-new-head-of-india-receives-irdais-approval-for-full-ownership-33543
https://www.intelligentinsurer.com/insurance/wtw-reveals-new-leader-to-shape-its-third-largest-market-after-us-uk-29046
https://insurancebusinessmag.com/asia/news/breaking-news/wtw-announces-full-acquisition-of-indian-joint-venture-402192.aspx</t>
    </r>
  </si>
  <si>
    <t xml:space="preserve">Carl Hess</t>
  </si>
  <si>
    <t xml:space="preserve">WTW’s India Global Delivery Centre Marks Successful Growth and Expansion.</t>
  </si>
  <si>
    <t xml:space="preserve">Development: WTW’s India Global Delivery Centre Marks Successful Growth and Expansion Through Strategic Global Transformation Program, ETBFSI</t>
  </si>
  <si>
    <t xml:space="preserve">Development: WTW’s India Global Delivery Centre Marks Successful Growth and Expansion Through Strategic Global Transformation Program, ETBFSI
https://stockanalysis.com/stocks/wtw/employees/</t>
  </si>
  <si>
    <t xml:space="preserve">Andrew Krasner (Global)
 Indian CFO not disclosed</t>
  </si>
  <si>
    <t xml:space="preserve">Sudhir Sirpadrao Mahadevapura (MD)
https://bfsi.economictimes.indiatimes.com/news/financial-services/wtws-india-global-delivery-centre-marks-successful-growth-and-expansion-through-strategic-global-transformation-program/113494332</t>
  </si>
  <si>
    <r>
      <rPr>
        <sz val="10"/>
        <color theme="1"/>
        <rFont val="Inter"/>
        <family val="0"/>
        <charset val="1"/>
      </rPr>
      <t xml:space="preserve">Lockton Services India Pvt. Ltd - GCC
</t>
    </r>
    <r>
      <rPr>
        <b val="true"/>
        <sz val="10"/>
        <color rgb="FF00008B"/>
        <rFont val="Inter"/>
        <family val="0"/>
        <charset val="1"/>
      </rPr>
      <t xml:space="preserve">
[Oct'26 update – correction] </t>
    </r>
    <r>
      <rPr>
        <sz val="10"/>
        <color rgb="FF00008B"/>
        <rFont val="Inter"/>
        <family val="0"/>
        <charset val="1"/>
      </rPr>
      <t xml:space="preserve">Lockton Services India Pvt. Ltd (researcher-cited CIN U82990MH2024FTC422315, inc. 28 Mar 2024, foreign subsidiary, MCA activity 'other business support service activities' - CIN not re-pulled by audit) - a small services entity that 'powers' Lockton's LocktonThrive wellbeing platform, not a GCC at scale. Lockton's main India business is the IRDAI-licensed broker Lockton India Insurance Broking and Advisory Ltd (formerly Arihant Insurance Broking Services Ltd; CIN U66000MP2009PLC021788). A third entity, Lockton Insurance Brokers (India) Pvt. Ltd (CIN U66220MH2024FTC422798, inc. Apr 2024), is listed by IBBI as undergoing voluntary liquidation.
Source: https://global.lockton.com/in/en/products-services/life-retirement
https://www.indiafilings.com/search/lockton-services-india-private-limited-cin-U82990MH2024FTC422315
https://ibbi.gov.in/claims/inner-process/U66220MH2024FTC422798
https://www.global.lockton.com/in/en/news-insights/lockton-expands-india-arihant-acquisition
https://www.thecompanycheck.com/company/lockton-india-insurance-broking-and-advisory-limited/U66000MP2009PLC021788</t>
    </r>
  </si>
  <si>
    <r>
      <rPr>
        <sz val="10"/>
        <color theme="1"/>
        <rFont val="Inter"/>
        <family val="0"/>
        <charset val="1"/>
      </rPr>
      <t xml:space="preserve">Mumbai
</t>
    </r>
    <r>
      <rPr>
        <sz val="10"/>
        <color rgb="FF3A7D22"/>
        <rFont val="EYInterstate"/>
        <family val="0"/>
        <charset val="1"/>
      </rPr>
      <t xml:space="preserve">Bengluru,Bhubaneshwar,Chennai,Gift city,Hyderabad,Kolkata,Pune,Delhi,Vadodara
https://global.lockton.com/in/en/news-insights/lockton-indias-strategic-growth-navigating-insurance-markets-and-expanding
</t>
    </r>
    <r>
      <rPr>
        <b val="true"/>
        <sz val="10"/>
        <color rgb="FF00008B"/>
        <rFont val="Inter"/>
        <family val="0"/>
        <charset val="1"/>
      </rPr>
      <t xml:space="preserve">
[Oct'26 update – correction] </t>
    </r>
    <r>
      <rPr>
        <sz val="10"/>
        <color rgb="FF00008B"/>
        <rFont val="Inter"/>
        <family val="0"/>
        <charset val="1"/>
      </rPr>
      <t xml:space="preserve">HO: Mumbai (802, 8th Floor, Tower A, Peninsula Business Park, Lower Parel, Mumbai 400013 - registered office of both Lockton Services India and the broking entity). Broking branches: nine across India incl. Mumbai, Delhi, Kolkata, Bengaluru, Chennai; Bhubaneswar, GIFT City, Hyderabad, Pune, Vadodara not confirmed.
Source: https://www.indiafilings.com/search/lockton-services-india-private-limited-cin-U82990MH2024FTC422315
https://global.lockton.com/offices/india-lockton
https://global.lockton.com/in/en/news-insights/lockton-indias-strategic-growth-navigating-insurance-markets-and-expanding</t>
    </r>
  </si>
  <si>
    <r>
      <rPr>
        <sz val="10"/>
        <color rgb="FF3A7D22"/>
        <rFont val="Inter"/>
        <family val="0"/>
        <charset val="1"/>
      </rPr>
      <t xml:space="preserve">1.Insurance Broking
2.Corporate Risk
3.Employee benefits consulting
4.Claims advisory
5.Risk management
6.Client management and Account management
7.Analytics
8.ReInsurance broking
https://global.lockton.com/in/en/who-we-are
</t>
    </r>
    <r>
      <rPr>
        <b val="true"/>
        <sz val="10"/>
        <color rgb="FF00008B"/>
        <rFont val="Inter"/>
        <family val="0"/>
        <charset val="1"/>
      </rPr>
      <t xml:space="preserve">
[Oct'26 update – correction] </t>
    </r>
    <r>
      <rPr>
        <sz val="10"/>
        <color rgb="FF00008B"/>
        <rFont val="Inter"/>
        <family val="0"/>
        <charset val="1"/>
      </rPr>
      <t xml:space="preserve">Lockton Services India: business support services (MCA code 'other business support service activities'); operates the LocktonThrive employee-wellbeing platform (with AdvantageClub.ai). The broking entity does insurance broking, corporate risk, employee benefits consulting, claims advisory, risk management, analytics and reinsurance broking - client-facing functions, not captive GCC functions.
Source: https://www.indiafilings.com/search/lockton-services-india-private-limited-cin-U82990MH2024FTC422315
https://www.analyticsinsight.net/press-release/lockton-india-launches-locktonthrive-a-holistic-employee-wellbeing-solution-powered-by-a-first-of-its-kind-ai-led-platform-by-advantageclubai
https://global.lockton.com/in/en/news-insights/lockton-indias-strategic-growth-navigating-insurance-markets-and-expanding</t>
    </r>
  </si>
  <si>
    <r>
      <rPr>
        <sz val="10"/>
        <color rgb="FF3A7D22"/>
        <rFont val="Inter"/>
        <family val="0"/>
        <charset val="1"/>
      </rPr>
      <t xml:space="preserve">241+
https://insurasales.com/news-story/290705/lockton-expands-into-indias-reinsurance-sector
</t>
    </r>
    <r>
      <rPr>
        <b val="true"/>
        <sz val="10"/>
        <color rgb="FF00008B"/>
        <rFont val="Inter"/>
        <family val="0"/>
        <charset val="1"/>
      </rPr>
      <t xml:space="preserve">
[Oct'26 update – correction] </t>
    </r>
    <r>
      <rPr>
        <sz val="10"/>
        <color rgb="FF00008B"/>
        <rFont val="Inter"/>
        <family val="0"/>
        <charset val="1"/>
      </rPr>
      <t xml:space="preserve">Lockton Services India Pvt Ltd: very small (researcher-cited Tracxn/EPFO figure of approx. 8 at 1 Mar 2026 - not re-confirmed by audit). Lockton India broking business: 241 associates, with plans to scale to around 380 (Lockton India article, c. 2025, undated); &gt;1,000 clients. Lockton global approx. 15,000.
Source: https://global.lockton.com/in/en/news-insights/lockton-indias-strategic-growth-navigating-insurance-markets-and-expanding
https://www.indiafilings.com/search/lockton-services-india-private-limited-cin-U82990MH2024FTC422315
https://leadiq.com/c/lockton/5a1d8a77240000240063eff7</t>
    </r>
  </si>
  <si>
    <r>
      <rPr>
        <b val="true"/>
        <sz val="10"/>
        <color rgb="FF00008B"/>
        <rFont val="Inter"/>
        <family val="0"/>
        <charset val="1"/>
      </rPr>
      <t xml:space="preserve">Focus area: </t>
    </r>
    <r>
      <rPr>
        <sz val="10"/>
        <color rgb="FF00008B"/>
        <rFont val="Inter"/>
        <family val="0"/>
        <charset val="1"/>
      </rPr>
      <t xml:space="preserve">Operations (broking footprint, headcount build-out and entity rationalisation); minor Technology element via the AI-led LocktonThrive wellbeing platform. No finance/technology GCC activity found.
(May 2026) Lockton named Jaideep 'Jay' Sharma CEO of Lockton India (subject to regulatory approval), Mumbai-based and doubling as Regional Head of Specialties Asia, with founding CEO Sandeep Dadia moving to Non-Executive Officer, as part of strengthening its Asia leadership.
(Feb 2026) Lockton India launched LocktonThrive, an employee-wellbeing solution on an AI-led platform built with AdvantageClub.ai, delivered through Lockton Services India Pvt Ltd.
(Oct 2024) IRDAI approved Lockton's acquisition of Arihant Insurance Broking Services (now Lockton India Insurance Broking and Advisory Ltd), giving Lockton a licensed broking platform after its Jan 2024 India entry.
(2025, month n/a) Lockton India said it operates nine branches (incl. Mumbai, Delhi, Kolkata, Bengaluru, Chennai) with 241 associates and plans to grow to about 380, and is expanding into reinsurance broking.
(date n/a) Lockton Insurance Brokers (India) Pvt Ltd, a second 2024-incorporated Lockton entity, is recorded by IBBI as in voluntary liquidation, consistent with consolidation of Indian operations into the Arihant-derived licensed broker.</t>
    </r>
  </si>
  <si>
    <t xml:space="preserve">https://global.lockton.com/apac/en/news-insights/lockton-strengthens-asia-leadership-with-new-ceo-appointments-in-malaysia-and-india
https://global.lockton.com/in/en/news-insights/lockton-india-launches-locktonthrive-a-holistic-employee-wellbeing-solution
https://cwv.yourstory.com/2024/10/lockton-irdai-approval-acquire-arihant-insurance-broking
https://global.lockton.com/in/en/news-insights/lockton-indias-strategic-growth-navigating-insurance-markets-and-expanding
https://ibbi.gov.in/claims/inner-process/U66220MH2024FTC422798</t>
  </si>
  <si>
    <r>
      <rPr>
        <b val="true"/>
        <sz val="10"/>
        <color rgb="FF00008B"/>
        <rFont val="Inter"/>
        <family val="0"/>
        <charset val="1"/>
      </rPr>
      <t xml:space="preserve">[Oct'26 update – addition] </t>
    </r>
    <r>
      <rPr>
        <sz val="10"/>
        <color rgb="FF00008B"/>
        <rFont val="Inter"/>
        <family val="0"/>
        <charset val="1"/>
      </rPr>
      <t xml:space="preserve">Jaideep (Jay) Sharma, CEO, Lockton India (announced May 2026, subject to regulatory approval; Mumbai-based; also Regional Head of Specialties, Lockton Asia). Succeeds Dr Sandeep Dadia (now Non-Executive Officer). Lockton Services India directors: Punit Kanak Pancholi (Chief Risk &amp; Compliance Officer) and Tony Peter Hardy.
Source: https://global.lockton.com/apac/en/news-insights/lockton-strengthens-asia-leadership-with-new-ceo-appointments-in-malaysia-and-india
https://asiainsurancereview.com/News/View-NewsLetter-Article/id/95411/type/eDaily/Conferences/Gallery
https://www.peoplematters.in/news/appointments/lockton-strengthens-asia-leadership-with-ceo-appointments-in-malaysia-and-india-49559
https://reinasia.com/lockton-appoints-new-ceos-in-malaysia-and-india/
https://www.indiafilings.com/search/lockton-services-india-private-limited-cin-U82990MH2024FTC422315
https://global.lockton.com/apac/en/news-insights/dhananjay-acharya-and-punit-pancholi-join-lockton-to-expedite-business</t>
    </r>
  </si>
  <si>
    <t xml:space="preserve">Since 1966</t>
  </si>
  <si>
    <t xml:space="preserve">Ron Lockton</t>
  </si>
  <si>
    <t xml:space="preserve">1. GCSP Approval
2.Consultation required</t>
  </si>
  <si>
    <r>
      <rPr>
        <sz val="10"/>
        <color theme="1"/>
        <rFont val="Inter"/>
        <family val="0"/>
        <charset val="1"/>
      </rPr>
      <t xml:space="preserve">1. A 2026 industry ranking of global insurance brokers placed Lockton among the top 20 worldwide by revenue, reflecting strong competitive position in the brokerage market.
2. Apr' 26 - US-based Insurance broker Lockton is in the process of expanding into the reinsurance space in India, with a formal market entry expected in this financial year.
</t>
    </r>
    <r>
      <rPr>
        <sz val="10"/>
        <color rgb="FF00B050"/>
        <rFont val="EYInterstate"/>
        <family val="0"/>
        <charset val="1"/>
      </rPr>
      <t xml:space="preserve">3. JSW MG Motor India has partnered with Lockton India as its insurance broking partner, supporting the automaker’s continued efforts to strengthen electric vehicle (EV) adoption in India. The collaboration aligns with JSW MG Motor’s recently announced extension of its Assured Buy-Back Programme, aimed at addressing customer concerns around long-term ownership and resale value of EVs.</t>
    </r>
  </si>
  <si>
    <r>
      <rPr>
        <sz val="10"/>
        <rFont val="Inter"/>
        <family val="0"/>
        <charset val="1"/>
      </rPr>
      <t xml:space="preserve">Largest Global Insurance &amp; Reinsurance Brokers in 2026
https://www.thehindubusinessline.com/money-and-banking/us-based-lockton-to-make-formal-market-entry-in-indias-reinsurance-space-this-fiscal/article70820285.ece#google_vignette
</t>
    </r>
    <r>
      <rPr>
        <u val="single"/>
        <sz val="10"/>
        <color rgb="FF00B050"/>
        <rFont val="EYInterstate"/>
        <family val="0"/>
        <charset val="1"/>
      </rPr>
      <t xml:space="preserve">
https://global.lockton.com/in/en/news-insights/lockton-india-strengthens-customer-confidence-in-ev-ownership-through-jsw-mg</t>
    </r>
  </si>
  <si>
    <t xml:space="preserve">https://global.lockton.com/in/en/who-we-are
https://global.lockton.com/in/en/news-insights/lockton-india-appoints-girish-mantri-as-chief-financial-officer-to-drive</t>
  </si>
  <si>
    <t xml:space="preserve">Punit Pancholi</t>
  </si>
  <si>
    <t xml:space="preserve">Girish Mantri</t>
  </si>
  <si>
    <t xml:space="preserve">Dr. Sandeep Dadia</t>
  </si>
  <si>
    <t xml:space="preserve">BMS Group – India GCC (Mumbai)</t>
  </si>
  <si>
    <r>
      <rPr>
        <sz val="10"/>
        <color theme="6"/>
        <rFont val="Inter"/>
        <family val="0"/>
        <charset val="1"/>
      </rPr>
      <t xml:space="preserve">1.Insuarnce &amp; Broking
2.Data Analytics
3.Technology functions
4.AI &amp; Digital capabilities
https://www.bmsgroup.com/en/what-we-do
</t>
    </r>
    <r>
      <rPr>
        <b val="true"/>
        <sz val="10"/>
        <color rgb="FF00008B"/>
        <rFont val="Inter"/>
        <family val="0"/>
        <charset val="1"/>
      </rPr>
      <t xml:space="preserve">
[Oct'26 update – correction] </t>
    </r>
    <r>
      <rPr>
        <sz val="10"/>
        <color rgb="FF00008B"/>
        <rFont val="Inter"/>
        <family val="0"/>
        <charset val="1"/>
      </rPr>
      <t xml:space="preserve">1. Broking operations / broking support 2. Client services 3. Data and analytics 4. Technology 5. AI deployment (live AI tools across broking and operations) - serving BMS teams globally
Source: https://www.bmsgroup.com/en/news/bms-opens-global-capability-centre-in-mumbai
https://gcc-pulse.com/news-updates/bms-group-opens-mumbai-gcc-to-support-global-growth-and-innovation/
https://www.intelligentinsurer.com/bms-taps-india-technology-talent-expertise-with-mumbai-ai-hub
https://www.insurancebusinessmag.com/reinsurance/news/breaking-news/bms-expands-ai-and-analytics-footprint-in-india-580123.aspx</t>
    </r>
  </si>
  <si>
    <r>
      <rPr>
        <sz val="10"/>
        <color theme="6"/>
        <rFont val="Inter"/>
        <family val="0"/>
        <charset val="1"/>
      </rPr>
      <t xml:space="preserve">Not verifiable
</t>
    </r>
    <r>
      <rPr>
        <b val="true"/>
        <sz val="10"/>
        <color rgb="FF00008B"/>
        <rFont val="Inter"/>
        <family val="0"/>
        <charset val="1"/>
      </rPr>
      <t xml:space="preserve">
[Oct'26 re-check – existing text could not be independently verified] </t>
    </r>
    <r>
      <rPr>
        <sz val="10"/>
        <color rgb="FF00008B"/>
        <rFont val="Inter"/>
        <family val="0"/>
        <charset val="1"/>
      </rPr>
      <t xml:space="preserve">Two targeted searches (incl. exact-phrase '80 colleagues'/'approximately 80') returned the BMS release and six trade reports, none of which mention a launch headcount, so the ~80 figure (attributed to GCC Pulse / Asia Insurance Post) is withheld until one of those pages can be opened.</t>
    </r>
  </si>
  <si>
    <r>
      <rPr>
        <b val="true"/>
        <sz val="10"/>
        <color rgb="FF00008B"/>
        <rFont val="Inter"/>
        <family val="0"/>
        <charset val="1"/>
      </rPr>
      <t xml:space="preserve">Focus area: </t>
    </r>
    <r>
      <rPr>
        <sz val="10"/>
        <color rgb="FF00008B"/>
        <rFont val="Inter"/>
        <family val="0"/>
        <charset val="1"/>
      </rPr>
      <t xml:space="preserve">Technology (AI and data analytics at scale) with Operations (broking support, client services)
(Jun 2026) BMS opened its Global Capability Centre in Mumbai, led by Nipun Mapara (MD) and Sanjeev Poojari (Head of Operations), as part of a long-term strategy to build data, analytics and AI capability at scale.
(Jun 2026) The centre is already operational across broking operations, client services, data, analytics and technology for BMS teams worldwide and is described as central to the group's long-term operating model, with live AI tools deployed across broking and operations.
(Jun 2026) Trade press framed the Mumbai centre as an AI hub tapping India technology talent, complementing BMS's wider India presence.
(Dec 2025) BMS entered India via a strategic partnership with Berns Brett India (to be renamed BMS (India) Ltd, subject to regulatory approval), which BMS International CEO Nick Gillett said plays directly to its Specialty strengths.</t>
    </r>
  </si>
  <si>
    <t xml:space="preserve">https://www.bmsgroup.com/en/news/bms-opens-global-capability-centre-in-mumbai
https://insurance-edge.net/2026/06/23/bms-opens-global-capability-centre-in-mumbai/
https://www.intelligentinsurer.com/bms-taps-india-technology-talent-expertise-with-mumbai-ai-hub
https://www.bmsgroup.com/en/uk/news/bms-enters-indian-market-with-berns-brett-partnership</t>
  </si>
  <si>
    <r>
      <rPr>
        <b val="true"/>
        <sz val="10"/>
        <color rgb="FF00008B"/>
        <rFont val="Inter"/>
        <family val="0"/>
        <charset val="1"/>
      </rPr>
      <t xml:space="preserve">[Oct'26 update – addition] </t>
    </r>
    <r>
      <rPr>
        <sz val="10"/>
        <color rgb="FF00008B"/>
        <rFont val="Inter"/>
        <family val="0"/>
        <charset val="1"/>
      </rPr>
      <t xml:space="preserve">Nipun Mapara, Managing Director, BMS India GCC (Mumbai); Sanjeev Poojari, Head of Operations
Source: https://www.reinsurancene.ws/bms-establishes-global-capability-centre-in-mumbai-led-by-nipun-mapara/
https://www.bmsgroup.com/en/news/bms-opens-global-capability-centre-in-mumbai
https://www.globalreinsurance.com/home/bms-opens-global-capability-centre-in-mumbai/1458939.article</t>
    </r>
  </si>
  <si>
    <t xml:space="preserve">~3,000 (BMS Group, global, approx.)</t>
  </si>
  <si>
    <t xml:space="preserve">Since 2026</t>
  </si>
  <si>
    <t xml:space="preserve">Nick Cook (Group CEO, BMS Group)</t>
  </si>
  <si>
    <t xml:space="preserve">1. BMS Group, the independent (re)insurance broker, opened a Global Capability Centre in Mumbai in 2026 as part of its strategy to build data, analytics and AI capability at scale. The GCC works with BMS teams globally across broking operations, data, analytics, technology and client-service functions and is described by BMS as an integrated, long-term part of its operating model rather than a support function.
2. The Mumbai GCC is led by Nipun Mapara (Managing Director), with Sanjeev Poojari appointed Head of Operations; BMS says the centre is already operational and contributing across broking support, client services, analytics and technology workstreams.
3. BMS stated the GCC will broaden its access to India's AI and data talent while accelerating investment in data infrastructure and the live deployment of AI tools across broking and operations.</t>
  </si>
  <si>
    <t xml:space="preserve">https://www.globalreinsurance.com/home/bms-opens-global-capability-centre-in-mumbai/1458939.article</t>
  </si>
  <si>
    <t xml:space="preserve">https://www.globalreinsurance.com/home/bms-opens-global-capability-centre-in-mumbai/1458939.article (Nipun Mapara, MD; Sanjeev Poojari, Head of Operations)</t>
  </si>
  <si>
    <t xml:space="preserve">Nipun Mapara — Managing Director, BMS India GCC</t>
  </si>
  <si>
    <r>
      <rPr>
        <b val="true"/>
        <sz val="10"/>
        <color rgb="FF00008B"/>
        <rFont val="Inter"/>
        <family val="0"/>
        <charset val="1"/>
      </rPr>
      <t xml:space="preserve">[Oct'26 addition] </t>
    </r>
    <r>
      <rPr>
        <sz val="10"/>
        <color rgb="FF00008B"/>
        <rFont val="Inter"/>
        <family val="0"/>
        <charset val="1"/>
      </rPr>
      <t xml:space="preserve">Korean Re India Branch (IFSC Insurance Office, GIFT City)
(Korean Reinsurance Company (Korean Re, South Korea))
Source: https://asiainsurancereview.com/News/View-NewsLetter-Article/id/94296/type/eDaily/Korean-Re-to-open-India-branch-in-GIFT-City-to-expand-overseas-footprint
https://www.reinsurancene.ws/korean-re-approved-to-establish-branch-in-indias-gift-city
https://www.insurancebusinessmag.com/reinsurance/news/breaking-news/korean-re-secures-approval-for-gift-city-branch-558208.aspx
https://eng.koreanre.co.kr/webzine/Bulletin_198/bull3.html</t>
    </r>
  </si>
  <si>
    <t xml:space="preserve">GIFT City, Gandhinagar (Gujarat)</t>
  </si>
  <si>
    <t xml:space="preserve">Reinsurance branch (India-focused reinsurance transactions and selected emerging-market exposures); not a shared-services centre</t>
  </si>
  <si>
    <t xml:space="preserve">not published</t>
  </si>
  <si>
    <t xml:space="preserve">not captured</t>
  </si>
  <si>
    <t xml:space="preserve">IFSCA authorisation 6 Nov 2025; opening ceremony 20 Jan 2026; full operations from April 2026</t>
  </si>
  <si>
    <t xml:space="preserve">https://asiainsurancereview.com/News/View-NewsLetter-Article/id/94296/type/eDaily/Korean-Re-to-open-India-branch-in-GIFT-City-to-expand-overseas-footprint
https://www.reinsurancene.ws/korean-re-approved-to-establish-branch-in-indias-gift-city
https://www.insurancebusinessmag.com/reinsurance/news/breaking-news/korean-re-secures-approval-for-gift-city-branch-558208.aspx
https://eng.koreanre.co.kr/webzine/Bulletin_198/bull3.html</t>
  </si>
  <si>
    <t xml:space="preserve">Branch, not GCC. Belongs in the tracker's reinsurance-branch section if GIFT City IIOs are in scope alongside the Mumbai IRDAI branches.</t>
  </si>
  <si>
    <r>
      <rPr>
        <b val="true"/>
        <sz val="10"/>
        <color rgb="FF00008B"/>
        <rFont val="Inter"/>
        <family val="0"/>
        <charset val="1"/>
      </rPr>
      <t xml:space="preserve">[Oct'26 addition] </t>
    </r>
    <r>
      <rPr>
        <sz val="10"/>
        <color rgb="FF00008B"/>
        <rFont val="Inter"/>
        <family val="0"/>
        <charset val="1"/>
      </rPr>
      <t xml:space="preserve">MAPFRE Re GIFT City branch (IFSC Insurance Office)
(MAPFRE (Spain) - MAPFRE Re)
Source: https://www.mapfre.com/en/communicate/corporate-communicate/mapfre-re-approval-opening-branch-office-india/
https://www.insurancebusinessmag.com/reinsurance/news/breaking-news/mapfre-re-targets-india-expansion-after-group-breaks-1-billion-profit-barrier-565280.aspx
https://www.reinsurancene.ws/chaturbhuj-bansal-to-lead-mapfre-re-india-branch/
https://www.globalreinsurance.com/home/mapfre-re-appoints-bansal-to-lead-india-branch/1458727.article
https://www.asiainsurancereview.com/News/View-NewsLetter-Article/id/94496/Type/eDaily</t>
    </r>
  </si>
  <si>
    <t xml:space="preserve">Reinsurance branch; no India technology/shared-services centre (MAPFRE's 2025 tech hubs are in Spain, Colombia and Brazil)</t>
  </si>
  <si>
    <t xml:space="preserve">Chaturbhuj Bansal, Head of MAPFRE Re India branch (appointed June 2026, subject to regulatory approval; based in GIFT City)</t>
  </si>
  <si>
    <t xml:space="preserve">IFSCA approval 9 Feb 2026 (MAPFRE corporate release); IIO licence sought effective January 2026</t>
  </si>
  <si>
    <t xml:space="preserve">https://www.mapfre.com/en/communicate/corporate-communicate/mapfre-re-approval-opening-branch-office-india/
https://www.insurancebusinessmag.com/reinsurance/news/breaking-news/mapfre-re-targets-india-expansion-after-group-breaks-1-billion-profit-barrier-565280.aspx
https://www.reinsurancene.ws/chaturbhuj-bansal-to-lead-mapfre-re-india-branch/
https://www.globalreinsurance.com/home/mapfre-re-appoints-bansal-to-lead-india-branch/1458727.article
https://www.asiainsurancereview.com/News/View-NewsLetter-Article/id/94496/Type/eDaily</t>
  </si>
  <si>
    <t xml:space="preserve">Branch, not GCC.</t>
  </si>
  <si>
    <r>
      <rPr>
        <b val="true"/>
        <sz val="10"/>
        <color rgb="FF00008B"/>
        <rFont val="Inter"/>
        <family val="0"/>
        <charset val="1"/>
      </rPr>
      <t xml:space="preserve">[Oct'26 addition] </t>
    </r>
    <r>
      <rPr>
        <sz val="10"/>
        <color rgb="FF00008B"/>
        <rFont val="Inter"/>
        <family val="0"/>
        <charset val="1"/>
      </rPr>
      <t xml:space="preserve">Everest Reinsurance Company, IFSC Branch (IFSC Insurance Office, GIFT City)
(Everest Group (Bermuda/USA))
Source: https://www.everestglobal.com/au-en/news-media/press-releases/2025/everest-reinsurance-expands-apac-footprint-with-new-office-in-indias-gift-city
https://www.reinsurancene.ws/everest-opens-new-office-in-india-gift-city-to-boost-apac-business/
https://www.insurancebusinessmag.com/reinsurance/news/breaking-news/everest-reinsurance-expands-in-india-with-gift-city-branch-550597.aspx
https://www.scconline.com/blog/post/2025/10/28/cam-advises-everest-reinsurance-ifsc-insurance-office-gift-city/</t>
    </r>
  </si>
  <si>
    <t xml:space="preserve">Property, casualty and specialty reinsurance; part of Everest's Asia Pacific Reinsurance business under Kevin Bogardus</t>
  </si>
  <si>
    <t xml:space="preserve">not captured (APAC head Kevin Bogardus)</t>
  </si>
  <si>
    <t xml:space="preserve">IFSCA Certificate of Registration 19 Sept 2025; office opening announced 22 Sept 2025</t>
  </si>
  <si>
    <t xml:space="preserve">https://www.everestglobal.com/au-en/news-media/press-releases/2025/everest-reinsurance-expands-apac-footprint-with-new-office-in-indias-gift-city
https://www.reinsurancene.ws/everest-opens-new-office-in-india-gift-city-to-boost-apac-business/
https://www.insurancebusinessmag.com/reinsurance/news/breaking-news/everest-reinsurance-expands-in-india-with-gift-city-branch-550597.aspx
https://www.scconline.com/blog/post/2025/10/28/cam-advises-everest-reinsurance-ifsc-insurance-office-gift-city/</t>
  </si>
  <si>
    <t xml:space="preserve">Upgraded from wave-1 'low' to 'high' on the strength of the company press release. Branch, not GCC; no Everest shared-services centre in India found.</t>
  </si>
  <si>
    <r>
      <rPr>
        <b val="true"/>
        <sz val="10"/>
        <color rgb="FF00008B"/>
        <rFont val="Inter"/>
        <family val="0"/>
        <charset val="1"/>
      </rPr>
      <t xml:space="preserve">[Oct'26 addition] </t>
    </r>
    <r>
      <rPr>
        <sz val="10"/>
        <color rgb="FF00008B"/>
        <rFont val="Inter"/>
        <family val="0"/>
        <charset val="1"/>
      </rPr>
      <t xml:space="preserve">Berkley Insurance Company, IFSC Branch, GIFT City
(W. R. Berkley Corporation (USA))
Source: https://www.businesswire.com/news/home/20241219735973/en/W.-R.-Berkley-Corporation-Establishes-Branch-Office-of-Berkley-Insurance-Company-in-India
https://ir.berkley.com/files/doc_news/2024/12/1/W-R-Berkley-Corporation-Establishes-Branch-Office-of-Berkley-Insurance-Company-in-India-2024.pdf
https://www.reinsurancene.ws/w-r-berkley-launches-branch-office-in-india/</t>
    </r>
  </si>
  <si>
    <t xml:space="preserve">Underwriting/reinsurance branch (IFSCA-licensed), not a shared-services centre</t>
  </si>
  <si>
    <t xml:space="preserve">Unnati Bajpai, CEO &amp; Principal Officer, Berkley Insurance Company IFSC Branch (BusinessWire, 19 Dec 2024; works with Shasi Nair, CEO Berkley Insurance Asia)</t>
  </si>
  <si>
    <t xml:space="preserve">Approved Dec 2024; operations from 2025</t>
  </si>
  <si>
    <t xml:space="preserve">https://www.businesswire.com/news/home/20241219735973/en/W.-R.-Berkley-Corporation-Establishes-Branch-Office-of-Berkley-Insurance-Company-in-India
https://ir.berkley.com/files/doc_news/2024/12/1/W-R-Berkley-Corporation-Establishes-Branch-Office-of-Berkley-Insurance-Company-in-India-2024.pdf
https://www.reinsurancene.ws/w-r-berkley-launches-branch-office-in-india/</t>
  </si>
  <si>
    <t xml:space="preserve">Carried over from wave 1; not re-searched.</t>
  </si>
  <si>
    <r>
      <rPr>
        <b val="true"/>
        <sz val="10"/>
        <color rgb="FF00008B"/>
        <rFont val="Inter"/>
        <family val="0"/>
        <charset val="1"/>
      </rPr>
      <t xml:space="preserve">[Oct'26 addition] </t>
    </r>
    <r>
      <rPr>
        <sz val="10"/>
        <color rgb="FF00008B"/>
        <rFont val="Inter"/>
        <family val="0"/>
        <charset val="1"/>
      </rPr>
      <t xml:space="preserve">PartnerRe GIFT City branch (IFSC Insurance Office)
(PartnerRe (Covea group))
Source: https://www.partnerre.com/news/partnerre-to-establish-a-branch-in-indias-gift-city-gujarat-international-finance-tec-city/
https://www.insurancebusinessmag.com/reinsurance/news/breaking-news/partnerre-makes-first-india-move-through-gift-city-hub-566985.aspx
https://www.reinsurancene.ws/partnerre-to-establish-a-branch-office-in-indias-gift-city/
https://www.businessinsurance.com/partnerre-to-open-branch-in-indias-gift-city/
https://reinasia.com/partnerre-appoints-ankur-gupta-as-ceo-india/</t>
    </r>
  </si>
  <si>
    <t xml:space="preserve">Reinsurance branch; first India presence</t>
  </si>
  <si>
    <t xml:space="preserve">Ankur Gupta, CEO India (per reinasia.com headline 'PartnerRe appoints Ankur Gupta as CEO India'; headline only, confirm before client use); APAC lead James Beedle, CEO Partner Reinsurance Asia</t>
  </si>
  <si>
    <t xml:space="preserve">IFSCA approval 25 Feb 2026 (PartnerRe press release)</t>
  </si>
  <si>
    <t xml:space="preserve">https://www.partnerre.com/news/partnerre-to-establish-a-branch-in-indias-gift-city-gujarat-international-finance-tec-city/
https://www.insurancebusinessmag.com/reinsurance/news/breaking-news/partnerre-makes-first-india-move-through-gift-city-hub-566985.aspx
https://www.reinsurancene.ws/partnerre-to-establish-a-branch-office-in-indias-gift-city/
https://www.businessinsurance.com/partnerre-to-open-branch-in-indias-gift-city/
https://reinasia.com/partnerre-appoints-ankur-gupta-as-ceo-india/</t>
  </si>
  <si>
    <t xml:space="preserve">Wave 1 cleared PartnerRe for a GCC; this is a reinsurance branch, so it is listed for the branch section only. Single source.</t>
  </si>
  <si>
    <r>
      <rPr>
        <b val="true"/>
        <sz val="10"/>
        <color rgb="FF00008B"/>
        <rFont val="Inter"/>
        <family val="0"/>
        <charset val="1"/>
      </rPr>
      <t xml:space="preserve">[Oct'26 addition] </t>
    </r>
    <r>
      <rPr>
        <sz val="10"/>
        <color rgb="FF00008B"/>
        <rFont val="Inter"/>
        <family val="0"/>
        <charset val="1"/>
      </rPr>
      <t xml:space="preserve">IGI reinsurance branch, GIFT City (IFSC Insurance Office under International General Insurance Company (UK) Ltd)
(International General Insurance Holdings (IGI, Bermuda/Jordan/UK))
Source: https://www.intelligentinsurer.com/igi-secures-approval-to-launch-india-reinsurance-branch
https://www.insurancebusinessmag.com/asia/news/breaking-news/igi-cleared-to-operate-reinsurance-branch-in-gift-city-578296.aspx
https://www.reinsurancene.ws/igi-to-open-a-new-branch-in-indias-gift-city-as-it-secures-license/
https://bernews.com/2026/06/igi-secures-indias-gift-city-license/
https://www.businesswire.com/news/home/20260608431690/en</t>
    </r>
  </si>
  <si>
    <t xml:space="preserve">Facultative and specialty treaty reinsurance for Indian cedants and brokers</t>
  </si>
  <si>
    <t xml:space="preserve">not published (local team to be recruited)</t>
  </si>
  <si>
    <t xml:space="preserve">IFSCA approval June 2026; operations to commence within 2026</t>
  </si>
  <si>
    <t xml:space="preserve">https://www.intelligentinsurer.com/igi-secures-approval-to-launch-india-reinsurance-branch
https://www.insurancebusinessmag.com/asia/news/breaking-news/igi-cleared-to-operate-reinsurance-branch-in-gift-city-578296.aspx
https://www.reinsurancene.ws/igi-to-open-a-new-branch-in-indias-gift-city-as-it-secures-license/
https://bernews.com/2026/06/igi-secures-indias-gift-city-license/
https://www.businesswire.com/news/home/20260608431690/en</t>
  </si>
  <si>
    <r>
      <rPr>
        <b val="true"/>
        <sz val="10"/>
        <color rgb="FF00008B"/>
        <rFont val="Inter"/>
        <family val="0"/>
        <charset val="1"/>
      </rPr>
      <t xml:space="preserve">[Oct'26 addition] </t>
    </r>
    <r>
      <rPr>
        <sz val="10"/>
        <color rgb="FF00008B"/>
        <rFont val="Inter"/>
        <family val="0"/>
        <charset val="1"/>
      </rPr>
      <t xml:space="preserve">Santam IFSC reinsurance office, GIFT City
(Santam (Sanlam group, South Africa))
Source: https://www.insurancebusinessmag.com/reinsurance/news/breaking-news/gift-city-lands-another-major-reinsurer-as-santam-opens-branch-565900.aspx
https://www.moonstone.co.za/santam-authorised-to-establish-ifsc-reinsurance-office-in-india/
https://finance.yahoo.com/news/santam-approved-open-reinsurance-office-100928308.html</t>
    </r>
  </si>
  <si>
    <t xml:space="preserve">Reinsurance branch (treaty and facultative); first BRICS-based insurer in GIFT City</t>
  </si>
  <si>
    <t xml:space="preserve">IFSCA licence granted January 2026</t>
  </si>
  <si>
    <t xml:space="preserve">https://www.insurancebusinessmag.com/reinsurance/news/breaking-news/gift-city-lands-another-major-reinsurer-as-santam-opens-branch-565900.aspx
https://www.moonstone.co.za/santam-authorised-to-establish-ifsc-reinsurance-office-in-india/
https://finance.yahoo.com/news/santam-approved-open-reinsurance-office-100928308.html</t>
  </si>
  <si>
    <r>
      <rPr>
        <b val="true"/>
        <sz val="10"/>
        <color rgb="FF00008B"/>
        <rFont val="Inter"/>
        <family val="0"/>
        <charset val="1"/>
      </rPr>
      <t xml:space="preserve">[Oct'26 addition] </t>
    </r>
    <r>
      <rPr>
        <sz val="10"/>
        <color rgb="FF00008B"/>
        <rFont val="Inter"/>
        <family val="0"/>
        <charset val="1"/>
      </rPr>
      <t xml:space="preserve">Echo Re GIFT City branch (IFSC Insurance Office)
(Echo Re (Zurich, Switzerland; wholly owned subsidiary of DEVK Group, Germany))
Source: https://www.insurancebusinessmag.com/reinsurance/news/breaking-news/echo-re-puts-swiss-re-veteran-in-charge-of-india-iio-581978.aspx
https://www.insurancebusinessmag.com/reinsurance/news/breaking-news/echo-re-opens-first-branch-outside-zurich-in-indias-gift-city-568642.aspx
https://www.asiainsurancereview.com/News/View-NewsLetter-Article/id/94806/Type/eDaily
https://www.businessinsurance.com/echo-re-to-open-india-branch-in-gift-city/</t>
    </r>
  </si>
  <si>
    <t xml:space="preserve">Reinsurance branch</t>
  </si>
  <si>
    <t xml:space="preserve">Ankur Sharma, Principal Officer, Echo Re India IIO (ex-Swiss Re; reports to Swapnil Soni, Regional Manager Indian subcontinent)</t>
  </si>
  <si>
    <t xml:space="preserve">IFSCA approval 12 March 2026; first Echo Re branch outside Switzerland</t>
  </si>
  <si>
    <t xml:space="preserve">https://www.insurancebusinessmag.com/reinsurance/news/breaking-news/echo-re-puts-swiss-re-veteran-in-charge-of-india-iio-581978.aspx
https://www.insurancebusinessmag.com/reinsurance/news/breaking-news/echo-re-opens-first-branch-outside-zurich-in-indias-gift-city-568642.aspx
https://www.asiainsurancereview.com/News/View-NewsLetter-Article/id/94806/Type/eDaily
https://www.businessinsurance.com/echo-re-to-open-india-branch-in-gift-city/</t>
  </si>
  <si>
    <r>
      <rPr>
        <b val="true"/>
        <sz val="10"/>
        <color rgb="FF00008B"/>
        <rFont val="Inter"/>
        <family val="0"/>
        <charset val="1"/>
      </rPr>
      <t xml:space="preserve">[Oct'26 addition] </t>
    </r>
    <r>
      <rPr>
        <sz val="10"/>
        <color rgb="FF00008B"/>
        <rFont val="Inter"/>
        <family val="0"/>
        <charset val="1"/>
      </rPr>
      <t xml:space="preserve">Saudi Re GIFT City branch
(Saudi Re (Saudi Arabia))
Source: https://www.asiainsurancereview.com/News/View-NewsLetter-Article/id/94496/Type/eDaily
https://enterpriseam.com/mena-india/2026/01/19/saudi-re-sets-up-gift-city-base-cites-india-as-key-growth-engine-2/
https://reinasia.com/saudi-re-gains-approvals-to-open-gift-city-branch-in-india/
https://enterpriseam.com/mena-india/2026/06/12/saudi-re-names-ruchi-jain-to-lead-gift-city-branch/</t>
    </r>
  </si>
  <si>
    <t xml:space="preserve">Ruchi Jain, head of Saudi Re GIFT City branch (EnterpriseAM, 12 June 2026)</t>
  </si>
  <si>
    <t xml:space="preserve">Saudi IA and IFSCA approvals and branch launch announced January 2026 (EnterpriseAM 19 Jan 2026); 'inauguration' wording from Asia Insurance Review not independently confirmed</t>
  </si>
  <si>
    <t xml:space="preserve">https://www.asiainsurancereview.com/News/View-NewsLetter-Article/id/94496/Type/eDaily
https://enterpriseam.com/mena-india/2026/01/19/saudi-re-sets-up-gift-city-base-cites-india-as-key-growth-engine-2/
https://reinasia.com/saudi-re-gains-approvals-to-open-gift-city-branch-in-india/
https://enterpriseam.com/mena-india/2026/06/12/saudi-re-names-ruchi-jain-to-lead-gift-city-branch/</t>
  </si>
  <si>
    <t xml:space="preserve">Single snippet mention inside an Asia Insurance Review item; verify before adding.</t>
  </si>
  <si>
    <r>
      <rPr>
        <b val="true"/>
        <sz val="10"/>
        <color rgb="FF00008B"/>
        <rFont val="Inter"/>
        <family val="0"/>
        <charset val="1"/>
      </rPr>
      <t xml:space="preserve">[Oct'26 addition] </t>
    </r>
    <r>
      <rPr>
        <sz val="10"/>
        <color rgb="FF00008B"/>
        <rFont val="Inter"/>
        <family val="0"/>
        <charset val="1"/>
      </rPr>
      <t xml:space="preserve">Allianz Jio Reinsurance (50:50 JV of Allianz Europe and Jio Financial Services; IRDAI-approved domestic reinsurer)
(Allianz SE / Jio Financial Services)
Source: https://allianz.com/en/mediacenter/news/media-releases/financials/260326-allianz-jio-reinsurance-limited-commences-operations.html
https://www.insurancebusinessmag.com/reinsurance/news/breaking-news/allianz-jio-re-starts-operations-in-india-reinsurance-sector-570048.aspx
https://finance.yahoo.com/news/irdai-approves-allianz-jio-reinsurance-111433734.html
https://www.xprimm.com/Allianz-Jio-Reinsurance-Limited-commences-operations-and-is-authorized-to-underwrite-reinsurance-in-India-articol-8-24618.htm</t>
    </r>
  </si>
  <si>
    <t xml:space="preserve">Mumbai (headquarters, per Allianz media release)</t>
  </si>
  <si>
    <t xml:space="preserve">Domestic reinsurer (underwriting), not a captive/GCC</t>
  </si>
  <si>
    <t xml:space="preserve">Sonia Rawal, CEO, Allianz Jio Reinsurance Limited (previously Allianz Reinsurance Singapore, India &amp; ASEAN)</t>
  </si>
  <si>
    <t xml:space="preserve">JV agreed July 2025; final IRDAI approval 12 March 2026; operations commenced March 2026 (Allianz release 26 Mar 2026)</t>
  </si>
  <si>
    <t xml:space="preserve">https://allianz.com/en/mediacenter/news/media-releases/financials/260326-allianz-jio-reinsurance-limited-commences-operations.html
https://www.insurancebusinessmag.com/reinsurance/news/breaking-news/allianz-jio-re-starts-operations-in-india-reinsurance-sector-570048.aspx
https://finance.yahoo.com/news/irdai-approves-allianz-jio-reinsurance-111433734.html
https://www.xprimm.com/Allianz-Jio-Reinsurance-Limited-commences-operations-and-is-authorized-to-underwrite-reinsurance-in-India-articol-8-24618.htm</t>
  </si>
  <si>
    <t xml:space="preserve">Indian-domiciled JV reinsurer rather than a foreign branch or GCC; likely out of scope under the 'exclude Indian-origin' rule, but listed because it is a new 2026 foreign-reinsurer-backed entity the client may want to track.</t>
  </si>
  <si>
    <t xml:space="preserve">   List of GCC in US as on July'26</t>
  </si>
  <si>
    <t xml:space="preserve">GIS</t>
  </si>
  <si>
    <t xml:space="preserve">HO</t>
  </si>
  <si>
    <t xml:space="preserve">India Set-up available? (Yes/No)</t>
  </si>
  <si>
    <t xml:space="preserve">India Set-up details and links</t>
  </si>
  <si>
    <t xml:space="preserve">Plans to set-up (Yes/No)</t>
  </si>
  <si>
    <t xml:space="preserve">Set-up plans links and details
(potential location, any consultants hired, processes being planned to move etc.)</t>
  </si>
  <si>
    <t xml:space="preserve">Centene Corporation</t>
  </si>
  <si>
    <t xml:space="preserve">7700 Forsyth Boulevard, St. Louis, Missouri 63105, USA</t>
  </si>
  <si>
    <t xml:space="preserve">Approximately 60,000+ employees (latest company-reported workforce range)</t>
  </si>
  <si>
    <t xml:space="preserve">Sarah M. London</t>
  </si>
  <si>
    <t xml:space="preserve">1. GCSP Approval
2. Business Relationship restriction
3. Firm Loan </t>
  </si>
  <si>
    <t xml:space="preserve">1.Centene is investing in artificial intelligence (AI) and machine learning (ML) technologies to help improve the health of our members and contain rising healthcare costs. 
2.Centene announced that its subsidiary Meridian Health Plan of Illinois was awarded an Illinois Medicaid managed-care contract.(Jul'26)
3.Centene’s 2026 guidance reveals a strategic shift in its business mix, with Medicare growth offsetting declines in Marketplace and Medicaid segments. The company projects total premium and service revenue between $170 billion and $174 billion for 2026, slightly down from $174.6 billion in 2025. Despite this revenue contraction, Centene aims to deliver adjusted earnings per share exceeding $3.00, representing approximately 40% growth from 2025’s $2.08.
The company also projects improvement in its Healthcare Benefit Ratio (HBR), a key metric indicating the percentage of premiums spent on medical care. Centene expects its 2026 HBR to improve to 91.3% from 91.9% in 2025, primarily driven by better performance in the Commercial segment.
4.CENTENE APPOINTS LAUREN M. TYLER TO BOARD OF DIRECTORS</t>
  </si>
  <si>
    <t xml:space="preserve">https://www.centene.com/why-were-different/corporate-sustainability/empowering-health/innovation-thought-leadership.html
https://investors.centene.com/2026-04-28-CENTENE-CORPORATION-REPORTS-FIRST-QUARTER-2026-RESULTS
https://www.investing.com/news/company-news/centene-2026-guidance-slides-40-eps-growth-target-despite-revenue-headwinds-93CH-4491279
https://www.prnewswire.com/news-releases/centene-appoints-lauren-m-tyler-to-board-of-directors-302806827.html
</t>
  </si>
  <si>
    <t xml:space="preserve">No</t>
  </si>
  <si>
    <t xml:space="preserve">NO</t>
  </si>
  <si>
    <t xml:space="preserve">Theodore Pienkos</t>
  </si>
  <si>
    <r>
      <rPr>
        <b val="true"/>
        <strike val="true"/>
        <sz val="10"/>
        <color theme="1"/>
        <rFont val="EYInterstate"/>
        <family val="0"/>
        <charset val="1"/>
      </rPr>
      <t xml:space="preserve">
</t>
    </r>
    <r>
      <rPr>
        <b val="true"/>
        <sz val="10"/>
        <color theme="1"/>
        <rFont val="EYInterstate"/>
        <family val="0"/>
        <charset val="1"/>
      </rPr>
      <t xml:space="preserve">
Andrew L. (Drew) Asher — EVP &amp; Chief Financial Officer since May 2021</t>
    </r>
  </si>
  <si>
    <t xml:space="preserve">Ashlee Knuckey</t>
  </si>
  <si>
    <t xml:space="preserve">Humana Inc.</t>
  </si>
  <si>
    <t xml:space="preserve">Louisville, Kentucky, USA</t>
  </si>
  <si>
    <t xml:space="preserve">Approximately 67,000 employees</t>
  </si>
  <si>
    <t xml:space="preserve">James (Jim) Rechtin</t>
  </si>
  <si>
    <r>
      <rPr>
        <sz val="10"/>
        <color theme="1"/>
        <rFont val="Inter"/>
        <family val="0"/>
        <charset val="1"/>
      </rPr>
      <t xml:space="preserve">1.A 25% growth target is one of the strongest growth outlooks among major U.S. insurers and shows Humana is prioritizing market share while trying to improve margins.
2.Humana introduces Agent Assist to help member advocates deliver faster, more personalized support, enabled by an expanded partnership with Google Cloud
</t>
    </r>
    <r>
      <rPr>
        <b val="true"/>
        <sz val="10"/>
        <color theme="1"/>
        <rFont val="EYInterstate"/>
        <family val="0"/>
        <charset val="1"/>
      </rPr>
      <t xml:space="preserve">Apr' 26 - Q1 2026 results: GAAP EPS of $9.83 and Adjusted EPS of $10.31, at the high end of guidance; Humana AFFIRMED its full-year 2026 adjusted financial guidance.
Jun' 26 - Awarded a STATEWIDE ILLINOIS HEALTHCHOICE MEDICAID CONTRACT, expanding access across the state. (Note for the board: Centene's Meridian subsidiary — row 4 — was also awarded an Illinois Medicaid managed-care contract in Jul'26, so the two carriers on this list are now direct competitors in that state programme.)
Jun' 26 - Signed a definitive agreement to divest all or substantially all of its minority interest in Gentiva, the largest US end-of-life services provider — continued portfolio pruning around the CenterWell care-delivery strategy.
</t>
    </r>
    <r>
      <rPr>
        <sz val="10"/>
        <color theme="1"/>
        <rFont val="EYInterstate"/>
        <family val="0"/>
        <charset val="1"/>
      </rPr>
      <t xml:space="preserve">3.Humana reported substantial growth in:
CenterWell Primary Care
Pharmacy services
Home health businesses
Q1 2026 included:
110,500 patient increase
MaxHealth integration
Expansion of senior-focused primary care
</t>
    </r>
  </si>
  <si>
    <t xml:space="preserve">Humana Reports First Quarter 2026 Financial Results; Affirms Full Year 2026 Adjusted Financial Guidance | Humana Inc.
https://news.humana.com/news/articles/humana-redefines-the-member-experience-with-agent-assist-built-with-google-cloud
https://humana.gcs-web.com/news-releases (Q1 2026 results; Illinois Medicaid award; Gentiva divestment; $1.0bn notes; board election)
</t>
  </si>
  <si>
    <t xml:space="preserve">Kurt Hilzinger (Audit committee chair)</t>
  </si>
  <si>
    <t xml:space="preserve">Celeste M. Mellet</t>
  </si>
  <si>
    <t xml:space="preserve">The Progressive Corporation</t>
  </si>
  <si>
    <t xml:space="preserve">Mayfield Village, Ohio, USA</t>
  </si>
  <si>
    <t xml:space="preserve">60000+ </t>
  </si>
  <si>
    <t xml:space="preserve">Bill Burke</t>
  </si>
  <si>
    <r>
      <rPr>
        <sz val="10"/>
        <color theme="1"/>
        <rFont val="Inter"/>
        <family val="0"/>
        <charset val="1"/>
      </rPr>
      <t xml:space="preserve">1.Progressive President and CEO Susan Griffith filled investors in on the company’s artificial intelligence personal auto insurance strategy last week, including predictive and Gen AI.
“We have a history of innovation, and so we are really concentrating on AI across the board and have been for a while,” she said during the company’s Q4 2025 earnings call.(Mar'26)
2.Progressive has an edge in the auto space through its telematics program. Telematics is a program that insurance companies use to track driving records and price policies accordingly. It's a usage-based system, and drivers who opt in can benefit from lower rates if their safety records indicate that they're low-risk. Drivers can use a phone app or plug-in device to track things like speeding, acceleration, and seatbelt usage.
3.Progressive Insurance® today announced a new pet insurance offering designed to help people get the care their pets need by making veterinary care more affordable.
</t>
    </r>
    <r>
      <rPr>
        <b val="true"/>
        <sz val="10"/>
        <color theme="1"/>
        <rFont val="EYInterstate"/>
        <family val="0"/>
        <charset val="1"/>
      </rPr>
      <t xml:space="preserve">4. Jan-Jul' 26 - CFO TRANSITION COMPLETED: Progressive announced on 28 January 2026 that CFO John Sauerland would retire on 3 July 2026 after 35 years with the company (10 as CFO). Andrew Quigg, Chief Strategy Officer since 2018, succeeded him as CFO on that date.</t>
    </r>
  </si>
  <si>
    <t xml:space="preserve">Progressive investors hear about AI strategies, successes | Repairer Driven News
https://www.fool.com/investing/2026/05/29/progressives-telematics-edge-is-quietly-reshaping/
https://progressive.mediaroom.com/2026-01-20-progressive-insurance-R-introduces-pet-insurance-for-cats-and-dogs
https://investors.progressive.com/financials/financial-news-releases/news-details/2026/Progressive-Announces-Plans-For-CFO-Transition/default.aspx</t>
  </si>
  <si>
    <t xml:space="preserve">Pamela J. Craig</t>
  </si>
  <si>
    <t xml:space="preserve">Andrew Quigg</t>
  </si>
  <si>
    <t xml:space="preserve">State Farm (State Farm Mutual Automobile Insurance Company)</t>
  </si>
  <si>
    <t xml:space="preserve">One State Farm Plaza, Bloomington, Illinois, USA</t>
  </si>
  <si>
    <t xml:space="preserve">65000+</t>
  </si>
  <si>
    <t xml:space="preserve">1. GCSP Approval
</t>
  </si>
  <si>
    <t xml:space="preserve">1.State Farm® is at a pivotal moment in reimagining how technology supports and drives our business. As part of our commitment to building a culture centered on speed, agility, and innovation, we are participating in OpenAI’s Frontier platform. Our goal: strengthen the capabilities of State Farm agents and employees so they can provide best-in-class service to our customers.
2.State Farm Is Rewriting the Deal With Its Agents – Allstate Did the Same Thing in 1999 and Here’s How That Story Ended.(Jun'26)
3.Over 20,000 catastrophe-related claims from a major winter event in early 2026.
4.Progressive overtaking State Farm</t>
  </si>
  <si>
    <t xml:space="preserve">State Farm Advances AI Vision Through OpenAI Collaboration
https://www.liveinsurancenews.com/state-farm-is-rewriting-the-deal/8573293/
https://newsroom.statefarm.com/state-farm-responds-to-widespread-winter-catastrophe/
https://www.insurancejournal.com/company/statefarm/</t>
  </si>
  <si>
    <r>
      <rPr>
        <strike val="true"/>
        <sz val="10"/>
        <color theme="1"/>
        <rFont val="EYInterstate"/>
        <family val="0"/>
        <charset val="1"/>
      </rPr>
      <t xml:space="preserve">Jon Farney
</t>
    </r>
    <r>
      <rPr>
        <sz val="10"/>
        <color theme="1"/>
        <rFont val="EYInterstate"/>
        <family val="0"/>
        <charset val="1"/>
      </rPr>
      <t xml:space="preserve">
</t>
    </r>
    <r>
      <rPr>
        <b val="true"/>
        <sz val="10"/>
        <color theme="1"/>
        <rFont val="EYInterstate"/>
        <family val="0"/>
        <charset val="1"/>
      </rPr>
      <t xml:space="preserve">Mark Schwamberger — SVP, Treasurer &amp; Chief Financial Officer (since January 2024)</t>
    </r>
  </si>
  <si>
    <r>
      <rPr>
        <strike val="true"/>
        <sz val="10"/>
        <color theme="1"/>
        <rFont val="EYInterstate"/>
        <family val="0"/>
        <charset val="1"/>
      </rPr>
      <t xml:space="preserve">Not disclosed
</t>
    </r>
    <r>
      <rPr>
        <sz val="10"/>
        <color theme="1"/>
        <rFont val="EYInterstate"/>
        <family val="0"/>
        <charset val="1"/>
      </rPr>
      <t xml:space="preserve">
</t>
    </r>
    <r>
      <rPr>
        <b val="true"/>
        <sz val="10"/>
        <color theme="1"/>
        <rFont val="EYInterstate"/>
        <family val="0"/>
        <charset val="1"/>
      </rPr>
      <t xml:space="preserve">Cathy Wallace — SVP &amp; Chief Risk Officer</t>
    </r>
  </si>
  <si>
    <t xml:space="preserve">Geico General Insurance Company</t>
  </si>
  <si>
    <t xml:space="preserve">Bethesda, Maryland, USA</t>
  </si>
  <si>
    <t xml:space="preserve">40000+</t>
  </si>
  <si>
    <t xml:space="preserve">Nancy L. Pierce</t>
  </si>
  <si>
    <t xml:space="preserve">1.Berkshire Hathaway leadership disclosed that GEICO is undergoing a multi-year technology modernization program, rebuilding core insurance systems and investing heavily in AI, analytics, and proprietary platforms.(May'26)
2.On June 11, 2026, GEICO announced that the GEICO Gecko could interact in live conversations powered by real-time AI.
3.GEICO announced that David Foy has been appointed chief financial officer, effective June 29. Based at GEICO's headquarters in Bethesda, Foy will report to Nancy Pierce, GEICO's chief executive officer, and oversee all finance and real estate functions.
4.GEICO, backed by the financial strength of Berkshire Hathaway and celebrating its 90th anniversary this year, today announced its return to the Mid-America Trucking Show (MATS) for the second consecutive year. The company will showcase its expanded commercial trucking insurance products now available in nearly 40 states, new strategic partnerships with industry-leading technology platforms, and the rapid growth of its DriveEasy Pro telematics program – all designed to help professional drivers reduce their insurance costs.
5.Berkshire Hathaway reported that GEICO's policy growth remains slower than Progressive's.
6.Pennsylvania AG Settles with GEICO over Use of Artificial Intelligence in Claims Handling</t>
  </si>
  <si>
    <t xml:space="preserve">Berkshire Q1 2026: $1.72B Insurance Gain as Abel Maps GEICO's Five-Year Tech Rebuild | actuary.info
https://www.geico.com/about/pressreleases/2026/
https://www.geico.com/about/pressreleases/2026/20260326/
https://www.carriermanagement.com/news/2026/05/04/287521.htm#
https://www.clarkhill.com/news-events/news/geico-ai-settlement-insurance-underwriting-compliance/</t>
  </si>
  <si>
    <t xml:space="preserve">David Foy</t>
  </si>
  <si>
    <t xml:space="preserve">Tokio Marine America Insurance Company</t>
  </si>
  <si>
    <t xml:space="preserve">590 Madison Avenue, New York, NY 10022, USA</t>
  </si>
  <si>
    <t xml:space="preserve">500+</t>
  </si>
  <si>
    <t xml:space="preserve">Kenyu Okuda</t>
  </si>
  <si>
    <t xml:space="preserve">Walter Poetscher</t>
  </si>
  <si>
    <r>
      <rPr>
        <sz val="10"/>
        <color theme="1"/>
        <rFont val="Inter"/>
        <family val="0"/>
        <charset val="1"/>
      </rPr>
      <t xml:space="preserve">1.The DX Stock is a designated program that selects and recognizes advanced companies that are 
undertaking digital transformation (DX) initiatives: leveraging digital technologies to 
fundamentally transform their business models and drive new growth and enhanced 
competitiveness. These companies are jointly selected by the Ministry of Economy, Trade and 
Industry, the Tokyo Stock Exchange, and the IPA.
2.Tokio Marine implemented a formal Group Basic Policy on AI Governance, rolled out globally across subsidiaries.
3.Tokio Marine announced a strategic collaboration with OpenAI to integrate generative AI into insurance operations.
4.Tokio Marine's North American business continues emphasizing specialty insurance lines.
5.Catastrophe Risk and Climate Resilience Remain Priorities
</t>
    </r>
    <r>
      <rPr>
        <b val="true"/>
        <sz val="10"/>
        <color theme="1"/>
        <rFont val="EYInterstate"/>
        <family val="0"/>
        <charset val="1"/>
      </rPr>
      <t xml:space="preserve">6. Mar' 26 - BERKSHIRE HATHAWAY STRATEGIC INVESTMENT: Berkshire's National Indemnity took a 2.49% strategic stake in Tokio Marine, with collaboration planned on reinsurance and M&amp;A. National Indemnity's holding is capped at 9.9% without board approval — structured as a partnership, not a step toward control. Tokio Marine committed to using the proceeds to fund a share buyback to offset dilution.
7. 2026 - Announced a share repurchase programme of up to 130,000,000 shares (~6.91% of issued capital) for ¥200 billion, running to 23 December 2026.
8. Feb' 26 - Completed the acquisition of Commodity &amp; Ingredient Hedging LLC (CIH, Chicago) from Falfurrias Capital Partners, expanding US agricultural/commodity risk solutions and fee-based non-insurance capability.
9. 2026 - Under CEO Masahiro Koike, the group is targeting ¥1.7 trillion adjusted net profit and a 17% adjusted ROE by March 2036, with more than $10bn earmarked for acquisitions. Strategic priority is to REDUCE North American concentration (~90% of overseas earnings) by expanding in Australia, Canada, Latin America and South East Asia.</t>
    </r>
  </si>
  <si>
    <t xml:space="preserve">https://www.tokiomarinehd.com/en/newsroom/release/
https://www.tokiomarinehd.com/en/newsroom/release/o1ckc9000001n1lb-att/250616_AI_governance_e.pdf
https://www.tokiomarinehd.com/en/newsroom/release/ikr22500000008w0-att/20250925_OpenAI_e.pdf
https://www.tokiomarinehighland.com/blog/tokio-marine-highland-releases-2026-tmh-horizons-report/
https://www.insurancebusinessmag.com/us/news/breaking-news/tokio-marine-america-ceo-eyes-capital-surge-as-growth-engine-566725.aspx
https://www.reinsurancene.ws/tokio-marine-to-enhance-specialty-offerings-in-us-agricultural-sector-with-cih-acquisition/
https://finimize.com/content/tokio-marine-wants-more-than-north-america (Berkshire partnership; 2036 targets)
https://simplywall.st/stocks/us/insurance/otc-tkom.y/tokio-marine-holdings (CIH completion 2 Feb 2026; ¥200bn buyback)</t>
  </si>
  <si>
    <t xml:space="preserve">Yes</t>
  </si>
  <si>
    <r>
      <rPr>
        <sz val="10"/>
        <color theme="1"/>
        <rFont val="Inter"/>
        <family val="0"/>
        <charset val="1"/>
      </rPr>
      <t xml:space="preserve">1.Tokio Marine operates in India primarily through </t>
    </r>
    <r>
      <rPr>
        <b val="true"/>
        <sz val="10"/>
        <color theme="1"/>
        <rFont val="EYInterstate"/>
        <family val="0"/>
        <charset val="1"/>
      </rPr>
      <t xml:space="preserve">IFFCO-Tokio General Insurance</t>
    </r>
    <r>
      <rPr>
        <sz val="10"/>
        <color theme="1"/>
        <rFont val="EYInterstate"/>
        <family val="0"/>
        <charset val="1"/>
      </rPr>
      <t xml:space="preserve">, one of India's established non-life insurance companies. The Tokio Marine Group has been active in the Indian insurance market for many years through this business.
https://responsibleus.com/boosting-indias-500-gw-target-tokio-marines-500m-insurance-platform-arrives</t>
    </r>
  </si>
  <si>
    <t xml:space="preserve">IFFCO-Tokio has:
Corporate offices in India
Regional offices across major cities
Branch network throughout the country
Its headquarters are in Gurugram (Gurgaon), Haryana.</t>
  </si>
  <si>
    <t xml:space="preserve">Nick Blaire</t>
  </si>
  <si>
    <t xml:space="preserve">The Travelers Indemnity Company</t>
  </si>
  <si>
    <t xml:space="preserve">Hartford, Connecticut, USA</t>
  </si>
  <si>
    <t xml:space="preserve">34000+</t>
  </si>
  <si>
    <t xml:space="preserve">John Mallin</t>
  </si>
  <si>
    <t xml:space="preserve">1. GCSP Approval
2. Consultation Required
</t>
  </si>
  <si>
    <t xml:space="preserve">1.Travelers announced TravelersLLM, a proprietary large language model built specifically for its property &amp; casualty insurance business. The model was trained on millions of internal company documents and insurance-specific data.(Jun'26)
2.Travelers announced a major AI partnership with Anthropic, deploying personalized Claude AI assistants to nearly 10,000 employees, including engineers, data scientists, analysts and product owners.
3.Travelers Deepens AI Strategy as Innovation 2.0 Takes Shape</t>
  </si>
  <si>
    <t xml:space="preserve">Travelers Investor Relations | Travelers Advances AI Strategy with Award-Winning Insurance-Specific Large Language Model
https://investor.travelers.com/newsroom/press-releases/news-details/2026/Travelers-Partners-with-Anthropic-to-Expand-AI-Enabled-Engineering-and-Analytics-Capabilities/default.aspx
https://agencychecklists.com/2026/01/26/travelers-deepens-ai-strategy-as-innovation-2-0-takes-shape-79336/</t>
  </si>
  <si>
    <t xml:space="preserve">Dan Frey</t>
  </si>
  <si>
    <t xml:space="preserve">Bruce R. Jones</t>
  </si>
  <si>
    <r>
      <rPr>
        <b val="true"/>
        <strike val="true"/>
        <sz val="10"/>
        <color theme="1"/>
        <rFont val="EYInterstate"/>
        <family val="0"/>
        <charset val="1"/>
      </rPr>
      <t xml:space="preserve">
</t>
    </r>
    <r>
      <rPr>
        <b val="true"/>
        <sz val="10"/>
        <color theme="1"/>
        <rFont val="EYInterstate"/>
        <family val="0"/>
        <charset val="1"/>
      </rPr>
      <t xml:space="preserve">
American International Group, Inc. (AIG)</t>
    </r>
  </si>
  <si>
    <t xml:space="preserve">New York, New York, USA</t>
  </si>
  <si>
    <t xml:space="preserve">22000+</t>
  </si>
  <si>
    <t xml:space="preserve">Eric Andersen</t>
  </si>
  <si>
    <t xml:space="preserve">1. GCSP Approval
2. Reverse restrictions
</t>
  </si>
  <si>
    <r>
      <rPr>
        <sz val="10"/>
        <color theme="1"/>
        <rFont val="Inter"/>
        <family val="0"/>
        <charset val="1"/>
      </rPr>
      <t xml:space="preserve">1. AIG Launches Large-Scale AI-Driven Underwriting Partnership with McGill &amp; Partners and Palantir
2. Expansion into Latin America Through Acquisition of Everest's Colombia Insurance Operations
3. AIG Exits Remaining Ownership Stake in Corebridge Financial
4. Strong Q1 2026 Results Demonstrate Underwriting Momentum
</t>
    </r>
    <r>
      <rPr>
        <b val="true"/>
        <sz val="10"/>
        <color theme="1"/>
        <rFont val="EYInterstate"/>
        <family val="0"/>
        <charset val="1"/>
      </rPr>
      <t xml:space="preserve">5. Jan-Jun' 26 - CEO SUCCESSION COMPLETED —  On 6 January 2026 AIG announced that Chairman &amp; CEO Peter Zaffino would retire as CEO by mid-year. Eric Andersen — former President of Aon — joined as President &amp; CEO-Elect on 16 February 2026 and became President &amp; CEO effective 1 JUNE 2026, joining the Board. Zaffino transitioned to EXECUTIVE CHAIR of the AIG Board. Zaffino's target direct compensation was set at $25m as Chairman &amp; CEO, stepping down to $15m as Executive Chair.
6. Apr' 26 - Q1 2026: adjusted after-tax income per diluted share of $2.11, up 80% year-on-year, with Core Operating ROE of 12.2%. FY2025 closed with net profit of $3.1bn (vs a $1.4bn net loss in 2024), a 22% improvement in general insurance underwriting income to $2.3bn, and $6.8bn of capital returned to shareholders ($5.8bn buybacks, ~$1.0bn dividends).</t>
    </r>
  </si>
  <si>
    <t xml:space="preserve">https://aig.gcs-web.com/news-releases/news-release-details/mcgill-and-partners-and-aig-launch-long-term-strategic
https://aig.gcs-web.com/news-releases/news-release-details/aig-announces-agreement-acquire-everests-insurance-operations
https://aig.gcs-web.com/news-releases/news-release-details/aig-announces-sale-its-remaining-stake-corebridge-financial-inc
https://aig.gcs-web.com/news-releases/news-release-details/aig-reports-excellent-first-quarter-2026-results
https://www.businesswire.com/news/home/20260106018357/en/Peter-Zaffino-to-Transition-to-Executive-Chair-of-AIGs-Board-of-Directors-by-Mid-2026
https://www.insurancebusinessmag.com/us/news/breaking-news/aig-completes-planned-ceo-transition-573286.aspx
https://www.sec.gov/Archives/edgar/data/5272/000000527226000039/aig-20260331.htm (AIG 2026 DEF 14A — Leadership Transition)
</t>
  </si>
  <si>
    <t xml:space="preserve">Keith Walsh</t>
  </si>
  <si>
    <t xml:space="preserve">Chris Schaper</t>
  </si>
  <si>
    <t xml:space="preserve">Please re-check : Cannot find any credible evidence of GCC in India for AIG</t>
  </si>
  <si>
    <t xml:space="preserve">Markel Insurance Company</t>
  </si>
  <si>
    <t xml:space="preserve">Richmond, Virginia, USA (Markel Group HQ)</t>
  </si>
  <si>
    <t xml:space="preserve">Simon Wilson</t>
  </si>
  <si>
    <t xml:space="preserve">Matthew McDavid</t>
  </si>
  <si>
    <t xml:space="preserve">1. GCSP Approval
2. Business Relationship restriction
3. Consultation Required
4. Firm Loan </t>
  </si>
  <si>
    <r>
      <rPr>
        <sz val="10"/>
        <color theme="1"/>
        <rFont val="Inter"/>
        <family val="0"/>
        <charset val="1"/>
      </rPr>
      <t xml:space="preserve">1. JANA Partners Calls for Divestiture of Markel Ventures and $2 Billion Share Repurchase
2. Markel International Launches AI Centre of Enablement and Appoints Head of AI
3. Markel Canada Partners with hyperexponential to Build AI-Native Underwriting Environment
4. Markel Appoints New Head of U.S. Cyber and Technology E&amp;O Portfolio
</t>
    </r>
    <r>
      <rPr>
        <b val="true"/>
        <sz val="10"/>
        <color theme="1"/>
        <rFont val="EYInterstate"/>
        <family val="0"/>
        <charset val="1"/>
      </rPr>
      <t xml:space="preserve">5. Feb' 26 - Markel Group named Simon Wilson (CEO, Markel Insurance) and Andrew Crowley (President, Markel Ventures) as Executive Vice Presidents of Markel Group, both reporting to Group CEO Tom Gayner; Amy McCann was promoted to Chief Administrative Officer. EVP &amp; COO Mike Heaton left the Group. Effective immediately.</t>
    </r>
  </si>
  <si>
    <t xml:space="preserve">https://www.prnewswire.com/news-releases/jana-partners-sends-letter-to-markel-group-board-of-directors-302759189.html
 https://www.markel.com/international/news-and-insights/markel-international-launches-ai-centre-of-enablement-with-appointment-of-head-of-ai
https://www.canadianunderwriter.ca/2026/05/12/markel-canada-partners-with-hyperexponential-to-build-ai-native-underwriting-environment/
https://www.markel.com/about-us/news-and-press/markel-included-in-time-americas-best-companies-2026-list
https://ir.mklgroup.com/investor-relations/news/news-details/2026/Markel-Group-announces-leadership-appointments/default.aspx</t>
  </si>
  <si>
    <t xml:space="preserve">Registered office reported as:
Level 6, 4th North Avenue, Maker Maxity, Bandra Kurla Complex, Bandra (East), Mumbai 400051.
Services Performed in India
Public records describe the entity as providing support services/business services for the Markel group. [tracxn.com], [zaubacorp.com]
Kompass describes Markel Services India as operating under Markel's global insurance, reinsurance and investment solutions organization. [in.kompass.com]
Source:
https://in.kompass.com/en/c/markel-services-india-private-limited/in486630/ [in.kompass.com]</t>
  </si>
  <si>
    <t xml:space="preserve">Already presence in Mumbai-BKC</t>
  </si>
  <si>
    <t xml:space="preserve">Brian Costanzo</t>
  </si>
  <si>
    <t xml:space="preserve">Henry Gardener</t>
  </si>
  <si>
    <t xml:space="preserve">51 Madison Avenue, New York, NY 10010, USA</t>
  </si>
  <si>
    <t xml:space="preserve">15000+</t>
  </si>
  <si>
    <t xml:space="preserve">Craig L. DeSanto</t>
  </si>
  <si>
    <t xml:space="preserve">1. GCSP Approval
2. Business Relationship restriction
3. Firm Loan 
4. Reverse restrictions
5. Partial Scope of services restriction</t>
  </si>
  <si>
    <t xml:space="preserve">1. New York Life Accelerates Enterprise AI Transformation
2. New York Life Unifies Global Asset Management Business Under One Brand
3. New York Life Launches First Tokenized Investment Fund
4. New York Life Enters 2026 with Industry-Leading Financial Strength Ratings</t>
  </si>
  <si>
    <t xml:space="preserve">https://www.newyorklife.com/newsroom/new-york-life-spotlights-ai-transformation
https://www.nylim.com/who-we-are/news/new-york-life-unifies-global-asset-management-platform-under-new-york-life-investment-management-brand
 https://www.coindesk.com/business/2026/06/29/new-york-life-makes-tokenization-debut-with-onchain-high-yield-bond-fund-with-centrifuge
https://www.newyorklife.com/newsroom/press-resources/press-releases</t>
  </si>
  <si>
    <t xml:space="preserve">Eric A. Feldstein</t>
  </si>
  <si>
    <t xml:space="preserve">Vikas Sharma</t>
  </si>
  <si>
    <t xml:space="preserve">Alleghany Corporation (Berkshire Hathaway Subsidiary)</t>
  </si>
  <si>
    <t xml:space="preserve">One Rockefeller Plaza, Suite 2120, New York, USA </t>
  </si>
  <si>
    <t xml:space="preserve">13300+</t>
  </si>
  <si>
    <t xml:space="preserve">Joseph (Joe) P. Brandon</t>
  </si>
  <si>
    <r>
      <rPr>
        <sz val="10"/>
        <color theme="1"/>
        <rFont val="Inter"/>
        <family val="0"/>
        <charset val="1"/>
      </rPr>
      <t xml:space="preserve">1. Alleghany Reports $8.8 Billion of Gross Premiums Written Across Insurance Operations
2. AM Best Reaffirms Superior Ratings for Alleghany's Core Subsidiaries
3. TransRe Continues AI-Enabled Underwriting Modernization
</t>
    </r>
    <r>
      <rPr>
        <b val="true"/>
        <sz val="10"/>
        <color theme="1"/>
        <rFont val="EYInterstate"/>
        <family val="0"/>
        <charset val="1"/>
      </rPr>
      <t xml:space="preserve">4. Mar' 26 - AM Best affirmed TransRe's Financial Strength Rating at A++ (SUPERIOR) and Long-Term ICR at 'aa+', with a stable outlook; Alleghany Corporation and Transatlantic Holdings affirmed at 'a+' (Excellent). Note TransRe was UPGRADED to A++ from A+ following the Berkshire acquisition — it now benefits from significant internal reinsurance support from Berkshire.
5. Mar' 26 - As a diversified reinsurer assuming a significant share of US CASUALTY risk, TransRe is exposed to SOCIAL INFLATION, which has driven widespread reserve strengthening across the (re)insurance sector. AM Best considers TransRe's long-run cycle management and initial loss picks conservative. Property reinsurance conditions are softening but remain broadly profitable. 
6. Jan' 26 - GREG ABEL succeeded Warren Buffett as Chief Executive Officer of Berkshire Hathaway on 1 January 2026 — a parent-level governance change affecting both Alleghany and GEICO
7. Jan' 26 - TransRe (wholly owned subsidiary) expanded its go-to-market approach and strengthened its go-to-market team.</t>
    </r>
  </si>
  <si>
    <t xml:space="preserve">https://www.alleghany.com/about-alleghany/default.aspx
https://markets.financialcontent.com/wss/article/bizwire-2026-3-2-am-best-affirms-credit-ratings-of-alleghany-corporation-and-its-affiliates
https://markets.financialcontent.com/wss/article/bizwire-2026-2-27-am-best-affirms-credit-ratings-of-rsui-groups-members
https://news.ambest.com/pr/PressContent.aspx?refnum=37080&amp;altsrc=2 (AM Best affirmation, 2 Mar 2026)
https://www.transre.com/wp-content/uploads/2026/01/In-The-News-TransRe-Strengthens-Go-To-Market-Team-Final.pdf</t>
  </si>
  <si>
    <t xml:space="preserve">Cassie J. Rottman</t>
  </si>
  <si>
    <t xml:space="preserve">Kerry J. Jacobs</t>
  </si>
  <si>
    <t xml:space="preserve">AFLAC Insurance Co</t>
  </si>
  <si>
    <t xml:space="preserve">Columbus, Georgia, USA</t>
  </si>
  <si>
    <t xml:space="preserve">12716+</t>
  </si>
  <si>
    <t xml:space="preserve">Daniel P. "Dan" Amos</t>
  </si>
  <si>
    <t xml:space="preserve">1. Aflac Expands Generative AI Across Customer Service, Claims, Legal, Finance, and Operations
2. Aflac Re Bermuda Announces Reinsurance Transaction with Japan Post Insurance
3. Aflac Reports 27.9% Revenue Growth and Returns $1.3 Billion to Shareholders
4. Aflac Launches New Long-Term Care Rider
5. Aflac Positions AI as a Core Customer Experience and Efficiency Strategy
6. Aflac Named One of the World's Most Ethical Companies for the 20th Consecutive Year</t>
  </si>
  <si>
    <t xml:space="preserve">https://www.chiefmarketer.com/when-aflac-integrates-ai-into-customer-service-and-when-it-doesnt/
https://newsroom.aflac.com/press-releases
https://investors.aflac.com/press-releases/press-release-details/2026/Aflac-Incorporated-Announces-First-Quarter-2026-Results/default.aspx https://newsroom.aflac.com/press-releases
https://www.forbes.com/sites/robertreiss/2026/06/05/ai-in-insurance-pay-no-attention-to-the-man-behind-the-curtain/
https://newsroom.aflac.com/press-releases</t>
  </si>
  <si>
    <r>
      <rPr>
        <strike val="true"/>
        <sz val="10"/>
        <color theme="1"/>
        <rFont val="Inter"/>
        <family val="0"/>
        <charset val="1"/>
      </rPr>
      <t xml:space="preserve">NA
</t>
    </r>
    <r>
      <rPr>
        <b val="true"/>
        <sz val="10"/>
        <color theme="1"/>
        <rFont val="EYInterstate"/>
        <family val="0"/>
        <charset val="1"/>
      </rPr>
      <t xml:space="preserve">No</t>
    </r>
  </si>
  <si>
    <t xml:space="preserve">Max Kristian Broden</t>
  </si>
  <si>
    <t xml:space="preserve">Loews Corporation</t>
  </si>
  <si>
    <t xml:space="preserve">9 West 57th Street, New York, NY 10019, USA</t>
  </si>
  <si>
    <t xml:space="preserve">13100+</t>
  </si>
  <si>
    <t xml:space="preserve">Benjamin J. (Ben) Tisch</t>
  </si>
  <si>
    <t xml:space="preserve">Gabriella Mhanna</t>
  </si>
  <si>
    <t xml:space="preserve">1. Jan' 25 onward - Benjamin J. ('Ben') Tisch has served as President &amp; Chief Executive Officer of Loews Corporation since January 2025, succeeding his father James S. Tisch, who retired as CEO on 31 December 2024 and became Chairman of the Board. 
2. Apr' 26 - Q1 2026 results: Loews reported net income of $337 million, down from $370 million a year earlier. CEO Ben Tisch described it as 'a tale of two cities' quarter — Boardwalk Pipelines and Loews Hotels posted strong results while CNA Financial (Loews' ~92%-owned insurance subsidiary) took a step back.
3. Apr' 26 - CNA RESERVE STRENGTHENING: CNA recorded a $106 million reserve charge plus a 2.6-point increase in the underlying loss ratio. Management attributed both to adverse development in recent accident years across several casualty lines, and stated that assumptions on loss-cost inflation and claim frequency 'proved not conservative enough'. Loews reset current-accident-year loss picks and does not expect growth to reaccelerate near term.
4. Jan' 26 - Dino E. Robusto (former CNA Chairman &amp; CEO) was elected to the Loews Corporation Board of Directors effective 1 January 2026.</t>
  </si>
  <si>
    <t xml:space="preserve">https://www.sec.gov/Archives/edgar/data/0000060086/000006008626000029/exhibit992-q12026.htm (Loews Q1 2026 Earnings Remarks — Ben Tisch, CEO)
https://www.sec.gov/Archives/edgar/data/60086/000006008626000023/a2026loewsproxystatementco.pdf (Loews 2026 DEF 14A)
https://www.prnewswire.com/news-releases/loews-corporation-announces-ceo-transition-302208095.html</t>
  </si>
  <si>
    <t xml:space="preserve">Walter L. Harris</t>
  </si>
  <si>
    <t xml:space="preserve">Jane J. Wang</t>
  </si>
  <si>
    <t xml:space="preserve">6000 American Parkway, Madison, Wisconsin 53783, USA</t>
  </si>
  <si>
    <r>
      <rPr>
        <sz val="10"/>
        <color theme="1"/>
        <rFont val="Inter"/>
        <family val="0"/>
        <charset val="1"/>
      </rPr>
      <t xml:space="preserve">Mar' 26 - American Family Insurance recorded 3,400 claims from the March 5-11 storm systems. The company deployed a mobile claims team to Bradley, Illinois, in Kankakee County. Northern Illinois was hit by extreme and likely record-breaking hail.
</t>
    </r>
    <r>
      <rPr>
        <b val="true"/>
        <sz val="10"/>
        <color theme="1"/>
        <rFont val="EYInterstate"/>
        <family val="0"/>
        <charset val="1"/>
      </rPr>
      <t xml:space="preserve">Mar' 26 - FY2025 results: American Family reported $2 BILLION MORE UNDERWRITING PROFIT in 2025 than in 2024, attributing the improvement to deliberate customer-driven strategic actions and a lower level of catastrophe losses. This continues the turnaround from combined ratios above 110 in 2022-23 to an underwriting profit (96.6 combined ratio across all P&amp;C lines) 
Apr' 26 - On February 5, 2026, American Family announced it would exit the Main Street America Insurance Bonds business. Subsequently, on April 3, 2026, it completed the bonds renewal rights transaction with Nationwide.
May' 26 - Announced a multi-year extension of its presenting-sponsor partnership with Summerfest (Milwaukee World Festival) — brand/marketing, included for completeness only.
Jul' 26 - American Family Life Insurance Company was again recognised with a Ward's Top 50 designation — its 19th consecutive year.
</t>
    </r>
  </si>
  <si>
    <t xml:space="preserve">https://www.insurancebusinessmag.com/us/news/catastrophe/two-insurers-report-spike-in-march-storm-losses-569026.aspx
https://newsroom.amfam.com/american-family-completes-main-street-america-insurance-bonds-renewal-rights-transaction/
https://www.insurancejournal.com/company/amfam/ (FY2025 underwriting profit)
https://newsroom.amfam.com/ (Ward's Top 50; Summerfest partnership extension)</t>
  </si>
  <si>
    <t xml:space="preserve">Troy Van Beek</t>
  </si>
  <si>
    <t xml:space="preserve">Gavin Roberts</t>
  </si>
  <si>
    <t xml:space="preserve">Lincoln Financial Insurance Agency Incorporated</t>
  </si>
  <si>
    <t xml:space="preserve">Radnor, Pennsylvania, USA</t>
  </si>
  <si>
    <t xml:space="preserve">10000+</t>
  </si>
  <si>
    <t xml:space="preserve">Ellen G. Cooper</t>
  </si>
  <si>
    <t xml:space="preserve">1. Full scope of services restriction
2. Business Relationship restriction
3. GCSP Approval
4. Audit Committee preapproval and/or IESBA Pre-concurrence required for services
5. Consultation Required
6. Firm Loan </t>
  </si>
  <si>
    <t xml:space="preserve">Mar' 26 - Launch of two new fixed indexed annuities (FIAs) — Lincoln FlexAdvantage® Income and Lincoln OptiBlend® Income — further expanding the company’s suite of retirement income solutions.
Mar' 26 - Lincoln Financial appointed Gotham Majumdar to Senior Vice President, Data and AI Engineering. In this newly created role, Gotham reports to Neel Adhya, EVP, Chief AI, Data and Analytics Officer (CAIDAO) who joined Lincoln earlier this year.
Jun' 26 - Lincoln Financial announced the promotion of three senior leaders to its Senior Management Committee (SMC): Darrel Tedrow as Executive Vice President, President of Life Insurance and Retail Shared Services; Curtis Chesney as Executive Vice President, President of Annuities; and Paul Spurr as Executive Vice President, Chief Risk Officer and Chief Actuary.</t>
  </si>
  <si>
    <t xml:space="preserve">https://markets.financialcontent.com/wral/article/bizwire-2026-3-16-lincoln-financial-unveils-new-fixed-indexed-annuity-income-solutions-with-category-first-legacy-planning
https://www.lincolnfinancial.com/public/aboutus/newsroom/pressreleases/Lincoln-appoints-Gotham-Majumdar
https://www.lincolnfinancial.com/public/aboutus/newsroom/pressreleases/executive-leadership-transitions</t>
  </si>
  <si>
    <t xml:space="preserve">Christopher Neczypor</t>
  </si>
  <si>
    <t xml:space="preserve">Paul Spurr</t>
  </si>
  <si>
    <t xml:space="preserve">Old Republic International Corporation</t>
  </si>
  <si>
    <t xml:space="preserve">307 North Michigan Avenue, Chicago, Illinois 60601, USA</t>
  </si>
  <si>
    <t xml:space="preserve">Craig R. Smiddy</t>
  </si>
  <si>
    <t xml:space="preserve">Mar' 26 - Old Republic International announced a leadership transition at BITCO Insurance Companies, effective April 1, 2026. Meyer Lehman has been named President and Chief Executive Officer, and Vince Lamb, BITCO's current Chief Executive Officer, will become Executive Chairman.
Apr' 26 - Old Republic International Corporation announced that it is forming a new operating company, Old Republic Property, Inc., to underwrite specialized property insurance products through a national retail broker distribution network. 
Apr' 26 - Old Republic International Corporation announced the launch of Lodestar Claims &amp; Risk Services, Inc. ("Lodestar") as an independent brand and standalone operating company within Old Republic, marking the first time in more than 30 years that the organization's third-party administrator (TPA) business will operate with its own distinct identity in the marketplace.
Apr' 26 - Old Republic International Corporation announced a brand refresh that highlights the specialty expertise and collective strength of its operating companies. The refresh introduces a modernized corporate logo and an expanded visual system that enhances consistency and clarity with customers and distribution partners.</t>
  </si>
  <si>
    <t xml:space="preserve">https://ir.oldrepublic.com/news/news-details/2026/OLD-REPUBLIC-ANNOUNCES-SENIOR-MANAGEMENT-CHANGES-AT-BITCO-INSURANCE-COMPANIES/default.aspx
https://ir.oldrepublic.com/news/news-details/2026/OLD-REPUBLIC-FORMS-NEW-PROPERTY-INSURANCE-COMPANY/default.aspx
https://ir.oldrepublic.com/news/news-details/2026/LODESTAR-LAUNCHES-AS-INDEPENDENT-BRAND-FOR-OLD-REPUBLICS-THIRD-PARTY-ADMINISTRATOR-BUSINESS/default.aspx
https://ir.oldrepublic.com/news/news-details/2026/OLD-REPUBLIC-REFRESHES-BRAND-TO-HIGHLIGHT-SPECIALTY-EXPERTISE-AND-COLLECTIVE-STRENGTH/default.aspx</t>
  </si>
  <si>
    <t xml:space="preserve">Frank Sodaro</t>
  </si>
  <si>
    <t xml:space="preserve">First American Financial Corporation</t>
  </si>
  <si>
    <t xml:space="preserve">1 First American Way, Santa Ana, California 92707, USA</t>
  </si>
  <si>
    <t xml:space="preserve">Mark E. Seaton</t>
  </si>
  <si>
    <t xml:space="preserve">Vandana Sule</t>
  </si>
  <si>
    <t xml:space="preserve">Apr' 26 - The company made progress with its internal AI platform, which allowed product teams to accelerate development cycles and improve quality control. AI-driven tools in the Agency division expanded quality control capacity sixfold, while new examination capabilities reduced order processing time by 30 minutes per file.
Apr' 26 - Endpoint, an automated title and escrow platform, achieved 30% automation rates in pilot markets, with plans to expand to 80-85% of branch locations by next year. SEQUOIA, the AI-powered title decisioning platform, automated 35% of refinance transactions and 13% of purchase transactions in pilot counties, with a national rollout targeted for 2027.
Apr' 26 - First American Data &amp; Analytics, a leading provider of property-centric information, risk management, and valuation solutions, announced that its FraudGuard® solution has been integrated into Forta Solutions' Agility™, an adaptable modern warehouse lending platform built by and for warehouse lenders.
</t>
  </si>
  <si>
    <t xml:space="preserve">https://finance.yahoo.com/markets/stocks/articles/faf-q1-deep-dive-commercial-081323035.html
https://finance.yahoo.com/markets/stocks/articles/faf-q1-deep-dive-commercial-081323035.html
https://marketchameleon.com/Overview/FAF/PressReleases/</t>
  </si>
  <si>
    <t xml:space="preserve">Entity Name - First American (India) Private Limited (FAI)
Type - Global Capability Center (GCC)
Locations - Bengaluru, Hyderabad, Salem
Functions - Software Development, IT Infrastructure, Data &amp; Analytics, Back-office Operations, Mortgage &amp; Title Processing, Knowledge Services
Company website - https://www.firstam.co.in/</t>
  </si>
  <si>
    <t xml:space="preserve">Matt F. Wajner</t>
  </si>
  <si>
    <t xml:space="preserve">Ramon Machado,</t>
  </si>
  <si>
    <t xml:space="preserve">W.R. Berkley Corporation</t>
  </si>
  <si>
    <t xml:space="preserve">475 Steamboat Road, Greenwich, Connecticut 06830, USA</t>
  </si>
  <si>
    <t xml:space="preserve">8600+</t>
  </si>
  <si>
    <t xml:space="preserve">W. Robert Berkley, Jr.</t>
  </si>
  <si>
    <t xml:space="preserve">Jeffrey Palmadesso</t>
  </si>
  <si>
    <r>
      <rPr>
        <sz val="10"/>
        <color theme="1"/>
        <rFont val="Inter"/>
        <family val="0"/>
        <charset val="1"/>
      </rPr>
      <t xml:space="preserve">Jan' 26 - Significant investments were made in data, AI, and operational technology to drive efficiency and support future growth. Management believes these investments will yield benefits over multiple years, allowing faster processing and better prioritization of business opportunities.
Jan' 26 - The company prioritized risk selection and pricing, particularly in lines like auto liability and professional, where competitive pressures remained high. CEO Rob Berkley explained that some segments, such as auto liability, saw deliberate reductions in exposure due to unattractive pricing environments.
</t>
    </r>
    <r>
      <rPr>
        <b val="true"/>
        <sz val="10"/>
        <color theme="1"/>
        <rFont val="EYInterstate"/>
        <family val="0"/>
        <charset val="1"/>
      </rPr>
      <t xml:space="preserve">3. Dec' 25 - Feb' 26 - MITSUI SUMITOMO STAKE-BUILD (MATERIAL OWNERSHIP / GOVERNANCE EVENT): Mitsui Sumitomo Insurance (MSI, part of Japan's MS&amp;AD group) crossed 12.5% beneficial ownership of WRB in December 2025 and had reached 14.9% (56,458,656 shares) by early February 2026, against a target of 15% agreed with the Berkley family in March 2025. Between 15 Jan and 6 Feb 2026 alone MSI bought 3,732,152 shares for ~$252.8m under a Rule 10b5-1 plan. Crossing 12.5% TRIGGERED A BOARD NOMINATION RIGHT: the Berkley family agreed to recommend nominating an MSI director designee. MSI's shares are voted per Berkley family recommendations except in limited circumstances. No shares were purchased from the company or the family — no dilution.
4. Jan' 26 - Q4/FY2025 results: record year — $1.2bn underwriting income, $1.4bn net investment income, book value per share up 26.7%. CEO Rob Berkley said the business was 'firing on all cylinders' and that the company is 'generating capital more quickly than we can utilize it'. Share repurchase authorisation increased (8 Jan 2026). Management guided the 2026 expense ratio to remain 'comfortably below 30%' while investing significantly in AI and technology.</t>
    </r>
  </si>
  <si>
    <t xml:space="preserve">https://markets.financialcontent.com/dowtheoryletters/article/stockstory-2026-1-27-wrb-q4-deep-dive-management-focuses-on-technology-distribution-and-underwriting-discipline
https://markets.financialcontent.com/dowtheoryletters/article/stockstory-2026-1-27-wrb-q4-deep-dive-management-focuses-on-technology-distribution-and-underwriting-discipline
https://www.stocktitan.net/sec-filings/WRB/schedule-13d-a-berkley-w-r-corp-amended-major-shareholder-report-4164e282c0e1.html (MSI 13D/A — 14.9%)
https://www.insurancebusinessmag.com/us/news/breaking-news/mitsui-sumitomo-takes-12-5-stake-in-w-r--berkley-559207.aspx
https://fintool.com/news/mitsui-sumitomo-wrb-69m-stake-buildup (Q4 2025 results; expense ratio guidance)</t>
  </si>
  <si>
    <t xml:space="preserve">Entity Name - Berkley Insurance Company, IFSC Branch
Type - IFSC Branch
Locations - GIFT City, Gujarat, India
Functions - Specialty insurance products and Berkley Insurance Asia expansion
Company website - https://berkleyasia.com/about/</t>
  </si>
  <si>
    <t xml:space="preserve">Richard M. Baio</t>
  </si>
  <si>
    <t xml:space="preserve">Thrivent Financial for Lutherans</t>
  </si>
  <si>
    <t xml:space="preserve">Minneapolis, Minnesota, USA and Appleton, Wisconsin, USA</t>
  </si>
  <si>
    <t xml:space="preserve">4500+</t>
  </si>
  <si>
    <t xml:space="preserve">Teresa (Terry) J. Rasmussen</t>
  </si>
  <si>
    <t xml:space="preserve">Ted Epps</t>
  </si>
  <si>
    <t xml:space="preserve">1. GCSP Approval
2. Business Relationship restriction
3. Partial scope of services restriciton
4. Firm Loan </t>
  </si>
  <si>
    <t xml:space="preserve">Jan' 26 - Thrivent announced it will deliver a $590 million total payout of dividends and nonguaranteed policy enhancements to clients with membership in 2026, setting an all-time high for the organization and marking a 4% increase over last year.
Feb' 26 - Thrivent, a Fortune 500 financial services company announced the launch of three new retail Separately Managed Accounts: Thrivent Large Cap Growth SMA, Thrivent Large Cap Value SMA, and Thrivent Small-Mid Cap Equity SMA.
Mar' 26 -  Thrivent, a Fortune 500 financial services company announced plans to hire 600 new financial advisors in 2026. This follows a major hiring push in 2025 that saw Thrivent also set—and exceed—its goal of hiring 600 new advisors. 
May' 26 - Thrivent, a Fortune 500 financial services company announced that S&amp;P Global Ratings has maintained the organization’s AA+ (Very Strong) credit rating with a stable outlook.
Jun' 26 - Thrivent, a Fortune 500 financial services company, announced the launch of two international equity exchange‑traded funds (ETFs), expanding its presence in the growing ETF marketplace and providing investors with access to global equity opportunities.
Jul' 26 - The Green Bay Packers and Thrivent announced a new multi-year agreement for the Fortune 500 financial services company to serve as the Official Financial Services Partner of the Green Bay Packers. The partnership will bring Thrivent to fans at Lambeau Field and nationwide through a mix of in-person and digital experiences and support local nonprofit organizations through a new community impact program named Game Changing Players.</t>
  </si>
  <si>
    <t xml:space="preserve">https://newsroom.thrivent.com/Q-A-on-Thrivents-2026-Annual-Total-Payout
https://newsroom.thrivent.com/2026-02-05-Thrivent-Launches-Three-New-Retail-Separately-Managed-Accounts-SMAs
https://www.prnewswire.com/news-releases/thrivent-continues-major-growth-push-with-plans-to-add-600-more-financial-advisors-in-2026-302708534.html
https://newsroom.thrivent.com/2026-05-06-Thrivent-Maintains-AA-Credit-Rating-with-Stable-Outlook-From-S-P-Global
https://newsroom.thrivent.com/2026-06-15-Thrivent-Launches-Two-International-Equity-ETFs,-Expanding-Its-ETF-Product-Suite
https://newsroom.thrivent.com/2026-07-13-Packers,-Thrivent-Announce-Multi-Year-Partnership-Centered-on-Fan-Engagement-and-Community-Impact</t>
  </si>
  <si>
    <t xml:space="preserve">David S. Royal</t>
  </si>
  <si>
    <t xml:space="preserve">Equitable Holdings, Inc.</t>
  </si>
  <si>
    <t xml:space="preserve">8000-9000+</t>
  </si>
  <si>
    <t xml:space="preserve">Mark Pearson</t>
  </si>
  <si>
    <t xml:space="preserve">Chanell Brown	</t>
  </si>
  <si>
    <t xml:space="preserve">1. GCSP Approval
2. Business Relationship restriction
3. Partial scope of services restriciton
4. Firm Loan 
5. Audit Committee preapproval and/or IESBA Pre-concurrence required for services</t>
  </si>
  <si>
    <r>
      <rPr>
        <sz val="10"/>
        <color theme="1"/>
        <rFont val="Inter"/>
        <family val="0"/>
        <charset val="1"/>
      </rPr>
      <t xml:space="preserve">Feb' 26 - Equitable Holdings announced that its Board of Directors has approved an additional $1 billion share repurchase authorization.
Mar' 26 - Corebridge Financial, Inc. and Equitable Holdings, Inc. announced that they have entered into a definitive agreement to combine in an all-stock merger, valuing the combined company at approximately $22 billion, based on the closing stock prices of each company as of March 25, 2026. The transaction will create a leading retirement, life, wealth and asset management company with formidable distribution capabilities, enhanced scale and a diversified portfolio of businesses with well-established global brands.
Apr' 26 - Equitable announced the introduction of the Equitable Retirement AccessSM ERISA 403(b) pooled employer plan (PEP), a new offering designed to help nonprofit organizations offer a scalable, cost‑efficient way to provide their employees with retirement plan benefits.
</t>
    </r>
    <r>
      <rPr>
        <b val="true"/>
        <sz val="10"/>
        <color theme="1"/>
        <rFont val="EYInterstate"/>
        <family val="0"/>
        <charset val="1"/>
      </rPr>
      <t xml:space="preserve">4. Mar-Jun' 26 - COREBRIDGE MERGER - Further Update
• TIMING: expected to close by YEAR-END 2026, subject to shareholder and regulatory approvals. A joint proxy statement/prospectus (Form DEFM14A) was filed with a 1 June 2026 record date, and BOTH companies have DEFERRED their 2026 annual shareholder meetings to hold special meetings on the merger instead.
STATUS AS AT 14 JUL 2026: shareholder votes and regulatory approvals still outstanding — deal NOT yet closed.</t>
    </r>
  </si>
  <si>
    <t xml:space="preserve">https://ir.equitableholdings.com/news-and-events/investor-releases/news-details/2026/Equitable-Holdings-Announces-Additional-1-Billion-Share-Repurchase-Authorization-and-Declares-Common-and-Preferred-Stock-Dividends/default.aspx
https://investors.corebridgefinancial.com/news/news-details/2026/Corebridge-Financial-and-Equitable-Holdings-Announce-Transformational-Merger/default.aspx
https://www.marketscreener.com/news/equitable-launches-403-b-pooled-employer-plan-to-support-nonprofits-ce7e50dbd080fe21
https://www.sec.gov/Archives/edgar/data/0001889539/000119312526279656/d115497ddefm14a.htm (joint proxy statement/prospectus)
https://www.sec.gov/Archives/edgar/data/1889539/000114036126011261/ef20068723_425.htm (structure, leadership, Houston HQ, timing)
https://www.sec.gov/Archives/edgar/data/0001889539/000188953926000116/crbg-20260331.htm (Corebridge Q1 2026 10-Q — exchange ratios)</t>
  </si>
  <si>
    <t xml:space="preserve">Equitable Holdings has an indirect operational presence in India through its subsidiary AllianceBernstein (AB).
Entity Name - AllianceBernstein India (AllianceBernstein L.P. India Operations)
Type - Global Capability Center (GCC)
Locations - Pune, Maharashtra (Primary India Office)
Functions - Investment Research, Technology &amp; Engineering, Digital Innovation, Client Support, Sales Support, Finance Operations, Corporate Functions, Asset Management Support Services.
Company website - https://www.alliancebernstein.com/corporate/en/home.html</t>
  </si>
  <si>
    <t xml:space="preserve">Robin M. Raju</t>
  </si>
  <si>
    <t xml:space="preserve">Julia Zhang</t>
  </si>
  <si>
    <t xml:space="preserve">Milwaukee, Wisconsin, USA</t>
  </si>
  <si>
    <t xml:space="preserve">8300+</t>
  </si>
  <si>
    <t xml:space="preserve">Timothy J. (Tim) Gerend</t>
  </si>
  <si>
    <t xml:space="preserve">Jim Loggins</t>
  </si>
  <si>
    <t xml:space="preserve">Jan' 25 - Northwestern Mutual is announced its largest expected dividend payout to policyowners in company history: $9.2 billion in 2026. The record sum is both unprecedented and unmatched: expected to eclipse its 2025 award by nearly $1 billion and remain the industry's largest by a significant margin. In just the past three years, Northwestern Mutual's annual dividend has grown by nearly $2.4 billion – from $6.8 billion in 2023 to $9.2 billion for 2026 – the largest increase in its history.
Apr' 26 - Northwestern Mutual is taking another significant step to drive innovation in the financial services industry, announcing a new $150 million investment to support promising startups across the fintech and insurtech landscape.
Apr' 26 - Northwestern Mutual announced plans to invest more than $500 million in its North Office Building located at 818 East Mason Street in downtown Milwaukee to expand its world-class workplace and employee experience.</t>
  </si>
  <si>
    <t xml:space="preserve">https://news.northwesternmutual.com/2025-10-28-Northwestern-Mutual-Announces-Historic-9-2-Billion-Dividend-Payout-in-2026-A-Powerful-Demonstration-of-Companys-Enduring-Commitment-to-Policyowners
https://www.prnewswire.com/news-releases/northwestern-mutual-announces-150-million-venture-capital-commitment-to-accelerate-fintech-innovation-302754777.html
https://news.northwesternmutual.com/investing-in-milwaukee</t>
  </si>
  <si>
    <t xml:space="preserve">Todd M. Jones</t>
  </si>
  <si>
    <t xml:space="preserve">Mutual of Omaha Insurance Company</t>
  </si>
  <si>
    <t xml:space="preserve">Omaha, Nebraska, USA</t>
  </si>
  <si>
    <t xml:space="preserve">4000-7000+</t>
  </si>
  <si>
    <t xml:space="preserve">James T. Blackledge</t>
  </si>
  <si>
    <t xml:space="preserve">Jojo Dutta Roy</t>
  </si>
  <si>
    <t xml:space="preserve">Jan' 26 - Mutual of Omaha publicly discussed its AI strategy through its Technology organization. The company disclosed that AI teams are exploring: Generative AI, Workflow automation, Business-line support, Customer-experience improvement, Process innovation, 
AI Areas Being Explored: Operational efficiency, Claims and service enhancements, Workflow optimization, Customer experience transformation 
Feb' 26 - Mutual of Omaha continues to expand its application programming interface (API) integration offerings for benefits administration. It’s part of the company’s ongoing commitment to be the easiest group insurance carrier to do business with.
Apr' 26 - Mutual of Omaha has completed its adoption of a mutual holding company (MHC) structure following final approval from the Nebraska Department of Insurance, with Mutual of Omaha Holding Company now serving as the ultimate parent of the company's affiliates and subsidiaries.
Apr' 26 - Mutual of Omaha is increasing its investment in the retail annuity and long-term care markets as demand grows for products that help people manage retirement income and the cost of care. Through its newly formed Health and Annuity Solutions operation, Mutual of Omaha is emphasizing product innovation, pricing discipline, distribution support and operational capabilities designed to help advisors better serve clients navigating increasingly complex retirement planning decisions.</t>
  </si>
  <si>
    <t xml:space="preserve">https://www.mutualofomaha.com/careers/life-at-mutual/careers-blog/video/exploring-ai-at-mutual-of-omaha
https://www.businesswire.com/news/home/20260224556643/en/Mutual-of-Omaha-Continues-Expansion-of-API-Offerings-to-Streamline-Benefits-Administration-for-Brokers-and-Employers
https://ebs.publicnow.com/view/5292601E48DFC70E085A0BBD9D8B8899516B5420
https://www.publicnow.com/view/F3B8B1FB4C5682B72AE217D1851169E3EADFA88E</t>
  </si>
  <si>
    <t xml:space="preserve">Brody Merrill</t>
  </si>
  <si>
    <t xml:space="preserve">Tracy DeWald</t>
  </si>
  <si>
    <t xml:space="preserve">Cincinnati Financial Corporation</t>
  </si>
  <si>
    <t xml:space="preserve">6200 South Gilmore Road, Fairfield, Ohio 45014, USA</t>
  </si>
  <si>
    <t xml:space="preserve">5600+</t>
  </si>
  <si>
    <t xml:space="preserve">Stephen M. Spray</t>
  </si>
  <si>
    <t xml:space="preserve">Steve Kane</t>
  </si>
  <si>
    <t xml:space="preserve">Apr' 26 - First-quarter 2026 net income of $274 million, or $1.75 per share, compared with a net loss of $90 million, or $0.57 per share, in the first quarter of 2025, after recognizing an $82 million first-quarter 2026 after-tax decrease in the fair value of equity securities still held.
Jun' 26 - Cincinnati Financial Corporation's board of directors added a 15th seat, appointing Lisa M. Franchetti to the board and as a member of its audit committee, effective immediately.
Jun' 26 - John S. Kellington, chief information officer and executive vice president for its lead subsidiary, The Cincinnati Insurance Company, will retire August 7.</t>
  </si>
  <si>
    <t xml:space="preserve">https://investors.cinfin.com/2026-04-27-Cincinnati-Financial-Reports-First-Quarter-2026-Results
https://investors.cinfin.com/2026-06-19-Cincinnati-Financial-Corporation-Expands-Board-With-Appointment-of-Independent-Director
https://investors.cinfin.com/2026-06-16-The-Cincinnati-Insurance-Company-Chief-Information-Officer-Announces-Retirement</t>
  </si>
  <si>
    <t xml:space="preserve">Michael J. Sewell, CPA</t>
  </si>
  <si>
    <t xml:space="preserve">Teresa C. Cracas</t>
  </si>
  <si>
    <t xml:space="preserve">Jackson Financial Inc.</t>
  </si>
  <si>
    <t xml:space="preserve">Lansing, Michigan, USA</t>
  </si>
  <si>
    <t xml:space="preserve">3000 - 4000+</t>
  </si>
  <si>
    <t xml:space="preserve">Laura Prieskorn</t>
  </si>
  <si>
    <t xml:space="preserve">Stuart Doyleii</t>
  </si>
  <si>
    <t xml:space="preserve">Feb' 26 - Jackson Financial Inc. announced the closing of the previously announced long-term strategic partnership with TPG Inc. The partnership includes a $500 million common equity investment from TPG to help accelerate Jackson’s growth in its spread-based business and provide flexibility for future innovative insurance solutions.
Jun' 26 - Jackson National Life Insurance Company launched Jackson Market Link Pro® 4 (JMLP4) and Jackson Market Link Pro Advisory® 4 (JMLPA4), further strengthening Jackson’s suite of registered index-linked annuities (RILAs). JMLP4 (commission-based) and JMLPA4 (fee-based) provide clients the potential to grow assets before and during retirement while offering different degrees of protection, including full principal protection, against unexpected market events.</t>
  </si>
  <si>
    <t xml:space="preserve">https://investors.jackson.com/news/news-details/2026/Jackson-Financial-Inc--and-TPG-Inc--Announce-Launch-of-Long-Term-Strategic-Partnership/default.aspx
https://investors.jackson.com/news/news-details/2026/Jackson-Introduces-Dow-Jones-Industrial-Average-Index-Option-Flexible-Premiums-Six-Year-Rate-Guarantee-in-Latest-Registered-Index-Linked-Annuity-Launch/default.aspx</t>
  </si>
  <si>
    <t xml:space="preserve">Steven A. Kandarian</t>
  </si>
  <si>
    <t xml:space="preserve">Don W. Cummings</t>
  </si>
  <si>
    <t xml:space="preserve">Steve Binioris</t>
  </si>
  <si>
    <t xml:space="preserve">TruStage Insurance Agency, LLC</t>
  </si>
  <si>
    <t xml:space="preserve">Madison, Wisconsin, USA</t>
  </si>
  <si>
    <t xml:space="preserve">4200+</t>
  </si>
  <si>
    <t xml:space="preserve">Terrance Williams</t>
  </si>
  <si>
    <t xml:space="preserve">1. GCSP Approval
2. Consultation Required</t>
  </si>
  <si>
    <t xml:space="preserve">Mar' 26 - Wipro Limited, a leading AI-powered technology services and consulting company, announced that it has entered into a multi-year contract for business and technology modernization for TruStage's retirement services business. TruStage is an insurance and financial services provider based in Madison, Wisconsin.
Apr' 26 - TruStage, announced it is launching a new Collateral Protection Insurance (CPI)-Auto Tracked product. The product, which is provided in partnership with van Wagenen, a financial services provider, helps protect vehicles financed through credit unions by monitoring physical damage insurance — both comprehensive and collision coverage — on a credit union's portfolio. 
May' 26 - TruStage, announced that Happy Money, a leading consumer finance company dedicated to empowering individuals through responsible lending, has become the first lender to offer the newly launched Payment Guard Advantage Insurance. During the origination process, Happy Money loan customers may choose to purchase optional insurance coverage to protect their finances in the event of qualifying life disruptions, such as involuntary job loss or disability.
Jun' 26 - Polly, the insurance technology platform built for the automotive and financial services industries, announced an expansion of its existing partnership with TruStage®, adding TruStage Payment Guard Advantage Insurance to its suite of consumer protection offerings. The product joins Polly's existing lineup of auto, home, and life insurance products.</t>
  </si>
  <si>
    <t xml:space="preserve">https://www.publicnow.com/view/BAD5E3E6229A69F9D68A4DF36BF2B3B8EB08F9F9
https://www.trustage.com/newsroom/2026-press-releases/collateral-protection-insurance-auto-tracked-product
https://www.trustage.com/newsroom/2026-press-releases/happy-money-offering-payment-guard-advantage
https://www.trustage.com/newsroom/2026-press-releases/polly-expands-trustage-partnership</t>
  </si>
  <si>
    <t xml:space="preserve">Jon Winderman</t>
  </si>
  <si>
    <t xml:space="preserve">Newport Beach, California, USA (Pacific Mutual Holding Company headquarters)</t>
  </si>
  <si>
    <t xml:space="preserve">Darryl Button</t>
  </si>
  <si>
    <t xml:space="preserve">Steve Verhagen</t>
  </si>
  <si>
    <t xml:space="preserve">Jan' 26 - Pacific Life announced a new Evidence of Insurability (“EOI”) API integration with Selerix, a leading provider of cloud-based benefits administration solutions. This enhanced connection enables employees to complete EOI applications directly within the enrollment process and receive near real-time decisions, with automatic updates via the Selerix portal – delivering a faster, more streamlined experience for all stakeholders.
Mar' 26 - Pacific Life announced the results of its 2026 Underwriting Outlook Survey, capturing insights from more than 100 of the life insurance industry’s leading underwriting and insurance executives. When asked about their firm’s approach to AI in underwriting, nearly 45% of respondents said AI is either actively integrated into day-to-day workflows (20%) or regularly used as a decision-support tool (24%). Even with this integration, the largest segment (38%) reported that AI initiatives remain in the pilot phase.
Mar' 26 - Pacific Life Re, a leader in the global life reinsurance industry, today announced the completion of a longevity reinsurance transaction with Achmea Pension &amp; Life Insurance. 
Jun' 26 - Pacific Life Re has announced its third asset-intensive block reinsurance deal with Tokio Marine &amp; Nichido Life Insurance Co., Ltd. (Anshin Life). </t>
  </si>
  <si>
    <t xml:space="preserve">https://secure.businesswire.com/news/home/20260128893102/en/Pacific-Life-and-Selerix-Launch-Digital-Evidence-of-Insurability-Integration
https://www.pacificlife.com/press-releases/stories/pacific-life-polls-industry-leaders-in-2026-underwriting-outlook-survey.html
https://www.pacificlifere.com/news/Pacific-Life-Re-Awarded-4bn-Longevity-Reinsurance-Transaction-with-Achmea-Pension-and-Life-Insurance.html
https://www.pacificlifere.com/news/Pacific-Life-Re-Announces-Third-Block-Reinsurance-Deal-with-Tokio-Marine-and-Nichido-Life.html</t>
  </si>
  <si>
    <t xml:space="preserve">Vibhu Sharma</t>
  </si>
  <si>
    <t xml:space="preserve">Alessandro Papa</t>
  </si>
  <si>
    <t xml:space="preserve">List of Indian Insurance companies that have presence / operations in the UK</t>
  </si>
  <si>
    <t xml:space="preserve">Insurance Revenue (In Crs)</t>
  </si>
  <si>
    <t xml:space="preserve">Revenue Reference Link</t>
  </si>
  <si>
    <t xml:space="preserve">Revenue Page</t>
  </si>
  <si>
    <t xml:space="preserve">CFO</t>
  </si>
  <si>
    <t xml:space="preserve">Notes</t>
  </si>
  <si>
    <t xml:space="preserve">Life Insurance Corporation of India (LIC)
</t>
  </si>
  <si>
    <t xml:space="preserve">Life Insurance</t>
  </si>
  <si>
    <t xml:space="preserve">R Doraiswamy</t>
  </si>
  <si>
    <t xml:space="preserve">Mar' 26 - Throughout the past year, LIC UK has continued to operate in “closed‑to‑new‑business” mode.The UK branch does not accept new policy applications, focusing only on: Servicing existing policies, Premium collection, Claims and maturities</t>
  </si>
  <si>
    <t xml:space="preserve">https://www.liciuk.com
https://www.thehindu.com/business/lic-new-india-assurance-gic-continue-to-remain-domestic-systemically-important-insurers-irdai/article70816432.ece</t>
  </si>
  <si>
    <t xml:space="preserve">https://eyindia.sharepoint.com/:b:/r/sites/InsuranceResearch/Shared%20Documents/Insurance%20Research/Top%2020%20UK/Indian%20Insurers%20operating%20in%20UK/LIC_AR%202024-25.pdf?csf=1&amp;web=1&amp;e=Jcp2ak</t>
  </si>
  <si>
    <t xml:space="preserve">AR pg - 4</t>
  </si>
  <si>
    <t xml:space="preserve">Pradeep Kelkar</t>
  </si>
  <si>
    <t xml:space="preserve">Sunil Agrawal</t>
  </si>
  <si>
    <t xml:space="preserve">Shatmanyu Shrivastava</t>
  </si>
  <si>
    <t xml:space="preserve">- Foreign Branch (UK) / In Run-off</t>
  </si>
  <si>
    <t xml:space="preserve">The New India Assurance Co. Ltd
</t>
  </si>
  <si>
    <t xml:space="preserve">General (Non‑Life) Insurance</t>
  </si>
  <si>
    <t xml:space="preserve">Girija Subramanian (CMD)
Hemendra Swaroop,
Chief Executive - UK</t>
  </si>
  <si>
    <t xml:space="preserve">Gaurav Taneja</t>
  </si>
  <si>
    <t xml:space="preserve"> - The New India Assurance UK continues to publish its UK Solvency and Financial Condition Reports (SFCR), with the most recent covering FY 2024–25.
 - During the financial year ending 31st March 2025, NIA - UK completed gross written premiums of £150.5m (2023/24: £161.5m) - consisting of £116.0m (2023/24: £122.2m) from combined direct operations and £34.5m (2023/24: £39.3m). This represents a 6.7% reduction year-on-year owing to general market softening, compared to marginal growth of 0.7% in the previous year.
 - The Solvency Capital Ratio increased to 131.4% for 2024/25 from 129.1% in 2023/24, driven by a decrease in the frequency and severity of natural catastrophe claims, as well as underwriting improvements across the portfolio. </t>
  </si>
  <si>
    <t xml:space="preserve">https://www.newindia.co.uk/solvency-financial-condition-reports/</t>
  </si>
  <si>
    <t xml:space="preserve">https://eyindia.sharepoint.com/:b:/r/sites/InsuranceResearch/Shared%20Documents/Insurance%20Research/Top%2020%20UK/Indian%20Insurers%20operating%20in%20UK/New%20India%20Final%20Annual%20Report24-25.pdf?csf=1&amp;web=1&amp;e=xFzKpg</t>
  </si>
  <si>
    <t xml:space="preserve">AR pg - 2</t>
  </si>
  <si>
    <t xml:space="preserve">Santosh Chavan</t>
  </si>
  <si>
    <t xml:space="preserve">Vimal Kumar Jain</t>
  </si>
  <si>
    <t xml:space="preserve"> K. V. Raman</t>
  </si>
  <si>
    <t xml:space="preserve"> - Foreign Branch (London and Ipswich)
Direct business written from Ipswich consists of direct operations of UK provincial business combined risks  (motor, employer’s liability, public liability and property for homeowners and small-medium enterprises).   
Reinsurance business written from London is both facultative property and property treaty business</t>
  </si>
  <si>
    <t xml:space="preserve">General Insurance Corporation of India (GIC Re)
  </t>
  </si>
  <si>
    <t xml:space="preserve">Reinsurance (Non‑Life)</t>
  </si>
  <si>
    <t xml:space="preserve">Ashwini Kumar
GIC of India – UK, London Branch
Dyanaraj Balkrishna Gawade, CEO</t>
  </si>
  <si>
    <t xml:space="preserve">1. Partial Scope of service restriction</t>
  </si>
  <si>
    <t xml:space="preserve"> - Feb' 25 - The Board of Directors of the General Insurance Corporation of India (GIC Re), the Indian public sector reinsurer, has approved the incorporation of a United Kingdom-domiciled, wholly owned subsidiary, GIC Re, India Service Company, to engage in “insurance-related services and activities.”
 - Lloyd’s approves transfer of GIC Re’s Syndicate 1947 management to Asta.
Asta, the third-party managing agency at Lloyd’s, has confirmed that Lloyd’s has approved the transfer of the managing agency agreement for GIC Re’s Syndicate 1947, effective 1 July 2025, with the agreement covering both open and prior underwriting years.</t>
  </si>
  <si>
    <t xml:space="preserve">https://www.reinsurancene.ws/indias-gic-re-planning-to-launch-uk-based-subsidiary/
https://www.reinsurancene.ws/lloyds-approves-transfer-of-gic-res-syndicate-1947-management-to-asta/
https://www.gicre.in/en/business-en/overseas-offices
https://assets.lloyds.com/media/fc47484e-d884-4326-b7d8-32d88f59e7d4/1947%20GIC%20Syndicate%20-%201947%20-%20Q4%202024%20Syndicate%20Accounts%20Submission%20%28Mar%206,%202025%29-ixbrl-r1.html</t>
  </si>
  <si>
    <t xml:space="preserve">https://eyindia.sharepoint.com/:b:/r/sites/InsuranceResearch/Shared%20Documents/Insurance%20Research/Top%2020%20UK/Indian%20Insurers%20operating%20in%20UK/GIC_Annual_Report_2024-25.pdf?csf=1&amp;web=1&amp;e=ikOStm</t>
  </si>
  <si>
    <t xml:space="preserve">AR pg - 19</t>
  </si>
  <si>
    <t xml:space="preserve">Sachindra Salvi</t>
  </si>
  <si>
    <t xml:space="preserve">V. Balkrishna</t>
  </si>
  <si>
    <t xml:space="preserve">Jayashri Balkrishna</t>
  </si>
  <si>
    <t xml:space="preserve">- Foreign Branch (UK) : Underwriting Reinsurance
 - Proposed Subsidiary - GIC Re, India Service Company (for insurance related services)
 - Lloyd’s Syndicate 1947 (The principal activity of the Syndicate is the underwriting of general insurance and reinsurance business at Lloyd’s. The Syndicate commenced underwriting on 1 April 2018, Capital to support the underwriting of the Syndicate is provided by GIC Re). Auditor for Syndicate 1947 is EY LLP, London</t>
  </si>
  <si>
    <t xml:space="preserve">Diligenta Limited
</t>
  </si>
  <si>
    <t xml:space="preserve">Life and Pension (BPO)</t>
  </si>
  <si>
    <t xml:space="preserve">Daniel Praveen</t>
  </si>
  <si>
    <t xml:space="preserve">1. GCSP Approval
2. Firm loan
3. Reverse Restrictions
4. Business Relationships</t>
  </si>
  <si>
    <t xml:space="preserve"> - Tata Consultancy Services (TCS) a global leader in IT services, consulting, and business solutions, has announced the expansion of its partnership with Aviva, the UK’s leading Insurance, Wealth and Retirement provider. The end-to-end policy administration services will now expand to cover more than 6.5 million policies, to be managed by TCS’ FCA-regulated subsidiary, Diligenta UK, on behalf of Aviva.
 - TCS/Diligenta completes 3.8 million-policy migration for Scottish Widows in UK’s largest insurance platform overhaul
 - In March 2026, Diligenta agreed a multi‑year, inflation‑linked pay deal (2025–2027) after around 1,000 UK staff undertook extended strike action across sites including Liverpool, Glasgow, Reading, Edinburgh, Stirling, and Peterborough</t>
  </si>
  <si>
    <t xml:space="preserve">https://www.tcs.com/who-we-are/newsroom/press-release/tcs-strengthens-partnership-aviva-uk-enhance-life-pensions-customer-experience
https://business-news-today.com/tcs-completes-3-8-million-policy-migration-for-scottish-widows-in-uks-largest-insurance-platform-overhaul/
https://www.unitetheunion.org/news-events/news/2026/march/diligenta-workers-win-pay-rise-following-successful-strike-action</t>
  </si>
  <si>
    <t xml:space="preserve">1,963,611
(Euros)</t>
  </si>
  <si>
    <t xml:space="preserve">https://eyindia.sharepoint.com/:b:/r/sites/InsuranceResearch/Shared%20Documents/Insurance%20Research/Top%2020%20UK/Indian%20Insurers%20operating%20in%20UK/Diligenta%20Annual%20Report-2024-25.pdf?csf=1&amp;web=1&amp;e=HkOQUW</t>
  </si>
  <si>
    <t xml:space="preserve">AR pg - 1666</t>
  </si>
  <si>
    <t xml:space="preserve">Neil Reynolds</t>
  </si>
  <si>
    <t xml:space="preserve">John Vanstone</t>
  </si>
  <si>
    <t xml:space="preserve"> - Insurance services provider (wholly owned subsidiary of TCS)</t>
  </si>
  <si>
    <t xml:space="preserve">HCL Insurance BPO Services Limited
</t>
  </si>
  <si>
    <t xml:space="preserve">BPO</t>
  </si>
  <si>
    <t xml:space="preserve">Jason Lewthwaite</t>
  </si>
  <si>
    <t xml:space="preserve">Udit Aggarwal</t>
  </si>
  <si>
    <t xml:space="preserve">Jun' 25 - HCL Insurance BPO Services Limited published its audited financial statements for the year ended 31 March 2025. Continued focus on outsourced insurance administration and technology‑enabled BPO services
Jun' 25 - HCLTech expands its AI partnership with US-based insurer The Standard to deliver AI-powered digital services, support IT transformation, and enhance customer experience through its AI Force platform and cloud solutions.</t>
  </si>
  <si>
    <t xml:space="preserve">https://www.hcltech.com/sites/default/files/documents/resources/pdf-landing-page/files/2025/07/07/18-HCL-Insurance-BPO-Services-Limited.pdf
https://www.financialexpress.com/business/industry-hcl-tech-expands-ai-partnership-with-us-based-insurer-the-standard-3875770/</t>
  </si>
  <si>
    <t xml:space="preserve">20090
(Pounds)</t>
  </si>
  <si>
    <t xml:space="preserve">https://eyindia.sharepoint.com/:b:/r/sites/InsuranceResearch/Shared%20Documents/Insurance%20Research/Top%2020%20UK/Indian%20Insurers%20operating%20in%20UK/HCL-Insurance-Annual%20Report%202025.pdf?csf=1&amp;web=1&amp;e=oP6dRJ</t>
  </si>
  <si>
    <t xml:space="preserve">Not publically disclosed</t>
  </si>
  <si>
    <t xml:space="preserve"> - Insurance services provider (wholly owned subsidiary of HCL)</t>
  </si>
  <si>
    <t xml:space="preserve">List of Top 20 Insurance Companies in Africa</t>
  </si>
  <si>
    <t xml:space="preserve">Life / GI</t>
  </si>
  <si>
    <t xml:space="preserve">Key Trends/News</t>
  </si>
  <si>
    <t xml:space="preserve">Turnover/Revenue Figures in M$</t>
  </si>
  <si>
    <t xml:space="preserve">Net Profit Figures in M$</t>
  </si>
  <si>
    <t xml:space="preserve">Links for Financials</t>
  </si>
  <si>
    <t xml:space="preserve">Page No for Income Statement</t>
  </si>
  <si>
    <t xml:space="preserve">Notes regarding Financial figures</t>
  </si>
  <si>
    <t xml:space="preserve">SANLAM</t>
  </si>
  <si>
    <t xml:space="preserve">South Africa</t>
  </si>
  <si>
    <t xml:space="preserve">Paul Hanratty</t>
  </si>
  <si>
    <t xml:space="preserve">1. Sanlam allianz has acquired Jubilee holdings
2. Sanlam raises its share and invests around RS 105 crore in Shriram AMC
3. Acceleration of SanlamAllianz joint venture positioning it as Africa’s largest pan-African non-bank financial services group
4. Strong FY2025 operational performance despite stake dilution in JV.
5. Sanlam Appoints Its First Group Chief AI Officer
Sanlam has made material progress integrating Assupol, with full agent migration completed, Improved productivity and retail mass‑market persistency, ongoing cost and revenue synergy extraction.The group is increasingly positioning SA as a cash‑generation and distribution hub to fund growth elsewhere in Africa</t>
  </si>
  <si>
    <t xml:space="preserve">https://thesharpdaily.com/the-sanlam-jubilee-deal/
https://www.moneycontrol.com/news/business/markets/sanlam-invests-rs-105-crore-in-shriram-amc-to-become-co-promoter-shares-surge-up-to-10-percent-13048512.html
https://timesofindia.indiatimes.com/business/india-business/sas-sanlam-to-hike-stake-in-shrirams-insurance-companies/articleshow/109075102.cms
https://businessnewsweek.in/business/sanlam-enters-indian-asset-management-market-with-strategic-investment-in-shriram-amc/
https://theinvestigatornews.com/2025/10/the-mega-merger-insurance-giants-sanlam-and-allianz-officially-unveils-launches-sanlamallianz-brand-in-uganda/
https://senspdf.jse.co.za/documents/SENS_20260305_S518047.pdf
https://www.marketscreener.com/news/sanlam-ltd-appoints-theo-mabaso-as-group-chief-ai-officer-ce7e5ed2d08df327
https://www.sanlamonline.co.za/knowledge-hub/sanlam-2025-interim-results</t>
  </si>
  <si>
    <t xml:space="preserve">https://eyindia.sharepoint.com/:b:/r/sites/InsuranceResearch/Shared%20Documents/Insurance%20Research/Top%2020%20Africa/Sanlam-AFS-2025-spreads.pdf?csf=1&amp;web=1&amp;e=QsxXiv</t>
  </si>
  <si>
    <t xml:space="preserve">Abigail Muelelwa Mukhuba</t>
  </si>
  <si>
    <t xml:space="preserve">Mlondolozi Mahlangeni</t>
  </si>
  <si>
    <t xml:space="preserve">Ashleigh Dietrich</t>
  </si>
  <si>
    <t xml:space="preserve">OLD MUTUAL LIFE INSURANCE CO./ Old Mutual Life Assurance Company (South Africa) Limited</t>
  </si>
  <si>
    <t xml:space="preserve">Jurie Strydom</t>
  </si>
  <si>
    <t xml:space="preserve">Malcolm Rapson</t>
  </si>
  <si>
    <t xml:space="preserve">1. Audit client
2. Scope of services restricted
3. Audit CommitteePre -Approval and/or IESBA Pre-concurrence Required
4. Business Relationship restriction
5. GCSP Approval required
6. Firm Loan Restrictions
7. Existing Business Relationship with the Firm
</t>
  </si>
  <si>
    <t xml:space="preserve">1. Strategic reset under new CEO Jurie Strydom focusing on African insurance and capital discipline.
2. FY2025 results show earnings recovery driven by insurance and African operations.
3. Competition Tribunal approval of annuity-related transaction with Guardrisk Life.
4. Old Mutual harnesses AI to transform customer experience in the South African mass market
Old Mutual plans to launch its bank, OM Bank, to the general public later in 2026, marking its entry into the South African banking market. The group, primarily active in insurance, aims to expand its operations and strengthen its relationship with customers through an integrated offering of financial services.</t>
  </si>
  <si>
    <t xml:space="preserve">https://www.moonstone.co.za/old-mutual-earnings-rise-as-insurance-investments-and-africa-drive-results/
https://www.oldmutual.com/investor-relations/2025-annual-results/
https://www.comptrib.co.za/info-library/press-room/merger-alert-old-mutual-life-assurance-company-south-africa-ltd-and-guardrisk-life-ltd-rights-and-obligations-pertaining-to-life-insurance-annuity-policy
https://www.oldmutual.co.za/news/old-mutual-harnesses-ai-to-transform-customer-experience-in-the-south-african-mass-market/
https://www.financialafrik.com/en/2026/03/23/old-mutual-enters-the-south-african-banking-market/</t>
  </si>
  <si>
    <t xml:space="preserve">https://eyindia.sharepoint.com/:b:/r/sites/InsuranceResearch/Shared%20Documents/Insurance%20Research/Top%2020%20Africa/OMLACSA_Financial_Statements_for_the_year_ended_31_December_2025.pdf?csf=1&amp;web=1&amp;e=WmoLoF</t>
  </si>
  <si>
    <t xml:space="preserve">Casper Troskie</t>
  </si>
  <si>
    <t xml:space="preserve">Ranen Thakurdin</t>
  </si>
  <si>
    <t xml:space="preserve">Ronel Engelbrecht</t>
  </si>
  <si>
    <t xml:space="preserve">SanlamAllianz Africa (non‑SA)</t>
  </si>
  <si>
    <t xml:space="preserve">Life &amp; General</t>
  </si>
  <si>
    <t xml:space="preserve">Pan‑Africa</t>
  </si>
  <si>
    <t xml:space="preserve">Diaw Ababacar</t>
  </si>
  <si>
    <t xml:space="preserve">1. Full‑Scale Rollout of SanlamAllianz Across 25+ African Markets
In Pan‑Africa operations, SanlamAllianz continues to successfully execute integrating the operations and realising revenue and cost synergies. On 7 April 2025, Allianz Europe BV (Allianz) concluded acquiring 8,59% in SanlamAllianz for an initial cash consideration of R4.5 billion, resulting in a final shareholding split in SanlamAllianz of 51% Sanlam and 49% Allianz.
2. Strategic Focus on High‑Growth African Markets &amp; Earnings Doubling Ambition
3. Local Market Mergers and Rebranding (Nigeria, Uganda, Namibia, East Africa)</t>
  </si>
  <si>
    <t xml:space="preserve">https://neweralive.na/sanlamallianz-expands-insurance-and-financial-services-across-africa/
https://www.sanlam.com/pdf/media-releases/2025/sanlam-strategy-16102025.pdf
https://disruptafrica.com/2025/06/19/global-continental-insurance-powerhouses-sanlam-and-allianz-merge-to-enhance-operations-in-nigeria/
https://www.sanlamonline.co.za/knowledge-hub/sanlam-2025-interim-results</t>
  </si>
  <si>
    <t xml:space="preserve">https://www.sanlam.com/downloads/integrated-report-and-annual-financial-statements/2025/Sanlam-AFS-2025-spreads.pdf</t>
  </si>
  <si>
    <t xml:space="preserve">Nelius Bezuidenhout</t>
  </si>
  <si>
    <t xml:space="preserve">Ingrid Gollo</t>
  </si>
  <si>
    <t xml:space="preserve">DISCOVERY HEALTH</t>
  </si>
  <si>
    <t xml:space="preserve">Dr Ronald Whelan</t>
  </si>
  <si>
    <t xml:space="preserve">Heather Orton</t>
  </si>
  <si>
    <t xml:space="preserve">1. Claims processing error in 2025 leading to regulatory and reputational impact.
2. Record profitability driven by AI-based health analytics and shared-value model.
3. Expansion of employer and cross-border healthcare solutions in Africa.
Jan' 2026 - Discovery Health reversed recovery demands tied to a ~R125 million billing error affecting 16,507 members, following media exposure and a Council for Medical Schemes (CMS) probe. Discovery committed to refunds and confirmed no adverse 2026 benefit impact for affected members. (Regulator probe, public uproar spare 16,507 Discovery Health members from R125m billing error)</t>
  </si>
  <si>
    <t xml:space="preserve">https://www.iol.co.za/business/2026-01-06-discovery-health-members-face-financial-shock-due-to-medical-aid-error
https://www.fanews.co.za/article/company-news-results/1/discovery/1051/discovery-delivers-strong-interim-performance-as-the-shared-value-model-accelerates-growth-and-ai-unlocks-a-new-phase-of-hyper-personalised-engagement/43464
https://www.fanews.co.za/article/company-news-results/1/discovery/1051/vitality-health-international-africa-changes-its-name-to-discovery-health-global-health-solutions/43423
https://www.dailymaverick.co.za/article/2026-01-12-regulator-probe-public-uproar-spare-16506507-discovery-health-members-from-r125m/</t>
  </si>
  <si>
    <t xml:space="preserve">https://eyindia.sharepoint.com/:b:/r/sites/InsuranceResearch/Shared%20Documents/Insurance%20Research/Top%2020%20Africa/discovery-health-afs-30-june-2025.pdf?csf=1&amp;web=1&amp;e=y3IFgO</t>
  </si>
  <si>
    <t xml:space="preserve">Joy Malete</t>
  </si>
  <si>
    <t xml:space="preserve">Senele Mbatha</t>
  </si>
  <si>
    <t xml:space="preserve">Johan Fourie</t>
  </si>
  <si>
    <t xml:space="preserve">MOMENTUM METROPOLITAN HOLDINGS</t>
  </si>
  <si>
    <t xml:space="preserve">Life and GI</t>
  </si>
  <si>
    <t xml:space="preserve">Jeanette Marais</t>
  </si>
  <si>
    <t xml:space="preserve">Christo Du Toit</t>
  </si>
  <si>
    <t xml:space="preserve">1. Audit client
2.Scope of services restricted
3. Audit CommitteePre -Approval and/or IESBA Pre-concurrence Required
4. GCSP Approval Required
5. Business Relationship restriction
6. Firm Loan Restrictions</t>
  </si>
  <si>
    <t xml:space="preserve">1. Completion of IFRS-17 transition reshaping earnings and capital metrics.
2. Improved new business volumes and underwriting performance in FY2026 Q1.
3. Governance and leadership updates supporting long-term African strategy.
The company successfully completed a massive systems migration involving three biggest businesses, namely Momentum Retail, Metropolitan and Africa. This project not only saves more than R100 million per year, but it is also a building block towards minimising risk and improving client experience.</t>
  </si>
  <si>
    <t xml:space="preserve">https://www.listcorp.com/jse/mtm/momentum-metropolitan-holdings/news/operating-update-for-the-three-months-ended-30-september-2025-3279259.html
https://www.momentumgroupltd.co.za/remote-assets/s3/clt_mmh_s3/docs/annual-res-2025/momentum-metropolitan-life-annual-financial-statements-f2025.pdf
https://citywire.com/za/news/company/momentum/j74686
https://www.metropolitan.co.za/press-releases/articles/Momentum-Group-delivers-record-earnings/</t>
  </si>
  <si>
    <t xml:space="preserve">https://eyindia.sharepoint.com/:b:/r/sites/InsuranceResearch/Shared%20Documents/Insurance%20Research/Top%2020%20Africa/momentum-metropolitan-life-annual-financial-statements-f2025.pdf?csf=1&amp;web=1&amp;e=m4gdLR</t>
  </si>
  <si>
    <t xml:space="preserve">Thando Sompeta</t>
  </si>
  <si>
    <t xml:space="preserve">Jan Lubbe</t>
  </si>
  <si>
    <t xml:space="preserve">Otsile Sehularo</t>
  </si>
  <si>
    <t xml:space="preserve">SANTAM</t>
  </si>
  <si>
    <t xml:space="preserve">Tavaziva Madzinga</t>
  </si>
  <si>
    <t xml:space="preserve">1. Record FY2025 underwriting profitability with margins above targets.
2. Launch of Santam Syndicate 1918 at Lloyd’s in January 2026.
3. Heightened focus on climate and infrastructure risk highlighted in 2025 Insurance Barometer.
Santam completed the transaction to acquire the 60% A1 ordinary shares in NMS Insurance Services South Africa Limited from Sanlam Life for R925 million, effective on 2 May 2025.
Feb'26 - Santam, South Africa’s largest short-term insurer, has been granted a licence to establish a reinsurance branch office at the Gujarat International Finance Tec-City (GIFT City), India’s first operational greenfield smart city and International Financial Services Centre (IFSC).</t>
  </si>
  <si>
    <t xml:space="preserve">https://www.santam.com/about-us/media-centre/investor-news/santam-delivers-strong-performance-for-2025-financial-year/
https://www.insurancebusinessmag.com/uk/news/breaking-news/santam-posts-strong-2025-results-eyes-global-growth-567916.aspx
https://www.fanews.co.za/article/surveys-reports-and-ratings/34/general/1195/santam-2025-insurance-barometer-highlights-ongoing-socioeconomic-infrastructure-and-climate-change-risks/41924
https://www.sanlamonline.co.za/knowledge-hub/sanlam-2025-interim-results
https://www.fanews.co.za/article/company-news-results/1/santam/1048/santam-group-granted-licence-to-establish-operations-in-india-s-global-finance-hub/43390</t>
  </si>
  <si>
    <t xml:space="preserve">https://eyindia.sharepoint.com/:b:/r/sites/InsuranceResearch/Shared%20Documents/Insurance%20Research/Top%2020%20Africa/Santam%20Limited%202025-financial-statements.pdf?csf=1&amp;web=1&amp;e=0Wv0T3</t>
  </si>
  <si>
    <t xml:space="preserve">Wikus Olivier</t>
  </si>
  <si>
    <t xml:space="preserve">Charisse Ras</t>
  </si>
  <si>
    <t xml:space="preserve">Helen Toit</t>
  </si>
  <si>
    <t xml:space="preserve">LIBERTY HOLDINGS
(wholly owned subsidiary of Standard Bank Group)</t>
  </si>
  <si>
    <t xml:space="preserve">Yuresh Maharaj</t>
  </si>
  <si>
    <t xml:space="preserve">Ranesh Hariparsad</t>
  </si>
  <si>
    <t xml:space="preserve">1. Audit client
2.Scope of services restricted
3. Audit CommitteePre -Approval and/or IESBA Pre-concurrence Required
4. GCSP Approval Required
5. Business Relationship restriction
6. Firm Loan Restrictions
7. Consultation Required
8. Existing lender to Firm
9. Existing business relationship with Firm</t>
  </si>
  <si>
    <t xml:space="preserve">1. Mixed performance across African subsidiaries, especially Kenya.
2. Simplification through disposal of non-core East African operations.
3. Post-Standard Bank integration phase with FY2025 stabilisation.
Liberty had reunited over 7,000 beneficiaries with ~R130m in benefits, supporting regulatory and ESG objectives while improving trust in the insurance system. Liberty’s combined approach of traditional and digital tracing is delivering tangible results part of a nationwide initiative to help beneficiaries trace and claim their unclaimed funds.</t>
  </si>
  <si>
    <t xml:space="preserve">https://africanfinancials.com/document/ke-lbty-2025-ab-00/
https://tradingroom.co.ke/liberty-kenya-reports-profit-decline-in-fy-2025/
https://www.libertyholdings.co.za/results-and-reports
https://www.msn.com/en-za/news/other/liberty-reunites-7-000-beneficiaries-with-r130m-using-innovative-tracing-methods/ar-AA1QLDYs</t>
  </si>
  <si>
    <t xml:space="preserve">https://eyindia.sharepoint.com/:b:/r/sites/InsuranceResearch/Shared%20Documents/Insurance%20Research/Top%2020%20Africa/31122025-liberty-group-limited-afs-2025.pdf?csf=1&amp;web=1&amp;e=zhJ1bE</t>
  </si>
  <si>
    <t xml:space="preserve">Willa van den Berg FASSA</t>
  </si>
  <si>
    <t xml:space="preserve">Philip Harrison</t>
  </si>
  <si>
    <t xml:space="preserve">Seleka Morwe</t>
  </si>
  <si>
    <t xml:space="preserve">RMH HOLDINGS</t>
  </si>
  <si>
    <t xml:space="preserve">Brian Roberts</t>
  </si>
  <si>
    <t xml:space="preserve">1. Scope of service restrictions
2.  GCSP Approval
3. Business Relationship restricted
4. Firm Loan Restrictions</t>
  </si>
  <si>
    <t xml:space="preserve">1. Completion of strategic simplification into a near pure‑play OUTsurance investment, with OUTsurance representing the vast majority of group value.</t>
  </si>
  <si>
    <t xml:space="preserve">https://dailyinvestor.com/finance/93584/south-africas-best-known-insurance-company-shooting-the-lights-out/</t>
  </si>
  <si>
    <t xml:space="preserve">https://eyindia.sharepoint.com/:b:/r/sites/InsuranceResearch/Shared%20Documents/Insurance%20Research/Top%2020%20Africa/RMH-Audited-financial-Statements-2025.pdf?csf=1&amp;web=1&amp;e=rvckya</t>
  </si>
  <si>
    <t xml:space="preserve">Ellen Marais</t>
  </si>
  <si>
    <t xml:space="preserve">Not publicly disclosed</t>
  </si>
  <si>
    <t xml:space="preserve">Ms. Mamogae Mahlare</t>
  </si>
  <si>
    <t xml:space="preserve">MUNICH REINSURANCE CO. OF AFRICA</t>
  </si>
  <si>
    <t xml:space="preserve">Reinsu</t>
  </si>
  <si>
    <t xml:space="preserve">Walter Voigts-von-Forster</t>
  </si>
  <si>
    <t xml:space="preserve">Claus-Peter Wagner</t>
  </si>
  <si>
    <t xml:space="preserve">1. Audit client
2. Scope of services restricted
3. ACPA and/or IESBA Pre-concurrence Required
4. GCSP Approval Required
5. Business Relationship restriction
6. Firm Loan Restrictions
7. Consultation Required</t>
  </si>
  <si>
    <t xml:space="preserve">1. CEO transition announced for Africa branch effective Feb 2026.
2. Reaffirmation of long-term commitment to African reinsurance markets.
3. Alignment with global climate and structured reinsurance strategy.
Oct' 25 - The South African Prudential Authority withdrew the licence of Munich Reinsurance Company of Africa Ltd with effect 10 October 2025, under section 29 of the Insurance Act, 2017. The withdrawal reflects a group structural simplification, not a market exit: Munich Re continues African operations via its Africa Branch model rather than the locally incorporated insurer.
Mar'26 - Specialty insurance underwriter, iTOO Special Risks, in partnership with global reinsurer Munich Re, has announced the launch of aiSure, a pioneering artificial intelligence (AI) performance insurance solution in the South African market.</t>
  </si>
  <si>
    <t xml:space="preserve">https://www.munichre.com/en/company/media-relations/media-information-and-corporate-news/business-news/2025/business-news-2025-09-15.html
https://www.reinsurancene.ws/walter-voigts-von-forster-named-ceo-of-munich-re-africa-branch/
https://www.resbank.co.za/en/home/publications/prudential-authority
https://www.insurancebusinessmag.com/reinsurance/news/breaking-news/walter-voigtsvon-forster-appointed-ceo-of-munich-re-africa-549806.aspx
https://www.fanews.co.za/article/company-news-results/1/general/1056/itoo-special-risks-launches-africa-s-first-ai-performance-insurance-in-partnership-with-munich-re/43563</t>
  </si>
  <si>
    <t xml:space="preserve"> </t>
  </si>
  <si>
    <t xml:space="preserve">https://eyindia.sharepoint.com/:b:/r/sites/InsuranceResearch/Shared%20Documents/Insurance%20Research/Top%2020%20Africa/MunichRe-Group-Annual-Report-2025-en.pdf?csf=1&amp;web=1&amp;e=8RwMZe</t>
  </si>
  <si>
    <t xml:space="preserve">Andrew Buchanan</t>
  </si>
  <si>
    <t xml:space="preserve">Niraj Shah</t>
  </si>
  <si>
    <t xml:space="preserve">Monogran Naidoo</t>
  </si>
  <si>
    <t xml:space="preserve">AFRICAN REINSURANCE CORP./
AFRICAN REINSURANCE CORPORATION SOUTH AFRICA LTD</t>
  </si>
  <si>
    <t xml:space="preserve">Corneille Karekezi</t>
  </si>
  <si>
    <t xml:space="preserve">Jamiu Olakisan</t>
  </si>
  <si>
    <t xml:space="preserve">Nil</t>
  </si>
  <si>
    <t xml:space="preserve">1. Record premium growth and profitability through 2025.
2. Strengthening African risk-retention and facultative reinsurance capacity.
3. Resilience shown amid currency volatility and catastrophe losses.</t>
  </si>
  <si>
    <t xml:space="preserve">https://www.businessinsurance.com/africa-res-profits-climb-20/
https://punchng.com/africa-re-posts-644-30m-h1-gross-written-premium/
https://apanews.net/africa-re-posts-22-5m-profit-for-q1-of-2025/</t>
  </si>
  <si>
    <t xml:space="preserve">USD 1200.3</t>
  </si>
  <si>
    <t xml:space="preserve">USD 132.9</t>
  </si>
  <si>
    <t xml:space="preserve">https://www.africa-re.com/uploads/content/download_translation/download/e2594192-5ff9-4cd7-b60d-fcd713e723d5.pdf</t>
  </si>
  <si>
    <t xml:space="preserve">Nonte Nzimakwe</t>
  </si>
  <si>
    <t xml:space="preserve">Yvonne Palm</t>
  </si>
  <si>
    <t xml:space="preserve">Jean-Paul Tankeu</t>
  </si>
  <si>
    <t xml:space="preserve">HANNOVER RE GROUP AFRICA</t>
  </si>
  <si>
    <t xml:space="preserve">Paul Carragher</t>
  </si>
  <si>
    <t xml:space="preserve">Maximilian Weber</t>
  </si>
  <si>
    <t xml:space="preserve">1. GCSP Approval
2. Business Relationship restriction
3. Firm Loan Restrictions</t>
  </si>
  <si>
    <t xml:space="preserve">1. Hannover Re Confirms Strong Africa‑Relevant Growth Amid Global Reinsurance Tightness. Unlike some global peers that have shifted to branch‑only models, Hannover Re South Africa remains a locally licensed composite reinsurer, consolidating life and non‑life licences under South Africa’s Insurance Act regime. This positioning contrasts with Munich Re’s licence withdrawal in 2025 and reinforces Hannover Re’s image as a “local‑long‑term” reinsurer in South Africa.
2. Hannover Re Affirms Climate Risk &amp; Catastrophe Focus — Critical for African Markets
Nov'25 - Hannover Re South Africa showcased a pharmacogenomics pilot at the Actuarial Society of South Africa (ASSA) Convention. The pilot explores genetic testing to optimise mental‑health treatment outcomes, improving claims experience, customer outcomes and cost efficiency.</t>
  </si>
  <si>
    <t xml:space="preserve">https://www.hannover-re.com/en/news/2026/hannover-re-increases-earnings-and-dividend-reinforces-sustained-profitability-significantly/
https://www.ainvest.com/news/hannover-ck-se-strategic-resilience-shareholder-climate-driven-reinsurance-landscape-2510/
https://www.linkedin.com/feed/update/urn:li:activity:7397634922552766464/</t>
  </si>
  <si>
    <t xml:space="preserve">https://assets.hannover-re.com/asset/533267266226/document_vm5644i6q91ol8khnekpbcrt3s/2025_GBKonzern_e.pdf?content-disposition=inline</t>
  </si>
  <si>
    <t xml:space="preserve">It’s a consolidated annual report, where in page 163, location wise revenue is mentioned</t>
  </si>
  <si>
    <t xml:space="preserve">Clemens Jungsthöfel</t>
  </si>
  <si>
    <t xml:space="preserve">Susan Atkinson</t>
  </si>
  <si>
    <t xml:space="preserve">Donovan Herman</t>
  </si>
  <si>
    <t xml:space="preserve">ALLIANZ AFRICA</t>
  </si>
  <si>
    <t xml:space="preserve">Delphine Traoré</t>
  </si>
  <si>
    <t xml:space="preserve">1. GCSP Approval
2. Consultation required
3. Firm Loan Restrictions</t>
  </si>
  <si>
    <t xml:space="preserve">1. On June 10 2025, Sanlam and Allianz merged their Nigerian operations, launching the brand SanlamAllianz Nigeria as part of their wider Pan-African joint-venture strategy.
2. Allianz Reshapes EMEA Leadership to Drive Commercial Growth
3. New investments and tie-ups as insurers target rising incomes in Africa
Allianz operates in South Africa outside the SanlamAllianz pan‑African joint venture. South Africa is explicitly excluded from the SanlamAllianz JV agreement between Allianz SE and Sanlam. Allianz therefore continues to operate in South Africa through:
Allianz Commercial (Global Corporate &amp; Specialty)
Allianz Trade (credit insurance, former Euler Hermes)
This makes South Africa a standalone strategic market for Allianz Group, separate from its broader Africa expansion strategy via SanlamAllianz.</t>
  </si>
  <si>
    <t xml:space="preserve">https://techcabal.com/2025/06/10/sanlam-and-allianz-merge-nigerian-operations/?utm.com
https://www.newscase.com/allianz-reshapes-emea-leadership-to-drive-commercial-growth/
https://theafricanmirror.africa/business/new-investments-and-tie-ups-as-insurers-target-rising-incomes-in-africa/</t>
  </si>
  <si>
    <t xml:space="preserve">https://www.allianz.com/en/investor_relations/results-reports/financial-statements.html</t>
  </si>
  <si>
    <t xml:space="preserve">Allianz Africa didn't have individual turnover and profit figures available, figures mentioned is given by Copilot</t>
  </si>
  <si>
    <t xml:space="preserve">Anton Kolbe</t>
  </si>
  <si>
    <t xml:space="preserve">Anita Smit</t>
  </si>
  <si>
    <t xml:space="preserve">Isaac Adomako</t>
  </si>
  <si>
    <t xml:space="preserve">AXA Afrique Atlantique</t>
  </si>
  <si>
    <t xml:space="preserve">Morocco</t>
  </si>
  <si>
    <t xml:space="preserve">Gilles Fromageot</t>
  </si>
  <si>
    <t xml:space="preserve">1. Creation of AXA Afrique Atlantique with Casablanca as Regional Hub
2. Shift Toward Centralised Governance and Shared Services in Africa
3. Data &amp; AI‑Driven Transformation of Insurance Operations
AXA Afrique Atlantique, launched in late 2025 and operationalised in early 2026, is a regional structure covering only Morocco, Senegal, Côte d’Ivoire, Cameroon, Gabon. South Africa is explicitly outside the scope of AXA Afrique Atlantique’s mandate, governance, licensing, and commercial activities.</t>
  </si>
  <si>
    <t xml:space="preserve">https://www.moroccoworldnews.com/2026/03/282141/axa-makes-casablanca-hub-of-new-atlantic-africa-insurance-region/
https://businessfinanceint.com/lassureur-axa-centralise-la-gouvernance-de-ses-marches-en-afrique/
https://news.frontierafricareports.com/article/axa-makes-casablanca-hub-of-new-atlantic-africa-insurance-region</t>
  </si>
  <si>
    <t xml:space="preserve">https://www.atlas-mag.net/en/articles/axa-2025-results</t>
  </si>
  <si>
    <t xml:space="preserve">The link pasted in Column M, It is belongs to the financial figures of group and not AXA Afrique Atlantique only, We have the consolidated financial for 2024 but in that as well it is not available (Refer Cell "M20" for Financials)</t>
  </si>
  <si>
    <t xml:space="preserve">Nicolas Barsky</t>
  </si>
  <si>
    <t xml:space="preserve">Ghoufrane Benhamou</t>
  </si>
  <si>
    <t xml:space="preserve">WAFA ASSURANCE</t>
  </si>
  <si>
    <t xml:space="preserve">Boubker Jaï</t>
  </si>
  <si>
    <t xml:space="preserve">Abdeslam BERRADA ALLAM</t>
  </si>
  <si>
    <t xml:space="preserve">1. Scope of services restricted
2. GCSP Approval
3. Business Relationship restriction
4. Firm Loan Restrictions
5. Existing Lender to the Firm</t>
  </si>
  <si>
    <t xml:space="preserve">1. Wafa Assurance has offered to acquire 51% of Egypt’s Delta Insurance for EGP 5 billion (~$317 million) at EGP 40/share, with Egypt Kuwait Holding selling its 63.4% stake. The deal, pending regulatory approval, expands Wafa’s presence in Egypt’s low-penetration insurance market.
2. Wafa Assurance’s $317 Million Delta Insurance Bid Sparks Concerns for Kenya’s Insurance Sector</t>
  </si>
  <si>
    <t xml:space="preserve">Morocco’s Wafa Assurance Launches Takeover Bid for Egypt’s Delta Insurance - Ecofin Agency
https://serrarigroup.com/wafa-assurances-317-million-delta-insurance-bid-sparks-concerns-for-kenyas-insurance-sector/</t>
  </si>
  <si>
    <t xml:space="preserve">https://www.atlas-mag.net/en/articles/wafa-assurance-2025-results</t>
  </si>
  <si>
    <t xml:space="preserve">Gail Meneghin</t>
  </si>
  <si>
    <t xml:space="preserve">El Ouali Mohamed</t>
  </si>
  <si>
    <t xml:space="preserve">Abdul-Wahab Ahmed Abed</t>
  </si>
  <si>
    <t xml:space="preserve">ROYALE MAROCAINE D'ASSURANCE</t>
  </si>
  <si>
    <t xml:space="preserve">Tawfiq Drhimeur</t>
  </si>
  <si>
    <t xml:space="preserve">Zouhair BENKIRANE</t>
  </si>
  <si>
    <t xml:space="preserve">1. Audit client
2. Scope of services restricted
3. ACPA and/or IESBA Pre-concurrence Required
4. GCSP Approval Required
5. Business Relationship restriction
6. Firm Loan Restrictions
7. Existing lender to Firm</t>
  </si>
  <si>
    <t xml:space="preserve">1. RMA signs strategic InsurTech partnership with UM6P
2. Bancassurance Shift: Banks Overtake Brokers – RMA Positioned as a Key Beneficiary</t>
  </si>
  <si>
    <t xml:space="preserve">https://www.linkedin.com/posts/morocco-world-news_morocco-um6p-rma-activity-7449749364429737984-kOjk
https://en.7news.ma/moroccan-banks-overtake-brokers-in-insurance-sales-for-the-first-time/</t>
  </si>
  <si>
    <t xml:space="preserve">file:///C:/Users/GY357SQ/Downloads/rapport_annuel_rma_2023.pdf</t>
  </si>
  <si>
    <t xml:space="preserve">The financials are only available in French language, Whose link is also pasted in M column, The figures are given by Copilot which is approximate figures for Africa</t>
  </si>
  <si>
    <t xml:space="preserve">Sofia Slaoui</t>
  </si>
  <si>
    <t xml:space="preserve">Nazik Araki</t>
  </si>
  <si>
    <t xml:space="preserve">MUTUELLE ATTAMINE CHAABI</t>
  </si>
  <si>
    <t xml:space="preserve">Hicham Belmrah </t>
  </si>
  <si>
    <t xml:space="preserve">1. Mutuelle Attamine Chaabi Emerges as Morocco’s Largest Bancassurance Insurer
2. Mutuelle Attamine Chaabi Highlighted as a Core Player in Africa’s Insurance Scale‑Up Context</t>
  </si>
  <si>
    <t xml:space="preserve">https://www.meinsurancereview.com/Magazine/ReadMagazineArticle?aid=60089
https://www.meinsurancereview.com/Magazine/ReadMagazineArticle?aid=39646</t>
  </si>
  <si>
    <t xml:space="preserve">USD 748</t>
  </si>
  <si>
    <t xml:space="preserve">https://www.atlas-mag.net/en/articles/ranking-moroccan-insurers-according-2024-turnover-0</t>
  </si>
  <si>
    <t xml:space="preserve">MUTUELLE ATTAMINE CHAABI is not required to public their financials, hence we could'nt get the turnover and profit info. All the links available required purchase, one who pasted in M column as well, hence figure written in the K column is the old figure</t>
  </si>
  <si>
    <t xml:space="preserve">Hicham Belmrah</t>
  </si>
  <si>
    <t xml:space="preserve">Khalid Boussaid</t>
  </si>
  <si>
    <t xml:space="preserve">SANLAM ASSURANCE MOROCCO</t>
  </si>
  <si>
    <t xml:space="preserve">Betty Sayinzoga</t>
  </si>
  <si>
    <t xml:space="preserve">1. Sanlam Morocco to Absorb Allianz Morocco in a Landmark Insurance Mega‑Merger
2. Sanlam Morocco Posts Strong 2025 Profit as It Shifts Focus From Volume to Profitability
3. Sanlam Morocco Invests $2.2 Million in Digital Retail Platform to Expand Financial Inclusion</t>
  </si>
  <si>
    <t xml:space="preserve">https://www.moroccoworldnews.com/2026/03/282609/sanlam-maroc-to-absorb-allianz-maroc-in-insurance-mega-merger/
https://www.financialafrik.com/en/2026/02/12/sanlam-morocco-announces-an-increase-in-profit-and-a-decrease-in-revenue-in-2025/
https://www.billionaires.africa/2025/12/29/sanlam-partly-owned-by-patrice-motsepe-invests-2-2-million-in-moroccan-startup/</t>
  </si>
  <si>
    <t xml:space="preserve">USD 678.9</t>
  </si>
  <si>
    <t xml:space="preserve">USD 49.4</t>
  </si>
  <si>
    <t xml:space="preserve">https://www.financialafrik.com/en/2026/02/12/sanlam-morocco-announces-an-increase-in-profit-and-a-decrease-in-revenue-in-2025/</t>
  </si>
  <si>
    <t xml:space="preserve">Lova Ramanandraibe</t>
  </si>
  <si>
    <t xml:space="preserve">Lotz Mahlangeni</t>
  </si>
  <si>
    <t xml:space="preserve">ATLANTASANAD ASSURANCE</t>
  </si>
  <si>
    <t xml:space="preserve">Mr. Mohamed Hassan Bensalah</t>
  </si>
  <si>
    <t xml:space="preserve">1. AtlantaSanad Assurance Launches Morocco’s First AI-Powered Insurance Assistant “Assia”. Management explicitly framed Assia as a core pillar of customer‑experience transformation, not just a chatbot
2. Exclusive Bancassurance Partnership With Crédit du Maroc Strengthens Market Position effective January 1, 2025, adding a major new distribution channel</t>
  </si>
  <si>
    <t xml:space="preserve">https://thegulfobserver.com/atlantasanad-assurance-launches-moroccos-first-ai-powered-insurance-assistant-assia/
https://thedigitalbanker.com/credit-du-maroc-atlantasanad-team-up-to-expand-insurance-and-savings-offerings/</t>
  </si>
  <si>
    <t xml:space="preserve">USD 657.5</t>
  </si>
  <si>
    <t xml:space="preserve">USD 46.6</t>
  </si>
  <si>
    <t xml:space="preserve">https://www.atlas-mag.net/en/articles/atlantasanad-turnover-increase-2025
https://www.financialafrik.com/en/2026/03/17/morocco-atlantasanad-assurance-reports-a-profit-of-46-6-million-dollars-in-2025/</t>
  </si>
  <si>
    <t xml:space="preserve">In the first link article regarding the turnover is there whereas in 2nd link, article regarding the profit is there. Financials are available but not in English Language</t>
  </si>
  <si>
    <t xml:space="preserve">Tate Anderson</t>
  </si>
  <si>
    <t xml:space="preserve">Yasmine Essahel</t>
  </si>
  <si>
    <t xml:space="preserve">HOLLARD INSURANCE</t>
  </si>
  <si>
    <t xml:space="preserve">Andrew Coutts</t>
  </si>
  <si>
    <t xml:space="preserve">Avendth Tilakdari</t>
  </si>
  <si>
    <t xml:space="preserve">1. Hollard Insurance expanded its African footprint by acquiring Absa Life Botswana and Global Alliance Seguros (Mozambique), reporting strong growth and solvency in Mozambique.
2. Hollard unveils a new brand repositioning strategy as Hollard International expands into the continent
Sep' 25 - Hollard and specialist unit iTOO Special Risks advanced their role in insuring Africa’s green transition through the Tokio Marine GX (TMGX) platform.</t>
  </si>
  <si>
    <t xml:space="preserve">https://www.fanews.co.za/article/company-news-results/1/hollard/1301/hollard-international-deepens-its-africa-expansion-strategy-as-the-insurer-acquires-absa-s-life-insurance-businesses-in-mozambique-and-botswana/41584
https://www.fanews.co.za/article/company-news-results/1/hollard/1301/hollard-unveils-a-new-brand-repositioning-strategy-as-hollard-international-expands-into-the-continent/40056
https://www.fanews.co.za/article/company-news-results/1/hollard/1301/hollard-and-specialist-partner-itoo-special-risks-poised-to-offer-world-class-green-transition-in-africa/42503</t>
  </si>
  <si>
    <t xml:space="preserve">AUD 2434</t>
  </si>
  <si>
    <t xml:space="preserve">AUD 166</t>
  </si>
  <si>
    <t xml:space="preserve">https://www.hollard.com.au/media/jxyfchit/hic-financial-statement-20250630.pdf</t>
  </si>
  <si>
    <t xml:space="preserve">Hollard Insurance is having Consolidated Financials available which belongs to Australia</t>
  </si>
  <si>
    <t xml:space="preserve">Dirk Viljoen</t>
  </si>
  <si>
    <t xml:space="preserve">Lovashnee Forte</t>
  </si>
  <si>
    <t xml:space="preserve">Group Internal Audit</t>
  </si>
  <si>
    <t xml:space="preserve">METROPOLITAN LIFE</t>
  </si>
  <si>
    <t xml:space="preserve">Peter Tshiguvho</t>
  </si>
  <si>
    <t xml:space="preserve">1. Scope of service restrictions
2. ACPA and/or IESBA Pre-concurrence Required
3. GCSP Approval
4. Business Relationship restricted
5. Firm Loan Restrictions</t>
  </si>
  <si>
    <t xml:space="preserve">1. Metropolitan Life Wins Top Funeral Category at ASK AFRICA Orange Index Awards 2025
2. Momentum Group Delivers Record FY2025 Earnings, with Strong Contribution from Metropolitan Life
3. CIO of Metropolitan Life Nominated for 2025 CIO Awards, Highlighting Africa‑Led Digital Transformation
 - Completion of a major systems migration across Momentum Retail, Metropolitan and African operations, expected to save &gt;R100m annually
 - Recognised for fast claims settlement, with valid claims paid in as little as four hours via WhatsApp
- Metropolitan Collective Shapers programme rolled out nationally, supporting youth entrepreneurs in logistics, agriculture and informal‑to‑formal SMEs.  These programmes strengthen brand trust, pipeline development, and inclusion‑linked growth.</t>
  </si>
  <si>
    <t xml:space="preserve">https://www.metropolitan.co.za/press-releases/articles/ASK-AFRICA-Orange-Index-Awards/
https://www.metropolitan.co.za/press-releases/articles/Momentum-Group-delivers-record-earnings/
https://www.metropolitan.co.za/press-releases/articles/Momentum-Group-delivers-record-earnings/
https://cio-sa.co.za/articles/metropolitan-life-cio-irwhan-rakiep-nominated-for-2025-cio-awards/
https://www.metropolitan.co.za/news/articles/Farmers-weekly-Article/</t>
  </si>
  <si>
    <t xml:space="preserve">R 6187</t>
  </si>
  <si>
    <t xml:space="preserve">R 868</t>
  </si>
  <si>
    <t xml:space="preserve">file:///C:/Users/GY357SQ/Downloads/momentum-group-f2025-annual-financial-statements.pdf</t>
  </si>
  <si>
    <t xml:space="preserve">The link pasted is of Consolidated financials, whereas in page 47 you can find the profit and loss of Metropolitian Life</t>
  </si>
  <si>
    <t xml:space="preserve">Reordered Top 20 List above</t>
  </si>
  <si>
    <t xml:space="preserve">AXA ASSURANCE MOROCCO</t>
  </si>
  <si>
    <t xml:space="preserve">Patrick Menard</t>
  </si>
  <si>
    <t xml:space="preserve">1. AXA Makes Morocco the Headquarters of Its New “Atlantic Africa” Insurance Region
2. AXA Assurance Maroc Sells 80% of AXA Crédit to Focus on Core Insurance</t>
  </si>
  <si>
    <t xml:space="preserve">https://www.moroccoworldnews.com/2026/03/282141/axa-makes-casablanca-hub-of-new-atlantic-africa-insurance-region/
https://www.african-markets.com/en/stock-markets/bvc/stellantis-finalizes-acquisition-of-axa-credit-majority-stake-from-axa-assurance-maroc</t>
  </si>
  <si>
    <t xml:space="preserve">https://www-axa-com.cdn.prismic.io/www-axa-com/ab1gEB5fn6DF3CqE_axa_urd2025_accessible_va.pdf</t>
  </si>
  <si>
    <t xml:space="preserve">In the given link, the financials are of group not individual company, whereas in page 39 revenue figures are given as per location, but it combined Asia, Africa and EME‑LATAM, hence we didn't change the original figure of revenue in Column K</t>
  </si>
  <si>
    <t xml:space="preserve">Imane Feriati</t>
  </si>
  <si>
    <t xml:space="preserve">MISR INSURANCE CO.</t>
  </si>
  <si>
    <t xml:space="preserve">Omar Gouda</t>
  </si>
  <si>
    <t xml:space="preserve">1. Record profits reinforcing position as Egypt’s largest insurer.
2. Strategic infrastructure and real-estate insurance partnerships backed by FRA.
3. Fitch affirmation of AAA (egy) national insurer strength rating.</t>
  </si>
  <si>
    <t xml:space="preserve">https://www.businessinsurance.com/egypts-largest-insurers-posts-record-profit/
https://www.dailynewsegypt.com/2025/08/31/stm-investment-misr-insurance-sign-protocol-to-provide-comprehensive-project-coverage/
https://www.fitchratings.com/research/insurance/fitch-affirms-misr-insurance-company-national-ifs-rating-at-aaa-egy-12-11-2025</t>
  </si>
  <si>
    <t xml:space="preserve">https://www.businessinsurance.com/egypts-largest-insurers-posts-record-profit/</t>
  </si>
  <si>
    <t xml:space="preserve">Moustafa Elkamash</t>
  </si>
  <si>
    <t xml:space="preserve">Ashraf Tolba</t>
  </si>
  <si>
    <t xml:space="preserve">MAMDA‑MCMA Group</t>
  </si>
  <si>
    <t xml:space="preserve">Mutual / General</t>
  </si>
  <si>
    <t xml:space="preserve">Hakim Hassani</t>
  </si>
  <si>
    <t xml:space="preserve">1. MAMDA Recognized as a Cornerstone of Africa’s Largest Public‑Private Agricultural Climate Insurance Program
2. MAMDA‑MCMA Highlighted as a Systemically Important Insurer in Morocco’s Financial Stability Framework</t>
  </si>
  <si>
    <t xml:space="preserve">https://www.archyde.com/moroccan-climate-insurance-success-story-mamdas-role-in-agricultural-risk-management/
https://www.fma.org.ma/wp-content/uploads/2025/06/juin-2025-en.pdf</t>
  </si>
  <si>
    <t xml:space="preserve">&gt;11000</t>
  </si>
  <si>
    <t xml:space="preserve">https://www.mamda-mcma.ma/qui-sommes-nous/chiffres-cles</t>
  </si>
  <si>
    <t xml:space="preserve">We couldn't able to find any financials or document for MAMDA‑MCMA Group, but the link pasted in M column mentioned that the company is having a turnover of over 11000 millions</t>
  </si>
  <si>
    <t xml:space="preserve">Badaoui Khalid</t>
  </si>
  <si>
    <t xml:space="preserve">Khalid Badaoui</t>
  </si>
  <si>
    <t xml:space="preserve">Continental Reinsurance Plc</t>
  </si>
  <si>
    <t xml:space="preserve">Reinsurance</t>
  </si>
  <si>
    <t xml:space="preserve">Nigeria</t>
  </si>
  <si>
    <t xml:space="preserve">Dr. Fatai Kayode Lawal</t>
  </si>
  <si>
    <t xml:space="preserve">1. Continental Reinsurance Completes Major Pan‑African Restructuring into a Holding Company
2. Strong Premium Growth but Profit Volatility Amid FX and Catastrophe Losses
3. AM Best Reaffirms Credit Ratings, Citing Strong Capitalisation and Pan‑African Diversification</t>
  </si>
  <si>
    <t xml:space="preserve">https://www.insurancebusinessmag.com/reinsurance/news/breaking-news/continental-reinsurance-restructures-with-new-holdings-and-nigeria-leaders-537209.aspx
https://www.continental-re.com/investor-relations/
https://secure.businesswire.com/news/home/20251204551323/en/AM-Best-Affirms-Credit-Ratings-of-Continental-Reinsurance-Plc</t>
  </si>
  <si>
    <t xml:space="preserve">https://www.continental-re.com/wp-content/uploads/2025/07/CReFinStmts-31122024b.pdf</t>
  </si>
  <si>
    <t xml:space="preserve">Jane Mberia</t>
  </si>
  <si>
    <t xml:space="preserve">Cedric Maxwell</t>
  </si>
  <si>
    <t xml:space="preserve">Olugbenga Akinlalu</t>
  </si>
  <si>
    <t xml:space="preserve">Prudential Africa (M&amp;G/Prudential plc)</t>
  </si>
  <si>
    <t xml:space="preserve">Emmanuel Mokobi Aryee</t>
  </si>
  <si>
    <t xml:space="preserve">Adewuyi Adeyemo</t>
  </si>
  <si>
    <t xml:space="preserve">1. Audit client
2. Scope of services restricted
3. ACPA and/or IESBA Pre-concurrence Required
4. GCSP Approval Required
5. Business Relationship restriction
6. Firm Loan Restrictions</t>
  </si>
  <si>
    <t xml:space="preserve">1. Rebranding in Francophone Africa: Belife Insurance
2. CEO Working Visit to Ghana Drives Agency Expansion</t>
  </si>
  <si>
    <t xml:space="preserve">https://www.graphic.com.gh/news/general-news/ghana-news-prudential-life-settles-ghc100-000-medical-bills.html#google_vignette
https://thebftonline.com/2026/04/01/prudential-africa-ceo-working-visit-to-ghana-sets-pace-for-business-excellence-and-agency-expansion/</t>
  </si>
  <si>
    <t xml:space="preserve">https://eyindia.sharepoint.com/:b:/r/sites/InsuranceResearch/Shared%20Documents/Insurance%20Research/Top%2020%20Africa/prudential-plc-ar-2025.pdf?csf=1&amp;web=1&amp;e=vOjeNU</t>
  </si>
  <si>
    <t xml:space="preserve">Theodor Breet</t>
  </si>
  <si>
    <t xml:space="preserve">AnnElsie W</t>
  </si>
  <si>
    <t xml:space="preserve">CICA‑RE</t>
  </si>
  <si>
    <t xml:space="preserve">Tunisia</t>
  </si>
  <si>
    <t xml:space="preserve">Karim Diarassouba</t>
  </si>
  <si>
    <t xml:space="preserve">1. Expansion Across Africa to Reduce Foreign Reinsurance Dependency
2. AM Best Affirms CICA‑RE’s Credit Ratings and Capital Strength</t>
  </si>
  <si>
    <t xml:space="preserve">https://clone.businessday.ng/cica-re-pushes-expansion-open-north-african-regional-office-soon/
https://markets.financialcontent.com/stocks/article/bizwire-2025-4-2-am-best-affirms-credit-ratings-of-compagnie-commune-de-rassurance-des-etats-membres-de-la-cima</t>
  </si>
  <si>
    <t xml:space="preserve">https://cica-re.com/-Rapports-Annuels-.html</t>
  </si>
  <si>
    <t xml:space="preserve">Augustin N’Dri</t>
  </si>
  <si>
    <t xml:space="preserve">Mr. Moustapha COULIBALY</t>
  </si>
  <si>
    <t xml:space="preserve">Allianz Senegal (AGIS)</t>
  </si>
  <si>
    <t xml:space="preserve">Senegal</t>
  </si>
  <si>
    <t xml:space="preserve">Demba Sy</t>
  </si>
  <si>
    <t xml:space="preserve">1. Integration of Allianz Senegal (AGIS) into SanlamAllianz Sénégal
2. SanlamAllianz Expansion Strengthens Allianz’s Long‑Term Senegal Strategy</t>
  </si>
  <si>
    <t xml:space="preserve">https://www.thefreelibrary.com/How+will+the+SanlamAllianz+merger+transform+Africa%27s+insurance...-a0823368203
 https://www.allianz.com/en/mediacenter/news/articles/251119-a-strategic-partnership-driving-africas-long-term-prosperity.html</t>
  </si>
  <si>
    <t xml:space="preserve">https://www.allianz.com/content/dam/onemarketing/azcom/Allianz_com/investor-relations/en/results-reports/annual-report/ar-2025/en-allianz-se-annual-report-2025.pdf</t>
  </si>
  <si>
    <t xml:space="preserve">Richard Akotègnon HODEHOU</t>
  </si>
  <si>
    <t xml:space="preserve">Allianz Senegal</t>
  </si>
  <si>
    <t xml:space="preserve">Kenya Reinsurance Corporation</t>
  </si>
  <si>
    <t xml:space="preserve">Kenya</t>
  </si>
  <si>
    <t xml:space="preserve">Dr. Hillary Maina Wachinga</t>
  </si>
  <si>
    <t xml:space="preserve">Tom Nyakoe</t>
  </si>
  <si>
    <t xml:space="preserve">1. Sharp Decline in Technical Profitability in FY2025
2. Expansion into International Life Reinsurance Markets</t>
  </si>
  <si>
    <t xml:space="preserve">https://www.financialafrik.com/en/2026/03/31/kenya-re-records-a-26-9-decline-in-net-profits-in-2025/
https://www.businessdailyafrica.com/bd/corporate/companies/kenya-re-eyes-50pc-growth-in-life-business-on-new-unit-4943324</t>
  </si>
  <si>
    <t xml:space="preserve">https://www.nse.co.ke/wp-content/uploads/Kenya-Re-Insurance-Corporation-Ltd-Audited-Financial-Statements-for-the-Period-Ended-31-Dec-2025.pdf</t>
  </si>
  <si>
    <t xml:space="preserve">Hamish Chipungu</t>
  </si>
  <si>
    <t xml:space="preserve">Peter Rop</t>
  </si>
  <si>
    <t xml:space="preserve">List of Top 20 Insurance Companies in UK as on Jul'26</t>
  </si>
  <si>
    <t xml:space="preserve">UK Corporate Governance code applicable?</t>
  </si>
  <si>
    <t xml:space="preserve">Insurance Revenue / GWP (GBP million)</t>
  </si>
  <si>
    <t xml:space="preserve">Other Links &amp; Comments</t>
  </si>
  <si>
    <t xml:space="preserve">Admiral Group Plc</t>
  </si>
  <si>
    <t xml:space="preserve">Milena Mondini de Focatiis</t>
  </si>
  <si>
    <t xml:space="preserve">Mitch Robinson</t>
  </si>
  <si>
    <r>
      <rPr>
        <sz val="10"/>
        <color theme="1"/>
        <rFont val="Inter"/>
        <family val="0"/>
        <charset val="1"/>
      </rPr>
      <t xml:space="preserve">Jan' 26 - Admiral Group announces that its Chief Financial Officer ("CFO"), Geraint Jones, has decided to retire from his role and will transition to a part-time role within the Group from July 2026.
Feb' 26 - Admiral announced plans to acquire Flock, a fast‑growing digital, telemetry‑based fleet insurer. This builds on the Group’s existing expertise in telemetry in the personal lines market, allowing the business to support a broader set of customers as mobility trends change.
</t>
    </r>
    <r>
      <rPr>
        <sz val="10"/>
        <color rgb="FF00B050"/>
        <rFont val="EYInterstate"/>
        <family val="0"/>
        <charset val="1"/>
      </rPr>
      <t xml:space="preserve">Jun' 26 - Successfully completed the acquisition of Flock, a digital commercial fleet insurance provider with an innovative telemetry-based proposition. The transaction values the equity in Flock at £80m.
</t>
    </r>
    <r>
      <rPr>
        <sz val="10"/>
        <color theme="1"/>
        <rFont val="EYInterstate"/>
        <family val="0"/>
        <charset val="1"/>
      </rPr>
      <t xml:space="preserve">
</t>
    </r>
    <r>
      <rPr>
        <sz val="10"/>
        <color rgb="FF00B050"/>
        <rFont val="EYInterstate"/>
        <family val="0"/>
        <charset val="1"/>
      </rPr>
      <t xml:space="preserve">Jul' 26 - Admiral Business has partnered with ANNA Money to embed insurance at key SME customer decision points, targeting underinsurance as embedded, partner-led distribution continues to expand.</t>
    </r>
  </si>
  <si>
    <t xml:space="preserve">https://www.finanznachrichten.de/nachrichten-2026-01/67412889-admiral-group-plc-chief-financial-officer-transition-399.htm
https://www.londonstockexchange.com/news-article/ADM/admiral-group-plc-full-year-2025-results/17488674
https://www.investegate.co.uk/announcement/gnw/admiral-group--adm/admiral-group-completes-acquisition-of-flock/9594345
https://insurance-edge.net/2026/07/01/admiral-business-teams-up-with-anna-on-embedded/</t>
  </si>
  <si>
    <t xml:space="preserve">https://eyindia.sharepoint.com/:b:/r/sites/InsuranceResearch/Shared%20Documents/Insurance%20Research/Top%2020%20UK/Admiral%202025%20Annual%20Report%20and%20Accounts.pdf?csf=1&amp;web=1&amp;e=tuKydq
</t>
  </si>
  <si>
    <t xml:space="preserve">AR pg - 3</t>
  </si>
  <si>
    <t xml:space="preserve">Fiona Muldoon</t>
  </si>
  <si>
    <t xml:space="preserve">Geraint Jones</t>
  </si>
  <si>
    <t xml:space="preserve">Keith Davies</t>
  </si>
  <si>
    <t xml:space="preserve">Ageas Insurance Limited</t>
  </si>
  <si>
    <t xml:space="preserve">Ant Middle</t>
  </si>
  <si>
    <t xml:space="preserve">Kris Volkaerts</t>
  </si>
  <si>
    <r>
      <rPr>
        <sz val="10"/>
        <color theme="1"/>
        <rFont val="Inter"/>
        <family val="0"/>
        <charset val="1"/>
      </rPr>
      <t xml:space="preserve">Sep' 25 - Ageas has announced the successful completion of its acquisition of Esure Group (digital personal lines insurer). This is a key 
milestone in Ageas UK’s strategy to become a leading personal lines insurer in the UK.
Dec'25 - Ageas UK and Saga plc announced the launch of a landmark 20‑year Affinity Partnership, bringing market‑leading Motor and Home insurance propositions to over‑50s customers. The partnership goes live for Motor new business today, with Home new business following in the first quarter of 2026.
</t>
    </r>
    <r>
      <rPr>
        <sz val="10"/>
        <color rgb="FF00B050"/>
        <rFont val="EYInterstate"/>
        <family val="0"/>
        <charset val="1"/>
      </rPr>
      <t xml:space="preserve">Apr' 23 -  As a part of the 20-year Affinity Partnership between Ageas UK and Saga plc, a home insurance proposition for the over-50s has gone live, marking the latest milestone.
Jun' 26 - Ageas UK has entered a new strategic partnership with leading Original Equipment Manufacturer (OEM) insurtech, Wrisk, by joining its motor insurance panel.
</t>
    </r>
    <r>
      <rPr>
        <sz val="10"/>
        <color theme="1"/>
        <rFont val="EYInterstate"/>
        <family val="0"/>
        <charset val="1"/>
      </rPr>
      <t xml:space="preserve">
</t>
    </r>
    <r>
      <rPr>
        <sz val="10"/>
        <color rgb="FF00B050"/>
        <rFont val="EYInterstate"/>
        <family val="0"/>
        <charset val="1"/>
      </rPr>
      <t xml:space="preserve">Jun' 26 - Ageas has deepened its 30-year partnership with Connells Group, the UK’s largest estate agency, by creating a bespoke digital platform capable of delivering insurance services to even more customers. 
</t>
    </r>
    <r>
      <rPr>
        <sz val="10"/>
        <color theme="1"/>
        <rFont val="EYInterstate"/>
        <family val="0"/>
        <charset val="1"/>
      </rPr>
      <t xml:space="preserve">
</t>
    </r>
    <r>
      <rPr>
        <sz val="10"/>
        <color rgb="FF00B050"/>
        <rFont val="EYInterstate"/>
        <family val="0"/>
        <charset val="1"/>
      </rPr>
      <t xml:space="preserve">Jul' 26 - John Lewis Money has strengthened its partnership with Ageas UK adding the insurer to its panel of trusted car insurance providers.</t>
    </r>
  </si>
  <si>
    <t xml:space="preserve">https://www.ageas.co.uk/press-releases/2025/ageas-uk-completes-acquisition-of-esure/#:~:text=This%20is%20a%20key%20milestone%20in%20Ageas%20UK%E2%80%99s,strong%20presence%20in%20both%20motor%20and%20home%20insurance.
https://www.ageas.co.uk/press-releases/2025/ageas-saga-launch-20-year-affinity-partnership-motor-live-home-to-follow/
https://www.insurancebusinessmag.com/uk/news/mergers-acquisitions/ageas-finalises-1-3-billion-deal-for-esure-551389.aspx
https://www.ageas.co.uk/press-releases/2026-press-releases/ageas-saga-partnership-milestone-home-insurance/
https://www.ageas.co.uk/press-releases/2026-press-releases/ageas-uk-joins-forces-wrisk-embedded-motor-insurance/
https://www.ageas.co.uk/press-releases/2026-press-releases/ageas-30-year-connells-partnership-digital-home-insurance-platform/
https://www.ageas.co.uk/press-releases/2026-press-releases/ageas-strengthens-partnership-john-lewis-money-joining-motor-panel/</t>
  </si>
  <si>
    <t xml:space="preserve">https://eyindia.sharepoint.com/:b:/r/sites/InsuranceResearch/Shared%20Documents/Insurance%20Research/Top%2020%20UK/Ageas%20Annual%20Report%202024.pdf?csf=1&amp;web=1&amp;e=aZR7jX</t>
  </si>
  <si>
    <t xml:space="preserve">AR Pg - 22</t>
  </si>
  <si>
    <t xml:space="preserve">David Simpson</t>
  </si>
  <si>
    <t xml:space="preserve">Jonathan Price</t>
  </si>
  <si>
    <t xml:space="preserve">Christophe Vandeweghe</t>
  </si>
  <si>
    <t xml:space="preserve">Allianz Insurance Plc</t>
  </si>
  <si>
    <t xml:space="preserve">Colm Holmes</t>
  </si>
  <si>
    <t xml:space="preserve">Philip Vermeulen</t>
  </si>
  <si>
    <t xml:space="preserve">1. Partial scope of services restriciton
2. GCSP Approval
3. Consultation Required
4. Business Relationship restriction
5. Firm Loan 
</t>
  </si>
  <si>
    <r>
      <rPr>
        <sz val="10"/>
        <color theme="1"/>
        <rFont val="Inter"/>
        <family val="0"/>
        <charset val="1"/>
      </rPr>
      <t xml:space="preserve">Feb' 26 - Allianz UK has launched a new short-term income protection policy designed to provide financial security for people facing unexpected life events.
Feb' 26 - Allianz UK scaled AI and advanced analytics across underwriting, broker engagement and service operations, supporting faster decisions and higher productivity.
At the same time, senior leaders acknowledged that scaling AI across complex legacy environments remains challenging, signalling a pragmatic, phased rollout approach.
Mar'26 - Over 34,200 insurance fraud cases, including a ghost broker pocketing more than £133,000, were identified by Allianz UK last year.
</t>
    </r>
    <r>
      <rPr>
        <sz val="10"/>
        <color rgb="FF00B050"/>
        <rFont val="EYInterstate"/>
        <family val="0"/>
        <charset val="1"/>
      </rPr>
      <t xml:space="preserve">Apr' 26 - Allianz UK and LV= have announced a new multi-year partnership to continue distribution of home, car and pet insurance under the LV= brand.
May' 26 - Allianz UK has strengthened its long-standing strategic partnership with Asda to offer home and motor insurance to Asda customers.
Jul' 26 - Allianz launches Slick Cover car insurance.Slick Cover has been designed to provide digital-first car insurance. New managing general agent model enables innovative, lower-cost digital propositions for customers.</t>
    </r>
  </si>
  <si>
    <t xml:space="preserve">https://www.allianz.co.uk/news-and-insight/news/allianz-prevents-record-level-of-fraud.html
https://www.allianz.co.uk/news-and-insight/news/allianz-accident-sickness-unemployment.html
https://www.allianz.co.uk/news-and-insight/news/allianz-deliver-strong-full-year-2025-performance-in-the-uk.html
https://www.allianz.co.uk/news-and-insight/news/allianz-and-lv-long-term-partnership.html
https://www.allianz.co.uk/news-and-insight/news/allianz-and-asda-agree-insurance-partnership.html
https://www.allianz.co.uk/news-and-insight/news/allianz-launches-slick-cover-car-insurance.html</t>
  </si>
  <si>
    <t xml:space="preserve">https://eyindia.sharepoint.com/:b:/r/sites/InsuranceResearch/Shared%20Documents/Insurance%20Research/Top%2020%20UK/Allianz%20UK%20Annual%20Report%202025.pdf?csf=1&amp;web=1&amp;e=2qmzRa</t>
  </si>
  <si>
    <t xml:space="preserve">AR Pg - 25</t>
  </si>
  <si>
    <t xml:space="preserve">David Kelly</t>
  </si>
  <si>
    <t xml:space="preserve">Michael Ruf</t>
  </si>
  <si>
    <t xml:space="preserve">Hanna Kam</t>
  </si>
  <si>
    <t xml:space="preserve">American International Group UK Limited</t>
  </si>
  <si>
    <t xml:space="preserve">Chris Rash</t>
  </si>
  <si>
    <t xml:space="preserve">1. GCSP approval required
2. Reverse restriction</t>
  </si>
  <si>
    <r>
      <rPr>
        <sz val="10"/>
        <color theme="1"/>
        <rFont val="Inter"/>
        <family val="0"/>
        <charset val="1"/>
      </rPr>
      <t xml:space="preserve">Feb'26 - AIG announced that it has completed the acquisitions of strategic minority ownership stakes in Convex Group Limited (“Convex”), a privately held, global specialty insurer, and Onex Corporation (“Onex”) a publicly traded global asset manager. AIG began participating in a whole account quota share of Convex’s business beginning January 1, 2026, and will increase cessions in 2027 and 2028.
Mar' 26 - AIG and McGill and Partners announced a significant strategic collaboration for the subscription market that will provide clients with seamless access to exceptional insurance solutions, backed by long-term, high-quality insurance capacity and capital. As part of the initiative, AIG and McGill and Partners will leverage agentic AI capabilities to manage the deployment of capacity to clients. Relevant for AIG UK, given its registered base in London and focus on large commercial and specialty risks.
</t>
    </r>
    <r>
      <rPr>
        <sz val="10"/>
        <color rgb="FF00B050"/>
        <rFont val="EYInterstate"/>
        <family val="0"/>
        <charset val="1"/>
      </rPr>
      <t xml:space="preserve">Jun' 26 - As part of its growing strategic relationship with Salford City Football Club, AIG partnered with brokers for a unique 5-a-side experience – stepping onto the pitch against members of the legendary “Class of '92”, including Gary Neville, Paul Scholes and Nicky Butt, as well as the Salford City FC Lionesses. </t>
    </r>
  </si>
  <si>
    <t xml:space="preserve">McGill and Partners and AIG Launch Long-Term Strategic Collaboration in a Major Development for the Subscription Market | American International Group, Inc.
https://aig.gcs-web.com/news-releases/news-release-details/aig-completes-acquisitions-strategic-minority-ownership-stakes?noback
https://www.aig.co.uk/home/insight-page/aig-and-salford-city-fc</t>
  </si>
  <si>
    <t xml:space="preserve">https://eyindia.sharepoint.com/:b:/r/sites/InsuranceResearch/Shared%20Documents/Insurance%20Research/Top%2020%20UK/AIG%20UK%202024%20Annual%20Report.pdf?csf=1&amp;web=1&amp;e=LTOpPb</t>
  </si>
  <si>
    <t xml:space="preserve">AR Pg - 5</t>
  </si>
  <si>
    <t xml:space="preserve">Jane Leach</t>
  </si>
  <si>
    <t xml:space="preserve">Naval Kapoor</t>
  </si>
  <si>
    <t xml:space="preserve">Chris Shaper</t>
  </si>
  <si>
    <t xml:space="preserve">Aviva Plc</t>
  </si>
  <si>
    <t xml:space="preserve">Amanda Blanc DBE</t>
  </si>
  <si>
    <t xml:space="preserve">1. Audit client 
2. Entity for which arrest/AUP report is issued
3. Business Relationship restriction
4. GCSP Approval
5. Audit Committee preapproval and/or IESBA Pre-concurrence required for services
6. Consultation Required
7. Firm Loan </t>
  </si>
  <si>
    <r>
      <rPr>
        <sz val="10"/>
        <color theme="1"/>
        <rFont val="Inter"/>
        <family val="0"/>
        <charset val="1"/>
      </rPr>
      <t xml:space="preserve">Jul' 25 - Direct Line Insurance Group plc was acquired by Aviva plc on 1 July 2025. Jason Storah, currently the CEO of UK &amp; Ireland General Insurance at Aviva and now the CEO for the combined businesses, acknowledged the efforts of teams involved and welcomed the new employees from Direct Line.
Mar' 26 - Aviva is transitioning from pilot AI projects to large-scale deployment across key parts of its insurance operations. According to CEO Amanda Blanc, the company has moved beyond limited AI use cases such as claims summarization to broader end-to-end applications across customer service and medical underwriting.
Apr' 26 - Aviva has completed a £100 million bulk purchase annuity transaction with the Iveco Limited Pension Scheme, securing the benefits of all 225 deferred and 1,127 pensioner members. The transaction, which completed in March 2026, represents a significant milestone in the Scheme’s long-term de-risking strategy and provides members with increased security and long-term certainty for their pensions.
</t>
    </r>
    <r>
      <rPr>
        <sz val="10"/>
        <color rgb="FF00B050"/>
        <rFont val="EYInterstate"/>
        <family val="0"/>
        <charset val="1"/>
      </rPr>
      <t xml:space="preserve">Jul' 26 - Aviva has signed an agreement to purchase the remaining 26% share of Aviva Life Insurance Company India Limited ("Aviva India") from Dabur Invest Corp ("DIC"), its local joint venture partner. This will take Aviva's ownership of Aviva India to 100%
</t>
    </r>
    <r>
      <rPr>
        <sz val="10"/>
        <color theme="1"/>
        <rFont val="EYInterstate"/>
        <family val="0"/>
        <charset val="1"/>
      </rPr>
      <t xml:space="preserve">
</t>
    </r>
    <r>
      <rPr>
        <sz val="10"/>
        <color rgb="FF00B050"/>
        <rFont val="EYInterstate"/>
        <family val="0"/>
        <charset val="1"/>
      </rPr>
      <t xml:space="preserve">Jul' 26 - Aviva and AXIS today announced a new Lloyd's consortium to support new renewable energy projects, helping enable progress towards the UK's 2030 net zero ambitions.
</t>
    </r>
    <r>
      <rPr>
        <sz val="10"/>
        <color theme="1"/>
        <rFont val="EYInterstate"/>
        <family val="0"/>
        <charset val="1"/>
      </rPr>
      <t xml:space="preserve">
</t>
    </r>
    <r>
      <rPr>
        <sz val="10"/>
        <color rgb="FF00B050"/>
        <rFont val="EYInterstate"/>
        <family val="0"/>
        <charset val="1"/>
      </rPr>
      <t xml:space="preserve">Jul' 26 - Aviva : has successfully completed its £350m share buyback programme. Aviva acquired 56,721,704 ordinary shares at an average price of 617.05 pence per share.</t>
    </r>
  </si>
  <si>
    <t xml:space="preserve">https://www.directlinegroup.co.uk/en/index.html
https://www.aviva.com/newsroom/news-releases/2026/04/aviva-completes-100m-full-scheme-buy-in-with-the-iveco-limited-pension-scheme/
https://www.insurancebusinessmag.com/uk/news/breaking-news/aviva-confirms-new-leadership-team-after-direct-line-merger-541168.aspx
https://infotechlead.com/cio/aviva-scales-ai-and-digital-transformation-to-reinvent-insurance-operations-and-customer-experience-94232
https://www.marketscreener.com/news/aviva-agrees-to-purchase-remaining-26-stake-in-india-joint-venture-ce7f5ed9d189f025
https://www.marketscreener.com/news/aviva-and-axis-launch-new-lloyda-s-consortium-to-power-uk-renewable-energy-growth-ce7f5ed8d181f022
https://www.marketscreener.com/news/aviva-has-successfully-completed-its-350m-share-buyback-programme-ce7f5ed8d18bf122</t>
  </si>
  <si>
    <t xml:space="preserve">https://eyindia.sharepoint.com/:b:/r/sites/InsuranceResearch/Shared%20Documents/Insurance%20Research/Top%2020%20UK/Aviva%20annual-report-and-accounts-2025.pdf?csf=1&amp;web=1&amp;e=3Y7s8q</t>
  </si>
  <si>
    <t xml:space="preserve">Martin O’Malley</t>
  </si>
  <si>
    <t xml:space="preserve">Charlotte Jones</t>
  </si>
  <si>
    <t xml:space="preserve">James Hillman</t>
  </si>
  <si>
    <t xml:space="preserve">AXA UK</t>
  </si>
  <si>
    <t xml:space="preserve">Thomas Buberl</t>
  </si>
  <si>
    <t xml:space="preserve">1. Business Relationship restriction
2. GCSP Approval
3. Audit Committee preapproval and/or IESBA Pre-concurrence required for services
4. Firm Loan
5. Full scope of services restrictions </t>
  </si>
  <si>
    <r>
      <rPr>
        <sz val="10"/>
        <color theme="1"/>
        <rFont val="Inter"/>
        <family val="0"/>
        <charset val="1"/>
      </rPr>
      <t xml:space="preserve">Mar' 26 - AXA UK &amp; Ireland announces the creation of a new general insurance business, AXA Insurance UK, bringing together its UK Commercial and Retail business units under a single leadership structure
Apr' 26 - AXA Insurance UK has appointed Martin Milliner as Chief Claims Transformation Officer, a new role in CEO Jon Walker’s executive committee following the creation of the general insurance business AXA Insurance UK.
</t>
    </r>
    <r>
      <rPr>
        <sz val="10"/>
        <color rgb="FF00B050"/>
        <rFont val="EYInterstate"/>
        <family val="0"/>
        <charset val="1"/>
      </rPr>
      <t xml:space="preserve">May' 26 - For small and medium sized businesses (SMEs), responding to climate change can be complex, particularly when considering how future impacts may affect the long-term viability of their products, services and premises. To support this, AXA Insurance UK has launched a free programme designed to help SMEs build informed, strategic thinking around adaptation to climate risk.</t>
    </r>
  </si>
  <si>
    <t xml:space="preserve">https://insurance-edge.net/2026/03/25/axa-insurance-uk-will-unify-commercial-retail/
https://www.axa.co.uk/newsroom/media-releases/2026/axa-insurance-uk-appoints-martin-milliner-as-chief-claims-transformation-officer/
https://www.axa.co.uk/newsroom/media-releases/2026/free-sustainability-initiative-helps-smes-build-resilience-and-adapt-to-climate-change/</t>
  </si>
  <si>
    <t xml:space="preserve">89953
(Euros)</t>
  </si>
  <si>
    <t xml:space="preserve">https://eyindia.sharepoint.com/:b:/r/sites/InsuranceResearch/Shared%20Documents/Insurance%20Research/Top%2020%20UK/AXA%20Annual%20Report%202025.pdf?csf=1&amp;web=1&amp;e=n88iIa</t>
  </si>
  <si>
    <t xml:space="preserve">AR pg - 352</t>
  </si>
  <si>
    <t xml:space="preserve">Chris Husssey</t>
  </si>
  <si>
    <t xml:space="preserve">Alban de Mailly Nesle</t>
  </si>
  <si>
    <t xml:space="preserve">Françoise Gilles</t>
  </si>
  <si>
    <t xml:space="preserve">Revenue is a consolidated figure</t>
  </si>
  <si>
    <t xml:space="preserve">Bupa UK</t>
  </si>
  <si>
    <t xml:space="preserve">Chris Carrol</t>
  </si>
  <si>
    <t xml:space="preserve">Kevin Griffith</t>
  </si>
  <si>
    <t xml:space="preserve">1. Business Relationship restriction
2. GCSP Approval
3. Firm Loan</t>
  </si>
  <si>
    <r>
      <rPr>
        <sz val="10"/>
        <color theme="1"/>
        <rFont val="Inter"/>
        <family val="0"/>
        <charset val="1"/>
      </rPr>
      <t xml:space="preserve">Feb' 26 - Small business group scheme members will no longer receive paper policy documents by post. Instead, all policy documents will be available to view online, making it easier and quicker to access important information when they need it.
Mar'26 - Strong financial performance enable us to provide more and better healthcare for our customers, and allows us to invest in innovation. This includes reinvesting in strategic projects that align with our purpose:
We have 52 Mindplace health centres open, expanding fast with 46 launches in 2025, so more people can access high-quality mental healthcare. We have launched genomics products in Spain, UK, Poland and Australia. Through our genomics programme, we have already delivered 28,800 genomic reports providing people with valuable insights and better enabling preventive and personalised care.
Apr' 26 - Bupa and Spire Healthcare have signed a four-year strategic partnership that will see the private hospital group provide care for Bupa’s UK health insurance customers across its national network, including a growing number of specialist cancer and musculoskeletal centres.
</t>
    </r>
    <r>
      <rPr>
        <sz val="10"/>
        <color rgb="FF00B050"/>
        <rFont val="EYInterstate"/>
        <family val="0"/>
        <charset val="1"/>
      </rPr>
      <t xml:space="preserve">May' 26 - Bupa has partnered with YuLife to launch an enhanced Health Cash Plan, designed to help businesses improve workplace wellbeing, reduce absence and make it easier for employees to access everyday healthcare.</t>
    </r>
  </si>
  <si>
    <t xml:space="preserve">https://www.insurancebusinessmag.com/uk/news/life-insurance/bupa-seals-fouryear-spire-deal-as-pmi-demand-surges-571445.aspx
https://www.bupa.com/news-and-press/press-releases/2026/bupa-group-full-year-financial-results-2025
https://www.bupa.co.uk/business/news-and-information/sme-paperless
https://www.prnewswire.co.uk/news-releases/bupa-and-yulife-launch-innovative-cash-plan-to-improve-workplace-health-302772167.html</t>
  </si>
  <si>
    <t xml:space="preserve">https://eyindia.sharepoint.com/:b:/r/sites/InsuranceResearch/Shared%20Documents/Insurance%20Research/Top%2020%20UK/bupa-group-results-and-financial-statement-fy2025.pdf?csf=1&amp;web=1&amp;e=gNT1GQ</t>
  </si>
  <si>
    <t xml:space="preserve">Zelina Harrington-Greenwood</t>
  </si>
  <si>
    <t xml:space="preserve">Charles Richardson</t>
  </si>
  <si>
    <t xml:space="preserve">Jeremy Eagles (Group)</t>
  </si>
  <si>
    <t xml:space="preserve">Legal &amp; General Group plc</t>
  </si>
  <si>
    <t xml:space="preserve">Antonio Simoes</t>
  </si>
  <si>
    <r>
      <rPr>
        <sz val="10"/>
        <color theme="1"/>
        <rFont val="Inter"/>
        <family val="0"/>
        <charset val="1"/>
      </rPr>
      <t xml:space="preserve">Oct' 25 - L&amp;G is collaborating with Microsoft to deliver an AI-powered customer service platform designed to enhance interactions for both customers and employees. The multi-year agreement sees the introduction of an AI-powered customer service platform, built using Microsoft Dynamics 365 Contact Center, to provide faster, more seamless support to L&amp;G’s 12.4 million customers. 
Mar' 26 - L&amp;G and Manulife Wealth &amp; Asset Management (Manulife WAM) today announced a long-term multi-faceted strategic partnership. It spans Distribution, Investment Management, and Product Development to enhance the global distribution reach of both firms, allowing them to meet growing client demand for comprehensive wealth and retirement solutions across Europe, Asia, the U.S.A., Canada, and Bermuda.
Mar'26 - Hyde Group and L&amp;G launch partnership to deliver more affordable homes. New joint venture combines pension money in L&amp;G’s annuity portfolio and affordable housing expertise with Hyde’s national housing platform, to develop, manage and service affordable homes at scale.
Apr'26 - L&amp;G announced that its suite of liquidity funds is now available on the Calastone Tokenised Distribution (CTD) Network, marking a significant milestone in L&amp;G’s digital distribution strategy. The CTD Network—built to seamlessly connect traditional fund products with digital distribution channels - enables investors to access L&amp;G’s liquidity strategies in tokenised form via blockchain enabled infrastructure. Tokenisation provides further accessibility for new digital investor segments and supports evolving client preferences for efficient digital solutions.
</t>
    </r>
    <r>
      <rPr>
        <sz val="10"/>
        <color rgb="FF00B050"/>
        <rFont val="EYInterstate"/>
        <family val="0"/>
        <charset val="1"/>
      </rPr>
      <t xml:space="preserve">Jun' 26 - L&amp;G expands Microsoft collaboration to accelerate AI enablement and transform customer experience. Legal &amp; General (L&amp;G) has announced a significant expansion of its relationship with Microsoft, entering a new three-year agreement to support delivery of its digital strategy.
</t>
    </r>
    <r>
      <rPr>
        <sz val="10"/>
        <color theme="1"/>
        <rFont val="EYInterstate"/>
        <family val="0"/>
        <charset val="1"/>
      </rPr>
      <t xml:space="preserve">
</t>
    </r>
    <r>
      <rPr>
        <sz val="10"/>
        <color rgb="FF00B050"/>
        <rFont val="EYInterstate"/>
        <family val="0"/>
        <charset val="1"/>
      </rPr>
      <t xml:space="preserve">May' 26 - L&amp;G paid an average of £3.8 million in protection claims a day last year, amounting to £1.388 billion in total.
</t>
    </r>
  </si>
  <si>
    <t xml:space="preserve">https://group.legalandgeneral.com/en/newsroom/press-releases/l-g-announces-collaboration-with-microsoft-to-drive-customer-focused-ai-transformation
https://group.legalandgeneral.com/en/newsroom/press-releases/l-g-and-manulife-wealth-asset-management-announce-strategic-global-partnership
https://group.legalandgeneral.com/en/newsroom/press-releases/l-g-liquidity-funds-now-live-on-ss-c-s-calastone-tokenised-distribution-network
https://group.legalandgeneral.com/en/newsroom/press-releases/hyde-group-and-l-g-launch-partnership-to-deliver-more-affordable-homes
https://group.legalandgeneral.com/newsroom/press-releases/2026/6/lg-expands-microsoft-collaboration-to-accelerate-ai-enablement-and-transform-customer-experience/
https://group.legalandgeneral.com/newsroom/press-releases/2026/5/lg-paid-out-over-1.388bn-protection-claims-in-2025/</t>
  </si>
  <si>
    <t xml:space="preserve">https://eyindia.sharepoint.com/:b:/r/sites/InsuranceResearch/Shared%20Documents/Insurance%20Research/Top%2020%20UK/Legal%20PLC%20annual-reports-and-accounts-2025.pdf?csf=1&amp;web=1&amp;e=lhamj4</t>
  </si>
  <si>
    <t xml:space="preserve">AR pg - 133</t>
  </si>
  <si>
    <t xml:space="preserve">Chris Jones BA</t>
  </si>
  <si>
    <t xml:space="preserve">Andrew Kail (Group)</t>
  </si>
  <si>
    <t xml:space="preserve">Zoe Wimborne</t>
  </si>
  <si>
    <t xml:space="preserve">Revenue is a consolidated figure
New Entity</t>
  </si>
  <si>
    <t xml:space="preserve">LV= (Liverpool Victoria)
LIVERPOOL VICTORIA LIFE COMPANY LIMITED</t>
  </si>
  <si>
    <t xml:space="preserve">Life and Pension</t>
  </si>
  <si>
    <t xml:space="preserve">Steve Treyoler</t>
  </si>
  <si>
    <r>
      <rPr>
        <sz val="10"/>
        <color rgb="FF000000"/>
        <rFont val="EYInterstate"/>
        <family val="0"/>
        <charset val="1"/>
      </rPr>
      <t xml:space="preserve">Mar' 26 - LV has proudly shared £100 million of member bonuses with eligible members - the largest bonus distribution in their history. Since 2011, they have shared £513 million.
Mar' 26 -  LV= General Insurance (GI) brand will be retired during 2026, with GI products moving fully under the Allianz UK brand. Allianz employees have been told that 650 jobs will be cut from its UK insurance arm due to ‘difficult market conditions’, less than six months after the decision to rebrand LV= General Insurance (LV=GI) to Allianz UK was classified as a ‘brand risk’.
</t>
    </r>
    <r>
      <rPr>
        <b val="true"/>
        <sz val="10"/>
        <color rgb="FF7030A0"/>
        <rFont val="EYInterstate"/>
        <family val="0"/>
        <charset val="1"/>
      </rPr>
      <t xml:space="preserve">Jun' 26 - Allianz confirmed that Liverpool Victoria Insurance Company Limited (the entity underwriting LV= policies since 2020) will be transferred into Allianz Insurance plc under a Part VII scheme, with a High Court sanction hearing set for 2 October 2026 and a transfer date of 1 January 2027 (subject to Court approval). The LV= brand itself is unaffected and continues under the April 2026 Allianz partnership already noted below; only the underwriting legal entity is changing.</t>
    </r>
  </si>
  <si>
    <t xml:space="preserve">https://www.lv.com/about-us/news/sharing-our-2025-financial-results?_gl=1*o2jo2n*_up*MQ..*_ga*MTM4MDcyOTQ5MS4xNzc2MTQzODE3*_ga_3MD00281LR*czE3NzYxNDM4MTckbzEkZzAkdDE3NzYxNDM4MTckajYwJGwwJGgw
https://protectionreporter.co.uk/exclusive-lv-rebrand-for-personal-lines-business-classified-as-brand-risk-in-annual-report-and-financial-statements.html
https://www.insurancebusinessmag.com/uk/news/breaking-news/lv-policyholders-to-move-to-allianz-insurance-plc-in-january-2027-579078.aspx</t>
  </si>
  <si>
    <t xml:space="preserve">https://eyindia.sharepoint.com/:b:/r/sites/InsuranceResearch/Shared%20Documents/Insurance%20Research/Top%2020%20UK/Liver%20Annual%20Report%20-%202025.pdf?csf=1&amp;web=1&amp;e=pwKNvy</t>
  </si>
  <si>
    <t xml:space="preserve">AR pg - 85</t>
  </si>
  <si>
    <t xml:space="preserve">Nikesh</t>
  </si>
  <si>
    <t xml:space="preserve">Stephen Percival</t>
  </si>
  <si>
    <t xml:space="preserve">Jean-Marc Robert</t>
  </si>
  <si>
    <t xml:space="preserve">New entity</t>
  </si>
  <si>
    <t xml:space="preserve">NFU Mutual</t>
  </si>
  <si>
    <t xml:space="preserve">Nick Turner</t>
  </si>
  <si>
    <t xml:space="preserve">Heather Hales</t>
  </si>
  <si>
    <r>
      <rPr>
        <sz val="10"/>
        <color rgb="FF000000"/>
        <rFont val="EYInterstate"/>
        <family val="0"/>
        <charset val="1"/>
      </rPr>
      <t xml:space="preserve">Nov' 25 - Aviva and NFU Mutual signed a new multi‑year protection distribution agreement in November 2025. The partnership enables NFU Mutual to distribute Aviva’s full intermediated protection suite (life, critical illness, income protection, relevant life and business life) to NFU Mutual members via its agency network and advice channels.
Jan' 26 - NFU Mutual and Guidewire (NYSE: GWRE) have announced a further strengthening of their long-term relationship, with NFU Mutual opting to migrate their on-premises deployment of Guidewire InsuranceSuite to Guidewire Cloud Platform. NFU Mutual will become the latest insurer to migrate to Guidewire Cloud Platform.
</t>
    </r>
    <r>
      <rPr>
        <b val="true"/>
        <sz val="10"/>
        <color rgb="FF7030A0"/>
        <rFont val="EYInterstate"/>
        <family val="0"/>
        <charset val="1"/>
      </rPr>
      <t xml:space="preserve">Jun' 26 - NFU Mutual held its AGM on 25 June 2026 at Stoneleigh Park, Warwickshire. Separately, the Commercial Court confirmed a Preliminary Issue Trial for the joined business-interruption claims against NFU Mutual (Innventure Ltd and others; South Farm Ltd and others), now listed for the week of 9-13 November 2026 (having been expected earlier in mid-2026), addressing whether COVID-era lockdown measures constitute an insured 'incident' under the relevant policies.</t>
    </r>
  </si>
  <si>
    <t xml:space="preserve">https://www.businesswire.com/news/home/20260126340964/en/NFU-Mutual-to-Further-Improve-Customer-Service-by-Moving-to-Guidewire-Cloud-Platform
https://www.aviva.com/newsroom/news-releases/2025/11/aviva-signs-new-protection-distribution-agreement-with-nfu-mutual/
https://www.nfumutual.co.uk/about-us/agm/
https://soultonhall.co.uk/2026/transparency-and-timing-november-2026-trial-set-for-nfu-mutual-business-interruption-claims/</t>
  </si>
  <si>
    <t xml:space="preserve">https://eyindia.sharepoint.com/:b:/r/sites/InsuranceResearch/Shared%20Documents/Insurance%20Research/Top%2020%20UK/NFU%20Mutual%20Fund%20Annual%20report%202024.pdf?csf=1&amp;web=1&amp;e=PztFjK</t>
  </si>
  <si>
    <t xml:space="preserve">Waseem Ahmed</t>
  </si>
  <si>
    <t xml:space="preserve">Richard Morley</t>
  </si>
  <si>
    <t xml:space="preserve">Iain Baker</t>
  </si>
  <si>
    <t xml:space="preserve">Phoenix Group Holdings
(Rebranded as Standard Life Plc)</t>
  </si>
  <si>
    <t xml:space="preserve">Andy Briggs, MBE</t>
  </si>
  <si>
    <r>
      <rPr>
        <sz val="10"/>
        <color theme="1"/>
        <rFont val="Inter"/>
        <family val="0"/>
        <charset val="1"/>
      </rPr>
      <t xml:space="preserve">Feb' 26 - Phoenix Group Holdings plc officially changed its name to Standard Life plc on 24 February 2026, following shareholder approval and Companies House registration.
Apr' 26 - Standard Life, which recently rebranded from Phoenix Group, has agreed to purchase rival Aegon's UK business in a substantial £2 billion deal. This strategic acquisition is set to reshape the UK's financial landscape by creating a dominant pension and savings entity.
</t>
    </r>
    <r>
      <rPr>
        <sz val="10"/>
        <color rgb="FF00B050"/>
        <rFont val="EYInterstate"/>
        <family val="0"/>
        <charset val="1"/>
      </rPr>
      <t xml:space="preserve">May' 26 - Standard Life has completed a £200 million bulk purchase annuity (BPA) transaction with the Abbey Life Assurance Company Limited Staff Pension Scheme, securing the benefits of over 1,500 members.</t>
    </r>
  </si>
  <si>
    <t xml:space="preserve">https://www.londonstockexchange.com/news-article/PHNX/change-of-company-name/17474860
https://www.britbrief.co.uk/business/acquisitions/standard-life-buys-aegon-uk-in-2bn-pension-deal.html
https://www.standardlifeplc.com/news-and-views/press-releases/article-page/buy-in-with-abbey-life</t>
  </si>
  <si>
    <t xml:space="preserve">https://eyindia.sharepoint.com/:b:/r/sites/InsuranceResearch/Shared%20Documents/Insurance%20Research/Top%2020%20UK/Phieonox%20Annual%20Report%202024.pdf?csf=1&amp;web=1&amp;e=xj66AF</t>
  </si>
  <si>
    <t xml:space="preserve">AR pg - 97</t>
  </si>
  <si>
    <t xml:space="preserve">Katie Murray</t>
  </si>
  <si>
    <t xml:space="preserve">Nicolaos Nicandrou</t>
  </si>
  <si>
    <t xml:space="preserve">Nicholas Anderson</t>
  </si>
  <si>
    <t xml:space="preserve">Prudential Plc</t>
  </si>
  <si>
    <t xml:space="preserve">Life and Health</t>
  </si>
  <si>
    <t xml:space="preserve">Keith Pogson</t>
  </si>
  <si>
    <r>
      <rPr>
        <sz val="10"/>
        <color rgb="FF000000"/>
        <rFont val="EYInterstate"/>
        <family val="0"/>
        <charset val="1"/>
      </rPr>
      <t xml:space="preserve">Jan' 26 - Prudential plc ("Prudential") announces that Sir Douglas Flint will be appointed as a Non-Executive Director and Chair-Designate to succeed Shriti Vadera as Chair of the Board following the Company's Annual General Meeting on 28 May 2026 when Shriti Vadera will retire from the Board after six years of service.
Mar'26 - S&amp;P Global Ratings upgraded the Financial Strength rating of Prudential's core entities to AA (from AA-) reflecting the Group’s robust capital position.
</t>
    </r>
    <r>
      <rPr>
        <sz val="10"/>
        <color rgb="FF00B050"/>
        <rFont val="EYInterstate"/>
        <family val="0"/>
        <charset val="1"/>
      </rPr>
      <t xml:space="preserve">May' 26 - To acquire a 75% stake in Bharti Life Insurance Company Limited (“Bharti Life”), a prominent Indian life insurer, from Bharti Life Ventures Pvt Ltd and 360 ONE Asset Management (“360 ONE”).
</t>
    </r>
    <r>
      <rPr>
        <b val="true"/>
        <sz val="10"/>
        <color rgb="FF7030A0"/>
        <rFont val="EYInterstate"/>
        <family val="0"/>
        <charset val="1"/>
      </rPr>
      <t xml:space="preserve">May/Jun' 26 - Following the Bharti Life acquisition, ICICI Prudential Life Insurance disclosed to exchanges that Prudential will be required to reduce its shareholding in ICICI Prudential Life to below 10% (from 22%) and will cease to be classified as a promoter, once Prudential takes majority control of Bharti Life. Separately, Prudential has reaffirmed a US$2 billion share buyback programme to be completed by mid-2026.</t>
    </r>
  </si>
  <si>
    <t xml:space="preserve">https://uk.advfn.com/stock-market/london/prudential-PRU/share-news/Prudential-PLC-Appointment-of-Chair-Designate/97610507
https://www.prudentialplc.com/en/newsroom/company-news/2026/prudential-plc-2025-full-year-results/
https://www.prudentialplc.com/en/newsroom/company-news/2026/Prudential-plc-repositions-its-India-operations-through--a-controlling-stake-in-Bharti-Life-Insurance/
https://www.multibagg.ai/market-pulse/articles/prudential-bharti-life-icici-pru-cmr7myqw2poiuqs0j6arjaeqa
https://www.directorstalkinterviews.com/prudential-expands-india-presence-with-bharti-life-acquisition/4121251722</t>
  </si>
  <si>
    <t xml:space="preserve">11080
(USD)</t>
  </si>
  <si>
    <t xml:space="preserve">https://eyindia.sharepoint.com/:b:/r/sites/InsuranceResearch/Shared%20Documents/Insurance%20Research/Top%2020%20UK/Prudential-plc-ar-2025.pdf?csf=1&amp;web=1&amp;e=yhMMFp</t>
  </si>
  <si>
    <t xml:space="preserve">AR pg - 249</t>
  </si>
  <si>
    <t xml:space="preserve">Benjamin Bulmer</t>
  </si>
  <si>
    <t xml:space="preserve">Avnish Kalra</t>
  </si>
  <si>
    <t xml:space="preserve">RSA Insurance Group 
(now Intact Insurance)</t>
  </si>
  <si>
    <t xml:space="preserve">Ken Norgrove</t>
  </si>
  <si>
    <t xml:space="preserve">Doru Pantea</t>
  </si>
  <si>
    <t xml:space="preserve">1. Audit client 
2. Business Relationship restriction
3. GCSP Approval
4. Audit Committee preapproval and/or IESBA Pre-concurrence required for services
5. Consultation Required
6. Firm Loan</t>
  </si>
  <si>
    <r>
      <rPr>
        <sz val="10"/>
        <color rgb="FF000000"/>
        <rFont val="EYInterstate"/>
        <family val="0"/>
        <charset val="1"/>
      </rPr>
      <t xml:space="preserve">Sep' 25 - RSA is now Intact Insurance in the UK, Ireland, and across Europe. It has appointed Tom Argentieri as chief distribution officer UK and Europe, RSA Specialty Lines.
Mar'26 - Intact Insurance is bringing its North American surety proposition to the UK as part of wider ambitions to scale its specialty lines business, hiring former Allianz Trade head of surety and guarantee David Weale to lead the expansion.
Apr'26 - Geo Underwriting has announced a new capacity partnership with Intact Insurance for its specialist marine trade proposition, with the arrangement set to take effect on May 1, 2026. The managing general agent (MGA) said the collaboration is intended to expand its trading capability in the specialist industrial marine space, offering brokers more competitive solutions as the market continues to evolve.
</t>
    </r>
    <r>
      <rPr>
        <b val="true"/>
        <sz val="10"/>
        <color rgb="FF7030A0"/>
        <rFont val="EYInterstate"/>
        <family val="0"/>
        <charset val="1"/>
      </rPr>
      <t xml:space="preserve">Intact Financial Corporation appointed Sameer Madan as Chief of Finance, Technology and Operations (CFTO) for its India Global Capability Center (GCC), based in Gurugram — his mandate covers operational stewardship, AI-led finance transformation and building integrated enterprise functions for Intact's India GCC (relevant to RSA/Intact's broader technology and finance operating model, which now includes an India GCC).
</t>
    </r>
    <r>
      <rPr>
        <sz val="10"/>
        <color rgb="FF000000"/>
        <rFont val="EYInterstate"/>
        <family val="0"/>
        <charset val="1"/>
      </rPr>
      <t xml:space="preserve">
</t>
    </r>
    <r>
      <rPr>
        <sz val="10"/>
        <color rgb="FF00B050"/>
        <rFont val="EYInterstate"/>
        <family val="0"/>
        <charset val="1"/>
      </rPr>
      <t xml:space="preserve">May' 26 - Intact Insurance has launched a new ‘Claims Charter’, a series of clear and measurable commitments designed to give brokers greater confidence and consistency in how claims are handled by the insurer
</t>
    </r>
    <r>
      <rPr>
        <sz val="10"/>
        <color rgb="FF000000"/>
        <rFont val="EYInterstate"/>
        <family val="0"/>
        <charset val="1"/>
      </rPr>
      <t xml:space="preserve">
</t>
    </r>
    <r>
      <rPr>
        <sz val="10"/>
        <color rgb="FF00B050"/>
        <rFont val="EYInterstate"/>
        <family val="0"/>
        <charset val="1"/>
      </rPr>
      <t xml:space="preserve">May' 26 - Intact Insurance is rolling out ‘Risk Assist’ as a core policy offering across its entire commercial lines portfolio. The new service will give brokers a practical way to support customers in making their businesses more resilient through risk management support, tools and training.
Jun' 26 - Six of the eTrade commercial products have achieved a 5 Star Rating from Defaqto. This is the highest level of independent product recognition available in the UK insurance market.</t>
    </r>
  </si>
  <si>
    <t xml:space="preserve">https://www.rsainsurance.co.uk/
https://www.insuranceage.co.uk/people/7957330/c%C3%B4t%C3%A9-reunites-with-argentieri-as-rsa-recruits-cdo-from-allianz
https://www.postonline.co.uk/news/7960053/intact-bringing-us-surety-play-to-uk-market
https://www.insurancebusinessmag.com/uk/news/marine/geo-underwriting-intact-announce-marine-capacity-deal-571676.aspx
https://www.intactinsurance.co.uk/news/press-releases/intact-insurance-launches-new-claims-charter
https://www.intactinsurance.co.uk/news/press-releases/intact-insurance-extends-risk-consulting-service-for-commercial-lines-policyholders
https://www.intactinsurance.co.uk/news/updates/six-etrade-products-rated-5-star-defaqto
https://hrtoday.in/sameer-madan-joins-intact-india-as-chief-of-finance-technology-and-operations-for-india-gcc/</t>
  </si>
  <si>
    <t xml:space="preserve">https://eyindia.sharepoint.com/:b:/r/sites/InsuranceResearch/Shared%20Documents/Insurance%20Research/Top%2020%20UK/RSA%20Insurance%20Annual%20Report%202025.pdf?csf=1&amp;web=1&amp;e=eOvlg3</t>
  </si>
  <si>
    <t xml:space="preserve">AR pg - 39</t>
  </si>
  <si>
    <t xml:space="preserve">Yasemin Dogu</t>
  </si>
  <si>
    <t xml:space="preserve">Karim Hirji</t>
  </si>
  <si>
    <t xml:space="preserve">Kam Phry</t>
  </si>
  <si>
    <t xml:space="preserve">Zurich Insurance UK</t>
  </si>
  <si>
    <t xml:space="preserve">Drazen Jaksic</t>
  </si>
  <si>
    <r>
      <rPr>
        <sz val="10"/>
        <color rgb="FF000000"/>
        <rFont val="EYInterstate"/>
        <family val="0"/>
        <charset val="1"/>
      </rPr>
      <t xml:space="preserve">Mar' 26 - Zurich Corporate Risk has launched a cancer risk assessment tool designed to help employees of group risk customers better understand and reduce their risk of developing cancer. The digital tool, which is free to access and available to all schemes automatically, is provided by Further.
Mar' 26 - Zurich Insurance Group announced it has agreed with UK specialty insurer Beazley on the terms of an all-cash offer to acquire Beazley for US$10.9 billion.
Apr'26 - Zurich is giving more than three million Life Protection customers access to Empathy at no extra cost, a pioneering human-led and digital bereavement support service, making it the first major business in the UK to offer comprehensive loss support at this scale. The move marks a significant expansion of Zurich’s customer support and a natural extension of its established empathy-led approach, moving beyond traditional insurance cover to supporting customers through life’s hardest moments.
</t>
    </r>
    <r>
      <rPr>
        <sz val="10"/>
        <color rgb="FF00B050"/>
        <rFont val="EYInterstate"/>
        <family val="0"/>
        <charset val="1"/>
      </rPr>
      <t xml:space="preserve">May' 26 - Zurich Insurance is introducing a global 24/7 emergency response service to help with the rapid clean-up of spills and environmental incidents of all types, giving customers instant access to specialist support and helping limit damage.
</t>
    </r>
    <r>
      <rPr>
        <sz val="10"/>
        <color rgb="FF000000"/>
        <rFont val="EYInterstate"/>
        <family val="0"/>
        <charset val="1"/>
      </rPr>
      <t xml:space="preserve">
</t>
    </r>
    <r>
      <rPr>
        <sz val="10"/>
        <color rgb="FF00B050"/>
        <rFont val="EYInterstate"/>
        <family val="0"/>
        <charset val="1"/>
      </rPr>
      <t xml:space="preserve">May' 26 - Zurich UK today announces further enhancements to its SME eTrade Commercial Combined offering on Acturis. These enhancements will make it simpler and more flexible for brokers to trade on both Acturis and Zurich Online.
</t>
    </r>
    <r>
      <rPr>
        <sz val="10"/>
        <color rgb="FF000000"/>
        <rFont val="EYInterstate"/>
        <family val="0"/>
        <charset val="1"/>
      </rPr>
      <t xml:space="preserve">
</t>
    </r>
    <r>
      <rPr>
        <sz val="10"/>
        <color rgb="FF00B050"/>
        <rFont val="EYInterstate"/>
        <family val="0"/>
        <charset val="1"/>
      </rPr>
      <t xml:space="preserve">Jun' 26 - Insurer Zurich UK today announces its Retail Protection claims paid statistics for 2025. Individual protection payments to customers and their families following a bereavement, illness or injury amounted to £392 million. This is up 9% year-on-year, from £361 million in 2024. Over the course of 2025, more than 5,500 new claims were paid, averaging 15 claims paid a day.
</t>
    </r>
    <r>
      <rPr>
        <b val="true"/>
        <sz val="10"/>
        <color rgb="FF7030A0"/>
        <rFont val="EYInterstate"/>
        <family val="0"/>
        <charset val="1"/>
      </rPr>
      <t xml:space="preserve">Jun/Jul' 26 - Zurich's £8.1bn (~US$10.9bn) all-cash offer for Beazley plc continued clearing regulatory hurdles: Australia's ACCC cleared the deal on 17 June 2026, and the European Commission cleared it under the simplified merger procedure on 7 July 2026 (Case M.12434). Approval from the UK's PRA and FCA, Lloyd's of London, Switzerland's FINMA, and UK court sanction of the scheme of arrangement are still outstanding; completion is expected in H2 2026. Zurich had raised its own Beazley shareholding to 4.50% via market purchases as of 10 June 2026.</t>
    </r>
  </si>
  <si>
    <t xml:space="preserve">https://healthcareandprotection.com/zurich-launches-cancer-assessment-tool-from-further-for-group-risk-schemes/
https://www.insurancejournal.com/news/international/2026/03/02/860121.htm
https://insurance-edge.net/2026/04/15/zurich-teams-up-with-empathy-on-bereavement-support/
https://www.zurich.co.uk/media-centre/emergency-environmental-response-service-added-to-zurich-cover
https://www.zurich.co.uk/media-centre/zurich-uk-enhances-sme-etrade-commercial-combined-offering
https://www.zurich.co.uk/media-centre/zurich-retail-protection-claims-payments-up-2025
https://www.insurancebusinessmag.com/us/news/breaking-news/european-commission-clears-zurichs-8-1-billion-acquisition-of-beazley-582095.aspx
https://www.insurancejournal.com/news/international/2026/06/18/874150.htm
</t>
  </si>
  <si>
    <t xml:space="preserve">https://www.zurich.co.uk/media-centre/zurich-uk-reports-its-full-year-results-for-the-2024</t>
  </si>
  <si>
    <t xml:space="preserve">In the link</t>
  </si>
  <si>
    <t xml:space="preserve">Ralph Daals</t>
  </si>
  <si>
    <t xml:space="preserve">Helen Pickford</t>
  </si>
  <si>
    <t xml:space="preserve">Shaun Hicks</t>
  </si>
  <si>
    <t xml:space="preserve">Hiscox Ltd (UK)</t>
  </si>
  <si>
    <t xml:space="preserve">Aki Hussain</t>
  </si>
  <si>
    <t xml:space="preserve">Andy Blackmore</t>
  </si>
  <si>
    <r>
      <rPr>
        <sz val="10"/>
        <color rgb="FF000000"/>
        <rFont val="EYInterstate"/>
        <family val="0"/>
        <charset val="1"/>
      </rPr>
      <t xml:space="preserve">Feb' 26 - Hiscox, the global specialist insurer, has introduced its first technology graduate programme, aimed at attracting and developing the next generation of tech talent as the Group looks to drive digital innovation and growth. This reinforces Hiscox’s positioning as a tech‑forward specialist insurer, particularly within the UK specialty and SME markets.
Feb' 26 - Through strategic execution the company made strong progress on strategic growth and change initiatives, building on the momentum of prior years, to establish the foundations to progress at pace. The Group has set clear ambitions to accelerate Hiscox Retail's growth to double-digit and realise a P&amp;L benefit of $200 million in 2028 and onwards from change programme, while pioneering the use of cutting-edge technologies to access new markets and drive increased operating leverage. We are firmly on track to deliver against this strategy and ambition.
</t>
    </r>
    <r>
      <rPr>
        <b val="true"/>
        <sz val="10"/>
        <color rgb="FF7030A0"/>
        <rFont val="EYInterstate"/>
        <family val="0"/>
        <charset val="1"/>
      </rPr>
      <t xml:space="preserve">May' 26 - Hiscox issued its Q1 2026 trading statement (7 May 2026) and held its AGM (14 May 2026). The Group continued executing its share buyback programme (commenced Feb 2026) throughout Q2 2026, repurchasing and cancelling shares in multiple tranches through June and into early July 2026, signalling continued capital strength and a focus on shareholder returns.</t>
    </r>
  </si>
  <si>
    <t xml:space="preserve">https://www.hiscoxgroup.com/news/press-releases/2026/16-02-26
https://www.londonstockexchange.com/news-article/HSX/full-year-results/17475217
https://www.hiscoxgroup.com/news/press-releases
https://www.tipranks.com/news/company-announcements/hiscox-continues-share-buyback-cancels-335000-plus-shares</t>
  </si>
  <si>
    <t xml:space="preserve">4883
(in USD)</t>
  </si>
  <si>
    <t xml:space="preserve">https://eyindia.sharepoint.com/:b:/r/sites/InsuranceResearch/Shared%20Documents/Insurance%20Research/Top%2020%20UK/Hiscox_report_and_accounts_2025.pdf?csf=1&amp;web=1&amp;e=OJYNw3</t>
  </si>
  <si>
    <t xml:space="preserve">AR pg - 160</t>
  </si>
  <si>
    <t xml:space="preserve">Daniel Williams</t>
  </si>
  <si>
    <t xml:space="preserve">Tom Shewry</t>
  </si>
  <si>
    <t xml:space="preserve">Fabrice Brossart</t>
  </si>
  <si>
    <t xml:space="preserve">Hastings Group</t>
  </si>
  <si>
    <t xml:space="preserve">Toby van der Meer</t>
  </si>
  <si>
    <t xml:space="preserve">Sébastien Gizard</t>
  </si>
  <si>
    <r>
      <rPr>
        <sz val="10"/>
        <color theme="1"/>
        <rFont val="Inter"/>
        <family val="0"/>
        <charset val="1"/>
      </rPr>
      <t xml:space="preserve">Mar' 25 - Hastings Insurance Services Limited ("Hastings") successfully appealed against a HMRC decision to deny £16m of VAT recovery, with the tribunal deeming that a UK anti-avoidance provision, introduced from 1 March 2019, was incompatible with EU law.
</t>
    </r>
    <r>
      <rPr>
        <sz val="10"/>
        <color rgb="FF00B050"/>
        <rFont val="EYInterstate"/>
        <family val="0"/>
        <charset val="1"/>
      </rPr>
      <t xml:space="preserve">May' 26 - Hastings sustainability report major highlights:
Recognized as the UK's #1 Best Big Company to Work For for the second consecutive year.
Delivered 219,806 learning hours across the workforce.
Supported 90 colleagues through apprenticeships and hired 23 graduates.</t>
    </r>
  </si>
  <si>
    <t xml:space="preserve">https://www.rsmuk.com/insights/tax-voice/hmrc-loses-vat-battle-of-hastings-for-the-second-time
https://www.hastingsgroup.uk/news-announcements/hastings-sustainability-report-2025</t>
  </si>
  <si>
    <t xml:space="preserve">https://www.hastingsgroup.uk/news-announcements/hastings-group-reports-fourth-quarter-results-2025</t>
  </si>
  <si>
    <t xml:space="preserve">Jamie Hay</t>
  </si>
  <si>
    <t xml:space="preserve">Briony Horvath</t>
  </si>
  <si>
    <t xml:space="preserve">Ecclesiastical Insurance Group</t>
  </si>
  <si>
    <t xml:space="preserve">Mark Hews</t>
  </si>
  <si>
    <r>
      <rPr>
        <sz val="10"/>
        <color rgb="FF000000"/>
        <rFont val="EYInterstate"/>
        <family val="0"/>
        <charset val="1"/>
      </rPr>
      <t xml:space="preserve">Nov' 25 - The specialist insurer topped the list of 46 insurers, including NFU Mutual, Bank of Scotland, TSB, Lloyds Bank, and NatWest, retaining Gold Ribbon status for another year. Fairer Finance, an independent consumer group, surveys around 20,000 UK banking and insurance customers throughout the year, asking them to rate how satisfied they are with their bank or insurance company.
Feb' 26 - Claims specialists at Ecclesiastical Insurance saved over £3million challenging fraudulent claims during 2025. Ecclesiastical Insurance’s claims team investigated over 280 cases of suspected fraudulent activity during 2025, a 20% increase on 2024.
</t>
    </r>
    <r>
      <rPr>
        <b val="true"/>
        <sz val="10"/>
        <color rgb="FF7030A0"/>
        <rFont val="EYInterstate"/>
        <family val="0"/>
        <charset val="1"/>
      </rPr>
      <t xml:space="preserve">Jan-Jun' 26 - Francois-Xavier Boisseau (ex-Ageas) became Chair of Benefact Group and Ecclesiastical Insurance Office from 1 January 2026, succeeding David Henderson. Ecclesiastical published its 2025 Annual Results on 20 March 2026. On 24 June 2026, shareholders overwhelmingly approved (99.94% in favour) a Special Resolution amending the company's Articles of Association at a General Meeting.
</t>
    </r>
  </si>
  <si>
    <t xml:space="preserve">https://www.ecclesiastical.com/media-centre/crack-down-on-fraudsters/
https://www.ecclesiastical.com/media-centre/ecclesiastical-tops-fairer-finance-home-insurance-table-for-22nd-time/
https://www.insuranceage.co.uk/organisations/ecclesiastical
https://www.tipranks.com/news/company-announcements/ecclesiastical-insurance-shareholders-back-articles-change-with-overwhelming-majority</t>
  </si>
  <si>
    <t xml:space="preserve">https://eyindia.sharepoint.com/:b:/r/sites/InsuranceResearch/Shared%20Documents/Insurance%20Research/Top%2020%20UK/Ecclesiastical-annual-results-2025.pdf?csf=1&amp;web=1&amp;e=43TThX</t>
  </si>
  <si>
    <t xml:space="preserve">AR pg - 1</t>
  </si>
  <si>
    <t xml:space="preserve">James Coyle</t>
  </si>
  <si>
    <t xml:space="preserve">Mark Bennett</t>
  </si>
  <si>
    <t xml:space="preserve">Richard Peden</t>
  </si>
  <si>
    <t xml:space="preserve">Convex Insurance</t>
  </si>
  <si>
    <t xml:space="preserve">Paul Brand</t>
  </si>
  <si>
    <t xml:space="preserve">Tim Piggott</t>
  </si>
  <si>
    <t xml:space="preserve">1. GCSP Approval
2. Consultation Required
3. Firm loan
4. Business Relationships</t>
  </si>
  <si>
    <r>
      <rPr>
        <sz val="10"/>
        <color theme="1"/>
        <rFont val="Inter"/>
        <family val="0"/>
        <charset val="1"/>
      </rPr>
      <t xml:space="preserve">Feb' 26 - Convex’s partnership with Onex to a 63% equity stake and initiates its long-term strategic relationship with AIG, which has an approximately 35% equity stake.
Feb' 26 - S&amp;P Global Ratings upgraded Convex’s operating entities to ‘A’ with stable outlook, reflecting strong capitalization and underwriting discipline—supportive of Convex Insurance UK’s standing in the London market.
</t>
    </r>
    <r>
      <rPr>
        <sz val="10"/>
        <color rgb="FF00B050"/>
        <rFont val="EYInterstate"/>
        <family val="0"/>
        <charset val="1"/>
      </rPr>
      <t xml:space="preserve">Apr' 26 - Convex Group, the expansive global specialty insurance and reinsurance underwriter, has returned to the catastrophe bond market and has an initial target to secure $200 million or more in retrocession from its fourth catastrophe bond sponsorship, a Hypatia Ltd. (Series 2026-1)  issuance
May' 26 - Convex Group Ltd., the international specialty insurer and reinsurer, announced it has received in-principle approval to launch Lloyd’s Syndicate 1987, which is planned to commence underwriting on July 1, 2026, subject to appropriate regulatory approvals.
</t>
    </r>
    <r>
      <rPr>
        <sz val="10"/>
        <color theme="1"/>
        <rFont val="EYInterstate"/>
        <family val="0"/>
        <charset val="1"/>
      </rPr>
      <t xml:space="preserve">
</t>
    </r>
    <r>
      <rPr>
        <sz val="10"/>
        <color rgb="FF00B050"/>
        <rFont val="EYInterstate"/>
        <family val="0"/>
        <charset val="1"/>
      </rPr>
      <t xml:space="preserve">Jun' 26 - Convex Group Limited, the international specialty insurer and reinsurer, announces the launch of Kinetic Insurance Services (Kinetic), a wholly owned, technology-enabled Managing General Agency (“MGA”) which will start trading in Q4 2026.</t>
    </r>
  </si>
  <si>
    <t xml:space="preserve">https://convexin.com/wp-content/uploads/2026/02/Press-release-Convexs-new-ownership-structure-receives-regulatory-approval-060226.pdf
https://www.spglobal.com/ratings/en/regulatory/article/-/view/sourceId/101654748
https://www.artemis.bm/news/convex-targets-200m-of-retrocession-with-its-fourth-hypatia-catastrophe-bond/
https://www.insurancejournal.com/news/international/2026/05/28/871600.htm
https://convexin.com/wp-content/uploads/2026/06/Convex-MGA-release-030526.pdf</t>
  </si>
  <si>
    <t xml:space="preserve">5,879 (in USD)</t>
  </si>
  <si>
    <t xml:space="preserve">https://convexin.com/2026/02/20/record-profit-achieved-in-2025/</t>
  </si>
  <si>
    <t xml:space="preserve">Amer Khalil</t>
  </si>
  <si>
    <t xml:space="preserve">Matthew Wilson</t>
  </si>
  <si>
    <t xml:space="preserve">Pierre Rodriguez</t>
  </si>
  <si>
    <t xml:space="preserve">Tesco Underwriting Limited        </t>
  </si>
  <si>
    <t xml:space="preserve">Craig Peter Bundell</t>
  </si>
  <si>
    <t xml:space="preserve">Jeremy Hallett</t>
  </si>
  <si>
    <r>
      <rPr>
        <sz val="10"/>
        <color theme="1"/>
        <rFont val="Inter"/>
        <family val="0"/>
        <charset val="1"/>
      </rPr>
      <t xml:space="preserve">Jul' 25 - Craig Peter Bundell was appointed Chief Executive Officer of Tesco Underwriting Limited in July 2025. He joined the boards of Tesco Underwriting Limited and Tesco Personal Finance Limited (Tesco Bank) at the same time.
Mar' 26 - Tesco Insurance and Money Services (Tesco IMS) has kicked off a comprehensive digital transformation programme, enabling the insurance company to establish a robust cloud-first ecosystem and create improved value for customers.
</t>
    </r>
    <r>
      <rPr>
        <sz val="10"/>
        <color rgb="FF00B050"/>
        <rFont val="EYInterstate"/>
        <family val="0"/>
        <charset val="1"/>
      </rPr>
      <t xml:space="preserve">
May' 26 - Tesco announces the launch of Aviva-underwritten critical illness cover, expanding their joint protection offering. Customers can now protect themselves and their families financially in the event of a serious illness.
Jul' 26 - Tesco Insurance and Money Services has today announced its ‘Free Parent Life Cover’ proposition in partnership with Aviva, designed to help families take their first step into life insurance and protect what matters most.</t>
    </r>
  </si>
  <si>
    <t xml:space="preserve">https://corporate.tescoinsurance.com/tesco-insurance-names-new-ceo-following-separation-from-tesco-bank/
https://www.fstech.co.uk/fst/Tesco_Insurance_And_Money_Services_Turns_Attention_Towards_Digital_Transformation.php
https://corporate.tescoinsurance.com/tesco-and-aviva-expand-protection-offering-with-launch-of-critical-illness-cover/
https://corporate.tescoinsurance.com/tesco-insurance-introduces-free-parent-life-cover-in-partnership-with-aviva/</t>
  </si>
  <si>
    <t xml:space="preserve">https://eyindia.sharepoint.com/:b:/r/sites/InsuranceResearch/Shared%20Documents/Insurance%20Research/Top%2020%20UK/Tesco-limited-annual-accounts-2024.pdf?csf=1&amp;web=1&amp;e=Jyh1DA</t>
  </si>
  <si>
    <t xml:space="preserve">AR pg - 5</t>
  </si>
  <si>
    <t xml:space="preserve">
Ryan Aitken</t>
  </si>
  <si>
    <t xml:space="preserve">Gillian Cass</t>
  </si>
  <si>
    <t xml:space="preserve">David Reeman</t>
  </si>
  <si>
    <t xml:space="preserve">Markerstudy Group UK</t>
  </si>
  <si>
    <t xml:space="preserve">Kevin Spencer</t>
  </si>
  <si>
    <t xml:space="preserve">Peter Galka</t>
  </si>
  <si>
    <r>
      <rPr>
        <sz val="10"/>
        <color theme="1"/>
        <rFont val="Inter"/>
        <family val="0"/>
        <charset val="1"/>
      </rPr>
      <t xml:space="preserve">Feb' 26 - The Financial Conduct Authority has imposed customer and capital limits on private equity-backed insurer Markerstudy, placing regulatory constraints on an acquisition-driven growth strategy supported by Pollen Street Capital and Bain Capital. The restrictions apply across Markerstudy’s regulated businesses and require the group to remain within agreed limits on policy numbers and funding while governance and financial control issues are addressed.
Mar' 26 - Glen Ward has joined Markerstudy’s senior leadership team as Group Chief Financial Officer (subject to regulatory approval) bringing with him a wealth of experience in the financial services sector, including notable tenures at Admiral Insurance as Group Finance Director and UK Insurance CFO.
</t>
    </r>
    <r>
      <rPr>
        <sz val="10"/>
        <color rgb="FF00B050"/>
        <rFont val="EYInterstate"/>
        <family val="0"/>
        <charset val="1"/>
      </rPr>
      <t xml:space="preserve">May' 26 - Markerstudy Business, the commercial insurance arm of Markerstudy Group, has declared itself open, subject to regulatory approval, after chief executive Ross Barrington (pictured above) signed off a strategy to lift the unit to £200 million in gross written premium.
May' 26 - Markerstudy Group is set to sell its managing general agent arm to the parent company of insurer Tradex as it focuses on broking, Insurance Age has learned.
</t>
    </r>
    <r>
      <rPr>
        <sz val="10"/>
        <color theme="1"/>
        <rFont val="EYInterstate"/>
        <family val="0"/>
        <charset val="1"/>
      </rPr>
      <t xml:space="preserve">
</t>
    </r>
    <r>
      <rPr>
        <sz val="10"/>
        <color rgb="FF00B050"/>
        <rFont val="EYInterstate"/>
        <family val="0"/>
        <charset val="1"/>
      </rPr>
      <t xml:space="preserve">Jul' 26 - Markerstudy Group has sold Markerstudy Insurance Services Limited (MISL) to Saturn Holdings PLC (Saturn), parent company of Tradex Insurance Company PLC (Tradex). This transaction represents an important step in Markerstudy’s strategy to sharpen its focus on its Retail operation, enabling the Group to accelerate investment in customer experience, digital capability and sustainable, long-term growth.</t>
    </r>
  </si>
  <si>
    <t xml:space="preserve">https://www.markerstudygroup.com/media/news/markerstudy-group/markerstudy-welcomes-glen-ward-as-group-chief-financial-officer/
https://www.insurancebusinessmag.com/uk/news/breaking-news/markerstudy-hit-with-fca-restrictions-564021.aspx
https://www.insurancebusinessmag.com/uk/news/breaking-news/markerstudy-launches-commercial-arm-targeting-200-million-gwp-574556.aspx
https://www.insuranceage.co.uk/insurer/7958332/markerstudy-to-sell-mga-business-with-cuo-humphreys-poised-to-exit
https://www.markerstudygroup.com/media/news/markerstudy-group/markerstudy-group-completes-sale-of-misl-to-saturn-to-support-strategic-focus-and-future-growth/</t>
  </si>
  <si>
    <t xml:space="preserve">https://eyindia.sharepoint.com/:b:/r/sites/InsuranceResearch/Shared%20Documents/Insurance%20Research/Top%2020%20UK/Makerstudy%20-annual-report-2024.pdf?csf=1&amp;web=1&amp;e=ZoiU2k</t>
  </si>
  <si>
    <t xml:space="preserve">AR pg - 7</t>
  </si>
  <si>
    <t xml:space="preserve">Elaine Francis-McCusker</t>
  </si>
  <si>
    <t xml:space="preserve">Glen Ward</t>
  </si>
  <si>
    <t xml:space="preserve">Darran Boland</t>
  </si>
  <si>
    <t xml:space="preserve">Regrouped:The two companies listed below were earlier part of the Top 20 UK Insurer list and have since been moved below the Top 20 following the latest news flow.</t>
  </si>
  <si>
    <t xml:space="preserve">Aegon UK Plc</t>
  </si>
  <si>
    <t xml:space="preserve">Mike Holliday-Williams</t>
  </si>
  <si>
    <t xml:space="preserve">Tom de Kuijper</t>
  </si>
  <si>
    <t xml:space="preserve">1. Audit client
2. Business Relationship restriction
3. GSP approval required
4. Audit Committee preapproval and/or IESBA Pre-concurrence required for services
5. Firm Loan 
6. Consultation Required</t>
  </si>
  <si>
    <r>
      <rPr>
        <sz val="10"/>
        <color theme="1"/>
        <rFont val="Inter"/>
        <family val="0"/>
        <charset val="1"/>
      </rPr>
      <t xml:space="preserve">Dec' 25 - Dutch insurance and asset management giant Aegon has announced a major strategic restructuring that involves moving its legal seat to the United States, rebranding as Transamerica, and potentially selling its Edinburgh-based UK business.
Feb' 26 - Lloyds Banking Group Plc and Phoenix Group Holdings Plc are among bidders for the UK arm of Dutch insurer Aegon Ltd., people familiar with the matter said. 
They’re among parties that submitted initial offers this month, the people said, asking not to be identified because the information is private. Aegon UK has also attracted early interest from Great-West Lifeco Inc.’s Canada Life unit and Royal London, according to the people. 
</t>
    </r>
    <r>
      <rPr>
        <sz val="10"/>
        <color rgb="FF00B050"/>
        <rFont val="EYInterstate"/>
        <family val="0"/>
        <charset val="1"/>
      </rPr>
      <t xml:space="preserve">Apr' 26 - Aegon to sell Aegon UK to Standard Life for a total consideration of GBP 2.0 billion. Transaction marks the completion of the strategic review of Aegon UK, further supporting Aegon in its ambition to become a leading US life insurance and retirement group</t>
    </r>
  </si>
  <si>
    <t xml:space="preserve">https://www.scottishfinancialnews.com/articles/edinburgh-based-aegon-uk-at-risk-of-sale-amid-us-strategic-pivot
https://financialpost.com/pmn/business-pmn/lloyds-phoenix-submit-initial-bids-for-aegons-uk-unit
https://www.aegon.com/newsroom/news/press-releases/2026/aegon-to-sell-aegon-uk-to-standard-life</t>
  </si>
  <si>
    <t xml:space="preserve">https://eyindia.sharepoint.com/sites/InsuranceResearch/Shared%20Documents/Forms/AllItems.aspx?id=%2Fsites%2FInsuranceResearch%2FShared%20Documents%2FInsurance%20Research%2FTop%2020%20UK%2FAegon%20UK%20PLC%20Group%20accounts%202024%2Epdf&amp;parent=%2Fsites%2FInsuranceResearch%2FShared%20Documents%2FInsurance%20Research%2FTop%2020%20UK</t>
  </si>
  <si>
    <t xml:space="preserve">AR pg - 41</t>
  </si>
  <si>
    <t xml:space="preserve">Mohit Dhingra</t>
  </si>
  <si>
    <t xml:space="preserve">Jim Ewing</t>
  </si>
  <si>
    <t xml:space="preserve">Alison Morris</t>
  </si>
  <si>
    <t xml:space="preserve">Beazley Plc</t>
  </si>
  <si>
    <t xml:space="preserve">Adrian Peter Cox</t>
  </si>
  <si>
    <t xml:space="preserve">Robert Bruce</t>
  </si>
  <si>
    <r>
      <rPr>
        <sz val="10"/>
        <color rgb="FF000000"/>
        <rFont val="EYInterstate"/>
        <family val="0"/>
        <charset val="1"/>
      </rPr>
      <t xml:space="preserve">Dec' 25 - Beazley remained the largest specialist cyber insurer globally, but took a notably disciplined stance. Beazley has completed a new $300 million 144A cyber catastrophe bond, expanding its use of insurance-linked securities to transfer cyber risk to capital markets.
Mar' 26 - Zurich Insurance Group announced it has agreed with UK specialty insurer Beazley on the terms of an all-cash offer to acquire Beazley for US$10.9 billion.
</t>
    </r>
    <r>
      <rPr>
        <b val="true"/>
        <sz val="10"/>
        <color rgb="FF7030A0"/>
        <rFont val="EYInterstate"/>
        <family val="0"/>
        <charset val="1"/>
      </rPr>
      <t xml:space="preserve">Jun/Jul' 26 - Zurich's £8.1bn all-cash acquisition of Beazley (agreed 2 March 2026, 1,335p/share, 99.9% shareholder approval in April 2026) has cleared Australia's ACCC (17 June 2026) and the European Commission (7 July 2026). Remaining conditions are PRA/FCA and Lloyd's approval, FINMA sign-off, and UK court sanction of the scheme of arrangement; completion expected H2 2026.</t>
    </r>
  </si>
  <si>
    <t xml:space="preserve">https://www.insurancejournal.com/news/international/2026/03/02/860121.htm
https://www.insurancebusinessmag.com/us/news/cyber/beazley-adds-300m-cyber-cat-bond-as-ils-strategy-deepens-560096.aspx
https://www.insurancebusinessmag.com/us/news/breaking-news/european-commission-clears-zurichs-8-1-billion-acquisition-of-beazley-582095.aspx</t>
  </si>
  <si>
    <t xml:space="preserve">6100.7
(in USD)</t>
  </si>
  <si>
    <t xml:space="preserve">https://eyindia.sharepoint.com/:b:/r/sites/InsuranceResearch/Shared%20Documents/Insurance%20Research/Top%2020%20UK/Bezley%20PLC%20Annual%20Report%202025.pdf?csf=1&amp;web=1&amp;e=8FR6or</t>
  </si>
  <si>
    <t xml:space="preserve">Sarah Hudson‑Jordan</t>
  </si>
  <si>
    <t xml:space="preserve">Barbara Plucnar Jensen</t>
  </si>
  <si>
    <t xml:space="preserve">Dan Ryan</t>
  </si>
  <si>
    <t xml:space="preserve">Regrouped: The brokers mentioned below were earlier classified under the Top 20 UK Insurer list</t>
  </si>
  <si>
    <t xml:space="preserve">Brokers</t>
  </si>
  <si>
    <t xml:space="preserve">Aon Plc</t>
  </si>
  <si>
    <t xml:space="preserve">Broker</t>
  </si>
  <si>
    <t xml:space="preserve">Gregory C. Case</t>
  </si>
  <si>
    <t xml:space="preserve">Sarah Clamp</t>
  </si>
  <si>
    <t xml:space="preserve">1. Audit client  
2. Business Relationship restriction
3. GCSP Approval
4. Audit Committee preapproval and/or IESBA Pre-concurrence required for services
5. Consultation Required
6. Firm Loan </t>
  </si>
  <si>
    <r>
      <rPr>
        <sz val="10"/>
        <color theme="1"/>
        <rFont val="Inter"/>
        <family val="0"/>
        <charset val="1"/>
      </rPr>
      <t xml:space="preserve">Mar' 26 -  Aon plc a leading global professional services firm, has announced Carl Nordling as commercial director for the UK and Nordics for its Global Benefits team.
Mar' 26 - Aon plc, a leading global professional services firm, has announced the UK launch of Health Risk Analyser, a predictive analytics solution designed to help organisations proactively manage healthcare costs and improve employee wellbeing.
</t>
    </r>
    <r>
      <rPr>
        <sz val="10"/>
        <color rgb="FF00B050"/>
        <rFont val="EYInterstate"/>
        <family val="0"/>
        <charset val="1"/>
      </rPr>
      <t xml:space="preserve">May' 26 - Aon Expands Aon Claims Copilot Globally, Strengthening Data and Analytics Capabilities Across Commercial Risk. Global rollout of Aon Claims Copilot integrates advanced claims data visibility and analytics into a single connected claims management platform
</t>
    </r>
    <r>
      <rPr>
        <sz val="10"/>
        <color theme="1"/>
        <rFont val="EYInterstate"/>
        <family val="0"/>
        <charset val="1"/>
      </rPr>
      <t xml:space="preserve">
</t>
    </r>
    <r>
      <rPr>
        <sz val="10"/>
        <color rgb="FF00B050"/>
        <rFont val="EYInterstate"/>
        <family val="0"/>
        <charset val="1"/>
      </rPr>
      <t xml:space="preserve">May' 26 - Aon to modernize how brokers access capital and syndicate risk with new Digital Placement Exchange (Aon DPX) trading platform. Aon DPX will be Aon's digital approach to placing Follow Line business in the London Market, using structured data and algorithmic trading to connect risk and capital more efficiently. 
</t>
    </r>
    <r>
      <rPr>
        <sz val="10"/>
        <color theme="1"/>
        <rFont val="EYInterstate"/>
        <family val="0"/>
        <charset val="1"/>
      </rPr>
      <t xml:space="preserve">
</t>
    </r>
    <r>
      <rPr>
        <sz val="10"/>
        <color rgb="FF00B050"/>
        <rFont val="EYInterstate"/>
        <family val="0"/>
        <charset val="1"/>
      </rPr>
      <t xml:space="preserve">Jun' 26 - Aon launches Contract AI to enhance contract certainty through rapid analysis of reinsurance coverage. AI solution analyzes policy exclusions following catastrophe, cyber and geopolitical events to better negotiate renewal terms for insurers</t>
    </r>
  </si>
  <si>
    <t xml:space="preserve">https://www.aon.com/unitedkingdom/media-room/articles/aon-carl-nordling-uk-nordics-director
https://www.aon.com/unitedkingdom/media-room/articles/aon-health-risk-analyser-uk-workforce-risks
https://www.prnewswire.com/in/news-releases/aon-expands-aon-claims-copilot-globally-strengthening-data-and-analytics-capabilities-across-commercial-risk-302770175.html
https://www.prnewswire.com/in/news-releases/aon-to-modernize-how-brokers-access-capital-and-syndicate-risk-with-new-digital-placement-exchange-aon-dpx-trading-platform-302773754.html
https://aon.mediaroom.com/news-releases?item=138603</t>
  </si>
  <si>
    <t xml:space="preserve">15698
(USD)</t>
  </si>
  <si>
    <t xml:space="preserve">https://eyindia.sharepoint.com/:b:/r/sites/InsuranceResearch/Shared%20Documents/Insurance%20Research/Top%2020%20UK/Aon-2024-10K-25635809.pdf?csf=1&amp;web=1&amp;e=eJD7pW</t>
  </si>
  <si>
    <t xml:space="preserve">AR Pg - 36</t>
  </si>
  <si>
    <t xml:space="preserve">Edmund Reese</t>
  </si>
  <si>
    <t xml:space="preserve">Mehmet Erzen</t>
  </si>
  <si>
    <t xml:space="preserve">WTW Plc</t>
  </si>
  <si>
    <t xml:space="preserve">Carl Hess</t>
  </si>
  <si>
    <t xml:space="preserve">Simon Burtwell</t>
  </si>
  <si>
    <r>
      <rPr>
        <sz val="10"/>
        <color theme="1"/>
        <rFont val="Inter"/>
        <family val="0"/>
        <charset val="1"/>
      </rPr>
      <t xml:space="preserve">WTW launches analytical service to optimise captive insurance
WTW launches a new analytical and strategic service, Captive Fit, designed to help companies optimise their captive insurance arrangements.
Apr' 26 - Willis, a WTW business, announced the launch of Digital Infrastructure Protector, a new, end-to-end lifecycle solution for data center owners and operators. This solution combines integrated policy coverage during both the construction and operations phases with enhanced, tailored risk management to help data center owners, operators, contractors, and hyperscalers minimize risk while maximizing operational and financial resiliency.
</t>
    </r>
    <r>
      <rPr>
        <sz val="10"/>
        <color rgb="FF00B050"/>
        <rFont val="EYInterstate"/>
        <family val="0"/>
        <charset val="1"/>
      </rPr>
      <t xml:space="preserve">Jun' 26 - WTW launches AI Workforce Transformation solution to turn AI potential into enhanced workforce performance. AI Workforce Transformation solution which helps companies focus AI where it is expected to deliver productivity and growth gains through redesigned work, jobs and strong employee adoption.</t>
    </r>
  </si>
  <si>
    <t xml:space="preserve">https://www.captiveinsurancetimes.com/captiveinsurancenews/industryarticle.php?article_id=9966&amp;navigationaction=industrynews&amp;newssection=industry
https://www.wtwco.com/en-gb/news/2026/04/willis-launches-digital-infrastructure-protector
https://www.wtwco.com/en-gb/news/2026/06/wtw-launches-ai-workforce-transformation-solution-to-turn-ai-potential-into-enhanced-workforce</t>
  </si>
  <si>
    <t xml:space="preserve">9708
(USD)</t>
  </si>
  <si>
    <t xml:space="preserve">https://eyindia.sharepoint.com/:b:/r/sites/InsuranceResearch/Shared%20Documents/Insurance%20Research/Top%2020%20UK/WTW%20Annual%20Report%202025.pdf?csf=1&amp;web=1&amp;e=qoSFDE</t>
  </si>
  <si>
    <t xml:space="preserve">AR pg - 50</t>
  </si>
  <si>
    <t xml:space="preserve">Andrew Krasner</t>
  </si>
  <si>
    <t xml:space="preserve">David Howden</t>
  </si>
  <si>
    <t xml:space="preserve">Ed Jervis</t>
  </si>
  <si>
    <t xml:space="preserve">1. Audit client 
2. Business Relationship restriction
3. GCSP Approval
4. Consultation Required
5. Firm Loan</t>
  </si>
  <si>
    <r>
      <rPr>
        <sz val="10"/>
        <color theme="1"/>
        <rFont val="Inter"/>
        <family val="0"/>
        <charset val="1"/>
      </rPr>
      <t xml:space="preserve">Mar' 26 - Howden has agreed to acquire the insurance and financial services consulting team of Hymans Robertson, marking the formal launch of Howden Insurance Actuarial and Longevity. The new practice brings together the Hymans Robertson IFS specialists and Barnett Waddingham, which Howden purchased in March 2025. 
Feb' 26 - Howden has confirmed its latest fund raise to bolster funding available for future growth investments. The broker detailed that in a private offering, $690m (£509.8m) has been added to $500m of existing senior notes that run to 2032.
</t>
    </r>
    <r>
      <rPr>
        <sz val="10"/>
        <color rgb="FF00B050"/>
        <rFont val="EYInterstate"/>
        <family val="0"/>
        <charset val="1"/>
      </rPr>
      <t xml:space="preserve">May' 26 - Howden announces the acquisition of Opes Private Clients Limited (“Opes Wealth Trust”), a Dublin-based firm specialising in financial, retirement and investment planning. This acquisition strengthens Howden’s expanding Financial Advisory team in Ireland and enhances its growing Financial Advisory proposition with greater depth and technical expertise.</t>
    </r>
  </si>
  <si>
    <t xml:space="preserve">https://www.insuranceage.co.uk/insight/7958160/howden-diversifies-with-new-arm-on-back-of-acquisition
https://www.insuranceage.co.uk/insight/7957930/howden-confirms-703m-bond-raise
https://www.howdengroupholdings.com/news/howden-expands-its-financial-advisory-expertise-through-the-acquisition-of-opes-private-clients-limited</t>
  </si>
  <si>
    <t xml:space="preserve">https://www.howdengroupholdings.com/news/howden-announces-2024-full-year-results</t>
  </si>
  <si>
    <t xml:space="preserve">Susan Pankhurst</t>
  </si>
  <si>
    <t xml:space="preserve">Susan Panuccio</t>
  </si>
  <si>
    <t xml:space="preserve">Rebecca Scot</t>
  </si>
  <si>
    <t xml:space="preserve">Removed: The companies listed below were previously classified under the Top 20 but have now been removed due to acquisition</t>
  </si>
  <si>
    <t xml:space="preserve">Direct Line Insurance Group</t>
  </si>
  <si>
    <t xml:space="preserve">Adam Winslow</t>
  </si>
  <si>
    <t xml:space="preserve">Direct Line Insurance Group plc was acquired by Aviva plc on 1 July 2025.
</t>
  </si>
  <si>
    <t xml:space="preserve">https://www.directlinegroup.co.uk/en/index.html
</t>
  </si>
  <si>
    <t xml:space="preserve">https://eyindia.sharepoint.com/:b:/r/sites/InsuranceResearch/Shared%20Documents/Insurance%20Research/Top%2020%20UK/Direct%20Line%20annual-report-and-accounts-2024.pdf?csf=1&amp;web=1&amp;e=lIHGcz</t>
  </si>
  <si>
    <t xml:space="preserve">AR pg - 170</t>
  </si>
  <si>
    <t xml:space="preserve">Jane Poole</t>
  </si>
  <si>
    <t xml:space="preserve">Mark Gregory</t>
  </si>
  <si>
    <t xml:space="preserve">Churchill Insurance</t>
  </si>
  <si>
    <t xml:space="preserve">David O’Connor</t>
  </si>
  <si>
    <t xml:space="preserve">Jul' 25 - Churchill Insurance is a core retail brand within Direct Line Group, which was fully acquired by Aviva plc on 1 July 2025 following a court‑approved scheme of arrangement. Since then, Churchill operates under Aviva’s ownership alongside Direct Line and Green Flag</t>
  </si>
  <si>
    <t xml:space="preserve">https://www.aviva.com/newsroom/news-releases/2025/07/aviva-completes-acquisition-of-direct-line/</t>
  </si>
  <si>
    <t xml:space="preserve">Region</t>
  </si>
  <si>
    <t xml:space="preserve">Entity</t>
  </si>
  <si>
    <t xml:space="preserve">Key Trend</t>
  </si>
  <si>
    <t xml:space="preserve">AI, GenAI &amp; Advanced Analytics Transformation</t>
  </si>
  <si>
    <t xml:space="preserve">Physical Expansion, Multi-City Scaling &amp; Infrastructure Growth</t>
  </si>
  <si>
    <t xml:space="preserve">Leadership, Talent &amp; Organizational Evolution</t>
  </si>
  <si>
    <t xml:space="preserve">Mergers, Acquisition and Consolidation</t>
  </si>
  <si>
    <t xml:space="preserve">Reinsurance, Specialty Risk &amp; Capital Strategy</t>
  </si>
  <si>
    <t xml:space="preserve">Regulation, Compliance &amp; Market Structure Impact</t>
  </si>
  <si>
    <t xml:space="preserve">India as the Global Insurance GCC &amp; AI Nerve-Centre</t>
  </si>
  <si>
    <t xml:space="preserve">GCC</t>
  </si>
  <si>
    <t xml:space="preserve">Allianz Service Private limited (India) - GCC</t>
  </si>
  <si>
    <t xml:space="preserve">1.Allianz UK prevents record level of fraud (12 march 2026)
2.Allianz Jio Re Limited Commences Underwriting Reinsurance Immediately in India and existing facultative reinsurance portfolio from Allianz Commercial / Allianz Global Corporate &amp; Specialty (AGCS) will be transitioned to Allianz Jio Re in a phased manner
3.Allianz Commercial partners with Reel Media to boost Entertainment insurance business (5 March 2026)
4.Allianz Commercial makes senior leader appointments in large-corp Property business (10 March 2026)
5.Allianz to Merge AGCS India Business into New JV with Jio Financial Services to Meet IRDAI Norms</t>
  </si>
  <si>
    <t xml:space="preserve">Allstate India - GCC</t>
  </si>
  <si>
    <t xml:space="preserve">1.Allstate India has appointed Shibu Mathew Zacharia as Vice President and Managing Director and Ankita Agrawal as head of human resources to spearhead its growth.
2.Allstate India Scales as a Strategic Global Capability Center Focused on AI‑Led Claims, Underwriting, and Policy Administration
Using Indian docs, lawyers &amp; engineers to serve US insurance: Allstate centres in Pune &amp; Bengaluru are becoming critical hubs.</t>
  </si>
  <si>
    <t xml:space="preserve">1.Manohar Singh Ram Singh Rawat was appointed as a Additional Director was appointed as a Additional Director on 01 Dec 2025
2. Generative AI (GenAI) has the potential to transform the insurance industry by providing underwriters with valuable insights in the areas of 1) risk controls, 2) building &amp; location details and 3) insured operations.
3.Accenture Invests in Reserv to Transform Insurance Claims Processes
4.Accenture’s strategic alliance with ANSR (announced July 2024; still actively referenced in 2025–2026) strengthens the ability to design, set up, and scale AI‑native GCCs. </t>
  </si>
  <si>
    <t xml:space="preserve">1.Leading Indian life insurer to implement Aon’s modelling platform PathWise
2. Aon expands Data Center Lifecycle Insurance Program capacity to $3.5 billion in support of Digital Infrastructure clients
3. Aon Appoints Shiney Prasad as Head of Global Capability Centers</t>
  </si>
  <si>
    <t xml:space="preserve">Admiral Solutions India Private limited - GCC</t>
  </si>
  <si>
    <t xml:space="preserve">1.Admiral Group plc reported earnings results for the full year ended December 31, 2025. For the full year, the company reported net income was GBP 742.6 million compared to GBP 663.3 million a year ago. Basic earnings per share from continuing operations was GBP 2.474 compared to GBP 2.128 a year ago
2.Admiral Solutions India Recognised Among “Top 10 Best Places to Work in India"</t>
  </si>
  <si>
    <t xml:space="preserve">Arch Global Services India
(Parent co. Arch Capital Group Ltd)</t>
  </si>
  <si>
    <t xml:space="preserve">1.Arch Global Services India opened a new large technology hub in Trivandrum (with ~350 employees) as part of Arch’s expansion of its capability centre footprint.
2.Arch Global Services India, a wholly-owned subsidiary of insurer and reinsurer Arch Capital Group Ltd., has announced the opening of its new office in Hyderabad.</t>
  </si>
  <si>
    <t xml:space="preserve">AXA Business Services Pvt. Ltd. - GCC</t>
  </si>
  <si>
    <t xml:space="preserve">1.Axa Global services celebrates 30 years of presence in India (11.02.25)
2.AXA Unveils State-of-the-Art Office Space in Pune, Expands its Global Business Services Center
3.AXA Global Business Services under CEO Michelle Rochefort is becoming a strategic arm.</t>
  </si>
  <si>
    <t xml:space="preserve">Bupa
Bupa Capability Centre – India (BCC India)</t>
  </si>
  <si>
    <t xml:space="preserve">1.Through Bupa CareConnect, the company signed 11 workplace healthcare agreements at the Global Health Exhibition 2025, reinforcing its move into preventive and employer healthcare services in the Middle East.
2.Bupa invested via the Bupa Ventures Fund, allocating ~$2.2 million to health‑tech startups focused on preventive care and digital health solutions.
3.Bupa Australia agreed to repay millions to members after inaccurately rejected claims, part of a settlement with the Australian Competition and Consumer Commission (ACCC) — highlighting regulatory and service quality risks.
Bupa Establishes India GCC as an AI‑ and Digital‑First Capability Hub to Bypass Global Talent Constraints. Formal Incorporation and Rapid Scale‑Up of Bupa Capability Centre India in Gurugram
Sidharth Gupta appointed Head – Talent Acquisition &amp; Employer Branding (APAC &amp; UK) for Bupa Global Capability Centre, based in Gurugram</t>
  </si>
  <si>
    <t xml:space="preserve">1.Cigna Healthcare Unveils Industry-Leading AI-Powered Digital Tools for a Simple and Reliable Customer Experience (12 June 2025)
2.At the ETGCCWorld GCC Growth Summit 2026, senior leaders from Evernorth.
Cigna Group Scales India as a Core Global Technology &amp; AI Hub Through Evernorth and Cigna Health Solutions. Cigna Group launches and scales Evernorth Health Services India as its largest GCC outside the US, while explicitly acknowledging CHSI (Bengaluru) as an existing centre of excellence</t>
  </si>
  <si>
    <t xml:space="preserve">Dai-ichi Life Group and Capgemini sign multi-year agreement to establish a Global Capability Center in India to drive international digital transformation (Build‑Operate‑Transfer (BOT) with Capgemini)
Dai-Ichi Life to expand India GCC to 600 employees, taps local tech talent</t>
  </si>
  <si>
    <t xml:space="preserve">Factory Mutual Insurance Company, India Branch
FM Bengaluru innovation capability centre</t>
  </si>
  <si>
    <t xml:space="preserve">1.FM Global has announced the opening of a new Centre of Excellence in Bengaluru, aiming to enhance its science and AI capabilities, improve client risk engineering services, and support regional growth. The facility will also feature a client experience centre for training and collaboration. Additionally, FM plans to open a sales office in Mumbai to strengthen its presence in India's financial capital
2. FM has integrated AI into claims workflows, achieving nearly 50% reduction in time from loss reporting to payment on smaller claims
Tools include:
FM Portal (digital platform for claims, engineering &amp; underwriting data)
AI‑assisted fast‑track claims automation (with human‑in‑the‑loop controls)
Focus is on efficiency, accuracy, and informed decision‑making, not pure automation
3.FM Expands Footprint in India with New, Innovative Centre in Bengaluru
ICC strengthens FM’s engineering‑backed risk mitigation strategy by concentrating risk consultants, data scientists, engineers, and software developers in one hub—reinforcing FM’s long‑term pivot toward science‑led insurance.</t>
  </si>
  <si>
    <t xml:space="preserve">The First American Corporation - parent Co
First American (India) Private Limited - India GCC</t>
  </si>
  <si>
    <t xml:space="preserve">1.First American’s title insurance arm has recently drawn attention for its free property title monitoring and fraud alert service for eligible customers — a strategic response to rising real-estate fraud concerns. This trend positions the company as more proactive in fraud mitigation solutions tied to its core title data and insurance assets
2.First American Title Launches AgentNet® Assist Generative AI Tool, Enhancing Productivity for Title Agents
3. India GCC-Employee count-LinkedIn link attached 4390 employees headcount First American (India) Pvt. Ltd. (FAI) employs ~1,001–5,000 professionals across Bengaluru, Hyderabad, and Salem.
4.First American (India) is a Global Capability Center (GCC) of the First American Financial Corporation (US) - a leading provider of title insurance, settlement services and risk solutions for real estate transactions since 1889. First American also provides title plant management, home warranty, and banking, trust &amp; wealth management services. With locations in Bangalore, Hyderabad and Salem, FAI delivers software development, back-office and knowledge-processing operations to support First American’s global operations in US, UK, Australia &amp; Canada.
5.India GCC (FAI) is a critical delivery engine for AI, analytics, and global operations, with expansion beyond Tier‑I cities.</t>
  </si>
  <si>
    <t xml:space="preserve">Arthur J. Gallagher &amp; Co (Parent Company)
Gallagher Service Center – GSC India (GCC)</t>
  </si>
  <si>
    <t xml:space="preserve">Gallagher announced it has acquired First Actuarial, a well-known UK pension administration and employee benefits consulting firm. This broadens Gallagher’s capability in pension and employee benefits solutions in the UK market.
Meenu Agrawal joins Gallagher Center of Excellence as Group Vice President – Talent Acquisition</t>
  </si>
  <si>
    <t xml:space="preserve">Hannover Rück SE – India Branch
Hannover Re Consulting service india private limited</t>
  </si>
  <si>
    <t xml:space="preserve">1.In March 2024, the company launched a new specialty reinsurance business unit focused on cyber and digital underwriting, effective from April 1, 2024. This strategic move aims to enhance its position as a trusted partner for insurtechs and clients seeking coverage for cyber risks
2. Hannover Re Unveils Dedicated Cyber and Digital Business Unit for Enhanced Reinsurance Expertise
3.  Hannover Re has named Prateek Maheshwari as Chief Financial Officer of its India branch, the reinsurer announced on LinkedIn on Thursday. Maheshwari joined Hannover Re in 2017 as Finance Manager for the India branch. Prior to his new appointment, he served as Financial Accountant for Hannover Life Re of Australasia. Before joining Hannover, he spent nearly four years at Munich Re.</t>
  </si>
  <si>
    <t xml:space="preserve">1. In June 2025, Markel partnered with Insurate, an insurtech firm, to leverage artificial intelligence in enhancing underwriting and risk management for workers' compensation in the middle market.
2. Mar' 26 - Markel International, a division of Markel Insurance, the insurance operations within Markel Group Inc. (NYSE:MKL), today announced the appointment of Maureen Tomlinson to Head of AI, alongside the launch of their AI Centre of Enablement. This strategic hire marks a significant milestone in Markel's continued investment in operational excellence and signals the beginning of its first formalised AI function.
Markel Insurance, the insurance operations within Markel Group Inc., has appointed Ravi Jain as Business Development and Distribution Lead for India, based in Mumbai.</t>
  </si>
  <si>
    <t xml:space="preserve">Marsh Mclennan Global Services India Private Limited</t>
  </si>
  <si>
    <t xml:space="preserve">1.A new Business and Client Services (BCS) unit focused on technology, data, AI and analytics will centralize operational excellence for all units. The company’s stock ticker is expected to change to MRSH in early 2026
2.Marsh McLennan Agency announced targeted AI investments focused on quote comparison, coverage‑gap analysis, and contract review—moving from pilots to high‑impact use cases.
Marsh McLennan appointed Andrea Bono as CEO for India, Middle East &amp; Africa (IMEA), effective Jan 2026, reinforcing focus on analytics‑enabled delivery and growth across the region (with India as a core talent base).</t>
  </si>
  <si>
    <t xml:space="preserve">Mass Mutual
MassMutual’s Global Business Services India LLP</t>
  </si>
  <si>
    <t xml:space="preserve">1.MassMutual expanded its brand presence by becoming the Official Wealth Management Partner of the Formula 1 Heineken Las Vegas Grand Prix (2025). This sponsorship is part of a broader trend of aligning with high-performance sports to elevate brand visibility and connect with affluent clients.
Recent reviews rate MassMutual as a top life insurance company for 2026, highlighting its exceptional financial strength, wide range of life insurance products, and low complaint volume. The review also notes the record dividend payout as a competitive advantage.
2. The Hyderabad GCC is a major contributor to software development, QA, cloud, data science, and therefore a key execution arm for this AI‑driven SDLC.
3.These CoEs directly support life insurance operations, policy servicing, digital channels, and enterprise platforms.</t>
  </si>
  <si>
    <t xml:space="preserve">MetLife Global Operations Support Center (GOSC)</t>
  </si>
  <si>
    <t xml:space="preserve">1.MetLife has rebranded its India operations as the MetLife Global Capability Center (MGCC), uniting teams in Noida and Jaipur to drive digital innovation, cybersecurity, and IT modernization, with technology associates starting in April 2025 to advance emerging tech and analytics.
2.Global insurance major MetLife has expanded its Global Capability Center (GCC) footprint in India by leasing nearly 75,000 sq. ft. of office space at Oxygen Business Park in Sector 144, Noida.
3.MetLife announced the expansion of their India operations with the creation of technology hubs in Hyderabad and Pune. This move reinforces the organization’s continued commitment to enable growth, digital innovation and excellence across MetLife’s global network</t>
  </si>
  <si>
    <t xml:space="preserve">1.Amit Kalra, MD and Head of Swiss Re GBS India, stated that India will soon host around 50% of Swiss Re’s global tech talent, boosting the company’s data, analytics, and risk modeling capabilities.
2. Swiss Re is reshaping underwriting and claims through GenAI and advanced analytics
3.India to soon have about 50% of Swiss Re's global tech talent: Amit Kalra
Global reinsurer Swiss Re has officially launched its new state-of-the-art office in Hyderabad, signaling a significant expansion of its operations in India. The newly inaugurated workspace is designed to be more than just a physical office — it embodies Swiss Re’s vision for the future: one that champions innovation, inclusion, and high-impact collaboration.</t>
  </si>
  <si>
    <t xml:space="preserve">StanCorp Financial Group, Inc. (The Standard)
StanCorp Global Services India Private Limited (The Standard India)</t>
  </si>
  <si>
    <t xml:space="preserve">The Standard has completed the acquisition of Allstate’s Employer Voluntary Benefits business for about $2 billion, significantly strengthening its workplace benefits portfolio (including voluntary benefits). The acquired business will be integrated and marketed under The Standard brand, expanding offerings in disability, life, vision, dental, and related employer‑sponsored products.
1.The Standard launched a new Global Capability Center (GCC) in India — a strategic move reflecting its growing global operations and talent expansion following the Allstate benefit acquisition. Initial staffing started with approximately 175 employees transitioning from Allstate India to The Standard India.
2.The Standard and OneDigital Expand Secure Future PEP Nationally
3.The Standard Promotes Nathan McKinstry to Senior Vice President of Employee Voluntary Benefits in IT (23 March 2026)
4.The Standard Partners With the University of Texas at Dallas to Increase Access to the Actuarial Science Program (8 April 2026)
5.The Standard Promotes Paul Freese to Assistant Vice President of Loan Operations, StanCorp Mortgage Investors (31 Dec 2025)
6.The Standard Names Elice Lee as Regional Vice President in Retirement Plans (17 March 2025)
7.The Standard Names Rob Kerscher Regional Vice President in Retirement Plans (3 November 2025) </t>
  </si>
  <si>
    <t xml:space="preserve">1.Gaurish Wagh Appointed as Global People Development Lead India at M&amp;G Global Services Private Limited
2.M&amp;G Global services sponsored the 25th Global Conference of Actuaries (GCA) 2026. As one of the leading platforms for actuarial dialogue and professional exchange, GCA brings together practitioners, industry leaders and emerging talent from across the profession.
3.M&amp;G sponsored the nasscom Technology Confluence 2025. The discussion explored how AI is transforming leadership, culture, and workforce models in an AI-driven era. Colleagues from our Mumbai and Pune offices attended as delegates, gaining insights into emerging trends and industry priorities.
 </t>
  </si>
  <si>
    <t xml:space="preserve">Chubb Limited</t>
  </si>
  <si>
    <t xml:space="preserve">1.Apr'26 - Separately from the GCC story, in April 2026, reports indicated Chubb is exploring a re‑entry into the Indian insurance market after nearly two decades, following regulatory liberalization (100% FDI)
2.Chubb is launching AI‑embedded tools and platforms globally to optimize underwriting and operations (19 November 2025). The platform uses proprietary AI models to analyze customer personas and dynamically recommend insurance products via APIs and SDKs for digital partners worldwide.
3.Chubb lays out ambitious digital transformation plans with focus on AI &amp; automation (Chubb utilizes data, technology, and processes to digitally enable workflows and drive significant expense reductions) - December 2025
4.Chubb Names Seshadri Iyer to Lead Global Operations, Technology and Digital Transformation (11 March 2026). The reorganization strengthens focus on data, AI, cloud, and platform modernization, areas where India is already Chubb’s largest execution and engineering base
5.India is now Chubb’s largest engineering center globally, ahead of Mexico and Greece, reflecting a long‑term bet on India for core insurance technology development</t>
  </si>
  <si>
    <t xml:space="preserve">Guardian Life Insurance Company
Guardian India Operations Private Limited</t>
  </si>
  <si>
    <t xml:space="preserve">1.Guardian is undertaking a major tech transformation, moving away from legacy mainframe systems to modern cloud‑enabled microservices. This enables faster product development, improved operational efficiency, and better digital experiences for brokers and employers.
2.India GCC is a microcosm of Guardian Life Insurance building tech solutions for the American market. The global capability centre of Guardian Life Insurance in India supplements and complements the parent company. Its campuses in Gurugram and Chennai are creating valuable intellectual property related to the insurance industry.
3.Karunakaran (Karun) Azhisur was appointed Country Head – India, while continuing as Chief Information Officer (CIO) of Guardian India.
Guardian India Continues Operating as a Multi‑Location GCC Across Chennai and Gurugram</t>
  </si>
  <si>
    <t xml:space="preserve">TIAA Global Capabilities (TIAA GC)</t>
  </si>
  <si>
    <t xml:space="preserve">1.Enterprise GenAI platform: TIAA launched TIAA gAIt, a secure, enterprise‑wide GenAI platform enabling generative AI use cases across client servicing, content, research, asset management, and cybersecurity awareness.
2.AI Power Day was a key milestone in TIAA Global Capabilities’ journey to AI-enabled excellence. Creation of a digital library of 30+ finance‑specific AI prompts and use cases to embed AI into daily work, especially in finance and analytics roles.
3.Deepak Gupta was appointed Head of TIAA Global Capabilities, joining TIAA’s Global Leadership Team and the TIAA India Board, reporting to the Chief Operating, Information &amp; Digital Officer.
4.TIAA Global Capabilities Pvt Ltd (formerly known as TIAA Global Business Services (India) Pvt Ltd) is a Great Place To Work</t>
  </si>
  <si>
    <t xml:space="preserve">SunLife Global Solutions</t>
  </si>
  <si>
    <t xml:space="preserve">1.Sun Life Global Solutions India at 20: Driving Enterprise Impact, Innovation and transformation
2.India and the Philippines together serve all Sun Life geographies — Canada, the U.S., Asia, and Asset Management &amp; Corporate functions. Over two decades, SLGS moved from application maintenance and operations to enterprise‑wide digital transformation, AI, engineering, analytics, actuarial, finance, legal, and HR shared services.
3.In 2024–2025, SLGS developed 20+ Generative AI proofs‑of‑concept, many of which moved into production — including intelligent chatbots, workflow automation, and developer productivity tools.
4.India teams now handle complete customer and policy lifecycles, including onboarding, underwriting, servicing, and claims for multiple product lines.
5.SLGS is scaling AI-led innovation with 20+ GenAI pilots, collaborating with 20+ FinTech and InsurTech startups, and strengthening advanced analytics capabilities through academic partnerships, including IIT Indore.</t>
  </si>
  <si>
    <t xml:space="preserve">UnitedHealth Group (parent company)
Optum India (GCC)</t>
  </si>
  <si>
    <t xml:space="preserve">1.'- Optum is advancing AI-powered digital prior authorization to reshape care delivery
 - Optum uses AI to drive affordability and accelerate value-based care adoption
 - Optum Real expands with Microsoft to improve the provider experience across claims and reimbursement
 - Optum IIIT-Hyderabad to set up startup studio
 - ANSR and Optum Launch AI Platform for Healthcare's In-House Tech Hubs
 - GCCs are shaping global healthcare strategies and future leaders
2.With over two decades of presence and operations across five cities, Optum India exemplifies this evolution. The center integrates technology, data, operations and clinical expertise to deliver end-to-end healthcare solutions. “We are not just supporting global teams — we are co-creating with them,” Krishnan noted.
A key driver of this transformation is India’s vast and diverse talent pool. In India, over 1.6 million professionals are currently employed in GCCs, and that number is expected to rise to 4.2 million by 2030. Krishnan also underscored the growing inclusion of women in leadership, with 30% of future global roles expected to be held by women in India.
She called for continued investment in second-tier cities like Indore, Vizag and Kota to tap into untapped talent and reduce operational costs.</t>
  </si>
  <si>
    <t xml:space="preserve">Prudential
Prudential plc UK (Parent)
Prudential Service India (GCC) </t>
  </si>
  <si>
    <t xml:space="preserve">1.Prudential Launches Global Services Hub in Bengaluru, India. This strategic investment underscores Prudential’s commitment to the Indian market and its focus on digital transformation. It is one of only two global services hubs supporting Prudential’s operations across Asia and Africa (24 markets).
2.This strategic GCC will serve as a critical engine for innovation, supporting Prudential’s operations across Asia and Africa, and is set to hire over 400 professionals in areas such as AI, data science, software development, cybersecurity, and automated testing in the next three years.</t>
  </si>
  <si>
    <t xml:space="preserve">Principal Financial Group (USA) - Parent
Principal Global Services(GCC)</t>
  </si>
  <si>
    <t xml:space="preserve">1.Principal Financial Group has been recognized as one of the 2024 Top Employers for Tech Talent™ in India by the Everest Group. Principal Global Services ranked in the top 25 companies in the assessment conducted for India-based tech centers of more than 140 brands.
2.Principal added an AI-Generated Answer feature to its public site Search function, making the firm the first in our coverage group to implement AI within the customer-facing digital experience.</t>
  </si>
  <si>
    <t xml:space="preserve">N2G Worldwide Insurance Services</t>
  </si>
  <si>
    <t xml:space="preserve">1.Bar &amp; Bench (Dealstreet, March 6, 2025) confirms the establishment of N2G’s GCC in Pune, India, including legal and operational setup
2. Mar' 26 - TT&amp;A advised N2G Worldwide Insurance Services, LLC, a leading provider of a variety of insurance products around the world, to establish its global capability center (GCC) in India. The TT&amp;A team provided end-to-end assistance in setting up the GCC including entity incorporation, formalizing various intercompany agreements, and providing legal and regulatory advice in relation to the establishment of the GCC. </t>
  </si>
  <si>
    <t xml:space="preserve">ERGO Technology and Services Pvt. Ltd.</t>
  </si>
  <si>
    <t xml:space="preserve">1. German insurer Ergo will invest over €130 million over five years to build its generative AI (GenAI) infrastructure.
Mark Klein, Chief Digital Officer of Ergo Group said “We are in the process of scaling AIcross all key processes in multiple countries. The time for pilots is over. These systems now have to deliver measurable business value.” Klein added that Ergo has already deployed over 110 AI algorithms across business functions, and is focused on expanding these use cases across seven European markets. “Scaling is essential. AI doesn’t come cheap. If you don’t reuse assets and deploy solutions across markets, you will never arrive at a sustainable business case,”.
2. Aug' 25 - CamCom Technologies, an award-winning, industry-agnostic computer vision company headquartered in Bengaluru, has entered into a strategic partnership with ERGO Group AG, one of Europe's leading insurance groups. Under this collaboration, CamCom will serve as the primary technology partner for ERGO's AI-powered visual inspection solution, which is now being rolled out across multiple European markets.</t>
  </si>
  <si>
    <t xml:space="preserve">Hartford
Hartford Global Services Private ltd</t>
  </si>
  <si>
    <t xml:space="preserve">1. US-based insurance player The Hartford on Monday opened its first global technology centre in India in February 2026, spread over 1.6 lakh sq ft at Hyderabad’s Financial District, and it is expected to scale up to nearly 1,200 employees over the next few years.
Capgemini engaged to support initial setup and operational excellence of the India GCC.
2. The Chief Data, AI &amp; Operations Officer stated that India teams will apply AI and emerging technologies to elevate enterprise capabilities while maintaining regulatory and ethical standards.</t>
  </si>
  <si>
    <t xml:space="preserve">AXA XL Insurance - India Reinsurance Branch (XL)</t>
  </si>
  <si>
    <t xml:space="preserve">AXA XL Strengthens Team in India with Key Appointments (14 May 2025) </t>
  </si>
  <si>
    <t xml:space="preserve">Empower Insurance</t>
  </si>
  <si>
    <t xml:space="preserve">1.Empower Insurance Brokers Private Limited is a newly incorporated on 19th September (2024) in Raipur Chhattisgarh, Indian‑owned insurance broking startup based in Raipur, operating domestically with basic advisory and intermediary services and no global, GCC, or AI‑led transformation footprint disclosed to date.
2. Empower Insurance does not have a publicly named CEO; the company is currently led by its founder‑directors Ramias Sohanlal Sharma and Vijendra Ramniwas Sharma.</t>
  </si>
  <si>
    <t xml:space="preserve">IRDAI has permitted foreign reinsurance branches, including Lloyd’s India, to repatriate up to 20% of their excess assigned capital. This move aims to attract more players and allow free movement of capital in the Indian reinsurance market.</t>
  </si>
  <si>
    <t xml:space="preserve">Munich Re, India Branch</t>
  </si>
  <si>
    <t xml:space="preserve">1.In October 2025, Munich Re, along with Gallagher Insurance Brokers and New India Assurance, launched India’s first parametric pandemic insurance for The Phoenix Mills Ltd, providing rapid coverage for business losses from epidemics using predefined triggers.
2.Munich Re integrated Sixfold AI into its REALYTIX ZERO platform
3.Foreign reinsurers now account for ~50%+ market share in India
Munich Re is a top foreign reinsurer benefiting from:
IRDAI branch regulations
Growth in specialty, cyber, climate &amp; engineering lines</t>
  </si>
  <si>
    <t xml:space="preserve">RGA Reinsurance Company , India Branch</t>
  </si>
  <si>
    <t xml:space="preserve">1.RGA has adopted generative AI, including Meta’s Llama 4 Scout and GPT-4.1, to streamline policy document processing, enhancing operational efficiency and compliance.
2.DigitalOwl and RGA Form Collaborative Underwriting Technology Partnership</t>
  </si>
  <si>
    <t xml:space="preserve">1.SCOR is acting as a lead insurer in a newly launched facility designed to insure AI and data center infrastructure risks—an emerging risk segment that traditional reinsurers are now targeting.
SCOR and AXA have formed a consortium at Lloyd’s of London to provide insurance for ecological restoration projects, aimed at unlocking investment for environmental resilience.
2. SCOR’s automated underwriting solutions (e.g., Velogica, VClaims) deployed across multiple regions, including APAC.</t>
  </si>
  <si>
    <t xml:space="preserve">1.Swiss Re India is actively engaged in broader governance, risk, and compliance (GRC) discussions. Swiss GRC, a Swiss software firm, recently launched in India, aiming to support local businesses in managing regulatory and compliance challenges, targeting USD 10 million in revenue for FY2025.</t>
  </si>
  <si>
    <t xml:space="preserve">WTW (Willis Towers Watson)
WTW India Insurance Brokers Pvt. Ltd</t>
  </si>
  <si>
    <t xml:space="preserve">WTW’s India Global Delivery Centre Marks Successful Growth and Expansion Through ..</t>
  </si>
  <si>
    <t xml:space="preserve">1. A 2026 industry ranking of global insurance brokers placed Lockton among the top 20 worldwide by revenue, reflecting strong competitive position in the brokerage market.
2. Apr' 26 - US-based Insurance broker Lockton is in the process of expanding into the reinsurance space in India, with a formal market entry expected in this financial year.</t>
  </si>
  <si>
    <t xml:space="preserve">Africa</t>
  </si>
  <si>
    <t xml:space="preserve">UK</t>
  </si>
  <si>
    <t xml:space="preserve">Jan' 26 - Admiral Group announces that its Chief Financial Officer ("CFO"), Geraint Jones, has decided to retire from his role and will transition to a part-time role within the Group from July 2026.
Feb' 26 - Admiral announced plans to acquire Flock, a fast‑growing digital, telemetry‑based fleet insurer. This builds on the Group’s existing expertise in telemetry in the personal lines market, allowing the business to support a broader set of customers as mobility trends change.</t>
  </si>
  <si>
    <t xml:space="preserve">Sep' 25 - Ageas has announced the successful completion of its acquisition of Esure Group (digital personal lines insurer). This is a key
milestone in Ageas UK’s strategy to become a leading personal lines insurer in the UK.
Dec'25 - Ageas UK and Saga plc announced the launch of a landmark 20‑year Affinity Partnership, bringing market‑leading Motor and Home insurance propositions to over‑50s customers. The partnership goes live for Motor new business today, with Home new business following in the first quarter of 2026.</t>
  </si>
  <si>
    <t xml:space="preserve">Feb' 26 - Allianz UK has launched a new short-term income protection policy designed to provide financial security for people facing unexpected life events.
Feb' 26 - Allianz UK scaled AI and advanced analytics across underwriting, broker engagement and service operations, supporting faster decisions and higher productivity.
At the same time, senior leaders acknowledged that scaling AI across complex legacy environments remains challenging, signalling a pragmatic, phased rollout approach.
Mar'26 - Over 34,200 insurance fraud cases, including a ghost broker pocketing more than £133,000, were identified by Allianz UK last year.</t>
  </si>
  <si>
    <t xml:space="preserve">Feb'26 - AIG announced that it has completed the acquisitions of strategic minority ownership stakes in Convex Group Limited (“Convex”), a privately held, global specialty insurer, and Onex Corporation (“Onex”) a publicly traded global asset manager. AIG began participating in a whole account quota share of Convex’s business beginning January 1, 2026, and will increase cessions in 2027 and 2028.
Mar' 26 - AIG and McGill and Partners announced a significant strategic collaboration for the subscription market that will provide clients with seamless access to exceptional insurance solutions, backed by long-term, high-quality insurance capacity and capital. As part of the initiative, AIG and McGill and Partners will leverage agentic AI capabilities to manage the deployment of capacity to clients. Relevant for AIG UK, given its registered base in London and focus on large commercial and specialty risks.</t>
  </si>
  <si>
    <t xml:space="preserve">Jul' 25 - Direct Line Insurance Group plc was acquired by Aviva plc on 1 July 2025. Jason Storah, currently the CEO of UK &amp; Ireland General Insurance at Aviva and now the CEO for the combined businesses, acknowledged the efforts of teams involved and welcomed the new employees from Direct Line.
Mar' 26 - Aviva is transitioning from pilot AI projects to large-scale deployment across key parts of its insurance operations. According to CEO Amanda Blanc, the company has moved beyond limited AI use cases such as claims summarization to broader end-to-end applications across customer service and medical underwriting.
Apr' 26 - Aviva has completed a £100 million bulk purchase annuity transaction with the Iveco Limited Pension Scheme, securing the benefits of all 225 deferred and 1,127 pensioner members. The transaction, which completed in March 2026, represents a significant milestone in the Scheme’s long-term de-risking strategy and provides members with increased security and long-term certainty for their pensions.</t>
  </si>
  <si>
    <t xml:space="preserve">Mar' 26 - AXA UK &amp; Ireland announces the creation of a new general insurance business, AXA Insurance UK, bringing together its UK Commercial and Retail business units under a single leadership structure
Apr' 26 - AXA Insurance UK has appointed Martin Milliner as Chief Claims Transformation Officer, a new role in CEO Jon Walker’s executive committee following the creation of the general insurance business AXA Insurance UK.</t>
  </si>
  <si>
    <t xml:space="preserve">Feb' 26 - Small business group scheme members will no longer receive paper policy documents by post. Instead, all policy documents will be available to view online, making it easier and quicker to access important information when they need it.
Mar'26 - Strong financial performance enable us to provide more and better healthcare for our customers, and allows us to invest in innovation. This includes reinvesting in strategic projects that align with our purpose:
We have 52 Mindplace health centres open, expanding fast with 46 launches in 2025, so more people can access high-quality mental healthcare. We have launched genomics products in Spain, UK, Poland and Australia. Through our genomics programme, we have already delivered 28,800 genomic reports providing people with valuable insights and better enabling preventive and personalised care.
Apr' 26 - Bupa and Spire Healthcare have signed a four-year strategic partnership that will see the private hospital group provide care for Bupa’s UK health insurance customers across its national network, including a growing number of specialist cancer and musculoskeletal centres.</t>
  </si>
  <si>
    <t xml:space="preserve">Oct' 15 - L&amp;G is collaborating with Microsoft to deliver an AI-powered customer service platform designed to enhance interactions for both customers and employees. The multi-year agreement sees the introduction of an AI-powered customer service platform, built using Microsoft Dynamics 365 Contact Center, to provide faster, more seamless support to L&amp;G’s 12.4 million customers.
Mar' 26 - L&amp;G and Manulife Wealth &amp; Asset Management (Manulife WAM) today announced a long-term multi-faceted strategic partnership. It spans Distribution, Investment Management, and Product Development to enhance the global distribution reach of both firms, allowing them to meet growing client demand for comprehensive wealth and retirement solutions across Europe, Asia, the U.S.A., Canada, and Bermuda.
Mar'26 - Hyde Group and L&amp;G launch partnership to deliver more affordable homes. New joint venture combines pension money in L&amp;G’s annuity portfolio and affordable housing expertise with Hyde’s national housing platform, to develop, manage and service affordable homes at scale.
Apr'26 - L&amp;G announced that its suite of liquidity funds is now available on the Calastone Tokenised Distribution (CTD) Network, marking a significant milestone in L&amp;G’s digital distribution strategy. The CTD Network—built to seamlessly connect traditional fund products with digital distribution channels - enables investors to access L&amp;G’s liquidity strategies in tokenised form via blockchain enabled infrastructure. Tokenisation provides further accessibility for new digital investor segments and supports evolving client preferences for efficient digital solutions.</t>
  </si>
  <si>
    <t xml:space="preserve">Mar' 26 - LV has proudly shared £100 million of member bonuses with eligible members - the largest bonus distribution in their history. Since 2011, they have shared £513 million.
Mar' 26 -  LV= General Insurance (GI) brand will be retired during 2026, with GI products moving fully under the Allianz UK brand. Allianz employees have been told that 650 jobs will be cut from its UK insurance arm due to ‘difficult market conditions’, less than six months after the decision to rebrand LV= General Insurance (LV=GI) to Allianz UK was classified as a ‘brand risk’.</t>
  </si>
  <si>
    <t xml:space="preserve">Nov' 25 - Aviva and NFU Mutual signed a new multi‑year protection distribution agreement in November 2025. The partnership enables NFU Mutual to distribute Aviva’s full intermediated protection suite (life, critical illness, income protection, relevant life and business life) to NFU Mutual members via its agency network and advice channels.
Jan' 26 - NFU Mutual and Guidewire (NYSE: GWRE) have announced a further strengthening of their long-term relationship, with NFU Mutual opting to migrate their on-premises deployment of Guidewire InsuranceSuite to Guidewire Cloud Platform. NFU Mutual will become the latest insurer to migrate to Guidewire Cloud Platform.</t>
  </si>
  <si>
    <t xml:space="preserve">Feb' 26 - Phoenix Group Holdings plc officially changed its name to Standard Life plc on 24 February 2026, following shareholder approval and Companies House registration.
Apr' 26 - Standard Life, which recently rebranded from Phoenix Group, has agreed to purchase rival Aegon's UK business in a substantial £2 billion deal. This strategic acquisition is set to reshape the UK's financial landscape by creating a dominant pension and savings entity.</t>
  </si>
  <si>
    <t xml:space="preserve">Jan' 26 - Prudential plc ("Prudential") announces that Sir Douglas Flint will be appointed as a Non-Executive Director and Chair-Designate to succeed Shriti Vadera as Chair of the Board following the Company's Annual General Meeting on 28 May 2026 when Shriti Vadera will retire from the Board after six years of service.
Mar'26 - S&amp;P Global Ratings upgraded the Financial Strength rating of Prudential's core entities to AA (from AA-) reflecting the Group’s robust capital position.</t>
  </si>
  <si>
    <t xml:space="preserve">RSA Insurance Group
(now Intact Insurance)</t>
  </si>
  <si>
    <t xml:space="preserve">Sep' 25 - RSA is now Intact Insurance in the UK, Ireland, and across Europe. It has appointed Tom Argentieri as chief distribution officer UK and Europe, RSA Specialty Lines.
Mar'26 - Intact Insurance is bringing its North American surety proposition to the UK as part of wider ambitions to scale its specialty lines business, hiring former Allianz Trade head of surety and guarantee David Weale to lead the expansion.
Apr'26 - Geo Underwriting has announced a new capacity partnership with Intact Insurance for its specialist marine trade proposition, with the arrangement set to take effect on May 1, 2026. The managing general agent (MGA) said the collaboration is intended to expand its trading capability in the specialist industrial marine space, offering brokers more competitive solutions as the market continues to evolve.</t>
  </si>
  <si>
    <t xml:space="preserve">Mar' 26 - Zurich Corporate Risk has launched a cancer risk assessment tool designed to help employees of group risk customers better understand and reduce their risk of developing cancer. The digital tool, which is free to access and available to all schemes automatically, is provided by Further.
Mar' 26 - Zurich Insurance Group announced it has agreed with UK specialty insurer Beazley on the terms of an all-cash offer to acquire Beazley for US$10.9 billion.
Apr'26 - Zurich is giving more than three million Life Protection customers access to Empathy at no extra cost, a pioneering human-led and digital bereavement support service, making it the first major business in the UK to offer comprehensive loss support at this scale. The move marks a significant expansion of Zurich’s customer support and a natural extension of its established empathy-led approach, moving beyond traditional insurance cover to supporting customers through life’s hardest moments.</t>
  </si>
  <si>
    <t xml:space="preserve">Feb' 26 - Hiscox, the global specialist insurer, has introduced its first technology graduate programme, aimed at attracting and developing the next generation of tech talent as the Group looks to drive digital innovation and growth. This reinforces Hiscox’s positioning as a tech‑forward specialist insurer, particularly within the UK specialty and SME markets.
Feb' 26 - Through strategic execution the company made strong progress on strategic growth and change initiatives, building on the momentum of prior years, to establish the foundations to progress at pace. The Group has set clear ambitions to accelerate Hiscox Retail's growth to double-digit and realise a P&amp;L benefit of $200 million in 2028 and onwards from change programme, while pioneering the use of cutting-edge technologies to access new markets and drive increased operating leverage. We are firmly on track to deliver against this strategy and ambition.</t>
  </si>
  <si>
    <t xml:space="preserve">Mar' 25 - Hastings Insurance Services Limited ("Hastings") successfully appealed against a HMRC decision to deny £16m of VAT recovery, with the tribunal deeming that a UK anti-avoidance provision, introduced from 1 March 2019, was incompatible with EU law.</t>
  </si>
  <si>
    <t xml:space="preserve">Nov' 25 - The specialist insurer topped the list of 46 insurers, including NFU Mutual, Bank of Scotland, TSB, Lloyds Bank, and NatWest, retaining Gold Ribbon status for another year. Fairer Finance, an independent consumer group, surveys around 20,000 UK banking and insurance customers throughout the year, asking them to rate how satisfied they are with their bank or insurance company.
Feb' 26 - Claims specialists at Ecclesiastical Insurance saved over £3million challenging fraudulent claims during 2025. Ecclesiastical Insurance’s claims team investigated over 280 cases of suspected fraudulent activity during 2025, a 20% increase on 2024.</t>
  </si>
  <si>
    <t xml:space="preserve">Feb' 26 - Convex’s partnership with Onex to a 63% equity stake and initiates its long-term strategic relationship with AIG, which has an approximately 35% equity stake.
Feb' 26 - S&amp;P Global Ratings upgraded Convex’s operating entities to ‘A’ with stable outlook, reflecting strong capitalization and underwriting discipline—supportive of Convex Insurance UK’s standing in the London market.</t>
  </si>
  <si>
    <t xml:space="preserve">Jul' 25 - Craig Peter Bundell was appointed Chief Executive Officer of Tesco Underwriting Limited in July 2025. He joined the boards of Tesco Underwriting Limited and Tesco Personal Finance Limited (Tesco Bank) at the same time.
Mar' 26 - Tesco Insurance and Money Services (Tesco IMS) has kicked off a comprehensive digital transformation programme, enabling the insurance company to establish a robust cloud-first ecosystem and create improved value for customers.</t>
  </si>
  <si>
    <t xml:space="preserve">Feb' 26 - The Financial Conduct Authority has imposed customer and capital limits on private equity-backed insurer Markerstudy, placing regulatory constraints on an acquisition-driven growth strategy supported by Pollen Street Capital and Bain Capital. The restrictions apply across Markerstudy’s regulated businesses and require the group to remain within agreed limits on policy numbers and funding while governance and financial control issues are addressed.
Mar' 26 - Glen Ward has joined Markerstudy’s senior leadership team as Group Chief Financial Officer (subject to regulatory approval) bringing with him a wealth of experience in the financial services sector, including notable tenures at Admiral Insurance as Group Finance Director and UK Insurance CFO.</t>
  </si>
  <si>
    <t xml:space="preserve">Dec' 25 - Dutch insurance and asset management giant Aegon has announced a major strategic restructuring that involves moving its legal seat to the United States, rebranding as Transamerica, and potentially selling its Edinburgh-based UK business.
Feb' 26 - Lloyds Banking Group Plc and Phoenix Group Holdings Plc are among bidders for the UK arm of Dutch insurer Aegon Ltd., people familiar with the matter said.
They’re among parties that submitted initial offers this month, the people said, asking not to be identified because the information is private. Aegon UK has also attracted early interest from Great-West Lifeco Inc.’s Canada Life unit and Royal London, according to the people. </t>
  </si>
  <si>
    <t xml:space="preserve">Dec' 25 - Beazley remained the largest specialist cyber insurer globally, but took a notably disciplined stance. Beazley has completed a new $300 million 144A cyber catastrophe bond, expanding its use of insurance-linked securities to transfer cyber risk to capital markets.
Mar' 26 - Zurich Insurance Group announced it has agreed with UK specialty insurer Beazley on the terms of an all-cash offer to acquire Beazley for US$10.9 billion.</t>
  </si>
  <si>
    <t xml:space="preserve">Mar' 26 -  Aon plc a leading global professional services firm, has announced Carl Nordling as commercial director for the UK and Nordics for its Global Benefits team.
Mar' 26 - Aon plc, a leading global professional services firm, has announced the UK launch of Health Risk Analyser, a predictive analytics solution designed to help organisations proactively manage healthcare costs and improve employee wellbeing.</t>
  </si>
  <si>
    <t xml:space="preserve">WTW launches analytical service to optimise captive insurance
WTW launches a new analytical and strategic service, Captive Fit, designed to help companies optimise their captive insurance arrangements.
Apr' 26 - Willis, a WTW business, announced the launch of Digital Infrastructure Protector, a new, end-to-end lifecycle solution for data center owners and operators. This solution combines integrated policy coverage during both the construction and operations phases with enhanced, tailored risk management to help data center owners, operators, contractors, and hyperscalers minimize risk while maximizing operational and financial resiliency.</t>
  </si>
  <si>
    <t xml:space="preserve">Mar' 26 - Howden has agreed to acquire the insurance and financial services consulting team of Hymans Robertson, marking the formal launch of Howden Insurance Actuarial and Longevity. The new practice brings together the Hymans Robertson IFS specialists and Barnett Waddingham, which Howden purchased in March 2025.
Feb' 26 - Howden has confirmed its latest fund raise to bolster funding available for future growth investments. The broker detailed that in a private offering, $690m (£509.8m) has been added to $500m of existing senior notes that run to 2032.</t>
  </si>
  <si>
    <t xml:space="preserve">Indian Companies in UK</t>
  </si>
  <si>
    <t xml:space="preserve">Life Insurance Corporation of India (LIC)</t>
  </si>
  <si>
    <t xml:space="preserve">The New India Assurance Co. Ltd</t>
  </si>
  <si>
    <t xml:space="preserve">Diligenta Limited</t>
  </si>
  <si>
    <t xml:space="preserve">HCL Insurance BPO Services Limited</t>
  </si>
  <si>
    <t xml:space="preserve">Data for Slicer View</t>
  </si>
  <si>
    <t xml:space="preserve">Regional Themes</t>
  </si>
  <si>
    <t xml:space="preserve">Key Trend Company Wise</t>
  </si>
  <si>
    <t xml:space="preserve">GCCs IN INDIA</t>
  </si>
  <si>
    <t xml:space="preserve">1. AI &amp; Digital Capability Moves</t>
  </si>
  <si>
    <r>
      <rPr>
        <sz val="9"/>
        <color rgb="FF0D0D0D"/>
        <rFont val="Inter"/>
        <family val="0"/>
        <charset val="1"/>
      </rPr>
      <t xml:space="preserve">Ergo</t>
    </r>
    <r>
      <rPr>
        <sz val="7"/>
        <color rgb="FF000000"/>
        <rFont val="Segoe UI"/>
        <family val="0"/>
        <charset val="1"/>
      </rPr>
      <t xml:space="preserve"> commits </t>
    </r>
    <r>
      <rPr>
        <b val="true"/>
        <sz val="7"/>
        <color rgb="FF000000"/>
        <rFont val="Segoe UI"/>
        <family val="0"/>
        <charset val="1"/>
      </rPr>
      <t xml:space="preserve">€130m to GenAI</t>
    </r>
    <r>
      <rPr>
        <sz val="7"/>
        <color rgb="FF000000"/>
        <rFont val="Segoe UI"/>
        <family val="0"/>
        <charset val="1"/>
      </rPr>
      <t xml:space="preserve">, declaring </t>
    </r>
    <r>
      <rPr>
        <i val="true"/>
        <sz val="7"/>
        <color rgb="FF000000"/>
        <rFont val="Segoe UI"/>
        <family val="0"/>
        <charset val="1"/>
      </rPr>
      <t xml:space="preserve">“the time for pilots is over”</t>
    </r>
    <r>
      <rPr>
        <sz val="7"/>
        <color rgb="FF000000"/>
        <rFont val="Segoe UI"/>
        <family val="0"/>
        <charset val="1"/>
      </rPr>
      <t xml:space="preserve"> → formally industrialising AI across core insurance processes.</t>
    </r>
  </si>
  <si>
    <r>
      <rPr>
        <sz val="9"/>
        <color rgb="FF0D0D0D"/>
        <rFont val="Inter"/>
        <family val="0"/>
        <charset val="1"/>
      </rPr>
      <t xml:space="preserve">FM Global</t>
    </r>
    <r>
      <rPr>
        <sz val="7"/>
        <color rgb="FF000000"/>
        <rFont val="Segoe UI"/>
        <family val="0"/>
        <charset val="1"/>
      </rPr>
      <t xml:space="preserve"> embeds AI into claims workflows, cutting </t>
    </r>
    <r>
      <rPr>
        <b val="true"/>
        <sz val="7"/>
        <color rgb="FF000000"/>
        <rFont val="Segoe UI"/>
        <family val="0"/>
        <charset val="1"/>
      </rPr>
      <t xml:space="preserve">time‑to‑payment by ~50%</t>
    </r>
    <r>
      <rPr>
        <sz val="7"/>
        <color rgb="FF000000"/>
        <rFont val="Segoe UI"/>
        <family val="0"/>
        <charset val="1"/>
      </rPr>
      <t xml:space="preserve"> on smaller claims → translating analytics into measurable cycle‑time gains.</t>
    </r>
  </si>
  <si>
    <r>
      <rPr>
        <sz val="9"/>
        <color rgb="FF0D0D0D"/>
        <rFont val="Inter"/>
        <family val="0"/>
        <charset val="1"/>
      </rPr>
      <t xml:space="preserve">RGA</t>
    </r>
    <r>
      <rPr>
        <sz val="7"/>
        <color rgb="FF000000"/>
        <rFont val="Segoe UI"/>
        <family val="0"/>
        <charset val="1"/>
      </rPr>
      <t xml:space="preserve"> deploys </t>
    </r>
    <r>
      <rPr>
        <b val="true"/>
        <sz val="7"/>
        <color rgb="FF000000"/>
        <rFont val="Segoe UI"/>
        <family val="0"/>
        <charset val="1"/>
      </rPr>
      <t xml:space="preserve">GenAI (GPT‑4.1, Llama)</t>
    </r>
    <r>
      <rPr>
        <sz val="7"/>
        <color rgb="FF000000"/>
        <rFont val="Segoe UI"/>
        <family val="0"/>
        <charset val="1"/>
      </rPr>
      <t xml:space="preserve"> for policy document processing → shifting compliance workflows from manual review to AI‑assisted throughput.</t>
    </r>
  </si>
  <si>
    <r>
      <rPr>
        <sz val="9"/>
        <color rgb="FF0D0D0D"/>
        <rFont val="Inter"/>
        <family val="0"/>
        <charset val="1"/>
      </rPr>
      <t xml:space="preserve">Markel</t>
    </r>
    <r>
      <rPr>
        <sz val="7"/>
        <color rgb="FF000000"/>
        <rFont val="Segoe UI"/>
        <family val="0"/>
        <charset val="1"/>
      </rPr>
      <t xml:space="preserve"> appoints a Head of AI and launches an AI Centre of Enablement → signalling first formal move from experimentation to structured AI governance.</t>
    </r>
  </si>
  <si>
    <r>
      <rPr>
        <sz val="9"/>
        <color rgb="FF0D0D0D"/>
        <rFont val="Inter"/>
        <family val="0"/>
        <charset val="1"/>
      </rPr>
      <t xml:space="preserve">Cigna (Evernorth)</t>
    </r>
    <r>
      <rPr>
        <sz val="7"/>
        <color rgb="FF000000"/>
        <rFont val="Segoe UI"/>
        <family val="0"/>
        <charset val="1"/>
      </rPr>
      <t xml:space="preserve"> scales AI‑powered tools for digital servicing and analytics → positioning India as a core AI execution layer for US healthcare insurance.</t>
    </r>
  </si>
  <si>
    <t xml:space="preserve">2. Operating Model &amp; Scale Shifts</t>
  </si>
  <si>
    <r>
      <rPr>
        <sz val="9"/>
        <color rgb="FF0D0D0D"/>
        <rFont val="Inter"/>
        <family val="0"/>
        <charset val="1"/>
      </rPr>
      <t xml:space="preserve">Swiss Re</t>
    </r>
    <r>
      <rPr>
        <sz val="7"/>
        <color rgb="FF000000"/>
        <rFont val="Segoe UI"/>
        <family val="0"/>
        <charset val="1"/>
      </rPr>
      <t xml:space="preserve"> signals India will host </t>
    </r>
    <r>
      <rPr>
        <b val="true"/>
        <sz val="7"/>
        <color rgb="FF000000"/>
        <rFont val="Segoe UI"/>
        <family val="0"/>
        <charset val="1"/>
      </rPr>
      <t xml:space="preserve">~50% of global tech talent</t>
    </r>
    <r>
      <rPr>
        <sz val="7"/>
        <color rgb="FF000000"/>
        <rFont val="Segoe UI"/>
        <family val="0"/>
        <charset val="1"/>
      </rPr>
      <t xml:space="preserve"> → repositioning India from support hub to global insurance execution backbone.</t>
    </r>
  </si>
  <si>
    <r>
      <rPr>
        <sz val="9"/>
        <color rgb="FF0D0D0D"/>
        <rFont val="Inter"/>
        <family val="0"/>
        <charset val="1"/>
      </rPr>
      <t xml:space="preserve">Chubb</t>
    </r>
    <r>
      <rPr>
        <sz val="7"/>
        <color rgb="FF000000"/>
        <rFont val="Segoe UI"/>
        <family val="0"/>
        <charset val="1"/>
      </rPr>
      <t xml:space="preserve"> states India is now its </t>
    </r>
    <r>
      <rPr>
        <b val="true"/>
        <sz val="7"/>
        <color rgb="FF000000"/>
        <rFont val="Segoe UI"/>
        <family val="0"/>
        <charset val="1"/>
      </rPr>
      <t xml:space="preserve">largest engineering centre globally</t>
    </r>
    <r>
      <rPr>
        <sz val="7"/>
        <color rgb="FF000000"/>
        <rFont val="Segoe UI"/>
        <family val="0"/>
        <charset val="1"/>
      </rPr>
      <t xml:space="preserve"> → confirming long‑term relocation of core insurance technology build‑out.</t>
    </r>
  </si>
  <si>
    <r>
      <rPr>
        <sz val="9"/>
        <color rgb="FF0D0D0D"/>
        <rFont val="Inter"/>
        <family val="0"/>
        <charset val="1"/>
      </rPr>
      <t xml:space="preserve">MetLife</t>
    </r>
    <r>
      <rPr>
        <sz val="7"/>
        <color rgb="FF000000"/>
        <rFont val="Segoe UI"/>
        <family val="0"/>
        <charset val="1"/>
      </rPr>
      <t xml:space="preserve"> rebrands India operations as </t>
    </r>
    <r>
      <rPr>
        <b val="true"/>
        <sz val="7"/>
        <color rgb="FF000000"/>
        <rFont val="Segoe UI"/>
        <family val="0"/>
        <charset val="1"/>
      </rPr>
      <t xml:space="preserve">MGCC</t>
    </r>
    <r>
      <rPr>
        <sz val="7"/>
        <color rgb="FF000000"/>
        <rFont val="Segoe UI"/>
        <family val="0"/>
        <charset val="1"/>
      </rPr>
      <t xml:space="preserve"> and expands across Noida, Jaipur, Hyderabad and Pune → institutionalising multi‑city global delivery.</t>
    </r>
  </si>
  <si>
    <r>
      <rPr>
        <sz val="9"/>
        <color rgb="FF0D0D0D"/>
        <rFont val="Inter"/>
        <family val="0"/>
        <charset val="1"/>
      </rPr>
      <t xml:space="preserve">Dai‑ichi Life</t>
    </r>
    <r>
      <rPr>
        <sz val="7"/>
        <color rgb="FF000000"/>
        <rFont val="Segoe UI"/>
        <family val="0"/>
        <charset val="1"/>
      </rPr>
      <t xml:space="preserve"> adopts a </t>
    </r>
    <r>
      <rPr>
        <b val="true"/>
        <sz val="7"/>
        <color rgb="FF000000"/>
        <rFont val="Segoe UI"/>
        <family val="0"/>
        <charset val="1"/>
      </rPr>
      <t xml:space="preserve">BOT model with Capgemini</t>
    </r>
    <r>
      <rPr>
        <sz val="7"/>
        <color rgb="FF000000"/>
        <rFont val="Segoe UI"/>
        <family val="0"/>
        <charset val="1"/>
      </rPr>
      <t xml:space="preserve"> → prioritising speed‑to‑scale over traditional captive build.</t>
    </r>
  </si>
  <si>
    <r>
      <rPr>
        <sz val="9"/>
        <color rgb="FF0D0D0D"/>
        <rFont val="EYInterstate"/>
        <family val="0"/>
        <charset val="1"/>
      </rPr>
      <t xml:space="preserve">Hartford</t>
    </r>
    <r>
      <rPr>
        <sz val="7"/>
        <color rgb="FF000000"/>
        <rFont val="Segoe UI"/>
        <family val="0"/>
        <charset val="1"/>
      </rPr>
      <t xml:space="preserve"> opens its first India GCC in Hyderabad, targeting </t>
    </r>
    <r>
      <rPr>
        <b val="true"/>
        <sz val="7"/>
        <color rgb="FF000000"/>
        <rFont val="Segoe UI"/>
        <family val="0"/>
        <charset val="1"/>
      </rPr>
      <t xml:space="preserve">1,200 staff</t>
    </r>
  </si>
  <si>
    <t xml:space="preserve">3. Portfolio, Risk &amp; Capital Reshaping</t>
  </si>
  <si>
    <r>
      <rPr>
        <sz val="9"/>
        <color rgb="FF0D0D0D"/>
        <rFont val="Inter"/>
        <family val="0"/>
        <charset val="1"/>
      </rPr>
      <t xml:space="preserve">Allianz</t>
    </r>
    <r>
      <rPr>
        <sz val="7"/>
        <color rgb="FF000000"/>
        <rFont val="Segoe UI"/>
        <family val="0"/>
        <charset val="1"/>
      </rPr>
      <t xml:space="preserve"> launches </t>
    </r>
    <r>
      <rPr>
        <b val="true"/>
        <sz val="7"/>
        <color rgb="FF000000"/>
        <rFont val="Segoe UI"/>
        <family val="0"/>
        <charset val="1"/>
      </rPr>
      <t xml:space="preserve">Allianz‑Jio Re</t>
    </r>
    <r>
      <rPr>
        <sz val="7"/>
        <color rgb="FF000000"/>
        <rFont val="Segoe UI"/>
        <family val="0"/>
        <charset val="1"/>
      </rPr>
      <t xml:space="preserve"> to localise reinsurance underwriting → aligning capital structure with IRDAI expectations.</t>
    </r>
  </si>
  <si>
    <r>
      <rPr>
        <sz val="9"/>
        <color rgb="FF0D0D0D"/>
        <rFont val="Inter"/>
        <family val="0"/>
        <charset val="1"/>
      </rPr>
      <t xml:space="preserve">Munich Re</t>
    </r>
    <r>
      <rPr>
        <sz val="7"/>
        <color rgb="FF000000"/>
        <rFont val="Segoe UI"/>
        <family val="0"/>
        <charset val="1"/>
      </rPr>
      <t xml:space="preserve"> integrates Sixfold AI into underwriting platforms to sharpen specialty risk pricing → blending AI with reinsurance discipline.</t>
    </r>
  </si>
  <si>
    <r>
      <rPr>
        <sz val="9"/>
        <color rgb="FF0D0D0D"/>
        <rFont val="Inter"/>
        <family val="0"/>
        <charset val="1"/>
      </rPr>
      <t xml:space="preserve">Santam</t>
    </r>
    <r>
      <rPr>
        <sz val="7"/>
        <color rgb="FF000000"/>
        <rFont val="Segoe UI"/>
        <family val="0"/>
        <charset val="1"/>
      </rPr>
      <t xml:space="preserve"> secures reinsurance licence in </t>
    </r>
    <r>
      <rPr>
        <b val="true"/>
        <sz val="7"/>
        <color rgb="FF000000"/>
        <rFont val="Segoe UI"/>
        <family val="0"/>
        <charset val="1"/>
      </rPr>
      <t xml:space="preserve">GIFT City</t>
    </r>
    <r>
      <rPr>
        <sz val="7"/>
        <color rgb="FF000000"/>
        <rFont val="Segoe UI"/>
        <family val="0"/>
        <charset val="1"/>
      </rPr>
      <t xml:space="preserve"> → accessing international capital pools via India’s IFSC.</t>
    </r>
  </si>
  <si>
    <t xml:space="preserve">4. Governance, Regulation &amp; Trust Signals</t>
  </si>
  <si>
    <r>
      <rPr>
        <sz val="9"/>
        <color rgb="FF0D0D0D"/>
        <rFont val="Inter"/>
        <family val="0"/>
        <charset val="1"/>
      </rPr>
      <t xml:space="preserve">IRDAI</t>
    </r>
    <r>
      <rPr>
        <sz val="7"/>
        <color rgb="FF000000"/>
        <rFont val="Segoe UI"/>
        <family val="0"/>
        <charset val="1"/>
      </rPr>
      <t xml:space="preserve"> reforms drive global players to restructure India operations rather than exit → signalling regulatory tightening with market attractiveness intact.</t>
    </r>
  </si>
  <si>
    <r>
      <rPr>
        <sz val="9"/>
        <color rgb="FF0D0D0D"/>
        <rFont val="Inter"/>
        <family val="0"/>
        <charset val="1"/>
      </rPr>
      <t xml:space="preserve">Foreign reinsurers</t>
    </r>
    <r>
      <rPr>
        <sz val="7"/>
        <color rgb="FF000000"/>
        <rFont val="Segoe UI"/>
        <family val="0"/>
        <charset val="1"/>
      </rPr>
      <t xml:space="preserve"> now account for </t>
    </r>
    <r>
      <rPr>
        <b val="true"/>
        <sz val="7"/>
        <color rgb="FF000000"/>
        <rFont val="Segoe UI"/>
        <family val="0"/>
        <charset val="1"/>
      </rPr>
      <t xml:space="preserve">50%+ market share in India</t>
    </r>
    <r>
      <rPr>
        <sz val="7"/>
        <color rgb="FF000000"/>
        <rFont val="Segoe UI"/>
        <family val="0"/>
        <charset val="1"/>
      </rPr>
      <t xml:space="preserve"> → intensifying regulatory scrutiny on capital and conduct.</t>
    </r>
  </si>
  <si>
    <t xml:space="preserve">TOP 20 AFRICA</t>
  </si>
  <si>
    <r>
      <rPr>
        <sz val="9"/>
        <color rgb="FF0D0D0D"/>
        <rFont val="Inter"/>
        <family val="0"/>
        <charset val="1"/>
      </rPr>
      <t xml:space="preserve">Discovery Health</t>
    </r>
    <r>
      <rPr>
        <sz val="7"/>
        <color rgb="FF000000"/>
        <rFont val="Segoe UI"/>
        <family val="0"/>
        <charset val="1"/>
      </rPr>
      <t xml:space="preserve"> leverages AI‑based health analytics to drive record profitability → embedding analytics into core healthcare insurance economics.</t>
    </r>
  </si>
  <si>
    <r>
      <rPr>
        <sz val="9"/>
        <color rgb="FF0D0D0D"/>
        <rFont val="Inter"/>
        <family val="0"/>
        <charset val="1"/>
      </rPr>
      <t xml:space="preserve">AtlantaSanad Assurance</t>
    </r>
    <r>
      <rPr>
        <sz val="7"/>
        <color rgb="FF000000"/>
        <rFont val="Segoe UI"/>
        <family val="0"/>
        <charset val="1"/>
      </rPr>
      <t xml:space="preserve"> launches Morocco’s first AI insurance assistant → using AI explicitly as a CX transformation lever.</t>
    </r>
  </si>
  <si>
    <r>
      <rPr>
        <sz val="9"/>
        <color rgb="FF0D0D0D"/>
        <rFont val="Inter"/>
        <family val="0"/>
        <charset val="1"/>
      </rPr>
      <t xml:space="preserve">Metropolitan Life</t>
    </r>
    <r>
      <rPr>
        <sz val="7"/>
        <color rgb="FF000000"/>
        <rFont val="Segoe UI"/>
        <family val="0"/>
        <charset val="1"/>
      </rPr>
      <t xml:space="preserve"> enables claims settlement within hours via WhatsApp → operationalising digital service for mass‑market trust.</t>
    </r>
  </si>
  <si>
    <r>
      <rPr>
        <sz val="9"/>
        <color rgb="FF0D0D0D"/>
        <rFont val="Inter"/>
        <family val="0"/>
        <charset val="1"/>
      </rPr>
      <t xml:space="preserve">SanlamAllianz</t>
    </r>
    <r>
      <rPr>
        <sz val="7"/>
        <color rgb="FF000000"/>
        <rFont val="Segoe UI"/>
        <family val="0"/>
        <charset val="1"/>
      </rPr>
      <t xml:space="preserve"> completes rollout across </t>
    </r>
    <r>
      <rPr>
        <b val="true"/>
        <sz val="7"/>
        <color rgb="FF000000"/>
        <rFont val="Segoe UI"/>
        <family val="0"/>
        <charset val="1"/>
      </rPr>
      <t xml:space="preserve">25+ African markets</t>
    </r>
    <r>
      <rPr>
        <sz val="7"/>
        <color rgb="FF000000"/>
        <rFont val="Segoe UI"/>
        <family val="0"/>
        <charset val="1"/>
      </rPr>
      <t xml:space="preserve"> → transforming fragmented national insurers into a pan‑African platform.</t>
    </r>
  </si>
  <si>
    <r>
      <rPr>
        <sz val="9"/>
        <color rgb="FF0D0D0D"/>
        <rFont val="Inter"/>
        <family val="0"/>
        <charset val="1"/>
      </rPr>
      <t xml:space="preserve">AXA Afrique Atlantique</t>
    </r>
    <r>
      <rPr>
        <sz val="7"/>
        <color rgb="FF000000"/>
        <rFont val="Segoe UI"/>
        <family val="0"/>
        <charset val="1"/>
      </rPr>
      <t xml:space="preserve"> consolidates governance through Casablanca hub → centralising oversight to manage multi‑country complexity.</t>
    </r>
  </si>
  <si>
    <r>
      <rPr>
        <sz val="9"/>
        <color rgb="FF0D0D0D"/>
        <rFont val="Inter"/>
        <family val="0"/>
        <charset val="1"/>
      </rPr>
      <t xml:space="preserve">Old Mutual</t>
    </r>
    <r>
      <rPr>
        <sz val="7"/>
        <color rgb="FF000000"/>
        <rFont val="Segoe UI"/>
        <family val="0"/>
        <charset val="1"/>
      </rPr>
      <t xml:space="preserve"> undertakes strategic reset under new CEO → refocusing on core African insurance economics.</t>
    </r>
  </si>
  <si>
    <r>
      <rPr>
        <sz val="9"/>
        <color rgb="FF0D0D0D"/>
        <rFont val="Inter"/>
        <family val="0"/>
        <charset val="1"/>
      </rPr>
      <t xml:space="preserve">Santam</t>
    </r>
    <r>
      <rPr>
        <sz val="7"/>
        <color rgb="FF000000"/>
        <rFont val="Segoe UI"/>
        <family val="0"/>
        <charset val="1"/>
      </rPr>
      <t xml:space="preserve"> records strong underwriting profitability while expanding reinsurance capacity → balancing growth with capital discipline.</t>
    </r>
  </si>
  <si>
    <r>
      <rPr>
        <sz val="9"/>
        <color rgb="FF0D0D0D"/>
        <rFont val="Inter"/>
        <family val="0"/>
        <charset val="1"/>
      </rPr>
      <t xml:space="preserve">Hannover Re Africa</t>
    </r>
    <r>
      <rPr>
        <sz val="7"/>
        <color rgb="FF000000"/>
        <rFont val="Segoe UI"/>
        <family val="0"/>
        <charset val="1"/>
      </rPr>
      <t xml:space="preserve"> maintains locally licensed model → signalling long‑term capital commitment versus branch‑only retrenchment.</t>
    </r>
  </si>
  <si>
    <r>
      <rPr>
        <sz val="9"/>
        <color rgb="FF0D0D0D"/>
        <rFont val="Inter"/>
        <family val="0"/>
        <charset val="1"/>
      </rPr>
      <t xml:space="preserve">Continental Reinsurance</t>
    </r>
    <r>
      <rPr>
        <sz val="7"/>
        <color rgb="FF000000"/>
        <rFont val="Segoe UI"/>
        <family val="0"/>
        <charset val="1"/>
      </rPr>
      <t xml:space="preserve"> restructures into holding company → optimising capital allocation across volatile African markets.</t>
    </r>
  </si>
  <si>
    <r>
      <rPr>
        <sz val="9"/>
        <color rgb="FF0D0D0D"/>
        <rFont val="Inter"/>
        <family val="0"/>
        <charset val="1"/>
      </rPr>
      <t xml:space="preserve">Discovery Health</t>
    </r>
    <r>
      <rPr>
        <sz val="7"/>
        <color rgb="FF000000"/>
        <rFont val="Segoe UI"/>
        <family val="0"/>
        <charset val="1"/>
      </rPr>
      <t xml:space="preserve"> reverses </t>
    </r>
    <r>
      <rPr>
        <b val="true"/>
        <sz val="7"/>
        <color rgb="FF000000"/>
        <rFont val="Segoe UI"/>
        <family val="0"/>
        <charset val="1"/>
      </rPr>
      <t xml:space="preserve">R125m billing recoveries</t>
    </r>
    <r>
      <rPr>
        <sz val="7"/>
        <color rgb="FF000000"/>
        <rFont val="Segoe UI"/>
        <family val="0"/>
        <charset val="1"/>
      </rPr>
      <t xml:space="preserve"> after regulator probe → highlighting service errors escalating into trust crises.</t>
    </r>
  </si>
  <si>
    <r>
      <rPr>
        <sz val="9"/>
        <color rgb="FF0D0D0D"/>
        <rFont val="Inter"/>
        <family val="0"/>
        <charset val="1"/>
      </rPr>
      <t xml:space="preserve">Munich Re Africa</t>
    </r>
    <r>
      <rPr>
        <sz val="7"/>
        <color rgb="FF000000"/>
        <rFont val="Segoe UI"/>
        <family val="0"/>
        <charset val="1"/>
      </rPr>
      <t xml:space="preserve"> exits local licence in favour of branch model → regulatory‑driven restructuring, not market withdrawal.</t>
    </r>
  </si>
  <si>
    <t xml:space="preserve">TOP 20 UK</t>
  </si>
  <si>
    <r>
      <rPr>
        <sz val="9"/>
        <color rgb="FF0D0D0D"/>
        <rFont val="Inter"/>
        <family val="0"/>
        <charset val="1"/>
      </rPr>
      <t xml:space="preserve">Aviva</t>
    </r>
    <r>
      <rPr>
        <sz val="7"/>
        <color rgb="FF000000"/>
        <rFont val="Segoe UI"/>
        <family val="0"/>
        <charset val="1"/>
      </rPr>
      <t xml:space="preserve"> shifts from AI pilots to enterprise‑wide deployment across underwriting and service → crossing the AI scale threshold.</t>
    </r>
  </si>
  <si>
    <r>
      <rPr>
        <sz val="9"/>
        <color rgb="FF0D0D0D"/>
        <rFont val="Inter"/>
        <family val="0"/>
        <charset val="1"/>
      </rPr>
      <t xml:space="preserve">Allianz UK</t>
    </r>
    <r>
      <rPr>
        <sz val="7"/>
        <color rgb="FF000000"/>
        <rFont val="Segoe UI"/>
        <family val="0"/>
        <charset val="1"/>
      </rPr>
      <t xml:space="preserve"> scales AI in underwriting and fraud detection while acknowledging legacy constraints → signalling phased, risk‑controlled adoption.</t>
    </r>
  </si>
  <si>
    <r>
      <rPr>
        <sz val="9"/>
        <color rgb="FF0D0D0D"/>
        <rFont val="Inter"/>
        <family val="0"/>
        <charset val="1"/>
      </rPr>
      <t xml:space="preserve">Zurich UK</t>
    </r>
    <r>
      <rPr>
        <sz val="7"/>
        <color rgb="FF000000"/>
        <rFont val="Segoe UI"/>
        <family val="0"/>
        <charset val="1"/>
      </rPr>
      <t xml:space="preserve"> launches digital cancer risk tools and empathy‑led platforms → extending AI beyond claims into prevention and support.</t>
    </r>
  </si>
  <si>
    <r>
      <rPr>
        <sz val="9"/>
        <color rgb="FF0D0D0D"/>
        <rFont val="Inter"/>
        <family val="0"/>
        <charset val="1"/>
      </rPr>
      <t xml:space="preserve">NFU Mutual</t>
    </r>
    <r>
      <rPr>
        <sz val="7"/>
        <color rgb="FF000000"/>
        <rFont val="Segoe UI"/>
        <family val="0"/>
        <charset val="1"/>
      </rPr>
      <t xml:space="preserve"> migrates from on‑prem to </t>
    </r>
    <r>
      <rPr>
        <b val="true"/>
        <sz val="7"/>
        <color rgb="FF000000"/>
        <rFont val="Segoe UI"/>
        <family val="0"/>
        <charset val="1"/>
      </rPr>
      <t xml:space="preserve">Guidewire Cloud</t>
    </r>
    <r>
      <rPr>
        <sz val="7"/>
        <color rgb="FF000000"/>
        <rFont val="Segoe UI"/>
        <family val="0"/>
        <charset val="1"/>
      </rPr>
      <t xml:space="preserve"> → modernising core systems to unlock AI and efficiency.</t>
    </r>
  </si>
  <si>
    <r>
      <rPr>
        <sz val="9"/>
        <color rgb="FF0D0D0D"/>
        <rFont val="Inter"/>
        <family val="0"/>
        <charset val="1"/>
      </rPr>
      <t xml:space="preserve">Tesco Insurance</t>
    </r>
    <r>
      <rPr>
        <sz val="7"/>
        <color rgb="FF000000"/>
        <rFont val="Segoe UI"/>
        <family val="0"/>
        <charset val="1"/>
      </rPr>
      <t xml:space="preserve"> launches cloud‑first transformation → rebuilding platform foundations for digital scalability.</t>
    </r>
  </si>
  <si>
    <r>
      <rPr>
        <sz val="9"/>
        <color rgb="FF0D0D0D"/>
        <rFont val="Inter"/>
        <family val="0"/>
        <charset val="1"/>
      </rPr>
      <t xml:space="preserve">Beazley</t>
    </r>
    <r>
      <rPr>
        <sz val="7"/>
        <color rgb="FF000000"/>
        <rFont val="Segoe UI"/>
        <family val="0"/>
        <charset val="1"/>
      </rPr>
      <t xml:space="preserve"> remains world’s largest cyber insurer while transferring cyber risk to capital markets → redefining cyber risk financing.</t>
    </r>
  </si>
  <si>
    <r>
      <rPr>
        <sz val="9"/>
        <color rgb="FF0D0D0D"/>
        <rFont val="Inter"/>
        <family val="0"/>
        <charset val="1"/>
      </rPr>
      <t xml:space="preserve">Howden</t>
    </r>
    <r>
      <rPr>
        <sz val="7"/>
        <color rgb="FF000000"/>
        <rFont val="Segoe UI"/>
        <family val="0"/>
        <charset val="1"/>
      </rPr>
      <t xml:space="preserve"> builds actuarial &amp; longevity practice via acquisitions → expanding broker role beyond placement into analytics‑led advisory.</t>
    </r>
  </si>
  <si>
    <r>
      <rPr>
        <sz val="9"/>
        <color rgb="FF0D0D0D"/>
        <rFont val="Inter"/>
        <family val="0"/>
        <charset val="1"/>
      </rPr>
      <t xml:space="preserve">FCA</t>
    </r>
    <r>
      <rPr>
        <sz val="7"/>
        <color rgb="FF000000"/>
        <rFont val="Segoe UI"/>
        <family val="0"/>
        <charset val="1"/>
      </rPr>
      <t xml:space="preserve"> imposes capital and customer limits on </t>
    </r>
    <r>
      <rPr>
        <b val="true"/>
        <sz val="7"/>
        <color rgb="FF000000"/>
        <rFont val="Segoe UI"/>
        <family val="0"/>
        <charset val="1"/>
      </rPr>
      <t xml:space="preserve">Markerstudy</t>
    </r>
    <r>
      <rPr>
        <sz val="7"/>
        <color rgb="FF000000"/>
        <rFont val="Segoe UI"/>
        <family val="0"/>
        <charset val="1"/>
      </rPr>
      <t xml:space="preserve"> → reinforcing regulator intolerance for governance gaps.</t>
    </r>
  </si>
  <si>
    <r>
      <rPr>
        <sz val="9"/>
        <color rgb="FF0D0D0D"/>
        <rFont val="Inter"/>
        <family val="0"/>
        <charset val="1"/>
      </rPr>
      <t xml:space="preserve">Allianz UK</t>
    </r>
    <r>
      <rPr>
        <sz val="7"/>
        <color rgb="FF000000"/>
        <rFont val="Segoe UI"/>
        <family val="0"/>
        <charset val="1"/>
      </rPr>
      <t xml:space="preserve"> identifies </t>
    </r>
    <r>
      <rPr>
        <b val="true"/>
        <sz val="7"/>
        <color rgb="FF000000"/>
        <rFont val="Segoe UI"/>
        <family val="0"/>
        <charset val="1"/>
      </rPr>
      <t xml:space="preserve">34,200 fraud cases</t>
    </r>
    <r>
      <rPr>
        <sz val="7"/>
        <color rgb="FF000000"/>
        <rFont val="Segoe UI"/>
        <family val="0"/>
        <charset val="1"/>
      </rPr>
      <t xml:space="preserve">, including ghost brokers → fraud emerges as systemic cost and trust risk.</t>
    </r>
  </si>
  <si>
    <r>
      <rPr>
        <sz val="9"/>
        <color rgb="FF0D0D0D"/>
        <rFont val="Inter"/>
        <family val="0"/>
        <charset val="1"/>
      </rPr>
      <t xml:space="preserve">Ecclesiastical</t>
    </r>
    <r>
      <rPr>
        <sz val="7"/>
        <color rgb="FF000000"/>
        <rFont val="Segoe UI"/>
        <family val="0"/>
        <charset val="1"/>
      </rPr>
      <t xml:space="preserve"> saves </t>
    </r>
    <r>
      <rPr>
        <b val="true"/>
        <sz val="7"/>
        <color rgb="FF000000"/>
        <rFont val="Segoe UI"/>
        <family val="0"/>
        <charset val="1"/>
      </rPr>
      <t xml:space="preserve">£3m</t>
    </r>
    <r>
      <rPr>
        <sz val="7"/>
        <color rgb="FF000000"/>
        <rFont val="Segoe UI"/>
        <family val="0"/>
        <charset val="1"/>
      </rPr>
      <t xml:space="preserve"> by challenging fraudulent claims → validating ROI of advanced fraud controls.</t>
    </r>
  </si>
  <si>
    <t xml:space="preserve">INDIAN COMPANIES IN THE UK</t>
  </si>
  <si>
    <r>
      <rPr>
        <sz val="9"/>
        <color rgb="FF0D0D0D"/>
        <rFont val="Inter"/>
        <family val="0"/>
        <charset val="1"/>
      </rPr>
      <t xml:space="preserve">TCS (Diligenta)</t>
    </r>
    <r>
      <rPr>
        <sz val="7"/>
        <color rgb="FF000000"/>
        <rFont val="Segoe UI"/>
        <family val="0"/>
        <charset val="1"/>
      </rPr>
      <t xml:space="preserve"> expands AI‑enabled policy administration for Aviva → exporting India’s insurance‑tech execution into the UK market.</t>
    </r>
  </si>
  <si>
    <r>
      <rPr>
        <sz val="9"/>
        <color rgb="FF0D0D0D"/>
        <rFont val="Inter"/>
        <family val="0"/>
        <charset val="1"/>
      </rPr>
      <t xml:space="preserve">LIC UK</t>
    </r>
    <r>
      <rPr>
        <sz val="7"/>
        <color rgb="FF000000"/>
        <rFont val="Segoe UI"/>
        <family val="0"/>
        <charset val="1"/>
      </rPr>
      <t xml:space="preserve"> continues in </t>
    </r>
    <r>
      <rPr>
        <b val="true"/>
        <sz val="7"/>
        <color rgb="FF000000"/>
        <rFont val="Segoe UI"/>
        <family val="0"/>
        <charset val="1"/>
      </rPr>
      <t xml:space="preserve">closed‑to‑new‑business mode</t>
    </r>
    <r>
      <rPr>
        <sz val="7"/>
        <color rgb="FF000000"/>
        <rFont val="Segoe UI"/>
        <family val="0"/>
        <charset val="1"/>
      </rPr>
      <t xml:space="preserve"> → shifting focus from growth to servicing and run‑off management.</t>
    </r>
  </si>
  <si>
    <r>
      <rPr>
        <sz val="9"/>
        <color rgb="FF0D0D0D"/>
        <rFont val="Inter"/>
        <family val="0"/>
        <charset val="1"/>
      </rPr>
      <t xml:space="preserve">New India Assurance UK</t>
    </r>
    <r>
      <rPr>
        <sz val="7"/>
        <color rgb="FF000000"/>
        <rFont val="Segoe UI"/>
        <family val="0"/>
        <charset val="1"/>
      </rPr>
      <t xml:space="preserve"> maintains stable solvency while premiums soften → prioritising resilience over expansion.</t>
    </r>
  </si>
  <si>
    <r>
      <rPr>
        <sz val="9"/>
        <color rgb="FF0D0D0D"/>
        <rFont val="Inter"/>
        <family val="0"/>
        <charset val="1"/>
      </rPr>
      <t xml:space="preserve">GIC Re</t>
    </r>
    <r>
      <rPr>
        <sz val="7"/>
        <color rgb="FF000000"/>
        <rFont val="Segoe UI"/>
        <family val="0"/>
        <charset val="1"/>
      </rPr>
      <t xml:space="preserve"> sets up UK service entity and restructures Lloyd’s syndicate management → optimising capital and governance footprint in London market.</t>
    </r>
  </si>
  <si>
    <r>
      <rPr>
        <sz val="9"/>
        <color rgb="FF0D0D0D"/>
        <rFont val="Inter"/>
        <family val="0"/>
        <charset val="1"/>
      </rPr>
      <t xml:space="preserve">Indian insurers in the UK</t>
    </r>
    <r>
      <rPr>
        <sz val="7"/>
        <color rgb="FF000000"/>
        <rFont val="Segoe UI"/>
        <family val="0"/>
        <charset val="1"/>
      </rPr>
      <t xml:space="preserve"> operate under strict SFCR and FCA regimes → reinforcing compliance‑first operating posture over growth ambitions.</t>
    </r>
  </si>
  <si>
    <t xml:space="preserve">Row (Top GCCs India)</t>
  </si>
  <si>
    <t xml:space="preserve">Column</t>
  </si>
  <si>
    <t xml:space="preserve">Action</t>
  </si>
  <si>
    <t xml:space="preserve">Existing text (truncated)</t>
  </si>
  <si>
    <t xml:space="preserve">New / verified text</t>
  </si>
  <si>
    <t xml:space="preserve">Source(s)</t>
  </si>
  <si>
    <t xml:space="preserve">Audit result</t>
  </si>
  <si>
    <t xml:space="preserve">Audit note</t>
  </si>
  <si>
    <t xml:space="preserve">Evidence (quoted extract)</t>
  </si>
  <si>
    <t xml:space="preserve">4</t>
  </si>
  <si>
    <t xml:space="preserve">correction</t>
  </si>
  <si>
    <t xml:space="preserve">Allianz Service Private limited (India) - GCC
</t>
  </si>
  <si>
    <t xml:space="preserve">Allianz Services Private Limited (Allianz Services India) - GCC. CIN U72200KL2003PTC015907, incorporated 24 Jan 2003, Thiruvananthapuram.</t>
  </si>
  <si>
    <t xml:space="preserve">https://tracxn.com/d/legal-entities/india/allianz-services-private-limited/__M5-FY4-jsWBs7GTua-LKdOGAxvWENBEdGBoE75bH6PU
https://www.thecompanycheck.com/company/allianz-services-private-limited/U72200KL2003PTC015907
https://www.tofler.in/allianz-services-private-limited/company/U72200KL2003PTC015907</t>
  </si>
  <si>
    <t xml:space="preserve">verified</t>
  </si>
  <si>
    <t xml:space="preserve">Search extracts (Allianz India contact page, Technopark listing, qorpiq MCA director data) confirm the legal name 'Allianz Services Private Limited' at Technopark Trivandrum; CIN/incorporation date come from MCA mirrors and were not separately re-checked within budget.</t>
  </si>
  <si>
    <t xml:space="preserve">Allianz contact page / Technopark: 'Allianz Services Private Limited is located at Ganga Building, 3rd to 6th Floor, Technopark Campus, Phase III, Trivandrum, Kerala - 695581'; qorpiq: 'Managing Director at ALLIANZ SERVICES PRIVATE LIMITED'</t>
  </si>
  <si>
    <t xml:space="preserve">Trivandrumv- HO
Other Offices : Pune, Mumbai.
https://in.linkedin.com/showcase/allianz-services-india/</t>
  </si>
  <si>
    <t xml:space="preserve">HO: Thiruvananthapuram (Trivandrum) - Ganga Building, Technopark Phase III, Kazhakkoottam. Other offices: Pune (EON Free Zone, Tower A, Kharadi) and Mumbai (3-North Avenue, Maker Maxity, BKC).</t>
  </si>
  <si>
    <t xml:space="preserve">https://www.allianz.com/en/about-us/company/contact/india.html
https://www.linkedin.com/showcase/allianz-services-india/
https://www.greatplacetowork.in/great/company/allianz-services-private-limited/</t>
  </si>
  <si>
    <t xml:space="preserve">Trivandrum HO (Ganga Building, Technopark Phase III) and Pune confirmed by Allianz pages; Mumbai office rests on the cited Allianz India contact page and was not separately seen in an extract.</t>
  </si>
  <si>
    <t xml:space="preserve">'Allianz Services Private Limited operates from Trivandrum and Pune'; 'Ganga Building, 3rd to 6th Floor, Technopark Campus, Phase III, Trivandrum'</t>
  </si>
  <si>
    <t xml:space="preserve">India Head/Leader</t>
  </si>
  <si>
    <t xml:space="preserve">confirmed</t>
  </si>
  <si>
    <t xml:space="preserve">https://www.business-standard.com/finance/news/allianz-appoints-ritu-arora-as-country-head-for-india-effective-immediately-125101600873_1.html; https://www.exchange4media.com/industry-briefing-news/allianz-appoints-ritu-arora-as-country-head-of-india-148459.html; https://www.businesstoday.in/magazine/deep-dive/story/for-allianz-services-ritu-gangrade-arora-her-current-stint-offers-her-the-biggest-canvas-yet-507167-2025-12-18; https://community.nasscom.in/communities/leader-talk/conversation-jison-john-ceo-and-md-allianz-services-india</t>
  </si>
  <si>
    <t xml:space="preserve">Ritu Arora's Oct 2025 appointment as Country Head India confirmed by exchange4media/ReinAsia; MCA director data (qorpiq) lists Jison John as Managing Director of Allianz Services Pvt Ltd but no 2026 item confirms or contradicts his continuation, so the 'status unverified' wording is kept.</t>
  </si>
  <si>
    <t xml:space="preserve">exchange4media: 'Allianz announced the appointment of Ritu Arora as the Country Head of India, with immediate effect' (Oct 2025); qorpiq: 'Jison John is a Director/Designated Partner and Managing Director at ALLIANZ SERVICES PRIVATE LIMITED'</t>
  </si>
  <si>
    <t xml:space="preserve">Live Functions</t>
  </si>
  <si>
    <t xml:space="preserve">https://careers.allianz.com/global/en/allianz-services; https://www.linkedin.com/showcase/allianz-services-india/; https://community.nasscom.in/communities/leader-talk/conversation-jison-john-ceo-and-md-allianz-services-india</t>
  </si>
  <si>
    <t xml:space="preserve">Allianz careers/contact extract confirms India is Allianz Services' largest centre of competence; function list consistent with Allianz Services job postings (insurance operations P&amp;C, HR services, CEO office).</t>
  </si>
  <si>
    <t xml:space="preserve">'Allianz Services Pvt Ltd in India is the largest centre of competence for Allianz Services, which also operates in Romania, Mauritius, Italy, France, Singapore and Germany'</t>
  </si>
  <si>
    <t xml:space="preserve">Local GCC FTE</t>
  </si>
  <si>
    <t xml:space="preserve">https://www.greatplacetowork.in/great/company/allianz-services-private-limited/; https://www.emis.com/php/company-profile/IN/Allianz_Services_Private_Limited_en_2425820.html; https://www.greatplacetowork.in/great/company/allianz-technology-se-india/; https://www.reveliolabs.com/companies/allianz/employees/</t>
  </si>
  <si>
    <t xml:space="preserve">not_audited</t>
  </si>
  <si>
    <t xml:space="preserve">budget: the GPTW 4,353 / EMIS 4,735 entity figures were not re-checked; the only headcount extracts returned were group-level (Allianz Services 8,500+ globally; Allianz Technology India 3,500+), which the text already separates correctly.</t>
  </si>
  <si>
    <t xml:space="preserve">tech.allianz.com: 'Allianz Technology in India is a 3,500+ strong workforce'; Allianz Services: '8,500+ people globally'</t>
  </si>
  <si>
    <t xml:space="preserve">Trend</t>
  </si>
  <si>
    <t xml:space="preserve">addition</t>
  </si>
  <si>
    <t xml:space="preserve">Operations (core insurance operations / GBS) with a strong Technology &amp; AI push; parent's 2026 India focus is the Jio primary-insurance and reinsurance JVs | (Apr 2026) Jio Financial Services and Allianz Europe B.V. executed a binding 50:50 joint-venture agreement (22 Apr 2026) for a general and health insurance company in India, Allianz's return to Indian primary insurance after exiting Bajaj Allianz; a separate life-insurance agreement is under negotiation. || (Mar 2026) Allianz Jio Reinsurance Limited (Allianz Jio Re), the domestic reinsurance JV, started operating in India in March 2026; the same month Allianz published 'AI at work' guidance, with its careers site noting that around 80% of positions Allianz advertises now require some AI skill. || (Oct 2025) Allianz appointed Ritu Arora as its first Country Head for India, effective immediately, to steer the group's India expansion.</t>
  </si>
  <si>
    <t xml:space="preserve">https://www.allianz.com/en/mediacenter/news/media-releases/financials/260422-jio-financial-services-and-allianz-to-form-primary-insurance-joint-venture.html
https://www.insurancebusinessmag.com/asia/news/breaking-news/jio-financial-and-allianz-agree-india-general-health-venture-572710.aspx
https://www.allianz.com/en/mediacenter/news/articles/260327-ai-at-work-how-human-and-ai-skills-make-insurance-better.html
https://careers.allianz.com/global/en/ai-skills-at-allianz
https://www.exchange4media.com/industry-briefing-news/allianz-appoints-ritu-arora-as-country-head-of-india-148459.html</t>
  </si>
  <si>
    <t xml:space="preserve">amended</t>
  </si>
  <si>
    <t xml:space="preserve">Jio JV (22 Apr 2026, Allianz release), Allianz Jio Re start (Mar 2026) and Ritu Arora (Oct 2025) verified; removed the unverified 'Sonia Rawal named CEO' clause (no extract), corrected '80% of positions at Allianz Services' to Allianz group-wide (careers-site statistic), and dropped the Feb 2026 'Innovation Marathon' bullet because two searches returned no extract for the event or the technoparktoday source.</t>
  </si>
  <si>
    <t xml:space="preserve">Allianz/NSE: 'joint venture agreement executed on April 22, 2026'; 'Allianz Jio Reinsurance Limited (Allianz Jio Re)... started operating in the country in March 2026'; careers.allianz.com: 'Around 80% of the positions Allianz advertises require some level of AI knowledge or skills'</t>
  </si>
  <si>
    <t xml:space="preserve">5</t>
  </si>
  <si>
    <t xml:space="preserve">Allstate India Private Limited (Allstate India) - GCC. CIN U74900KA2012FTC064201, incorporated 1 Jun 2012, RoC Bangalore, subsidiary of a foreign company. Formerly registered as Allstate Solutions Private Limited (ASPL) - same entity, not a separate one.</t>
  </si>
  <si>
    <t xml:space="preserve">https://www.thecompanycheck.com/company/allstate-india-private-limited/U74900KA2012FTC064201
https://www.allstateindia.com/
https://www.allstateindia.com/about-us/news/great-place-to-work</t>
  </si>
  <si>
    <t xml:space="preserve">CIN and entity confirmed; extract shows Allstate Solutions Private Limited is the former name of the same entity, so the 'related entity' wording was replaced with 'formerly registered as'.</t>
  </si>
  <si>
    <t xml:space="preserve">'Allstate runs its India technology and operations arm through Allstate India Private Limited (earlier registered as Allstate Solutions Private Limited), incorporated on 1 June 2012 with CIN U74900KA2012FTC064201... registered with the RoC in Bangalore'</t>
  </si>
  <si>
    <t xml:space="preserve">https://www.allstateindia.com/contact-us; https://www.reveliolabs.com/companies/allstate-india/employees</t>
  </si>
  <si>
    <t xml:space="preserve">Bengaluru (Ecoworld) and Pune confirmed; extract gives the Pune centre as SP Infocity SEZ, Fursungi whereas the company contact page gives Gera Commerzone Kharadi, so both are shown for the client to confirm.</t>
  </si>
  <si>
    <t xml:space="preserve">'The registered office is at RMZ Ecoworld in Devarabeesanahalli, Bengaluru, with a second center at SP Infocity SEZ in Fursungi, Pune'</t>
  </si>
  <si>
    <t xml:space="preserve">https://hrtoday.in/shibu-mathew-zacharia-appointed-as-vice-president-and-managing-director-at-allstate-india/; https://www.allstateindia.com/about-us/news-and-updates; https://www.allstateindia.com/about-us/leadership/shibu-zacharia</t>
  </si>
  <si>
    <t xml:space="preserve">Sep 2025 appointment as VP &amp; MD confirmed (hrtoday) with no 2026 exit news; removed the 'AIM Top BFSI GCC Heads 2026' claim because a dedicated search returned no AIM list or article naming him (only Sachin Kulkarni surfaced).</t>
  </si>
  <si>
    <t xml:space="preserve">hrtoday.in: 'Shibu Mathew Zacharia was appointed Vice President and Managing Director in September 2025, leading the India operations'</t>
  </si>
  <si>
    <t xml:space="preserve">https://www.allstateindia.com/what-we-do/operations; https://www.allstateindia.com/what-we-do/technology; https://www.business-standard.com/content/press-releases-ani/reimagining-the-role-of-insurance-gccs-allstate-india-s-journey-towards-a-global-talent-center-124082600741_1.html</t>
  </si>
  <si>
    <t xml:space="preserve">Extract describes the entity as Allstate's India technology and operations arm, and current postings (customer service associate, team leader operations voice) support the operations list; finance line carried from company pages.</t>
  </si>
  <si>
    <t xml:space="preserve">'Allstate runs its India technology and operations arm through Allstate India Private Limited'; postings: 'Customer Service Associate III at Allstate India', 'team leader operations voice'</t>
  </si>
  <si>
    <t xml:space="preserve">8,000 employees spread across
Source:
https://undercodenews.com/allstates-india-operations-a-hub-of-innovation-and-efficiency/</t>
  </si>
  <si>
    <t xml:space="preserve">Over 8,000 (company website / Forbes India: 'more than 8,000 employees across Bengaluru and Pune'). Caveat: Revelio Labs estimates 3,185 as of Mar 2026 (-1.6% YoY); GCC databases list 1,001-5,000. About 175 Allstate India employees (Bengaluru and Pune) transferred to The Standard with the Employer Voluntary Benefits business in 2025.</t>
  </si>
  <si>
    <t xml:space="preserve">https://www.allstateindia.com/about-us/news-and-updates
https://www.allstateindia.com/
https://www.reveliolabs.com/companies/allstate-india/employees
https://www.peoplematters.in/news/business/the-standard-grows-india-gcc-to-400-positioning-bengaluru-at-the-centre-of-its-innovation-strategy-51594</t>
  </si>
  <si>
    <t xml:space="preserve">8,000+ figure confirmed (Forbes India via extract); the 175-employee transfer to The Standard confirmed but spans Bengaluru and Pune, not Bengaluru only, so wording fixed; Revelio 3,185 not re-checked within budget.</t>
  </si>
  <si>
    <t xml:space="preserve">'Forbes India reports more than 8,000 employees across the two campuses'; 'initially staffed by 175 Allstate India Pvt Ltd employees who became full-time employees of The Standard India across its sites in Bengaluru and Pune'</t>
  </si>
  <si>
    <t xml:space="preserve">Technology (AI/agentic platforms, engineering) and Operations (claims, customer service); portfolio reshaped by the 2025 voluntary-benefits carve-out | (Sep 2025) Allstate India appointed Shibu Mathew Zacharia as Vice President &amp; Managing Director to lead India operations, strategy and enterprise capability building; the company continues to cite 8,000+ staff across Bengaluru and Pune. || (Apr 2025) The Standard completed its approx. USD 2 bn acquisition of Allstate's Employer Voluntary Benefits business on 1 Apr 2025; about 175 Allstate India employees in Bengaluru and Pune moved to The Standard, which then launched its own India GCC (Nov 2025) and has reportedly grown it to 400. || (Aug 2024) Allstate India publicly repositioned itself from a cost-arbitrage GCC to a 'Global Talent Center' with enterprise ownership of finance, operations and technology work.</t>
  </si>
  <si>
    <t xml:space="preserve">https://hrtoday.in/shibu-mathew-zacharia-appointed-as-vice-president-and-managing-director-at-allstate-india/
https://www.allstateindia.com/about-us/news-and-updates
https://standard.com/get-to-know-standard/newsroom/press-releases/standard-completes-acquisition-allstate-employer-voluntary-benefits-business
https://yourstory.com/enterprise-story/2025/11/us-financial-services-firm-the-standard-opens-new-gcc-in-india
https://www.peoplematters.in/news/business/the-standard-grows-india-gcc-to-400-positioning-bengaluru-at-the-centre-of-its-innovation-strategy-51594
https://www.business-standard.com/content/press-releases-ani/reimagining-the-role-of-insurance-gccs-allstate-india-s-journey-towards-a-global-talent-center-124082600741_1.html</t>
  </si>
  <si>
    <t xml:space="preserve">Dropped the undated 'AIM Top BFSI GCC Heads 2026' bullet (unverified); corrected The Standard deal close to 1 Apr 2025 and the 175 transferees to Bengaluru and Pune, adding The Standard's Nov 2025 GCC launch; Sep 2025 and Aug 2024 bullets stand.</t>
  </si>
  <si>
    <t xml:space="preserve">'The Standard acquired the Allstate Employer Voluntary Benefits business on April 1, 2025. The deal was valued at $2 billion'; YourStory (Nov 2025): 'US financial services firm The Standard opens new GCC in India... initially staffed by 175 Allstate India Pvt Ltd employees'</t>
  </si>
  <si>
    <t xml:space="preserve">6</t>
  </si>
  <si>
    <t xml:space="preserve">https://www.zaubacorp.com/company/AIG-ANALYTICS-SERVICES-PRIVATE-LIMITED/U74990KA2009PTC076432; https://www.tofler.in/accenture-operations-services-private-limited/company/U74990KA2009PTC076432; https://www.thecompanycheck.com/company/accenture-operations-services-private-limited/U74990KA2009PTC076432; https://in.linkedin.com/company/aig-analytics-&amp;-services-private-limited</t>
  </si>
  <si>
    <t xml:space="preserve">budget: two searches on the entity name and CIN returned no indexed MCA-mirror extract, so the rename chain (Chartis -&gt; AIG Analytics &amp; Services -&gt; Accenture Operations Services) could not be confirmed or refuted; the AIG-to-Accenture shared-services transfer itself is confirmed (Fortune).</t>
  </si>
  <si>
    <t xml:space="preserve">Fortune (Jul 2022): '6,000 AIG employees became Accenture employees en masse - described as "the most people we've ever taken on at one time" by Accenture CEO Julie Sweet'</t>
  </si>
  <si>
    <t xml:space="preserve">https://www.tofler.in/accenture-operations-services-private-limited/company/U74990KA2009PTC076432; https://flexiple.com/global-capability-centers/list-of-global-capability-centers-in-india</t>
  </si>
  <si>
    <t xml:space="preserve">budget: no extract surfaced for either Bengaluru address; Bengaluru is consistent with the KA CIN prefix but the registered-office and Whitefield addresses were not independently seen.</t>
  </si>
  <si>
    <t xml:space="preserve">'AIG Analytics &amp; Services Private Limited has a presence in Bangalore at 5th Floor, Crescent 4 Prestige Shantiniketan, Whitefield'</t>
  </si>
  <si>
    <t xml:space="preserve">No publicly identified India head for this entity (Accenture-owned). Directors per Tofler MCA listing (not independently re-checked): Arghya Das, Sachindra Bhushan, Jal Rumi Master, Rajeev Chopra. Arundhati Chakraborty is Accenture's global Group Chief Executive - Accenture Operations (effective 1 Sep 2024, Bengaluru-based, leading 185,000+ people across 125+ centres), not the head of this unit.</t>
  </si>
  <si>
    <t xml:space="preserve">https://www.tofler.in/accenture-operations-services-private-limited/company/U74990KA2009PTC076432
https://businessworld.in/article/accenture-elevates-arundhati-chakraborty-as-group-chief-executive-of-operations-531263</t>
  </si>
  <si>
    <t xml:space="preserve">Arundhati Chakraborty's role, start date and Bengaluru base confirmed by Accenture newsroom coverage; the director names come from Tofler and could not be re-checked, so they are now explicitly caveated.</t>
  </si>
  <si>
    <t xml:space="preserve">'Arundhati Chakraborty was appointed group chief executive of Accenture Operations, effective as of September 1, 2024. Chakraborty is based in Bengaluru... leads over 185,000 Accenture people across more than 125 Intelligent Operations Centers'</t>
  </si>
  <si>
    <t xml:space="preserve">Accenture Operations Services Private Limited (formerly AIG Analytics &amp; Services Private Limited and Chartis Insurance Services Private Limited)
Finance:
Accounting, FP&amp;A, Reconciliations, Technical Accounting
Operations:
Insurance Operations, Analytics Services, Business Process Services
Technology</t>
  </si>
  <si>
    <t xml:space="preserve">Accenture-owned delivery centre (ex-AIG shared services) providing insurance business-process services to AIG: finance &amp; accounting (accounting, FP&amp;A, reconciliations), insurance operations (policy/claims processing), analytics services and IT/systems support. Current function split not published by Accenture or AIG.</t>
  </si>
  <si>
    <t xml:space="preserve">https://www.thecompanycheck.com/company/accenture-operations-services-private-limited/U74990KA2009PTC076432
https://fortune.com/2022/07/21/aig-imploded-2008-recession-financial-crisis-turnaround-plan-6000-employees-accenture/</t>
  </si>
  <si>
    <t xml:space="preserve">budget: the AIG-to-Accenture transfer context is confirmed (Fortune), but the specific F&amp;A/operations/analytics function list is aggregator-sourced and no extract confirmed it.</t>
  </si>
  <si>
    <t xml:space="preserve">Fortune: '6,000 AIG employees became Accenture employees en masse'</t>
  </si>
  <si>
    <t xml:space="preserve">The total number of employees is currently 940 (2025)
Sources:
https://www.emis.com/php/company-profile/IN/Accenture_Operations_Services_Private_Limited_en_5867203.html</t>
  </si>
  <si>
    <t xml:space="preserve">Approx. 995 employees (EPFO records via Tofler, FY2025-26); EMIS 940 (2025). Ignore third-party claims of a 4,000-person 'AIG India Technology and Operations Centre' or '15,000 by 2027' - these appear on AI-generated GCC listicles and are not supported by any AIG or MCA source.</t>
  </si>
  <si>
    <t xml:space="preserve">https://www.tofler.in/accenture-operations-services-private-limited/company/U74990KA2009PTC076432
https://www.emis.com/php/company-profile/IN/Accenture_Operations_Services_Private_Limited_en_5867203.html</t>
  </si>
  <si>
    <t xml:space="preserve">budget: the 995 (EPFO/Tofler) and 940 (EMIS) figures were not re-surfaced by search; the researcher's warning against the 4,000 / 15,000 listicle figures is sound as no AIG or Accenture source supports them.</t>
  </si>
  <si>
    <t xml:space="preserve">Wave-1 Tofler/EMIS snippets (995 EPFO; 940 EMIS 2025). Wave-2 listicles (kasbusinessconsulting, wisemonk, businessofgcc 'AIG Mumbai 14,074 employees') are inconsistent with each other and uncited</t>
  </si>
  <si>
    <t xml:space="preserve">Operations (insurance business-process services) with Accenture-led GenAI/automation; no India-specific 2025-26 news | (Aug 2024) Accenture named Bengaluru-based Arundhati Chakraborty Group Chief Executive of Accenture Operations effective 1 Sep 2024, with a mandate to apply analytics, AI and automation across its 125+ operations centres; this ex-AIG Bengaluru unit sits within that Operations business. || (Jul 2022) Fortune reported that AIG transferred about 6,000 shared-services employees to Accenture in Jan 2021 under its AIG 200 programme, converting captive centres such as the Bengaluru unit into Accenture-run delivery centres.</t>
  </si>
  <si>
    <t xml:space="preserve">https://newsroom.accenture.com/news/2024/accenture-appoints-arundhati-chakraborty-as-group-chief-executive-of-accenture-operations
https://businessworld.in/article/accenture-elevates-arundhati-chakraborty-as-group-chief-executive-of-operations-531263
https://fortune.com/2022/07/21/aig-imploded-2008-recession-financial-crisis-turnaround-plan-6000-employees-accenture/</t>
  </si>
  <si>
    <t xml:space="preserve">Chakraborty bullet re-dated to the Aug 2024 announcement (effective Sep 2024) and sourced to the Accenture newsroom; Fortune bullet verified; removed the Dec 2020 Bulgaria bullet because it is not about the India entity and was not verified.</t>
  </si>
  <si>
    <t xml:space="preserve">Accenture newsroom (29 Aug 2024): 'Accenture appoints Arundhati Chakraborty as Group Chief Executive of Accenture Operations'; Fortune: '6,000 AIG employees became Accenture employees en masse'</t>
  </si>
  <si>
    <t xml:space="preserve">7</t>
  </si>
  <si>
    <t xml:space="preserve">https://www.zaubacorp.com/AON-SERVICES-INDIA-PRIVATE-LIMITED-U74899DL1995PTC067542; https://www.tofler.in/aon-services-india-private-limited/company/U74899DL1995PTC067542; https://www.aon.com/apac/in-the-press/asia-newsroom/2026/aon-reinforces-india-as-key-global-hub</t>
  </si>
  <si>
    <t xml:space="preserve">Aon's 2026 release confirms the 'Global Capability Centres' branding and India hub role; the Aon Services India Pvt Ltd CIN comes from MCA mirrors and was not separately re-checked, and the employing entity remains unconfirmed as the researcher notes.</t>
  </si>
  <si>
    <t xml:space="preserve">Aon (3 Jun 2026): 'Aon Reinforces India as Key Global Hub with Expansion of Capability Centre in Bengaluru'</t>
  </si>
  <si>
    <t xml:space="preserve">GCC hubs: Bengaluru (Koramangala; new Whitefield facility at The Earth Centre by Vista Spaces, announced Jun 2026), Noida and Gurugram. Registered office of Aon Services India Pvt Ltd: New Delhi. Mumbai is a client-facing broking/consulting office, not the GCC HO.</t>
  </si>
  <si>
    <t xml:space="preserve">https://www.aon.com/apac/in-the-press/asia-newsroom/2026/aon-reinforces-india-as-key-global-hub
https://www.insurancebusinessmag.com/asia/news/breaking-news/aon-adds-to-growing-list-of-india-capability-centres-577945.aspx
https://www.reinsurancene.ws/aon-expands-bengalurus-global-capability-centre-with-new-facility/
https://www.zaubacorp.com/AON-SERVICES-INDIA-PRIVATE-LIMITED-U74899DL1995PTC067542</t>
  </si>
  <si>
    <t xml:space="preserve">Bengaluru/Noida/Gurgaon hubs, the 3 Jun 2026 Whitefield facility at The Earth Centre by Vista Spaces, and Mumbai/Delhi as client-facing offices all confirmed by Aon's release and trade press.</t>
  </si>
  <si>
    <t xml:space="preserve">'Aon announced the expansion of its global capability centre in Bengaluru with a new facility at The Earth Centre by Vista Spaces in Whitefield on June 3, 2026'; 'capability centres in India include Bengaluru, Noida and Gurgaon... client-facing offices in 17 other cities, including Mumbai and Delhi'</t>
  </si>
  <si>
    <t xml:space="preserve">https://reinasia.com/aon-names-shiney-prasad-as-head-of-global-capacity-centres/; https://hrtoday.in/shiney-prasad-embarks-on-new-journey-with-aon-as-head-of-global-capability-centers/; https://www.linkedin.com/in/shiney-prasad-2a02162/; https://reinasia.com/aon-taps-nayana-mitter-to-lead-global-capability-centres-strategy-and-programme-management/</t>
  </si>
  <si>
    <t xml:space="preserve">Both appointments confirmed (ReinAsia, Aon release quoting Prasad in Jun 2026, no exit news); added Mitter's Gurgaon base and Guardian Life background from the extract.</t>
  </si>
  <si>
    <t xml:space="preserve">'Aon named Shiney Prasad as the new head of its Global Capability Centres in March 2026... most recently serving as country head for India at Guardian Life'; 'Nayana Mitter... based in Gurgaon, India... joins from Guardian Life, where she served as head of strategy, India'; Jun 2026 release: 'Shiney Prasad, head of Aon's global capability centres, stated...'</t>
  </si>
  <si>
    <t xml:space="preserve">Aon's India GCCs bring together analytics, technology and operations expertise supporting Aon's global Risk Capital and Human Capital businesses: actuarial/catastrophe and data analytics, software engineering and digital platforms, insurance/reinsurance broking operations, benefits administration and finance/shared services.</t>
  </si>
  <si>
    <t xml:space="preserve">https://www.aon.com/apac/in-the-press/asia-newsroom/2026/aon-reinforces-india-as-key-global-hub
https://www.aon.com/india/about-aon/default</t>
  </si>
  <si>
    <t xml:space="preserve">Risk Capital / Human Capital framing confirmed by Aon's release; the finer function list remains an inference from Aon pages, as the researcher flags.</t>
  </si>
  <si>
    <t xml:space="preserve">'India serves as a core hub for Aon, bringing together deep talent, advanced Risk Capital and Human Capital capabilities and scalable infrastructure'</t>
  </si>
  <si>
    <t xml:space="preserve">Not disclosed by Aon. Third-party GCC database (Flexiple, 2026) lists 10,000+ people across Bengaluru, Noida and Gurugram, with 6,800+ individually tracked in India. Treat as estimate.</t>
  </si>
  <si>
    <t xml:space="preserve">https://flexiple.com/gcc/india
https://flexiple.com/global-capability-centers/list-of-global-capability-centers-in-delhi-ncr</t>
  </si>
  <si>
    <t xml:space="preserve">budget: Aon's release and trade coverage give no headcount; the Flexiple 10,000+/6,800+ estimate was not re-checked and should stay labelled as a low-confidence third-party estimate.</t>
  </si>
  <si>
    <t xml:space="preserve">'Aon's BFSI global capability centres in Bengaluru, Noida, and Gurugram have 10,000+ people, with 6,800+ tracked across India'</t>
  </si>
  <si>
    <t xml:space="preserve">Technology and Operations (scaling India as a global analytics, technology and operations hub) | (Jun 2026) Aon expanded its Bengaluru GCC with a new facility at The Earth Centre, Whitefield, adding to its Bengaluru, Noida and Gurugram centres and 'reinforcing India as a key global hub' for Risk Capital and Human Capital work. || (Mar 2026) Aon hired Shiney Prasad, ex-Guardian Life India country head, as Head of Global Capability Centres to run its offshore centres. || (2026, month n/a) Aon appointed Nayana Mitter as head of strategy and programme management for its Global Capability Centres as it continues to expand offshore operations.</t>
  </si>
  <si>
    <t xml:space="preserve">https://www.insurancebusinessmag.com/asia/news/breaking-news/aon-adds-to-growing-list-of-india-capability-centres-577945.aspx
https://reinasia.com/aon-names-shiney-prasad-as-head-of-global-capacity-centres/
https://reinasia.com/aon-taps-nayana-mitter-to-lead-global-capability-centres-strategy-and-programme-management/</t>
  </si>
  <si>
    <t xml:space="preserve">All three bullets supported: Whitefield facility 3 Jun 2026 (Aon release/IBM/Reinsurance News), Prasad hire Mar 2026 (ReinAsia), Mitter appointment 2026 (ReinAsia, month not stated in extract); classification Technology/Operations justified.</t>
  </si>
  <si>
    <t xml:space="preserve">'The new Bengaluru facility represents an important step in strengthening how we deliver work across Aon' - Shiney Prasad; 'Aon appointed Nayana Mitter as head of strategy and programme management for its Global Capability Centres'</t>
  </si>
  <si>
    <t xml:space="preserve">8</t>
  </si>
  <si>
    <t xml:space="preserve">unverifiable</t>
  </si>
  <si>
    <t xml:space="preserve">Two wave-2 searches ('Admiral Solutions India Private Limited Gurugram CIN...' and '"Admiral Solutions" Gurgaon private limited Tofler OR Zauba...') returned only unrelated Admiral-named Indian/UK companies. The sheet's entity name remains unverified; recommend an MCA lookup by the client.</t>
  </si>
  <si>
    <t xml:space="preserve">The two-unit structure is supported by GPTW's separate 'Admiral Solutions' (Gurugram, IT &amp; IT-BPM) and 'Admiral India' (technology excellence centre) profiles; the Indian legal entity name is still not found in any extract, so the researcher's 'unverifiable' status for the legal name stands.</t>
  </si>
  <si>
    <t xml:space="preserve">GPTW: 'Admiral Solutions is an information technology company headquartered in Gurugram with 2,676 India-based employees'; 'Admiral India is the technology excellence center providing support to the global network of Insurance brands in Admiral Group, with employee strength of 350+ and headquarters in Gurgaon'</t>
  </si>
  <si>
    <t xml:space="preserve">https://admiralgroup.co.uk/who-we-are/our-offices; https://www.greatplacetowork.in/great/company/admiral-group-india/; https://www.instahyre.com/job-112297-costumer-care-representative-at-admiral-solutions-gurgaon/</t>
  </si>
  <si>
    <t xml:space="preserve">Gurugram confirmed for both units by GPTW profiles; no other Indian city appears.</t>
  </si>
  <si>
    <t xml:space="preserve">'headquartered in Gurugram' (Admiral Solutions); 'headquarters in Gurgaon' (Admiral India)</t>
  </si>
  <si>
    <t xml:space="preserve">rejected</t>
  </si>
  <si>
    <t xml:space="preserve">Shweta Singh
https://www.admiralsolutions.in/meet-our-team/our-leaders/
https://in.marketscreener.com/news/admiral-group-plc-announces-executive-changes-ce7e58dbdd88f225
[Oct'26 re-check – existing text could not be independently verified] Two searches ('Shweta Singh' + Admiral Group country head</t>
  </si>
  <si>
    <t xml:space="preserve">Two searches ('Shweta Singh' + Admiral Group country head India/Gurugram, and the researcher's own) returned only unrelated namesakes (Tofler directors, a media executive); neither the LinkedIn profile nor the admiralsolutions.in leaders page is indexed, so no extract supports the leader claim.</t>
  </si>
  <si>
    <t xml:space="preserve">Search returned only 'SHWETA SINGH - tofler.in director' entries and 'Shveta Singh joins Motivator as national digital head' - none Admiral-related</t>
  </si>
  <si>
    <t xml:space="preserve">Operations: Admiral Solutions delivers customer service, claims and back-office insurance operations support for Admiral's UK motor business (captive since Apr 2012). Technology: Admiral India provides IT, infrastructure, cloud, security, data and IT-operations services to Admiral Group brands in the UK, Spain, France and US.</t>
  </si>
  <si>
    <t xml:space="preserve">https://www.instahyre.com/job-112297-costumer-care-representative-at-admiral-solutions-gurgaon/
https://www.admiralindia.com/
https://www.crunchbase.com/organization/admiral-technologies
https://in.linkedin.com/company/india-admiral</t>
  </si>
  <si>
    <t xml:space="preserve">Admiral Solutions' UK customer-service support role and Admiral India's technology-excellence-centre role for Admiral Group brands both supported by extracts.</t>
  </si>
  <si>
    <t xml:space="preserve">'Admiral India is the technology excellence center providing support to the global network of Insurance brands in Admiral Group'</t>
  </si>
  <si>
    <t xml:space="preserve">Admiral Solutions: 2,676 India-based employees (GPTW profile, latest listing; company site says 'over 2,000'; ZoomInfo 1,418). Admiral India tech centre: 350+ (GPTW case study) to 422 (GPTW 2026 profile). Combined approx. 3,000-3,100. Caveat: Revelio Labs puts Admiral Group's whole India workforce at approx. 2,368 (16% of group, 2026), below the GPTW sum. No 2026 company-published figure.</t>
  </si>
  <si>
    <t xml:space="preserve">https://www.admiralsolutions.in/
https://www.zoominfo.com/c/admiral-solutions/1147897850
https://www.greatplacetowork.in/great/company/admiral-group-india/
https://www.reveliolabs.com/companies/admiral-group/employees</t>
  </si>
  <si>
    <t xml:space="preserve">GPTW extract gives a newer, specific Admiral Solutions figure (2,676) replacing 'over 2,000' as the lead number, and a 350+ figure for Admiral India alongside the researcher's 422; the combined GPTW total now exceeds the Revelio group estimate, so that conflict is flagged.</t>
  </si>
  <si>
    <t xml:space="preserve">'Admiral Solutions... with 2,676 India-based employees'; 'Admiral India... employee strength of 350+'</t>
  </si>
  <si>
    <t xml:space="preserve">Operations (UK insurance operations support) and Technology (IT/cloud/data centre of excellence); no 2026 expansion news found | (2026, month n/a) Admiral Solutions (Gurugram) is Great Place To Work certified for the 8th consecutive year and ranked a Top 10 Best Workplace for Women and Top 50 IT &amp; IT-BPM company, with 2,676 India-based employees per its GPTW profile. || (2025, month n/a) Admiral India, the Gurugram technology excellence centre (350+ staff), holds 2025 GPTW certifications (IT &amp; IT-BPM, workplaces for women, Great Mid-size Workplace) after Great Mid-size Workplace listings in 2023 and 2024; a GPTW case study credits its hybrid model (90% remote) with 91% retention. || (Jan 2026) Parent Admiral Group announced on 12 Jan 2026 that Group CFO Geraint Jones will retire to a part-time role and Rachel Lewis (CFO, Admiral UK insurance) becomes Group CFO from 1 Jul 2026, subject to regulatory approval; no change signalled to the India operating model.</t>
  </si>
  <si>
    <t xml:space="preserve">https://www.greatplacetowork.in/great/company/admiral-solutions
https://www.greatplacetowork.in/great/company/admiral-group-india/
https://www.greatplacetowork.in/insights/customer-casestudies/digitally-connected-personally-cared-for-admiral-indias-blueprint-of-achieving-91-retention-in-a-hybrid-workplace
https://www.admiralgroup.co.uk/news-releases/news-release-details/chief-financial-officer-transition
https://www.globenewswire.com/news-release/2026/01/12/3216637/0/en/chief-financial-officer-transition.html</t>
  </si>
  <si>
    <t xml:space="preserve">CFO transition verified (12 Jan 2026, Lewis from 1 Jul 2026) and detail added; the 'India's Best Companies to Work For 2026 / 422 staff' bullet was not supported by the GPTW extract (which shows 2023-2025 recognitions and 350+), so it was rewritten to what the extracts show and a verified Admiral Solutions GPTW bullet was added; the 91% retention case study is verified.</t>
  </si>
  <si>
    <t xml:space="preserve">'Geraint Jones has decided to retire... Rachel Lewis... will be appointed Group CFO... on 1 July 2026'; GPTW: '91% Retention of employees; 90% of employees work remotely'; 'recognized as one of India's Great Mid-size Workplaces in 2023 and 2024... certifications in 2025 for IT &amp; IT-BPM, workplaces for women'; 'Great Place to Work certified company for 8 consecutive years... Top 10 Best workplace for women and Top 50 IT &amp; IT-BPM'</t>
  </si>
  <si>
    <t xml:space="preserve">9</t>
  </si>
  <si>
    <t xml:space="preserve">Arch Global Services India</t>
  </si>
  <si>
    <t xml:space="preserve">Arch Global Services India - GCC (subsidiary of Arch Capital Group Ltd; established 2025; part of Arch's Global Services Organization). Legal name per Tracxn: Arch Global Services (India) Private Limited (not independently confirmed in MCA data).</t>
  </si>
  <si>
    <t xml:space="preserve">https://tracxn.com/d/legal-entities/india/arch-global-services-india-private-limited/__V69PNkvqAS-NG5S4c0thRdeQeDbKm8uWzhTrg0lb3UU
https://www.archgroup.com/careers/work-at-arch-global-services-india/
https://www.archgroup.com/arch-capital-group-opens-global-capabilities-centers-in-india/</t>
  </si>
  <si>
    <t xml:space="preserve">Subsidiary status, 2025 establishment and GCC role confirmed by Arch's own pages and trade press; the exact Tracxn legal name did not surface in search, so it is now caveated rather than stated as fact.</t>
  </si>
  <si>
    <t xml:space="preserve">Arch (31 Jul 2025): 'Arch Capital Group announced the opening of two global capabilities centers in Trivandrum and Pune, India, with a third in Hyderabad coming soon'</t>
  </si>
  <si>
    <t xml:space="preserve">https://www.businesswire.com/news/home/20251029203215/en/Arch-Global-Services-India-Opens-New-Office-in-Trivandrum-to-Drive-Innovation; https://www.archgroup.com/arch-global-services-india-opens-technology-hub-in-hyderabad-to-accelerate-innovation/; https://www.archgroup.com/careers/work-at-arch-global-services-india/</t>
  </si>
  <si>
    <t xml:space="preserve">Trivandrum (26,000 sq ft, largest, +17,000 sq ft option), Hyderabad technology hub and Pune confirmed by Arch releases dated 28 and 30 Oct 2025.</t>
  </si>
  <si>
    <t xml:space="preserve">'The Trivandrum office is a 26,000-square-foot space home to nearly 350 employees, with potential to expand by an additional 17,000 square feet... largest office... additional locations in Hyderabad and Pune'</t>
  </si>
  <si>
    <t xml:space="preserve">Ajay Prasad</t>
  </si>
  <si>
    <t xml:space="preserve">Overall India head not publicly identified; 'Ajay Prasad' does not appear in any Arch source (search returns only unrelated MCA directors of that name). Named leaders: Prashant Nema - EVP &amp; Deputy Chief Operations Officer, Arch Capital Group (appointed Jan 2025), leading the India expansion (authorised signatory of the Indian entity per Tracxn); Raju Chiluvuri - Technology Head, Arch Global Services India (Hyderabad).</t>
  </si>
  <si>
    <t xml:space="preserve">https://www.archgroup.com/arch-global-services-india-opens-technology-hub-in-hyderabad-to-accelerate-innovation/
https://www.siasat.com/arch-global-services-starts-technology-hub-in-hyderabad-3288683/
https://tracxn.com/d/legal-entities/india/arch-global-services-india-private-limited/__V69PNkvqAS-NG5S4c0thRdeQeDbKm8uWzhTrg0lb3UU</t>
  </si>
  <si>
    <t xml:space="preserve">Nema (Deputy COO, leading India expansion) and Chiluvuri (Technology Head, Hyderabad) confirmed; added Nema's EVP title and Jan 2025 appointment from Business Wire; re-confirmed that no Arch source links an 'Ajay Prasad' to the entity.</t>
  </si>
  <si>
    <t xml:space="preserve">'Raju Chiluvuri is the Arch Global Services India technology head managing the Hyderabad location, and Prashant Nema is deputy chief operations officer at Arch Capital Group'; Business Wire (22 Jan 2025): 'Arch Capital Group Appoints Prashant Nema EVP Deputy Chief Operations Officer'</t>
  </si>
  <si>
    <t xml:space="preserve">Operations: underwriting support, claims and risk operations (Trivandrum). Finance: finance operations (Trivandrum). Technology: software engineering, data/analytics and digital transformation (Hyderabad technology hub). Also actuarial and analytics roles. Supports Arch's Insurance, Reinsurance and Mortgage divisions globally.</t>
  </si>
  <si>
    <t xml:space="preserve">https://www.businesswire.com/news/home/20251029203215/en/Arch-Global-Services-India-Opens-New-Office-in-Trivandrum-to-Drive-Innovation
https://www.archgroup.com/arch-global-services-india-opens-technology-hub-in-hyderabad-to-accelerate-innovation/
https://www.archgroup.com/careers/work-at-arch-global-services-india/</t>
  </si>
  <si>
    <t xml:space="preserve">Underwriting, claims, finance and risk operations (Trivandrum) and technology hub (Hyderabad) confirmed by Arch releases; actuarial/analytics from careers page consistent with Investment Monitor coverage.</t>
  </si>
  <si>
    <t xml:space="preserve">'Trivandrum... provides business services including underwriting, claims, finance and risk operations'; 'Arch Global Services India launched a technology hub in Hyderabad'</t>
  </si>
  <si>
    <t xml:space="preserve">Approx. 450 (Oct 2025): nearly 350 in Trivandrum and about 100 in Hyderabad per Arch press releases; Pune headcount not disclosed. No 2026 figure published.</t>
  </si>
  <si>
    <t xml:space="preserve">https://www.businesswire.com/news/home/20251029203215/en/Arch-Global-Services-India-Opens-New-Office-in-Trivandrum-to-Drive-Innovation
https://www.archgroup.com/arch-global-services-india-opens-technology-hub-in-hyderabad-to-accelerate-innovation/</t>
  </si>
  <si>
    <t xml:space="preserve">Nearly 350 (Trivandrum) and approx. 100 (Hyderabad) confirmed from Arch's Oct 2025 releases; no newer figure surfaced.</t>
  </si>
  <si>
    <t xml:space="preserve">'home to nearly 350 employees'; 'approximately 100 employees and room to expand'</t>
  </si>
  <si>
    <t xml:space="preserve">Technology (Hyderabad tech hub, digital transformation) and Operations/Finance (underwriting, claims, finance and risk operations in Trivandrum) | (Oct 2025) Arch Global Services India opened a 26,000 sq ft Technopark office in Trivandrum, its largest India site with nearly 350 staff delivering underwriting, claims, finance and risk operations, with room to add 17,000 sq ft. || (Oct 2025) Arch opened a technology hub in Hyderabad's Financial District with about 100 employees, led by Technology Head Raju Chiluvuri, to deliver technology-driven services and digital transformation for Arch businesses worldwide. || (Jul 2025) Arch Capital Group announced the launch of global capabilities centres in Trivandrum, Pune and Hyderabad, led by Deputy COO Prashant Nema, to tap India talent in analytics, technology and operations for its Insurance, Reinsurance and Mortgage segments.</t>
  </si>
  <si>
    <t xml:space="preserve">https://www.archgroup.com/arch-global-services-india-opens-new-office-in-trivandrum-to-drive-innovation/
https://www.archgroup.com/arch-global-services-india-opens-technology-hub-in-hyderabad-to-accelerate-innovation/
https://www.archgroup.com/arch-capital-group-opens-global-capabilities-centers-in-india/</t>
  </si>
  <si>
    <t xml:space="preserve">All three bullets and dates match Arch releases (Hyderabad 28 Oct 2025, Trivandrum 30 Oct 2025, GCC launch 31 Jul 2025); Technology/Operations/Finance classification justified.</t>
  </si>
  <si>
    <t xml:space="preserve">archgroup.com dated 'October 28, 2025', 'October 30, 2025', 'July 31, 2025'; 'two global capabilities centers in Trivandrum and Pune, India, with a third in Hyderabad coming soon'</t>
  </si>
  <si>
    <t xml:space="preserve">10</t>
  </si>
  <si>
    <t xml:space="preserve">AXA Business Services Pvt. Ltd. - GCC
</t>
  </si>
  <si>
    <t xml:space="preserve">AXA Global Business Services Private Limited (AXA GBS) - GCC (CIN U67200KA1995PTC018761; formerly AXA Business Services Pvt. Ltd.)</t>
  </si>
  <si>
    <t xml:space="preserve">https://www.thecompanycheck.com/company/axa-global-business-services-private-limited/U67200KA1995PTC018761
https://tracxn.com/d/legal-entities/india/axa-global-business-services-private-limited/__YU7KMI_cCEU4d_R8dX_1H3gmvZ32z1HhrCxNpWhXrV0
https://www.axagbs.com/about-us</t>
  </si>
  <si>
    <t xml:space="preserve">Independent search confirms the entity trades/presses as 'AXA Global Business Services, subsidiary of the AXA Group' with its own site axagbs.com; CIN U67200KA1995PTC018761 is from the researcher's MCA mirrors and was not re-checked within budget (format KA/1995/PTC is consistent with the Bengaluru 1995 incorporation).</t>
  </si>
  <si>
    <t xml:space="preserve">apacnewsnetwork.com / axagbs.com press release (Feb 2025): 'AXA Global Business Services, subsidiary of the AXA Group, is celebrating three decades of successful operations in India'</t>
  </si>
  <si>
    <t xml:space="preserve">https://www.axagbs.com/press-release/axa-unveils-state-of-the-art-office-space-in-pune-expands-its-global-business-services-center; https://www.business-standard.com/content/press-releases-ani/axa-unveils-state-of-the-art-office-space-in-pune-expands-its-global-business-services-center-124100901001_1.html; https://apacnewsnetwork.com/2025/02/axa-global-business-services-embarks-on-new-transformation-journey-celebrates-30-years-in-india; https://tracxn.com/d/legal-entities/india/axa-global-business-services-private-limited/__YU7KMI_cCEU4d_R8dX_1H3gmvZ32z1HhrCxNpWhXrV0</t>
  </si>
  <si>
    <t xml:space="preserve">Bengaluru and Pune confirmed by the Oct 2024 Pune office release and the Feb 2025 town halls 'in Pune and Bangalore'; added the Pune locality (Kharadi) and removed the Glassdoor source; researcher's note that GBS delivers from Poland is not supported (AXA's Warsaw Service Center is a separate AXA operation).</t>
  </si>
  <si>
    <t xml:space="preserve">axagbs.com (Oct 2024): 'new state-of-the-art office space in Pune ... more than 160,000 sq.ft. and spread across 4 floors, located in Kharadi, Pune'; Feb 2025: 'celebratory town halls in Pune and Bangalore'</t>
  </si>
  <si>
    <t xml:space="preserve">Prashanthi Thorat
https://www.axagbs.com/about-us</t>
  </si>
  <si>
    <t xml:space="preserve">Michele Rochefort, Chief Executive Officer, AXA Global Business Services (also President, AXA GO Morocco; in role since Jun 2022; last confirmed Feb 2025 and on SSON 2025-26 speaker listing). Prashanthi Thorat is EVP - Insurance Operations Services &amp; Corporate Function Services and Whole-time Director (functional head, not GCC head). A possible 2025-26 succession by Eric Berger (ex-AXA GBS Morocco) is unconfirmed - verify before use</t>
  </si>
  <si>
    <t xml:space="preserve">https://www.ssonetwork.com/events-ssoweek/speakers/michele-rochefort
https://cxotoday.com/press-release/axa-global-business-services-embarks-on-a-new-era-of-transformation-as-it-celebrates-30-years-in-india/
https://www.axagbs.com/about-us</t>
  </si>
  <si>
    <t xml:space="preserve">Two targeted searches ('AXA Global Business Services CEO Eric Berger Michele Rochefort' and '"Eric Berger" AXA GBS chief executive officer') returned nothing naming Eric Berger; every indexed credible source (Feb 2025 release, SSON 2025-26 speaker page) names Michele Rochefort as CEO, so the leader is reset to Rochefort and the Berger succession is flagged as unconfirmed rather than published.</t>
  </si>
  <si>
    <t xml:space="preserve">SSON speaker page: 'Michele Rochefort is the CEO at AXA Global Business Services (GBS) and President at AXA GO Morocco since June 2022 ... approximately 3,600 diverse employees across India and Morocco'; Feb 2025 release: 'town halls in Pune and Bangalore attended by CEO Michele Rochefort'</t>
  </si>
  <si>
    <t xml:space="preserve">Technology, Data &amp; AI (software, cloud, automation/RPA, consulting) plus Insurance Operations Services (policy/claims BPS) and Corporate Function Services (finance, HR shared services) for 35+ AXA entities</t>
  </si>
  <si>
    <t xml:space="preserve">https://www.axagbs.com/about-us
https://www.axagbs.com/press-release/axa-unveils-state-of-the-art-office-space-in-pune-expands-its-global-business-services-center
https://www.prnewswire.com/in/news-releases/axa-global-business-services-embarks-on-a-new-era-of-transformation-as-it-celebrates-30-years-in-india-302375701.html</t>
  </si>
  <si>
    <t xml:space="preserve">Function mix confirmed by the Oct 2024 and Feb 2025 releases (technology solutions, AI, industrial automation, BPS, 35+ AXA entities); dropped the Eric Berger LinkedIn profile as a source since his role could not be verified.</t>
  </si>
  <si>
    <t xml:space="preserve">Feb 2025 release: serves 'more than 35 AXA entities' with 'technology solutions, AI, industrial automation and business process services'; Oct 2024: growing 'Technology, Data &amp; AI, Automation and Consulting capabilities alongside Insurance and Corporate Function services'</t>
  </si>
  <si>
    <t xml:space="preserve">~4,000 in India (AXA GBS Pune office release, Oct 2024); 'over 4,000' across Bengaluru, Pune, UK and Morocco (Feb 2025). No 2026 company figure found</t>
  </si>
  <si>
    <t xml:space="preserve">https://www.axagbs.com/press-release/axa-unveils-state-of-the-art-office-space-in-pune-expands-its-global-business-services-center
https://www.prnewswire.com/in/news-releases/axa-global-business-services-embarks-on-a-new-era-of-transformation-as-it-celebrates-30-years-in-india-302375701.html
https://www.ssonetwork.com/events-ssoweek/speakers/michele-rochefort</t>
  </si>
  <si>
    <t xml:space="preserve">The researcher's '~3,200 across India, Morocco and Poland (2026)' figure was not returned by any independent search (and Poland is a separate AXA centre); the Oct 2024 Pune release gives an India-specific '4,000 strong team in India', which now leads; the Feb 2025 'over 4,000' (incl. UK, Morocco) and SSON's ~3,600 (India+Morocco) are kept as context; Tracxn estimate dropped.</t>
  </si>
  <si>
    <t xml:space="preserve">axagbs.com (Oct 2024): 'office space in Pune ... designed for its 4,000 strong team in India'; Feb 2025 release: 'workforce of over 4,000 professionals across Bangalore, Pune, the UK, and Morocco'; SSON speaker page: 'approximately 3,600 diverse employees across India and Morocco'</t>
  </si>
  <si>
    <t xml:space="preserve">Technology (Tech, Data &amp; AI transformation) combined with Operations (insurance BPS / corporate shared services) | (Feb 2025) AXA GBS marked 30 years in India with 'new era of transformation' town halls in Pune and Bengaluru led by CEO Michele Rochefort; it serves 35+ AXA entities with technology solutions, AI, industrial automation and business process services, with 4,000+ staff across Bengaluru, Pune, the UK and Morocco. || (Oct 2024) AXA opened a 160,000 sq ft, four-floor office in Kharadi, Pune for its 4,000-strong India team, stating it is growing Technology, Data &amp; AI, Automation and Consulting capabilities alongside Insurance and Corporate Function services.</t>
  </si>
  <si>
    <t xml:space="preserve">https://www.axagbs.com/press-release/axa-unveils-state-of-the-art-office-space-in-pune-expands-its-global-business-services-center
https://www.prnewswire.com/in/news-releases/axa-global-business-services-embarks-on-a-new-era-of-transformation-as-it-celebrates-30-years-in-india-302375701.html
https://www.business-standard.com/content/press-releases-ani/axa-unveils-state-of-the-art-office-space-in-pune-expands-its-global-business-services-center-124100901001_1.html
https://apacnewsnetwork.com/2025/02/axa-global-business-services-embarks-on-new-transformation-journey-celebrates-30-years-in-india</t>
  </si>
  <si>
    <t xml:space="preserve">Removed the 2026 'new CEO Eric Berger / 3,200 / Poland' bullet (unverified) and the Mar 2026 Glassdoor job-postings bullet (not a credible source); the Feb 2025 and Oct 2024 bullets match their release dates and content; focus (Technology + Operations) is supported by the releases.</t>
  </si>
  <si>
    <t xml:space="preserve">Feb 2025: 'technology solutions, AI, industrial automation and business process services'; Oct 2024: 'office space ... more than 160,000 sq.ft. ... Kharadi, Pune'</t>
  </si>
  <si>
    <t xml:space="preserve">11</t>
  </si>
  <si>
    <t xml:space="preserve">Bupa Capability Centre – India (BCC India)</t>
  </si>
  <si>
    <t xml:space="preserve">Bupa Capability Centre Private Limited (trading as Bupa Capability Centre - India / BCC India); CIN U70200HR2025FTC131860, incorporated May 2025 per MCA mirrors (not independently re-confirmed)</t>
  </si>
  <si>
    <t xml:space="preserve">https://www.thecompanycheck.com/company/bupa-capability-centre-private-limited/U70200HR2025FTC131860
https://www.tofler.in/bupa-capability-centre-private-limited/company/U70200HR2025FTC131860
https://tracxn.com/d/legal-entities/india/bupa-capability-centre-private-limited/__x5eIy4YGN4LN7PqoalGTulQO1I6s0ZJiL7MQaGNllXQ
https://careers.bupa.co.uk/bupa-capability-centre-india</t>
  </si>
  <si>
    <t xml:space="preserve">Trading name 'Bupa Capability Centre - India' and the Gurugram centre are confirmed on Bupa's own careers site; the CIN and 9 May 2025 incorporation date did not surface in independent search and are labelled as registry-mirror data.</t>
  </si>
  <si>
    <t xml:space="preserve">careers.bupa.co.uk: 'Bupa Capability Centre - India ... based in Gurugram, the world-class centre brings together engineering, product, data, and operations teams'</t>
  </si>
  <si>
    <t xml:space="preserve">New Delhi 
Gurugram </t>
  </si>
  <si>
    <t xml:space="preserve">Gurugram, Haryana (HO: 12th Floor, Good Earth Trade Tower, Sector 62, Gurugram 122102). No New Delhi office found</t>
  </si>
  <si>
    <t xml:space="preserve">https://lei.bloomberg.com/leis/view/335800NO9ADU989FIW84
https://indialei.in/detailed-information/58206482/335800NO9ADU989FIW84/bupa-capability-centre-private-limited/
https://careers.bupa.co.uk/bupa-capability-centre-india</t>
  </si>
  <si>
    <t xml:space="preserve">Bupa's careers site independently confirms the centre is based in Gurugram with offices in Sector 62, matching the registered address; 'New Delhi' remains unsupported.</t>
  </si>
  <si>
    <t xml:space="preserve">careers.bupa.co.uk: 'based in Gurugram ... The offices are located in Sector 62'</t>
  </si>
  <si>
    <t xml:space="preserve">Chris Carroll</t>
  </si>
  <si>
    <t xml:space="preserve">On-site centre head not publicly named. Chris Carroll (sheet entry) is CEO, Bupa Global, India &amp; UK (from 1 Jan 2026, UK-based; succeeded Carlos Jaureguizar) - the market CEO, not the India site lead. Senior on-site technology leader: Rakesh Chandhok, Head of Global Infrastructure &amp; Internal Products (joined Oct 2026)</t>
  </si>
  <si>
    <t xml:space="preserve">https://www.bupa.com/news-and-press/press-releases/2025/bupa-appoints-chris-carroll-chief-executive-officer-bupa-global-india-uk
https://corporate-adviser.com/bupa-names-chris-carroll-as-global-india-uk-ceo/
https://www.cxodigitalpulse.com/rakesh-chandhok-joins-bupa-capability-centre-india-as-head-of-global-infrastructure-internal-products/
https://www.tofler.in/bupa-capability-centre-private-limited/company/U70200HR2025FTC131860</t>
  </si>
  <si>
    <t xml:space="preserve">Chris Carroll as CEO Bupa Global, India &amp; UK from 1 Jan 2026 (succeeding Carlos Jaureguizar) is confirmed by Bupa's own press release; his Apr 2026 BCC directorship and the five-name board list (incl. Padmesh Nair) did not surface in independent search and are moved to the note as unconfirmed; added Rakesh Chandhok as the only named senior on-site technology leader.</t>
  </si>
  <si>
    <t xml:space="preserve">bupa.com press release: 'appointment of Chris Carroll as Chief Executive Officer for the Bupa Global, India and UK market unit, commencing 1 January 2026 ... Carlos Jaureguizar moves to the role of CEO for Bupa's Europe and Latin America'; cxodigitalpulse: 'Rakesh Chandhok has joined Bupa Capability Centre India as Head of Global Infrastructure &amp; Internal Products'</t>
  </si>
  <si>
    <t xml:space="preserve">Technology-led: engineering, product, digital, data &amp; analytics, global infrastructure/internal products, enterprise &amp; solution architecture; plus operations and actuarial teams supporting Bupa UK, India and Asia-Pacific</t>
  </si>
  <si>
    <t xml:space="preserve">https://careers.bupa.co.uk/bupa-capability-centre-india
https://careers.bupa.co.uk/bupa-india-careers
https://www.cxodigitalpulse.com/rakesh-chandhok-joins-bupa-capability-centre-india-as-head-of-global-infrastructure-internal-products/
https://careers.bupa.co.uk/search-jobs/bupa-capability-centre-india/gurugram/head-of-solution-architect/R1225123</t>
  </si>
  <si>
    <t xml:space="preserve">Function description matches Bupa's careers-site wording and the Oct 2026 infrastructure-head hire.</t>
  </si>
  <si>
    <t xml:space="preserve">careers.bupa.co.uk: 'brings together engineering, product, data, and operations teams to power innovation and accelerate delivery across the UK, India and Asia-Pacific'</t>
  </si>
  <si>
    <t xml:space="preserve">Three wave-2 searches returned no Bupa press release, target headcount or official figure. Treat the aggregator count as indicative only.</t>
  </si>
  <si>
    <t xml:space="preserve">No Bupa figure exists; the RocketReach '~47' is an aggregator guess, so the number is removed and the cell states 'not disclosed' with the hiring picture.</t>
  </si>
  <si>
    <t xml:space="preserve">No credible extract gives a headcount; careers site lists engineering, data, architecture and infrastructure roles</t>
  </si>
  <si>
    <t xml:space="preserve">Technology (digital/data/AI engineering, infrastructure) with Operations support | (Oct 2026) Rakesh Chandhok joined Bupa Capability Centre India as Head of Global Infrastructure &amp; Internal Products - a senior technology hire (29+ years in digital infrastructure, SRE, Kubernetes, AI-driven operations) for the Gurugram centre. || (2026) Bupa's careers site positions BCC India as bringing together engineering, product, data and operations teams to 'power innovation and accelerate delivery' for Bupa across the UK, India and Asia-Pacific. || (Announced 2025; effective 1 Jan 2026) Chris Carroll became CEO of Bupa's Global, India &amp; UK market unit, succeeding Carlos Jaureguizar (who moved to CEO Europe &amp; Latin America) and reporting to Group CEO Inaki Ereno.</t>
  </si>
  <si>
    <t xml:space="preserve">https://www.cxodigitalpulse.com/rakesh-chandhok-joins-bupa-capability-centre-india-as-head-of-global-infrastructure-internal-products/
https://careers.bupa.co.uk/bupa-capability-centre-india
https://www.bupa.com/news-and-press/press-releases/2025/bupa-appoints-chris-carroll-chief-executive-officer-bupa-global-india-uk
https://corporate-adviser.com/bupa-names-chris-carroll-as-global-india-uk-ceo/</t>
  </si>
  <si>
    <t xml:space="preserve">Chandhok hire and the careers-site positioning are confirmed; the Carroll appointment is confirmed (announced 2025, effective 1 Jan 2026) and re-dated accordingly; the 'Apr 2026 Additional Director' bullet is removed as unverified. The Oct 2026 date on the Chandhok item is the researcher's reading of the cxodigitalpulse post and was not independently re-confirmed.</t>
  </si>
  <si>
    <t xml:space="preserve">cxodigitalpulse: 'Rakesh Chandhok has joined Bupa Capability Centre India as Head of Global Infrastructure &amp; Internal Products ... more than 29 years of experience'; bupa.com: 'commencing 1 January 2026'</t>
  </si>
  <si>
    <t xml:space="preserve">12</t>
  </si>
  <si>
    <t xml:space="preserve">Cigna Health Solutions India - GCC</t>
  </si>
  <si>
    <t xml:space="preserve">https://jobs.thecignagroup.com/us/en/evernorth-india; https://www.businessofgcc.com/gcc-data/companies/the-cigna-group-india-bengaluru; https://www.digitalhealthnews.com/cigna-s-evernorth-launches-first-global-innovation-hub-in-hyderabad</t>
  </si>
  <si>
    <t xml:space="preserve">Evernorth Health Services India / Hyderabad Innovation Hub under The Cigna Group is confirmed; the Bengaluru 'Cigna Health Solutions India Pvt Ltd' entity rests only on the businessofgcc aggregator and the existing sheet, so it is labelled as not re-confirmed.</t>
  </si>
  <si>
    <t xml:space="preserve">digitalhealthnews: 'Evernorth, the health services division of Cigna Group, has officially inaugurated its first global innovation hub outside the United States in Hyderabad'</t>
  </si>
  <si>
    <t xml:space="preserve">Mumbai,Hyderabad</t>
  </si>
  <si>
    <t xml:space="preserve">Hyderabad (HO - HITEC City; four floors of ~1 lakh sq ft each by Apr 2025). Bengaluru (Cigna Health Solutions India) per existing sheet, not re-confirmed. No Mumbai office found</t>
  </si>
  <si>
    <t xml:space="preserve">https://www.digitalhealthnews.com/cigna-s-evernorth-launches-first-global-innovation-hub-in-hyderabad
https://www.projectstoday.com/News/Evernorth-Health-Services-expands-presence-in-Hyderabad-GCC-inaugurated
https://www.businessofgcc.com/gcc-data/companies/the-cigna-group-india-bengaluru</t>
  </si>
  <si>
    <t xml:space="preserve">Hyderabad confirmed with floor-by-floor expansion detail; 'Sattva Knowledge Park' was not reproduced in the extract so it is dropped from the cell; Bengaluru flagged as not re-confirmed; no Mumbai office in any source.</t>
  </si>
  <si>
    <t xml:space="preserve">digitalhealthnews: 'two operational floors, each spanning approximately 1 lakh sq ft ... third floor is expected to be operational by January 2025, with the fourth by April 2025'</t>
  </si>
  <si>
    <t xml:space="preserve">https://www.mediainfoline.com/movement/evernorth-appoints-prashanti-bodugum-as-new-head-of-hyderabad-innovation-hub; https://allthingstalent.org/prashanti-bodugum-is-the-new-head-of-hyderabad-innovation-hub-at-evernorth-india/2025/07/04/; https://telanganatoday.com/evernorth-appoints-prashanti-bodugum-as-new-head-of-hyderabad-innovation-hub</t>
  </si>
  <si>
    <t xml:space="preserve">Appointment of Prashanti Reddy Bodugum as Head of Evernorth India (Hyderabad Innovation Hub) effective 30 Jun 2025 confirmed by multiple outlets; no 2026 departure news surfaced.</t>
  </si>
  <si>
    <t xml:space="preserve">mediainfoline: 'appointed Prashanti Reddy Bodugum as Head of Evernorth India (Hyderabad Innovation Hub), effective 30 June 2025 ... most recently served as Vice President, GCC, at Walmart Global Tech'</t>
  </si>
  <si>
    <t xml:space="preserve">Technology-led: generative AI, software engineering, end-to-end product development/ownership, process improvement, data &amp; analytics (Hyderabad); Bengaluru centre covers data, analytics, operations and technology</t>
  </si>
  <si>
    <t xml:space="preserve">https://www.digitalhealthnews.com/cigna-s-evernorth-launches-first-global-innovation-hub-in-hyderabad
https://www.hrkatha.com/features/how-evernorth-is-building-a-workforce-for-the-future-at-its-hyderabad-gcc/
https://builtin.com/job/infrastructure-engineering-advisor-ai-ml-engineer-hih/7665534</t>
  </si>
  <si>
    <t xml:space="preserve">Hub focus areas confirmed verbatim in launch coverage and current HIH job postings.</t>
  </si>
  <si>
    <t xml:space="preserve">digitalhealthnews: 'support innovation-focused areas, such as generative AI, product development, process improvement, analytics, and software engineering across The Cigna Group'</t>
  </si>
  <si>
    <t xml:space="preserve">No company-published figure. Initial-phase plan 1,000+ at the Nov 2024 launch (Evernorth's largest GCC). Third-party estimates, not independently confirmed: ~1,500 in India (Revelio Labs, Apr 2026); 1,700+ in Hyderabad with a 5,000+ by 2027 target (HR Katha, early 2026)</t>
  </si>
  <si>
    <t xml:space="preserve">https://www.reveliolabs.com/companies/evernorth/employees/
https://www.hrkatha.com/features/how-evernorth-is-building-a-workforce-for-the-future-at-its-hyderabad-gcc/
https://www.digitalhealthnews.com/cigna-s-evernorth-launches-first-global-innovation-hub-in-hyderabad</t>
  </si>
  <si>
    <t xml:space="preserve">The only independently confirmed figures are the 1,000+ initial-phase plan and 'largest GCC' positioning; the Revelio ~1.5K (Apr 2026) and HR Katha 1,700+/5,000-by-2027 figures were not reproduced in the search extracts (both pages exist in results), so they are kept but explicitly labelled as third-party/unconfirmed and placed after the confirmed figure.</t>
  </si>
  <si>
    <t xml:space="preserve">digitalhealthnews: 'aims to employ over 1,000 people in its initial phase and is poised to become Evernorth's largest global capability center'; HR Katha extract: 'nearly 20 per cent of its new hires having relocated to Hyderabad'</t>
  </si>
  <si>
    <t xml:space="preserve">Technology (Data &amp; AI-led transformation, product engineering) | (Early 2026) HR Katha profile of the Hyderabad GCC: Evernorth's recruitment drive spans all of India (nearly 20% of new hires relocated to Hyderabad) and teams hold end-to-end product ownership in generative AI, product development and software engineering; the article cites 1,700+ staff and a 5,000+ by 2027 target (not independently confirmed). || (Jul 2025) Evernorth appointed Prashanti Bodugum (ex-VP GCC, Walmart Global Tech) as Head of Evernorth India / Hyderabad Innovation Hub, effective 30 Jun 2025, to lead digital transformation. || (Nov 2024) Evernorth inaugurated its first and largest innovation hub outside the US in Hyderabad (opened by Telangana IT Minister Sridhar Babu and Cigna Group CIO Noelle Eder), focused on generative AI, product development, analytics and software engineering, with 1,000+ hires planned in phase one.</t>
  </si>
  <si>
    <t xml:space="preserve">https://www.hrkatha.com/features/how-evernorth-is-building-a-workforce-for-the-future-at-its-hyderabad-gcc/
https://www.mediainfoline.com/movement/evernorth-appoints-prashanti-bodugum-as-new-head-of-hyderabad-innovation-hub
https://www.digitalhealthnews.com/cigna-s-evernorth-launches-first-global-innovation-hub-in-hyderabad</t>
  </si>
  <si>
    <t xml:space="preserve">Removed the Revelio-estimate bullet (aggregator, not confirmed); the HR Katha bullet is rewritten around the confirmed hiring detail with its headcount figures labelled as the article's own; Jul 2025 appointment and Nov 2024 launch bullets verified.</t>
  </si>
  <si>
    <t xml:space="preserve">HR Katha: 'nearly 20 per cent of its new hires having relocated to Hyderabad'; digitalhealthnews launch coverage; mediainfoline appointment notice</t>
  </si>
  <si>
    <t xml:space="preserve">13</t>
  </si>
  <si>
    <t xml:space="preserve">https://www.capgemini.com/news/press-releases/dai-ichi-life-group-and-capgemini-sign-multi-year-agreement-to-establish-a-global-capability-center-in-india-to-drive-international-digital-transformation/; https://www.business-standard.com/industry/news/capgemini-dai-ichi-life-gcc-india-digital-transformation-125061001066_1.html; https://gccrise.com/dai-ichi-life-group-launches-first-global-capability-centre-in-hyderabad-through-strategic-partnership-with-capgemini/</t>
  </si>
  <si>
    <t xml:space="preserve">Capgemini's 10 Jun 2025 press release (multiple mirrors) confirms the multi-year BOT agreement to establish the GCC in India.</t>
  </si>
  <si>
    <t xml:space="preserve">Capgemini: 'Capgemini and Dai-ichi Life Holdings announced the signing of a multi-year agreement to establish a Global Capability Center (GCC) in India on June 10, 2025 ... Build-Operate-Transfer model'</t>
  </si>
  <si>
    <t xml:space="preserve">Hyderabad (not Mumbai)</t>
  </si>
  <si>
    <t xml:space="preserve">https://www.insurancebusinessmag.com/asia/news/technology/daiichi-life-sets-up-global-tech-hub-in-india-538626.aspx
https://yourstory.com/2025/06/how-dai-ichi-life-and-capgemini-are-powering-insur
https://gccrise.com/dai-ichi-life-group-launches-first-global-capability-centre-in-hyderabad-through-strategic-partnership-with-capgemini/</t>
  </si>
  <si>
    <t xml:space="preserve">Independent search extract (Insurance Business / YourStory coverage) places the group's first GCC in Hyderabad; the Capgemini release itself does not name the city, so sources are re-ordered to the press coverage.</t>
  </si>
  <si>
    <t xml:space="preserve">Search extract: 'Dai-ichi Life Group ... has established its first Global Capability Centre (GCC) outside Japan in Hyderabad, India. The centre launched in 2025 under a Build-Operate-Transfer (BOT) model in partnership with Capgemini'</t>
  </si>
  <si>
    <t xml:space="preserve">G. Saikumar</t>
  </si>
  <si>
    <t xml:space="preserve">Searched 'Dai-ichi Life Global Capability Center India head/CEO/managing director appointed' and 'Dai-ichi Life Hyderabad GCC 2026 head/leader': no appointment surfaced. Recommend replacing 'G. Saikumar' with 'Not disclosed (sponsor: Stephen Barnham, Group CDO-CIO)'. Capgemini's Kaushik Balasubramaniam appeared in results as a Capgemini-side contact, not the GCC head.</t>
  </si>
  <si>
    <t xml:space="preserve">'G. Saikumar' is not found in any Dai-ichi/Capgemini GCC source (consistent with the researcher); Stephen Barnham is confirmed as Dai-ichi Life Holdings' CIO/CDO, and his title is corrected to the form the search returned; no GCC head appointment surfaced.</t>
  </si>
  <si>
    <t xml:space="preserve">Search extract: 'Stephen Barnham serves as Senior Managing Executive Officer, Chief Information Officer and Chief Digital Officer of Dai-ichi Life Holdings, Inc.'</t>
  </si>
  <si>
    <t xml:space="preserve">Technology: AI and data analytics, software development, cloud/infrastructure modernisation, cybersecurity - executing Dai-ichi Life group IT and digital strategy for Japan, US and Australia</t>
  </si>
  <si>
    <t xml:space="preserve">https://gccrise.com/dai-ichi-life-group-launches-first-global-capability-centre-in-hyderabad-through-strategic-partnership-with-capgemini/
https://www.capgemini.com/news/press-releases/dai-ichi-life-group-and-capgemini-sign-multi-year-agreement-to-establish-a-global-capability-center-in-india-to-drive-international-digital-transformation/
https://www.insurancebusinessmag.com/asia/news/technology/daiichi-life-sets-up-global-tech-hub-in-india-538626.aspx</t>
  </si>
  <si>
    <t xml:space="preserve">Scope confirmed verbatim in the Capgemini release.</t>
  </si>
  <si>
    <t xml:space="preserve">Capgemini: 'advanced software development, infrastructure modernization, AI &amp; data solutions, and robust cybersecurity measures ... initially spans Japan, the United States, and Australia'</t>
  </si>
  <si>
    <t xml:space="preserve">[Oct'26 re-check – existing text could not be independently verified] The '50-60 at launch, ~600 by 2027' plan appears only on gccrise.com; two independent searches (incl. an exact '600' query) returned no corroboration from Capgemini, Dai-ichi or business press, and the wave-1 '300+' is also unsupp</t>
  </si>
  <si>
    <t xml:space="preserve">The '50-60 at launch, ~600 by 2027' plan appears only on gccrise.com; two independent searches (incl. an exact '600' query) returned no corroboration from Capgemini, Dai-ichi or business press, and the wave-1 '300+' is also unsupported, so no headcount is published (suggest 'Not disclosed').</t>
  </si>
  <si>
    <t xml:space="preserve">No independent extract mentions any headcount figure for the Dai-ichi GCC</t>
  </si>
  <si>
    <t xml:space="preserve">Technology (AI, data, cloud, cybersecurity - digital transformation) | (Jun 2025) Dai-ichi Life Holdings and Capgemini signed a multi-year agreement to establish a Global Capability Center in India under a Build-Operate-Transfer model, with Dai-ichi to assume control after the foundation phase, to drive the group's international digital transformation. || (Jun 2025) The Hyderabad GCC - the group's first - is technology-focused, covering AI &amp; data, software development, infrastructure modernisation and cybersecurity for Dai-ichi's Japan, US and Australia businesses, with flexibility to extend to other markets.</t>
  </si>
  <si>
    <t xml:space="preserve">https://www.capgemini.com/news/press-releases/dai-ichi-life-group-and-capgemini-sign-multi-year-agreement-to-establish-a-global-capability-center-in-india-to-drive-international-digital-transformation/
https://www.insurancebusinessmag.com/asia/news/technology/daiichi-life-sets-up-global-tech-hub-in-india-538626.aspx
https://yourstory.com/2025/06/how-dai-ichi-life-and-capgemini-are-powering-insur</t>
  </si>
  <si>
    <t xml:space="preserve">Removed the '600 by 2027' bullet (single uncorroborated source); the two Jun 2025 bullets match the Capgemini release date and content.</t>
  </si>
  <si>
    <t xml:space="preserve">Capgemini release dated 10 Jun 2025; Insurance Business: 'accelerate technology delivery across AI, data analytics, software development, infrastructure modernisation, and cybersecurity'</t>
  </si>
  <si>
    <t xml:space="preserve">14</t>
  </si>
  <si>
    <t xml:space="preserve">https://www.fm.com/newsroom/news/2025/fm-expands-footprint-in-india-with-new-innovative-centre-in-bengaluru; https://newsroom.fmglobal.com/releases/fm-expands-footprint-in-india-with-new-innovative-centre-in-bengaluru; https://www.investmentmonitor.ai/news/fm-global-to-set-up-innovation-centre-in-bengaluru-india/</t>
  </si>
  <si>
    <t xml:space="preserve">FM newsroom (fm.com) confirms 'FM India' and the Bengaluru centre; no Indian legal-entity name surfaced.</t>
  </si>
  <si>
    <t xml:space="preserve">fm.com: 'FM expands footprint in India with new, innovative centre in Bengaluru'</t>
  </si>
  <si>
    <t xml:space="preserve">Bengaluru (innovation centre, HO of FM India); Mumbai (sales/client office, announced 2025, opened Jan 2026)</t>
  </si>
  <si>
    <t xml:space="preserve">https://www.fm.com/newsroom/news/2026/fm-strengthens-india-commitment-with-opening-of-mumbai-office
https://www.fm.com/newsroom/news/2025/fm-expands-footprint-in-india-with-new-innovative-centre-in-bengaluru
https://www.nbmcw.com/news/fm-global-expands-footprint-in-india-with-new-innovative-centre-in-bengaluru.html</t>
  </si>
  <si>
    <t xml:space="preserve">Bengaluru GCC and the Mumbai office (opened Jan 2026, client/broker-facing) both confirmed on fm.com; Mumbai is correctly characterised as non-GCC.</t>
  </si>
  <si>
    <t xml:space="preserve">fm.com (2026): 'announced the opening of its new office in Mumbai ... ribbon-cutting ceremony attended by FM leadership, alongside key brokers, partners, and clients'; 'Complementing the Mumbai office, FM recently opened a global capability centre in Bengaluru'</t>
  </si>
  <si>
    <t xml:space="preserve">https://www.fm.com/about-us/our-leadership/srinivasan-krishnamurthy; https://www.fm.com/newsroom/news/2025/fm-expands-footprint-in-india-with-new-innovative-centre-in-bengaluru; https://in.linkedin.com/in/srinikrishnamurthy1</t>
  </si>
  <si>
    <t xml:space="preserve">Appointment, title and reporting line confirmed by fm.com; added FM's own leadership page (full name Srinivasan Krishnamurthy) and dropped the ZoomInfo aggregator; no 2026 exit news.</t>
  </si>
  <si>
    <t xml:space="preserve">fm.com: 'FM has appointed Srini Krishnamurthy to senior vice president, FM India, and based in Bengaluru, Krishnamurthy will report to Randy Hodge, chief operating officer of FM, and oversee the execution of FM India's multi-year vision'</t>
  </si>
  <si>
    <t xml:space="preserve">https://www.nbmcw.com/news/fm-global-expands-footprint-in-india-with-new-innovative-centre-in-bengaluru.html; https://www.investmentmonitor.ai/news/fm-global-to-set-up-innovation-centre-in-bengaluru-india/; https://www.insurancebusinessmag.com/asia/news/property/fm-bets-big-on-bengaluru-for-insurance-innovation-hub-544792.aspx</t>
  </si>
  <si>
    <t xml:space="preserve">Scope confirmed by fm.com and Insurance Business coverage.</t>
  </si>
  <si>
    <t xml:space="preserve">fm.com: 'augment FM's science and artificial intelligence capabilities, enhance client risk engineering services, and serve as a springboard for regional growth ... client experience centre'</t>
  </si>
  <si>
    <t xml:space="preserve">Info Not available for India GCC</t>
  </si>
  <si>
    <t xml:space="preserve">Two wave-2 searches ('FM India Bengaluru employees headcount 2026', 'FM India jobs team size') returned no number or target. Keep the sheet's 'Info not available' wording but update to 'Not disclosed'.</t>
  </si>
  <si>
    <t xml:space="preserve">No headcount figure exists in any indexed source; 'plans to increase headcount' wording confirmed.</t>
  </si>
  <si>
    <t xml:space="preserve">fm.com: 'FM plans to increase headcount in India and will offer career opportunities for a variety of roles'</t>
  </si>
  <si>
    <t xml:space="preserve">Technology (science &amp; AI, data/platform engineering) combined with Operations (business operations, risk engineering support) | (Jan 2026) FM opened its Mumbai office (brokers, partners, clients) and confirmed its recently opened Bengaluru global capability centre as a hub for research, analytics and engineering excellence, positioning India as a strategic FM hub for global resilience capabilities. || (Oct 2025, planned start) FM's Bengaluru centre of excellence - its largest innovation centre outside the US - was slated to commence in Oct 2025 to augment science and AI capabilities, enhance client risk engineering services and serve as a springboard for regional growth. || (Jul 2025) FM announced the Bengaluru centre with a client experience centre, said it plans to increase India headcount (product owners, data engineers, platform/software engineers, business operations specialists) and appointed Srini Krishnamurthy SVP FM India.</t>
  </si>
  <si>
    <t xml:space="preserve">https://www.fm.com/newsroom/news/2026/fm-strengthens-india-commitment-with-opening-of-mumbai-office
https://www.fm.com/newsroom/news/2025/fm-expands-footprint-in-india-with-new-innovative-centre-in-bengaluru
https://www.insurancebusinessmag.com/asia/news/property/fm-bets-big-on-bengaluru-for-insurance-innovation-hub-544792.aspx
https://www.nbmcw.com/news/fm-global-expands-footprint-in-india-with-new-innovative-centre-in-bengaluru.html</t>
  </si>
  <si>
    <t xml:space="preserve">Jan 2026 Mumbai and Jul 2025 announcement bullets verified; the 'Oct 2025 commenced' bullet is re-worded because sources only give Oct 2025 as the anticipated start, with the Jan 2026 release confirming the centre 'recently opened'.</t>
  </si>
  <si>
    <t xml:space="preserve">Insurance Business: 'with the centre anticipated to commence in October 2025'; fm.com (Jan 2026): 'FM recently opened a global capability centre in Bengaluru ... a hub for research, analytics, and engineering excellence'</t>
  </si>
  <si>
    <t xml:space="preserve">15</t>
  </si>
  <si>
    <t xml:space="preserve">https://www.zaubacorp.com/FIRST-AMERICAN-INDIA-PRIVATE-LIMITED-U72200KA2009PTC048852; https://www.thecompanycheck.com/company/first-american-india-private-limited/U72200KA2009PTC048852; https://www.firstam.co.in/</t>
  </si>
  <si>
    <t xml:space="preserve">GPTW India profile confirms 'First American (India) Private Limited ... a Global Capability Center (GCC) of the First American Financial Corporation (US)'; CIN not re-checked but entity name and HQ confirmed.</t>
  </si>
  <si>
    <t xml:space="preserve">greatplacetowork.in: 'First American (India) Private Limited is a Global Capability Center (GCC) of the First American Financial Corporation (US)'</t>
  </si>
  <si>
    <t xml:space="preserve">https://www.firstam.co.in/; https://in.linkedin.com/company/first-american-india-pvt-ltd</t>
  </si>
  <si>
    <t xml:space="preserve">Three cities confirmed.</t>
  </si>
  <si>
    <t xml:space="preserve">greatplacetowork.in: 'With locations in Bangalore, Hyderabad &amp; Salem'</t>
  </si>
  <si>
    <t xml:space="preserve">Unconfirmed (Tracxn only): board of First American (India) Pvt Ltd - David Allen Hancock, Yelandur Madhusoodhana, Christopher Thomas Brinkley, Sandeep Ramdas Narayan, Jayson Eric Murray. Exact date of the Mukherjee CTO appointment not returned by search.</t>
  </si>
  <si>
    <t xml:space="preserve">No MD/country head surfaced in a targeted search (consistent with researcher), but the search found a named India technology leader - Gautam Mukherjee, CTO First American India - which is added; the Tracxn board list was not independently confirmed and moves to the note; the stale 'S Nair' line is dropped.</t>
  </si>
  <si>
    <t xml:space="preserve">cxodigitalpulse: 'First American India Appoints Gautam Mukherjee as Chief Technology Officer' (for its India operations)</t>
  </si>
  <si>
    <t xml:space="preserve">Scope confirmed.</t>
  </si>
  <si>
    <t xml:space="preserve">'FAI delivers Software Development, IT infrastructure, Data &amp; Analytics, back-office, and knowledge-processing operations to support First American's global operations in US, UK, Australia &amp; Canada'</t>
  </si>
  <si>
    <t xml:space="preserve">4885
https://www.greatplacetowork.in/great/company/first-american-india-pvt-ltd/</t>
  </si>
  <si>
    <t xml:space="preserve">5,043 India-based employees (Great Place To Work India profile, current); Revelio Labs estimate 6,339 (Sep 2025, -6.4% YoY). Sheet's 4,885 is an older GPTW figure</t>
  </si>
  <si>
    <t xml:space="preserve">https://www.greatplacetowork.in/great/company/first-american-india-pvt-ltd
https://www.reveliolabs.com/companies/first-american/employees</t>
  </si>
  <si>
    <t xml:space="preserve">Both figures and the Revelio date/trend reproduced by independent search.</t>
  </si>
  <si>
    <t xml:space="preserve">greatplacetowork.in: '5,043 India-based employees'; reveliolabs: 'First American (India) Pvt Ltd. has 6,339 employees ... year-over-year growth rate of -6.4% ... last updated in September 2025'</t>
  </si>
  <si>
    <t xml:space="preserve">Technology / Operations (software, data &amp; analytics plus back-office processing); no India-specific 2025-26 strategic announcement found | (Apr 2026) First American marked 11 consecutive years on the Fortune 100 Best Companies to Work For list; its India GCC remains GPTW-certified with ~5,043 India-based employees per Great Place To Work India. || (2025/26) First American India appointed Gautam Mukherjee as Chief Technology Officer for its India operations, signalling continued investment in the Bengaluru technology organisation. || (Sep 2025) First American Financial was named to the Best Workplaces in Financial Services &amp; Insurance list for the ninth year; Revelio Labs data (Sep 2025) shows First American (India) at ~6,339 staff with a -6.4% YoY trend, suggesting consolidation rather than expansion. || (2024/25) First American (India) earned GPTW India recognitions for IT &amp; IT-BPM, Women, Diversity &amp; Inclusion and Health &amp; Wellness, positioning the Bengaluru/Hyderabad/Salem GCC as a software, data and back-office operations centre for US, UK, Australia and Canada.</t>
  </si>
  <si>
    <t xml:space="preserve">https://www.firstam.com/news/2026/faf-11-years-fortune-100-best-companies-20260401.html
https://investors.firstam.com/investors/news-and-events/news/press-release-details/2026/First-American-Marks-11-Years-as-One-of-the-Fortune-100-Best-Companies-to-Work-For/default.aspx
https://www.firstam.com/news/2025/faf-best-workplaces-fin-svcs-ninth-year-20250909.html
https://www.cxodigitalpulse.com/?p=59651
https://www.reveliolabs.com/companies/first-american/employees
https://www.greatplacetowork.in/great/company/first-american-india-pvt-ltd</t>
  </si>
  <si>
    <t xml:space="preserve">Fortune 100 item dated to the 1 Apr 2026 release; Sep 2025 Best Workplaces in Financial Services (9th year) confirmed on firstam.com; GPTW India categories confirmed; added the Gautam Mukherjee CTO appointment as a technology-leadership signal.</t>
  </si>
  <si>
    <t xml:space="preserve">businesswire/firstam.com (1 Apr 2026): 'eleventh straight year that First American has earned a spot on the Fortune 100 Best Companies to Work For list'; firstam.com news 20250909 (Best Workplaces in Financial Services, ninth year)</t>
  </si>
  <si>
    <t xml:space="preserve">16</t>
  </si>
  <si>
    <t xml:space="preserve">Gallagher Service Center – GSC India (GCC)</t>
  </si>
  <si>
    <t xml:space="preserve">Gallagher Centre of Excellence LLP (formerly Gallagher Service Center LLP) - GCoE India (GCC)</t>
  </si>
  <si>
    <t xml:space="preserve">https://www.barandbench.com/dealstreet/khaitan-co-assists-gallagher-centre-of-excellence-on-leasing-offices-in-bengaluru-gurugram-pune
https://www.greatplacetowork.in/great/company/gallgher-center-of-excellance-gallagher-service-center-llp/
https://www.ajg.com/in/about-us/gallagher-center-of-excellence/</t>
  </si>
  <si>
    <t xml:space="preserve">Independent search found no MCA/LEI extract for the 27 Feb 2026 rename or LLPIN AAI-5010, but Bar &amp; Bench (Khaitan &amp; Co deal note) now names the entity 'Gallagher Centre of Excellence LLP' and GPTW titles it 'Gallagher Centre of Excellence' under the old gallagher-service-center-llp slug; kept the new name (British spelling 'Centre' as used by the entity), dropped the unverified rename date/LLPIN from the cell.</t>
  </si>
  <si>
    <t xml:space="preserve">barandbench.com: 'Khaitan &amp; Co advised Gallagher Centre of Excellence LLP on acquisition of leasehold rights in commercial office spaces ... Bengaluru ... Gurugram ... Pune'</t>
  </si>
  <si>
    <t xml:space="preserve">Bengaluru, Kolhapur, Mumbai, Pune and Shimoga</t>
  </si>
  <si>
    <t xml:space="preserve">Pune (registered office of the LLP); other India GCoE offices: Bengaluru, Mumbai, Kolhapur, Shimoga, Chandigarh, Kochi; plus newly leased office space in Gurugram (~40,252 sq ft, per Khaitan &amp; Co deal note)</t>
  </si>
  <si>
    <t xml:space="preserve">https://jobs.ajg.com/gcoe-home
https://www.barandbench.com/dealstreet/khaitan-co-assists-gallagher-centre-of-excellence-on-leasing-offices-in-bengaluru-gurugram-pune
https://www.greatplacetowork.in/great/company/gallgher-center-of-excellance-gallagher-service-center-llp/</t>
  </si>
  <si>
    <t xml:space="preserve">Gallagher's GCoE careers page confirms seven cities (Bengaluru, Pune, Mumbai, Shimoga, Kolhapur, Chandigarh, Kochi); Khaitan &amp; Co deal note adds a Gurugram lease (~40,252 sq ft) plus new Bengaluru (Godrej Hebbal, 58,189 sq ft) and Pune (Gigaspace, Bluegrass) space, so Gurugram added; GPTW lists Pune as location.</t>
  </si>
  <si>
    <t xml:space="preserve">jobs.artexrisk.com/gcoe-home: 'India is home to several Gallagher GCoEs across Bengaluru, Pune, Mumbai, Shimoga, Kolhapur, Chandigarh, and Kochi'; barandbench.com: 'Bengaluru (58,189 square feet in Godrej Hebbal), Gurugram (approximately 40,252 square feet), and Pune (office spaces in Gigaspace IT Park and Bluegrass Business Park)'</t>
  </si>
  <si>
    <t xml:space="preserve">Sonjoy Kshettry
[Oct'26 re-check – existing text could not be independently verified] A dedicated name search for 'Sonjoy Kshettry' + Gallagher returned no result from any source (no LinkedIn, MCA or press extract), so the proposed title and designated-partner claim cannot be supported; the existin</t>
  </si>
  <si>
    <t xml:space="preserve">A dedicated name search for 'Sonjoy Kshettry' + Gallagher returned no result from any source (no LinkedIn, MCA or press extract), so the proposed title and designated-partner claim cannot be supported; the existing sheet cell should be left as is and re-checked by hand.</t>
  </si>
  <si>
    <t xml:space="preserve">No extract found.</t>
  </si>
  <si>
    <t xml:space="preserve">https://www.ajg.com/in/about-us/gallagher-center-of-excellence/; https://jobs.ajg.com/gcoe-home</t>
  </si>
  <si>
    <t xml:space="preserve">Careers page and GPTW profile extracts match the function list (operations, analytics, technology, back-office; insurance brokerage, risk management and consulting support).</t>
  </si>
  <si>
    <t xml:space="preserve">jobs.artexrisk.com/gcoe-home: 'support diverse business functions, from operations and analytics to technology and back-office services'; greatplacetowork.in: 'industry-specific expertise in insurance brokerage, risk management, and consulting'</t>
  </si>
  <si>
    <t xml:space="preserve">10000
https://www.ajg.com/in/about-us/gallagher-center-of-excellence/</t>
  </si>
  <si>
    <t xml:space="preserve">11,525 India-based employees (Great Place To Work India profile, Best Workplaces in Asia 2026); ajg.com India page still shows 10,000 (older)</t>
  </si>
  <si>
    <t xml:space="preserve">https://www.greatplacetowork.in/great/company/gallgher-center-of-excellance-gallagher-service-center-llp/
https://www.ajg.com/in/about-us/gallagher-center-of-excellence/</t>
  </si>
  <si>
    <t xml:space="preserve">GPTW India profile independently confirms 11,525 India-based employees and Best Workplaces in Asia 2026; ajg.com still says 10,000; the LinkedIn '12,000+' claim did not surface in any extract and was removed.</t>
  </si>
  <si>
    <t xml:space="preserve">greatplacetowork.in: 'The organization has 11,525 India-based employees and is located in Pune' / 'recognized as a Best Workplaces in Asia 2026'; ajg.com: 'GCoE's 10,000 professionals in five locations in India'</t>
  </si>
  <si>
    <t xml:space="preserve">Operations / Technology (combination) - scaling the India shared-services/knowledge centre and rebranding it as a Center of Excellence | (2026) The India LLP now operates as Gallagher Centre of Excellence LLP (formerly Gallagher Service Center LLP), aligning the entity with the group's GCoE branding for operations, analytics, technology and back-office work. [Operations] || (date n/a - deal note, verify) Gallagher Centre of Excellence LLP took new leased offices in Bengaluru (58,189 sq ft, Godrej Hebbal), Gurugram (~40,252 sq ft) and Pune (Gigaspace IT Park, Bluegrass Business Park), advised by Khaitan &amp; Co; the GCoE careers site now lists seven Indian cities including Chandigarh and Kochi. [Operations] || (2026) Gallagher Centre of Excellence was recognised among Best Workplaces in Asia 2026 (Great Place To Work) with 11,525 India-based employees, up from the 10,000 cited on the group's India site. [Operations] || (2025) [NOT AUDITED - budget] Gallagher opened a c.25,000 sq ft flagship Mumbai office at Embassy 247, Vikhroli, for 700 staff (scaling to 1,000+), recruiting in analytics, account management, servicing and project management for its 7,500-plus India workforce.</t>
  </si>
  <si>
    <t xml:space="preserve">https://www.barandbench.com/dealstreet/khaitan-co-assists-gallagher-centre-of-excellence-on-leasing-offices-in-bengaluru-gurugram-pune
https://jobs.ajg.com/gcoe-home
https://www.greatplacetowork.in/great/company/gallgher-center-of-excellance-gallagher-service-center-llp/
https://www.constructionweekonline.in/projects-tenders/gallagher-invests-in-flagship-mumbai-office-to-support-its-growth-agenda</t>
  </si>
  <si>
    <t xml:space="preserve">Bullet 1: rename supported only by Bar &amp; Bench usage of the new name, date not verified, so bracket changed to (2026); bullet 2 (May 2026 Bengaluru opening by Kshettry) unsupported and replaced by the Khaitan &amp; Co leasing deal, whose date is not visible in the extract; bullet 3 verified against GPTW; bullet 4 (2025 Mumbai Embassy 247) not audited for budget reasons. Classification: 1-2 Operations/real estate, 3 Operations/HR.</t>
  </si>
  <si>
    <t xml:space="preserve">barandbench.com: 'Khaitan &amp; Co advised Gallagher Centre of Excellence LLP on acquisition of leasehold rights ... Bengaluru ... Gurugram ... Pune'; greatplacetowork.in: 'Best Workplaces in Asia 2026 ... 11,525 India-based employees'</t>
  </si>
  <si>
    <t xml:space="preserve">17</t>
  </si>
  <si>
    <t xml:space="preserve">Hannover Re Consulting service india private limited</t>
  </si>
  <si>
    <t xml:space="preserve">Hannover Re Consulting Services India Private Limited (CIN U74140MH2008FTC187025, inc. 23 Sep 2008, Mumbai; LEI 529900XD8CGKAYCEBT80, status active). Regulated reinsurer is Hannover Rueck SE - India Branch (IRDAI FRB/004, operating since Feb 2017), a reinsurance branch, not a GCC. NOTE: a Zauba search snippet showed the consulting company as 'under liquidation' but the LEI register shows it ACTIVE and it still appears in the branch's related-party filings - MCA status to be confirmed by hand.</t>
  </si>
  <si>
    <t xml:space="preserve">https://lei.bloomberg.com/leis/view/529900XD8CGKAYCEBT80
https://corporate-design.hannover-rueck.de/1341692/form-nl-31-related-party-transactions.pdf
https://www.hannover-re.com/en/local-offices/asia/india/
https://www.businessinsurance.com/hannover-re-gets-final-approval-to-open-indian-branch/</t>
  </si>
  <si>
    <t xml:space="preserve">CIN, Mumbai registration and 2008 incorporation confirmed via Bloomberg LEI record (date 23 Sep 2008, not 24 Sep); the 'under liquidation' claim is contradicted by the LEI record showing the entity ACTIVE and by its continued listing as a related party in the India Branch's regulatory disclosures, so it was removed and flagged; the third entity (Risk Management Services) was not re-surfaced and was dropped from the cell.</t>
  </si>
  <si>
    <t xml:space="preserve">lei.bloomberg.com (529900XD8CGKAYCEBT80): 'status ACTIVE ... FULCRUM, B-604, 6TH FLOOR, SAHAR ROAD, ANDHERI (EAST) MUMBAI 400099 ... Incorporation date: 2008-09-23'; corporate-design.hannover-rueck.de NL-31: 'Hannover Re Consulting Services India P Ltd' listed as related party of Hannover Rück SE India Branch</t>
  </si>
  <si>
    <t xml:space="preserve">https://www.zaubacorp.com/HANNOVER-RE-CONSULTING-SERVICES-INDIA-PRIVATE-LIMITED-U74140MH2008FTC187025; https://www.hannover-re.com/en/local-offices/asia/india/</t>
  </si>
  <si>
    <t xml:space="preserve">Mumbai-only confirmed: LEI record gives the Fulcrum/Sahar Road, Andheri East address and current Hannover Re job postings for Mumbai carry pin 400 099 (the Andheri address), consistent with a single Mumbai location; the Powai address is from the researcher's hannover-re.com extract and was not re-checked.</t>
  </si>
  <si>
    <t xml:space="preserve">lei.bloomberg.com: 'FULCRUM, B-604, 6TH FLOOR, SAHAR ROAD, ANDHERI (EAST) MUMBAI ... 400099'; jobs.hannover-re.com: 'Mumbai-Associate-Underwriter-P&amp;C-Base-MH-400-099'</t>
  </si>
  <si>
    <t xml:space="preserve">https://insuranceasianews.com/?p=169986; https://www.theofficialboard.com/biography/ghosh-avijit-719d4</t>
  </si>
  <si>
    <t xml:space="preserve">InsuranceAsia News (Nov 2024) confirms Ghosh's appointment as India CEO; TheOfficialBoard lists him as CEO of Hannover Re Consulting Services and Tofler shows a director record; no 2026 departure news in two searches, and the Jan 2026 CFO appointment coverage is consistent with him in role.</t>
  </si>
  <si>
    <t xml:space="preserve">insuranceasianews.com: 'Exclusive: Hannover Re appoints Avijit Ghosh as India CEO amid leadership reshuffle'; theofficialboard.com: 'Chief Executive Officer at Hannover Re Consulting Services'</t>
  </si>
  <si>
    <t xml:space="preserve">Finance, Operations - Life &amp; Health Reinsurance Services, Property &amp; Casualty Reinsurance Support, Portfolio Analysis ("Know Your Portfolio"), Client Support Services, Insurance Products &amp; Solutions Support.
https://www.hannover-re.com/en/local-offices/asia/india/life-and-health/#box</t>
  </si>
  <si>
    <t xml:space="preserve">Reinsurance market-facing office, not a shared-services GCC: Life &amp; Health reinsurance solutions (protection, critical illness, financial solutions) and Property &amp; Casualty reinsurance incl. agricultural risks, written through the IRDAI-licensed India Branch; the consulting company's MCA activity code is business/management consultancy.</t>
  </si>
  <si>
    <t xml:space="preserve">https://www.hannover-re.com/en/local-offices/asia/india/life-and-health/
https://www.businessinsurance.com/hannover-re-gets-final-approval-to-open-indian-branch/
https://www.zaubacorp.com/HANNOVER-RE-CONSULTING-SERVICES-INDIA-PRIVATE-LIMITED-U74140MH2008FTC187025</t>
  </si>
  <si>
    <t xml:space="preserve">Business Insurance confirms P&amp;C reinsurance incl. agricultural risks via the IRDAI branch and hannover-re.com has a dedicated India L&amp;H page; no evidence of shared-services functions, so the 'market-facing, not a GCC' framing stands.</t>
  </si>
  <si>
    <t xml:space="preserve">businessinsurance.com: 'Hannover Re gets final approval to open Indian branch' (property/casualty reinsurance incl. agricultural risks); hannover-re.com/69515/india_lh page exists</t>
  </si>
  <si>
    <t xml:space="preserve">Searched 'Hannover Re Consulting Services India Private Limited Mumbai' (extended) and the branch/IRDAI query; no headcount in any extract (MCA mirrors, Tracxn, Kompass, hannover-re.com). Branch is a small underwriting office; sheet text 'Info not available' stands.</t>
  </si>
  <si>
    <t xml:space="preserve">Two independent searches (entity + leadership) surfaced no headcount in any extract; 'unverifiable' stands and the sheet's 'Info not available' should remain.</t>
  </si>
  <si>
    <t xml:space="preserve">No headcount in any extract.</t>
  </si>
  <si>
    <t xml:space="preserve">Operations / Finance (reinsurance underwriting operations and branch finance leadership; no technology-GCC activity found) | (Jan 2026) Hannover Re appointed Prateek Maheshwari, with the India Branch since 2017 as Finance Manager, as CFO of the India Branch, strengthening local finance leadership. [Finance] || (Nov 2024) Hannover Re named Avijit Ghosh India CEO/Principal Officer of the Mumbai branch as part of a wider India leadership reshuffle. [Operations]</t>
  </si>
  <si>
    <t xml:space="preserve">https://www.reinsurancene.ws/hannover-re-appoints-prateek-maheshwari-as-cfo-india-branch/
https://asiainsurancereview.com/News/View-NewsLetter-Article/id/94284/type/eDaily/Conferences/Gallery
https://insuranceasianews.com/?p=169986</t>
  </si>
  <si>
    <t xml:space="preserve">Bullets 1 (Jan 2026 CFO, Finance) and 2 (Nov 2024 CEO, Operations) verified against Reinsurance News / Asia Insurance Review (29 Jan 2026) and InsuranceAsia News; bullet 3 ('under liquidation') removed because the LEI register shows the entity active and the only source was an unopened Zauba snippet.</t>
  </si>
  <si>
    <t xml:space="preserve">reinsurancene.ws: 'Hannover Re appoints Prateek Maheshwari as CFO for its India branch ... January 2026 ... joined the India Branch as Finance Manager in 2017'; asiainsurancereview.com 'News People 29 Jan 2026'</t>
  </si>
  <si>
    <t xml:space="preserve">18</t>
  </si>
  <si>
    <t xml:space="preserve">https://www.zaubacorp.com/MARKEL-SERVICES-INDIA-PRIVATE-LIMITED-U74999MH2018FTC304056; https://www.thecompanycheck.com/company/markel-services-india-private-limited/U74999MH2018FTC304056</t>
  </si>
  <si>
    <t xml:space="preserve">budget: CIN/incorporation details from Zauba not independently re-searched; entity name is consistent with all press coverage of Markel International India (Mumbai).</t>
  </si>
  <si>
    <t xml:space="preserve">Zauba: 'private company incorporated on 12 Dec 2018 ... subsidiary of a company incorporated outside India ... Registrar of Companies, Mumbai'</t>
  </si>
  <si>
    <t xml:space="preserve">https://www.zaubacorp.com/MARKEL-SERVICES-INDIA-PRIVATE-LIMITED-U74999MH2018FTC304056</t>
  </si>
  <si>
    <t xml:space="preserve">All 2026 press items place the India team in Mumbai (BKC address from Zauba not separately re-checked).</t>
  </si>
  <si>
    <t xml:space="preserve">reinasia.com: 'Srabasti Dhali, Aniket Mehta, and Ankur Saxena have joined Markel International's Mumbai office'; markel.com: Ravi Jain 'Based in Mumbai'</t>
  </si>
  <si>
    <t xml:space="preserve">https://reinasia.com/markel-international-welcomes-three-new-underwriters-in-mumbai/; https://insuranceinsider.com/articles/117706/markel-appoints-mathur-to-lead-entry-into-india; https://www.gtreview.com/news/on-the-move/insurer-markel-enters-indian-market/</t>
  </si>
  <si>
    <t xml:space="preserve">Appointment to lead Markel's India entry confirmed by Insurance Insider/GTReview; a 2025-26 ReinAsia item quotes her as 'Managing Director for Markel International India', so the title was updated; no 2026 exit or replacement news found.</t>
  </si>
  <si>
    <t xml:space="preserve">reinasia.com: 'Deepika Mathur, Managing Director for Markel International India, remarked: I'm delighted to welcome Srabasti, Aniket and Ankur'; insuranceinsider.com: 'markel appoints mathur to lead entry into india'</t>
  </si>
  <si>
    <t xml:space="preserve">Insurance Operations: Specialty insurance support, underwriting support, claims support, broker servicing.
Finance: Administrative &amp; support service activities; insurance financial services support.
Operations: India business operations, underwriting operations, client/broker support, insurance pr</t>
  </si>
  <si>
    <t xml:space="preserve">Operations (market-facing): specialty insurance underwriting for the India portfolio (marine, specie, casualty), marine/cargo/specie claims handling, business development and broker distribution for Markel International in India. No finance or technology shared-services activity found.</t>
  </si>
  <si>
    <t xml:space="preserve">https://reinasia.com/markel-international-welcomes-three-new-underwriters-in-mumbai/
https://reinasia.com/markel-appoints-sarika-gadekar-to-strengthen-india-marine-claims-capability/
https://www.markel.com/international/news-and-insights/markel-appoints-ravi-jain-business-development-distribution-lead-india</t>
  </si>
  <si>
    <t xml:space="preserve">Independent extracts confirm a market-facing underwriting (specie, marine, casualty), marine claims and broker-distribution team; no finance/technology shared-services evidence.</t>
  </si>
  <si>
    <t xml:space="preserve">reinasia.com: 'Senior Underwriter for Specie ... Senior Underwriter, Marine ... Casualty Underwriter'; insurancebusinessmag.com: 'Markel adds local marine claims expertise in India'</t>
  </si>
  <si>
    <t xml:space="preserve">Info Not available for India GCC. 2yr old approx info given on linkedin i.e 20+ empoyees
https://www.linkedin.com/posts/markel-international_happyanniversary-india-markelstyle-activity-7125122765119983616-rikF</t>
  </si>
  <si>
    <t xml:space="preserve">MCA mirror extract says employee count 'Not declared'; no LinkedIn or GPTW figure surfaced. Existing sheet text (20+ per a 2023 LinkedIn post) remains the only figure; 2026 hires (3 underwriters, 1 claims adjuster, 1 BD lead) imply a team still in the tens, not hundreds.</t>
  </si>
  <si>
    <t xml:space="preserve">No headcount surfaced in three Markel searches; 'unverifiable' stands.</t>
  </si>
  <si>
    <t xml:space="preserve">Operations (building local underwriting, claims and distribution capability in Mumbai; no technology or finance GCC activity) | (Mar 2026) Markel appointed Ravi Jain as Business Development and Distribution Lead - India, based in Mumbai, to work with brokers and expand Markel's footprint across India. [Operations] || (2026, month n/a - verify) Markel appointed Sarika Gadekar (ex-CMA CGM Global Business Services India) as a Mumbai-based claims adjuster to strengthen marine claims capability for its India transport, logistics, cargo and specie portfolio. [Operations] || (date n/a - likely pre-2026, verify) Three underwriters (Srabasti Dhali - specie, Aniket Mehta - marine, Ankur Saxena - casualty) joined Markel International's Mumbai team from Tata AIG, bringing underwriting decisions closer to Indian brokers and clients. [Operations]</t>
  </si>
  <si>
    <t xml:space="preserve">https://www.markel.com/international/news-and-insights/markel-appoints-ravi-jain-business-development-distribution-lead-india
https://www.insurancebusinessmag.com/asia/news/marine/markel-adds-local-marine-claims-expertise-in-india-582194.aspx
https://reinasia.com/markel-appoints-sarika-gadekar-to-strengthen-india-marine-claims-capability/
https://reinasia.com/markel-international-welcomes-three-new-underwriters-in-mumbai/</t>
  </si>
  <si>
    <t xml:space="preserve">Bullet 1 (Mar 2026, Ravi Jain) verified via markel.com and Insurance Business Asia; bullet 2 (Gadekar) verified in substance but the Jul 2026 month was not visible in any extract, so bracket softened and her prior employer corrected to CMA CGM GBS India; bullet 3 verified in substance (names and Tata AIG origin) but no date appears and the ReinAsia post ID is far older than the 2026 items, so it is flagged as likely pre-2026 for a date check. All three are Operations items.</t>
  </si>
  <si>
    <t xml:space="preserve">markel.com: 'Ravi Jain as Business Development and Distribution Lead - India in March 2026 ... Based in Mumbai'; insurancebusinessmag.com: 'Sarika Sagar Gadekar joined Markel as claims adjuster in Mumbai ... joining from CMA CGM Global Business Services India'; reinasia.com: 'All three have joined the Markel India team from Tata AIG'</t>
  </si>
  <si>
    <t xml:space="preserve">19</t>
  </si>
  <si>
    <t xml:space="preserve">Marsh McLennan Global Services India Private Limited (MMGS) (CIN U74900MH2007FTC170605) - group's India global services centre / GCC</t>
  </si>
  <si>
    <t xml:space="preserve">https://www.zaubacorp.com/MARSH-MCLENNAN-GLOBAL-SERVICES-INDIA-PRIVATE-LIMITED-U74900MH2007FTC170605
https://www.weps.org/company/marsh-mclennan-global-services-india-private-limited-mmgs
https://www.thecompanycheck.com/company/marsh-mclennan-global-services-india-private-limited/U74900MH2007FTC170605</t>
  </si>
  <si>
    <t xml:space="preserve">Marsh McLennan careers site independently describes MMGS as the group's global knowledge centre founded 2007 and headquartered in Mumbai, supporting the casing/CIN fix.</t>
  </si>
  <si>
    <t xml:space="preserve">careers.marshmclennan.com: 'Marsh McLennan Global Services India Private Limited (MMGS) is a global knowledge centre for the MMC Group ... founded in 2007 and is headquartered in Mumbai'</t>
  </si>
  <si>
    <t xml:space="preserve">Mumbai and Pune</t>
  </si>
  <si>
    <t xml:space="preserve">Mumbai (registered office: 1001-A Supreme Business Park, Hiranandani Gardens, Powai, Mumbai 400076); Marsh McLennan India (entities, shared services and businesses combined) operates across Mumbai, Pune, Gurugram, Bengaluru and Chennai per the careers site - MMGS-specific sites beyond Mumbai and Pune not confirmed</t>
  </si>
  <si>
    <t xml:space="preserve">https://careers.marshmclennan.com/global/en/india
https://www.zaubacorp.com/MARSH-MCLENNAN-GLOBAL-SERVICES-INDIA-PRIVATE-LIMITED-U74900MH2007FTC170605</t>
  </si>
  <si>
    <t xml:space="preserve">Noida was supported only by a LeadIQ extract and did not appear on the company careers page, which lists Mumbai, Pune, Gurugram, Bengaluru and Chennai for Marsh McLennan India (entities, shared services and businesses combined); replaced Noida with the careers-page list and flagged that it mixes MMGS with operating businesses.</t>
  </si>
  <si>
    <t xml:space="preserve">careers.marshmclennan.com: 'Marsh McLennan India houses multiple entities, shared services and businesses across Mumbai, Pune, Gurugram, Bengaluru, and Chennai'</t>
  </si>
  <si>
    <t xml:space="preserve">Dinesh Deo</t>
  </si>
  <si>
    <t xml:space="preserve">Dinesh Deo has LEFT: he was CEO of Marsh McLennan India GCC (MMGS) 2018-2025 and is now a Non-Executive Director at Computershare Business Support Services and independent advisor. Successor not identified - VERIFY.</t>
  </si>
  <si>
    <t xml:space="preserve">https://gcc.icai.org/ca-dinesh-deo/
https://gcc.icai.org/?p=7186</t>
  </si>
  <si>
    <t xml:space="preserve">ICAI GCC page re-surfaced confirming Deo's MMGS tenure ended in 2025; two independent leadership searches found no named MMGS successor - the only 2026 appointment (Andrea Bono, CEO India/Middle East/Africa, Dubai-based, effective Jan 2026) is a group regional role, not the GCC head, and must not be entered as such.</t>
  </si>
  <si>
    <t xml:space="preserve">gcc.icai.org: 'Chief Executive Officer of ... Marsh McLennan India GCC (2018-2025)'; peoplematters.in: 'Marsh McLennan appoints Andrea Bono as CEO of India, Middle East and Africa ... effective January 2026 ... based in Dubai'</t>
  </si>
  <si>
    <t xml:space="preserve">https://www.weps.org/company/marsh-mclennan-global-services-india-private-limited-mmgs</t>
  </si>
  <si>
    <t xml:space="preserve">Careers site repeats the four pillars (operations, technology, consulting &amp; advisory, corporate services).</t>
  </si>
  <si>
    <t xml:space="preserve">careers.marshmclennan.com: 'approximately 11,000 colleagues through operations, technology, consulting &amp; advisory and corporate services'</t>
  </si>
  <si>
    <t xml:space="preserve">11000
https://www.greatplacetowork.in/great/company/marsh-mclennan-india-private-limited/</t>
  </si>
  <si>
    <t xml:space="preserve">~11,000 colleagues (Marsh McLennan careers site, India page, 2026). A Tracxn snippet gives 4,616 employees for the MMGS legal entity alone as of 31 Oct 2024 (unverified MCA figure), so ~11,000 likely spans several Marsh McLennan India entities.</t>
  </si>
  <si>
    <t xml:space="preserve">https://careers.marshmclennan.com/global/en/india
https://www.weps.org/company/marsh-mclennan-global-services-india-private-limited-mmgs
https://tracxn.com/d/legal-entities/india/marsh-mclennan-global-services-india-private-limited/__DvvD-N8KehfNIkZspPIraIGiWGaYm6ZxROe20etVLAg</t>
  </si>
  <si>
    <t xml:space="preserve">~11,000 colleagues confirmed on the company careers site (stronger than WEPs); the 4,616 (Oct 2024) legal-entity figure comes only from a Tracxn snippet and is kept but flagged; GPTW page (different legal entity) dropped as a source.</t>
  </si>
  <si>
    <t xml:space="preserve">careers.marshmclennan.com: 'Marsh McLennan Global Services India supports Business and Client Services across the enterprise with approximately 11,000 colleagues'</t>
  </si>
  <si>
    <t xml:space="preserve">Operations / Technology (combination) - multi-city shared-services and technology centre; 2026 news is thin and mostly employer-brand recognition | (2025) Long-time MMGS India GCC CEO Dinesh Deo completed his 2018-2025 tenure, during which MMGS more than doubled its multi-city India operations; a successor has not been publicly identified. [Operations] || (2026, month n/a) MMGS describes itself on the group careers site as the India global services centre with about 11,000 colleagues across operations, technology, consulting &amp; advisory and corporate services, within a Marsh McLennan India footprint spanning Mumbai, Pune, Gurugram, Bengaluru and Chennai. [Operations] || (Jan 2026, group context - not a GCC event) Marsh McLennan appointed Andrea Bono CEO for India, Middle East and Africa (Dubai-based), placing the Indian operating businesses under a regional structure; no change announced for MMGS leadership. [Operations]</t>
  </si>
  <si>
    <t xml:space="preserve">https://gcc.icai.org/ca-dinesh-deo/
https://careers.marshmclennan.com/global/en/india
https://www.peoplematters.in/news/appointments/marsh-mclennan-appoints-andrea-bono-as-ceo-of-india-middle-east-and-africa-47072</t>
  </si>
  <si>
    <t xml:space="preserve">Bullet 1 (Deo's exit) verified via ICAI GCC bio; bullet 2 (GPTW Women/BFSI 2026) removed - no extract confirmed Marsh McLennan on those 2026 lists and the GPTW profile is for Marsh McLennan (India) Pvt Ltd, not MMGS; bullet 3 re-sourced to the careers site. Added the Jan 2026 Bono appointment only as a group-context note (not a GCC event).</t>
  </si>
  <si>
    <t xml:space="preserve">gcc.icai.org: 'Marsh McLennan India GCC (2018-2025)'; careers.marshmclennan.com: 'approximately 11,000 colleagues through operations, technology, consulting &amp; advisory and corporate services'</t>
  </si>
  <si>
    <t xml:space="preserve">20</t>
  </si>
  <si>
    <t xml:space="preserve">MassMutual’s Global Business Services India LLP</t>
  </si>
  <si>
    <t xml:space="preserve">MassMutual Global Business Services India LLP (MassMutual India GCC)</t>
  </si>
  <si>
    <t xml:space="preserve">https://www.greatplacetowork.in/great/company/massmutual-global-business-services-india-llp/
https://www.dnb.com/business-directory/company-profiles.massmutual_global_business_services_india_llp.518c5b1debb1b6d619f8d7598043e555.html</t>
  </si>
  <si>
    <t xml:space="preserve">budget: the LLP legal name was not re-surfaced verbatim in the two MassMutual searches (extracts use the 'MassMutual India' brand); the apostrophe fix is low-risk and consistent with the GPTW/D&amp;B URLs cited.</t>
  </si>
  <si>
    <t xml:space="preserve">GPTW/D&amp;B: 'MassMutual Global Business Services India LLP'</t>
  </si>
  <si>
    <t xml:space="preserve">https://www.dnb.com/business-directory/company-profiles.massmutual_global_business_services_india_llp.518c5b1debb1b6d619f8d7598043e555.html; https://www.salezshark.com/company/mass-mutual-global-business-services-india-llp</t>
  </si>
  <si>
    <t xml:space="preserve">Deccan Herald/HRKatha extracts confirm the single Hyderabad site on the 7th floor of BSR IT SEZ, Financial District, expanded to a second floor (1.5 lakh sq ft).</t>
  </si>
  <si>
    <t xml:space="preserve">deccanherald.com / hrkatha.com: 'spread across 73,000+ square feet facility on the 7th floor of BSR IT SEZ ... expanded to another floor at the same location in the Financial District, making it a total workspace of 1.5 lakh sq.ft'</t>
  </si>
  <si>
    <t xml:space="preserve">https://www.indeed.com/cmp/Massmutual-India; https://telanganatoday.com/tag/ravi-tangirala</t>
  </si>
  <si>
    <t xml:space="preserve">Indeed company profile confirms Ravi Tangirala as Head of MassMutual India GCC and Telangana Today has Aug 2026 coverage under his name; the extract gives no 'CEO of the LLP' title (the 'CEO approval' phrase is a rating), so that clause was removed.</t>
  </si>
  <si>
    <t xml:space="preserve">indeed.com: 'Ravi Tangirala is the Head of MassMutual India GCC (Global Capability Center)'; telanganatoday.com/tag/ravi-tangirala dated Aug 1, 2026</t>
  </si>
  <si>
    <t xml:space="preserve">https://in.linkedin.com/company/massmutual-india; https://www.builtinboston.com/company/massmutual-india; https://bebee.com/in/jobs/associate-operations-massmutual-global-business-services-india-hyderabad--t7xk-818940867</t>
  </si>
  <si>
    <t xml:space="preserve">Indeed company profile extract matches the function list (full-stack, DevOps, QA, security &amp; cloud, data science, insurance/business/operations).</t>
  </si>
  <si>
    <t xml:space="preserve">indeed.com: 'full-stack development &amp; support, DevOps, quality assurance, security &amp; cloud engineering, data science and other areas including insurance, business, security, and operations'</t>
  </si>
  <si>
    <t xml:space="preserve">https://www.greatplacetowork.in/great/company/massmutual-global-business-services-india-llp/; https://in.linkedin.com/company/massmutual-india</t>
  </si>
  <si>
    <t xml:space="preserve">budget: the GPTW 2,103 figure did not re-surface in two searches (Indeed shows a stale 501-1,000 band; Telangana Today Aug 2026 reports plans to raise Hyderabad headcount without a number); the figure is consistent with the sheet's existing '2100+', so it is left as proposed pending a direct GPTW check.</t>
  </si>
  <si>
    <t xml:space="preserve">telanganatoday.com (Aug 2026): 'MassMutual announced plans to increase headcount in Hyderabad and establish more domain-specific centres of excellence'</t>
  </si>
  <si>
    <t xml:space="preserve">Technology / Operations (combination) - engineering, data science and insurance operations hub in Hyderabad; steady hiring rather than new announcements in 2026 | (Aug 2026) MassMutual announced plans to increase headcount at its Hyderabad GCC and to set up more domain-specific centres of excellence there, led by India GCC head Ravi Tangirala. [Operations] || (2026, month n/a - GPTW figure not re-confirmed) Great Place To Work India lists MassMutual Global Business Services India LLP with 2,103 India-based employees, up from about 1,700 in late 2023. [Operations] || (2021-22, background) MassMutual doubled Hyderabad headcount from ~450 towards a 1,000 target and expanded to a second floor (1.5 lakh sq ft total) at BSR IT SEZ, Financial District. [Technology/Operations]</t>
  </si>
  <si>
    <t xml:space="preserve">https://telanganatoday.com/tag/ravi-tangirala
https://www.greatplacetowork.in/great/company/massmutual-global-business-services-india-llp/
https://www.hrkatha.com/hiring-firing/massmutual-plans-to-hire-1000-by-year-end-in-hyderabad/
https://deccanherald.com/business/massmutual-opens-global-capability-center-in-hyderabad-937907.html</t>
  </si>
  <si>
    <t xml:space="preserve">Bullet 1 (job-board hiring, bebee) replaced with the Aug 2026 Telangana Today expansion announcement; bullet 2 (GPTW 2,103) kept but flagged not re-confirmed; bullet 3 verified for the 450-&gt;1,000 hiring plan and 1.5 lakh sq ft expansion, but the Rs 1,000 crore figure did not surface and was removed.</t>
  </si>
  <si>
    <t xml:space="preserve">telanganatoday.com: 'In August 2026, MassMutual announced plans to increase headcount in Hyderabad and establish more domain-specific centres of excellence'; hrkatha.com: 'planned to hire 1000 employees by year-end ... already hired 450 people'</t>
  </si>
  <si>
    <t xml:space="preserve">21</t>
  </si>
  <si>
    <t xml:space="preserve">MetLife Global Operations Support Center Private Limited (GOSC), now branded MetLife Global Capability Center (MGCC)</t>
  </si>
  <si>
    <t xml:space="preserve">https://www.dnb.com/business-directory/company-profiles/metlife-global-operations-support-center-private-limited.d0c72bd49fe30d2fc6c5fba38774d067
https://www.metlifecareers.com/en_US/ml/in</t>
  </si>
  <si>
    <t xml:space="preserve">MGCC branding independently confirmed by the nasscom GCC Summit 2026 speaker bio and Sep 2026 CHRO coverage; the 'Private Limited' legal name rests on the D&amp;B listing (not re-checked, low risk).</t>
  </si>
  <si>
    <t xml:space="preserve">thenasscomgccsummit2026.sched.com: 'Ashish Kumar Srivastava heads MetLife Global Capability Center (MGCC)'; peoplematters.in: 'Dimple Kaloya joins MetLife GCC as CHRO'</t>
  </si>
  <si>
    <t xml:space="preserve">https://www.metlifecareers.com/en_US/ml/in; https://thenasscomgccsummit2026.sched.com/speaker/ashish_kumar_srivastava.29nkzyec; https://dwello.in/news/4184-lakh-monthly-rent-metlife-gcc-leases-75000-sq-ft-office-in-noida</t>
  </si>
  <si>
    <t xml:space="preserve">Noida lease verified via Dwello (registration 12 Mar 2026, 75,000 sq ft, Tower 3 floors 12-13, Oxygen Business Park, Sector 144); the Hyderabad 'Prestige Skytech ~200,000 sq ft' claim found no support in a dedicated search (only JLL's Skytech lease appears) and was removed; four cities stand on the sched bio/careers extracts.</t>
  </si>
  <si>
    <t xml:space="preserve">dwello.in: 'MetLife GCC Leases 75,000 Sq Ft Office in Noida ... 12th and 13th floors of Tower 3 ... Oxygen Business Park in Sector 144, Noida on March 12, 2026'</t>
  </si>
  <si>
    <t xml:space="preserve">Ashish Kumar Srivastava - Managing Director &amp; Head, MetLife Global Capability Center (MGCC), India (speaker, nasscom GCC Summit 2026; quoted as MGCC head in Sep 2026 CHRO announcement)</t>
  </si>
  <si>
    <t xml:space="preserve">https://thenasscomgccsummit2026.sched.com/speaker/ashish_kumar_srivastava.29nkzyec
https://www.peoplematters.in/news/appointments/ex-hsbc-hr-leader-dimple-kaloya-joins-metlife-gcc-as-chro-51515
https://thecsruniverse.com/articles/metlife-appoints-dimple-kaloya-as-mgcc-chief-hr-officer</t>
  </si>
  <si>
    <t xml:space="preserve">Confirmed by the nasscom GCC Summit 2026 speaker page and by Sep 2026 CHRO announcements quoting him as MGCC head; sched bio gives his title as Managing Director, added.</t>
  </si>
  <si>
    <t xml:space="preserve">thenasscomgccsummit2026.sched.com: 'Ashish Kumar Srivastava heads MetLife Global Capability Center (MGCC) ... holds the position of Managing Director at the MGCC'; thecsruniverse.com: Srivastava quoted welcoming Kaloya (Sep 2026)</t>
  </si>
  <si>
    <t xml:space="preserve">https://www.metlifecareers.com/en_US/ml/in; https://www.businessofgcc.com/gcc-data/companies/metlife-india-gurugram; https://thenasscomgccsummit2026.sched.com/speaker/ashish_kumar_srivastava.29nkzyec</t>
  </si>
  <si>
    <t xml:space="preserve">Consistent with the independent sched bio (shared services centre strategy and operating model across regional operations and functions); no contradiction found.</t>
  </si>
  <si>
    <t xml:space="preserve">thenasscomgccsummit2026.sched.com: 'responsible for working with regional heads of operations and functional leaders to develop a shared services center strategy and operating model'</t>
  </si>
  <si>
    <t xml:space="preserve">https://www.metlifecareers.com/en_US/ml/in</t>
  </si>
  <si>
    <t xml:space="preserve">6,500+ across four cities rests on the MetLife careers page extract (company source, accepted); the '7,500 by 2027' target came only from a GCC aggregator and did not surface anywhere else, so it was removed.</t>
  </si>
  <si>
    <t xml:space="preserve">metlifecareers.com (researcher extract): 'today has over 6,500 employees across 4 cities'</t>
  </si>
  <si>
    <t xml:space="preserve">Technology (AI, analytics and engineering capacity expansion across Noida and Hyderabad), with Operations scale-up | (Mar 2026) MetLife GCC leased about 75,000 sq ft (Tower 3, 12th-13th floors; ~Rs 41.84 lakh/month, five-year term) at Oxygen Business Park, Sector 144, Noida to scale its India technology, analytics, digital, finance and operations teams. [Operations] || (2026, month n/a) [NOT AUDITED - budget] At DevSparks 2026 in Pune, MetLife GCC leaders described India GCCs moving beyond delivery to owning products, platforms and AI systems for the global enterprise. [Technology] || (Sep 2026) MetLife appointed Dimple Kaloya (ex-HSBC Head of People, Global Capability Network India) as MGCC Chief HR Officer, building out leadership for the 6,500+ person centre. [Operations]</t>
  </si>
  <si>
    <t xml:space="preserve">https://dwello.in/news/4184-lakh-monthly-rent-metlife-gcc-leases-75000-sq-ft-office-in-noida
https://yourstory.com/2026/04/tdelivery-hubs-decisions-centres-indias-gccs-reshape-global-enterprisehe-ys
https://www.peoplematters.in/news/appointments/ex-hsbc-hr-leader-dimple-kaloya-joins-metlife-gcc-as-chro-51515
https://thecsruniverse.com/articles/metlife-appoints-dimple-kaloya-as-mgcc-chief-hr-officer</t>
  </si>
  <si>
    <t xml:space="preserve">Bullet 1 (Mar 2026 Noida lease) verified via Dwello; bullet 2 (Hyderabad Prestige Skytech, 2,000 jobs, 7,500 target) rejected - no supporting extract; bullet 3 (DevSparks 2026, YourStory) not audited for budget; bullet 4 verified and dated Sep 2026 per People Matters/CSR Universe. Classification: 1 Operations/real estate, 4 Operations/HR.</t>
  </si>
  <si>
    <t xml:space="preserve">dwello.in: '75,000 sq ft with Rs 41.84 lakh rent per month for a period of five years ... March 12, 2026'; peoplematters.in: 'MetLife appointed Dimple Kaloya as CHRO of MetLife Global Capability Center (MGCC) in September 2026 ... from HSBC'</t>
  </si>
  <si>
    <t xml:space="preserve">22</t>
  </si>
  <si>
    <t xml:space="preserve">https://www.zaubacorp.com/SWISS-RE-GLOBAL-BUSINESS-SOLUTIONS-INDIA-PRIVATE-LIMITED-U74140KA2000PTC027640; https://www.thecompanycheck.com/company/swiss-re-global-business-solutions-india-private-limited/U74140KA2000PTC027640; https://www.swissre.com/media/press-release/pr-20220510-swissre-gbs-india-inovation-hub-of-hyderabad.html</t>
  </si>
  <si>
    <t xml:space="preserve">Entity name 'Swiss Re Global Business Solutions India' confirmed by Swiss Re's own May 2022 press release; CIN rests on MCA-mirror page titles (zaubacorp/thecompanycheck) which were not independently re-opened.</t>
  </si>
  <si>
    <t xml:space="preserve">swissre.com press release 10 May 2022: 'Swiss Re GBS India expands into the innovation hub of Hyderabad'</t>
  </si>
  <si>
    <t xml:space="preserve">https://www.swissre.com/media/press-release/pr-20220510-swissre-gbs-india-inovation-hub-of-hyderabad.html; https://www.swissre.com/profile/Amit_Kalra/ip_f2cb75; https://www.swissre.com/careers/india.html</t>
  </si>
  <si>
    <t xml:space="preserve">Bengaluru and Hyderabad confirmed by Swiss Re press release (May 2022); the specific business-park names (Embassy Golf Links, Sattva Knowledge Park) were not supported by any extract and were removed.</t>
  </si>
  <si>
    <t xml:space="preserve">'Both the Bengaluru and Hyderabad centres are expected to drive global business impact in reinsurance' (swissre.com PR, May 2022); Kalra profile: 'global capability hubs in India (Bangalore and Hyderabad) and Slovakia'</t>
  </si>
  <si>
    <t xml:space="preserve">Amit Kalra
Vacant / not yet announced — Amit Kalra (MD &amp; Head, Swiss Re GBS India) departed to join Zurich Insurance Group effective 1 July 2026. Successor at Swiss Re GBS India not publicly announced as of 14 Jul 2026.</t>
  </si>
  <si>
    <t xml:space="preserve">Vacant / successor not publicly announced. Amit Kalra (Head, Global Business Solutions) left to become Global Head of Zurich Capability Centers effective 1 July 2026; no Swiss Re announcement of a new GBS India head found as of 6 Oct 2026.</t>
  </si>
  <si>
    <t xml:space="preserve">https://reinsurancene.ws/zurich-appoints-amit-kalra-to-lead-new-global-capability-center-in-india/
https://reinasia.com/zurich-taps-amit-kalra-to-lead-new-global-capability-centre-in-india/
https://hrtoday.in/amit-kalra-appointed-as-global-head-of-zurich-capability-centers-at-zurich-insurance-group/</t>
  </si>
  <si>
    <t xml:space="preserve">Kalra's departure to Zurich (Head of Zurich Capability Centers, effective 1 Jul 2026, after 19+ yrs at Swiss Re) confirmed by reinsurancene.ws, hrtoday and reinasia; a dedicated successor search returned no Swiss Re appointment, so 'vacant / successor not announced' stands. Note: the still-indexed swissre.com profile does not prove he remains.</t>
  </si>
  <si>
    <t xml:space="preserve">'Amit Kalra was appointed as Head of Zurich Capability Centers, effective 1 July 2026 ... joins from Swiss Re, where he spent more than 19 years and most recently served as head of global business solutions' (reinsurancene.ws)</t>
  </si>
  <si>
    <t xml:space="preserve">https://www.swissre.com/careers/india.html; https://www.business-standard.com/companies/interviews/india-to-soon-have-about-50-of-swiss-re-s-global-tech-talent-amit-kalra-125051100389_1.html</t>
  </si>
  <si>
    <t xml:space="preserve">Function mix (digital services, partner enablement, capability hub across the re/insurance value chain, tech talent) supported by Swiss Re profile/careers extracts and the Business Standard May 2025 interview headline.</t>
  </si>
  <si>
    <t xml:space="preserve">Kalra profile: GBS 'offers groupwide capabilities of Digital Services for employees and clients, Partner Enablement, and global capability hubs'; careers: 'over 2,500 professionals across the re/insurance value chain'</t>
  </si>
  <si>
    <t xml:space="preserve">2000+
https://www.swissre.com/careers/india.html</t>
  </si>
  <si>
    <t xml:space="preserve">2,500+ professionals (Swiss Re careers page; Business Standard interview May 2025: ~2,500 of ~14,000 group employees); up from 1,600+ at May 2022 Hyderabad launch. No 2026 figure published.</t>
  </si>
  <si>
    <t xml:space="preserve">https://www.swissre.com/careers/india.html
https://www.business-standard.com/companies/interviews/india-to-soon-have-about-50-of-swiss-re-s-global-tech-talent-amit-kalra-125051100389_1.html
https://www.swissre.com/media/press-release/pr-20220510-swissre-gbs-india-inovation-hub-of-hyderabad.html</t>
  </si>
  <si>
    <t xml:space="preserve">~2,500 confirmed (Swiss Re careers extract '2,500+ professionals'; Business Standard May 2025 ~2,500 of ~14,000). Tracxn 2,374 figure could not be reproduced and is an aggregator; removed. Added 1,600+ (May 2022 PR) as trajectory anchor. No 2026 figure found.</t>
  </si>
  <si>
    <t xml:space="preserve">'Swiss Re's global capability hub in India has a setup of over 2,500 professionals across the re/insurance value chain'; 'Swiss Re Global Business Solutions India comprising 1600+ employees' (May 2022 PR)</t>
  </si>
  <si>
    <t xml:space="preserve">Technology (primary) / Operations | (Jul 2026) Amit Kalra, head of Swiss Re Global Business Solutions (19+ years at Swiss Re), left to become Head of Zurich Capability Centers effective 1 July 2026, leaving GBS India in a leadership transition with no successor publicly announced. || (May 2025) In a Business Standard interview Kalra said India would soon host about 50% of Swiss Re's global technology talent, with roughly 2,500 of ~14,000 group employees already in India, underscoring a technology/AI-led mandate for Bengaluru and Hyderabad. || (May 2022) Swiss Re GBS India opened its Hyderabad centre as a data/technology innovation hub alongside Bengaluru (then 1,600+ employees), the base from which the centre has grown to 2,500+ professionals.</t>
  </si>
  <si>
    <t xml:space="preserve">https://reinsurancene.ws/zurich-appoints-amit-kalra-to-lead-new-global-capability-center-in-india/
https://www.business-standard.com/companies/interviews/india-to-soon-have-about-50-of-swiss-re-s-global-tech-talent-amit-kalra-125051100389_1.html
https://www.swissre.com/media/press-release/pr-20220510-swissre-gbs-india-inovation-hub-of-hyderabad.html</t>
  </si>
  <si>
    <t xml:space="preserve">Bullet 1 and 2 verified (Jul 2026 move; May 2025 interview). Bullet 3 (Tracxn aggregator headcount) removed as unverifiable and replaced with the verified May 2022 Swiss Re press release on the Hyderabad opening; no other 2026 item found.</t>
  </si>
  <si>
    <t xml:space="preserve">reinsurancene.ws: effective 1 July 2026; swissre.com PR dated 10 May 2022</t>
  </si>
  <si>
    <t xml:space="preserve">23</t>
  </si>
  <si>
    <t xml:space="preserve">https://yourstory.com/enterprise-story/2025/11/us-financial-services-firm-the-standard-opens-new-gcc-in-india; https://stancorpglobalservices.in/; https://www.peoplematters.in/news/appointments/us-headquartered-the-standard-opens-new-gcc-in-india-appoints-mohua-sengupta-as-country-head-47267</t>
  </si>
  <si>
    <t xml:space="preserve">Entity name 'StanCorp Global Services India Pvt Ltd' confirmed by yourstory (17 Nov 2025) and cxotoday; CIN still not located.</t>
  </si>
  <si>
    <t xml:space="preserve">'new Global Capability Centre (GCC) in India, dubbed StanCorp Global Services India Pvt Ltd' (yourstory, Nov 2025)</t>
  </si>
  <si>
    <t xml:space="preserve">https://yourstory.com/enterprise-story/2025/11/us-financial-services-firm-the-standard-opens-new-gcc-in-india; https://www.peoplematters.in/news/business/the-standard-grows-india-gcc-to-400-positioning-bengaluru-at-the-centre-of-its-innovation-strategy-51594; https://digitalterminal.in/amp/story/tech-companies/the-standard-opens-bengaluru-office-marks-next-phase-of-india-expansion</t>
  </si>
  <si>
    <t xml:space="preserve">Bengaluru and Pune confirmed; added the exact inauguration date (21 April 2026) from People Matters.</t>
  </si>
  <si>
    <t xml:space="preserve">'The facility was formally inaugurated on 21 April 2026' (peoplematters); '175 Allstate India Pvt Ltd employees across its sites in Bengaluru and Pune' (yourstory)</t>
  </si>
  <si>
    <t xml:space="preserve">https://cxotoday.com/media-coverage/the-standard-india-strengthens-leadership-team-after-bengaluru-office-launch/; https://digitalterminal.in/amp/story/tech-companies/the-standard-opens-bengaluru-office-marks-next-phase-of-india-expansion; https://hrtoday.in/mohua-sengupta-appointed-as-svp-country-head-at-the-standard/</t>
  </si>
  <si>
    <t xml:space="preserve">Mohua Sengupta confirmed as SVP &amp; Country Head - India (appointed Nov 2025, ex-Novartis India GCC); 2026 leadership-team coverage still places her in role and no exit news surfaced.</t>
  </si>
  <si>
    <t xml:space="preserve">'Mohua Sengupta was named Senior Vice President and Country Head for India, bringing nearly 30 years of experience' (peoplematters, 2026)</t>
  </si>
  <si>
    <t xml:space="preserve">https://www.peoplematters.in/news/business/the-standard-grows-india-gcc-to-400-positioning-bengaluru-at-the-centre-of-its-innovation-strategy-51594; https://digitalterminal.in/amp/story/tech-companies/the-standard-opens-bengaluru-office-marks-next-phase-of-india-expansion; https://yourstory.com/enterprise-story/2025/11/us-financial-services-firm-the-standard-opens-new-gcc-in-india; https://www.peoplematters.in/news/leadership/the-standard-india-appoints-new-hr-talent-acquisition-and-technology-heads-51147</t>
  </si>
  <si>
    <t xml:space="preserve">Technology and insurance-operations scope confirmed; the Finance line is now supported by the 2026 appointment of a Head of Finance (Manishekaran Amalasekharan) for the India centre, so wording was tightened and a source added.</t>
  </si>
  <si>
    <t xml:space="preserve">'capability build-out across AI engineering, cloud platform development, data and analytics, digital transformation, and insurance operations'; 'Manishekaran Amalasekharan, Head of Finance ... appointments strengthen capabilities across technology, finance, people, talent and communications' (peoplematters)</t>
  </si>
  <si>
    <t xml:space="preserve">175+
https://timesofindia.indiatimes.com/business/india-business/us-insurer-the-standard-expands-india-footprint-with-new-capability-center/articleshow/125431239.cms</t>
  </si>
  <si>
    <t xml:space="preserve">~175 at launch (Nov 2025, transferred from Allstate India); target of nearly 400 by end-2026 (Apr 2026 announcement). No mid-2026 actual figure published.</t>
  </si>
  <si>
    <t xml:space="preserve">https://www.peoplematters.in/news/business/the-standard-grows-india-gcc-to-400-positioning-bengaluru-at-the-centre-of-its-innovation-strategy-51594
https://yourstory.com/enterprise-story/2025/11/us-financial-services-firm-the-standard-opens-new-gcc-in-india</t>
  </si>
  <si>
    <t xml:space="preserve">175 ex-Allstate employees at the 17 Nov 2025 launch and the ~400 by end-2026 target both confirmed by People Matters/yourstory extracts; no mid-2026 actual found.</t>
  </si>
  <si>
    <t xml:space="preserve">'set to nearly double the size of its India global capability centre to almost 400 employees by the end of 2026 ... approximately 175 employees having joined through the Allstate acquisition'</t>
  </si>
  <si>
    <t xml:space="preserve">Technology (primary) / Operations | (Apr 2026) The Standard inaugurated its permanent Bengaluru office (opened by Karnataka IT minister Priyank Kharge) and said it will nearly double the India GCC to almost 400 employees by end-2026, positioning Bengaluru as its innovation hub for AI engineering, cloud, data/analytics and insurance operations. || (Nov 2025) The Standard launched StanCorp Global Services India Pvt Ltd as its new GCC with ~175 employees in Bengaluru and Pune inherited via the Allstate Employer Voluntary Benefits acquisition, and named Mohua Sengupta SVP &amp; Country Head. || (2026, after the Apr 2026 Bengaluru launch; month n/a) The Standard India announced a new India leadership team - Atul Agrawal (Head of Technology), Manishekaran Amalasekharan (Head of Finance), Neeti Khanka (Head of HR), Sanjay Pathak (Chief of Staff &amp; India Site Operations Lead) and Aditya Pal Singh (Head of Talent Acquisition) - to scale technology, finance and people capabilities.</t>
  </si>
  <si>
    <t xml:space="preserve">https://www.peoplematters.in/news/business/the-standard-grows-india-gcc-to-400-positioning-bengaluru-at-the-centre-of-its-innovation-strategy-51594
https://yourstory.com/enterprise-story/2025/11/us-financial-services-firm-the-standard-opens-new-gcc-in-india
https://cxotoday.com/media-coverage/the-standard-india-strengthens-leadership-team-after-bengaluru-office-launch/
https://www.peoplematters.in/news/leadership/the-standard-india-appoints-new-hr-talent-acquisition-and-technology-heads-51147</t>
  </si>
  <si>
    <t xml:space="preserve">Bullets 1-2 verified (21 Apr 2026 inauguration/400 target; 17 Nov 2025 launch with 175 staff). Bullet 3 amended to name the appointees per People Matters/cxotoday; exact month still not in extracts.</t>
  </si>
  <si>
    <t xml:space="preserve">'Following the inauguration of its new Bengaluru office in April, The Standard announced key leadership appointments in India' (cxotoday/peoplematters)</t>
  </si>
  <si>
    <t xml:space="preserve">24</t>
  </si>
  <si>
    <t xml:space="preserve">https://www.mandg.com/mandgglobalservices.com; https://www.thecompanycheck.com/company/mg-global-services-private-limited/U74140MH2002PTC137446</t>
  </si>
  <si>
    <t xml:space="preserve">Legal name and 2003 inception confirmed by M&amp;G's own page; CIN rests on the thecompanycheck MCA mirror (not re-opened); the 'formerly 10FA India Private Limited' claim is Crunchbase-only and was moved out of the client text.</t>
  </si>
  <si>
    <t xml:space="preserve">'M&amp;G Global Services Private Limited is M&amp;G plc's global capability centre in India, delivering with excellence since inception in 2003' (mandg.com)</t>
  </si>
  <si>
    <t xml:space="preserve">https://www.mandg.com/mandgglobalservices.com; https://in.linkedin.com/company/m&amp;gglobalservicesprivatelimited</t>
  </si>
  <si>
    <t xml:space="preserve">Mumbai (base, since 2003) and Pune confirmed by mandg.com; 'Powai' was not in any extract and was removed.</t>
  </si>
  <si>
    <t xml:space="preserve">'The capability centre is based in Mumbai ... the company has offices in Mumbai and Pune' (mandg.com)</t>
  </si>
  <si>
    <t xml:space="preserve">Zahabiya Officewala
[Oct'26 re-check – existing text could not be independently verified] Only aggregator listings (RocketReach, prospeo/efinancialcareers 'key contacts') name Zahabiya Officewala as Managing Director; an exact-name search returned no M&amp;G announcement, LinkedIn page, MCA record or p</t>
  </si>
  <si>
    <t xml:space="preserve">Only aggregator listings (RocketReach, prospeo/efinancialcareers 'key contacts') name Zahabiya Officewala as Managing Director; an exact-name search returned no M&amp;G announcement, LinkedIn page, MCA record or press item, so the leader cannot be sent to the client as verified. Client follow-up: check M&amp;G Global Services LinkedIn page for the MD.</t>
  </si>
  <si>
    <t xml:space="preserve">'Key contacts include Zahabiya Officewala as Managing Director, and ... Madhur Tatwawadi as Director &amp; Head Of Human Resources' (aggregator extract only)</t>
  </si>
  <si>
    <t xml:space="preserve">Strategic Innovation and Digital Hub
https://group.mandg.com/site-services/mg-india</t>
  </si>
  <si>
    <t xml:space="preserve">Technology: Digital Services (digital engineering, AI, advanced analytics, RPA, BI &amp; insights), IT. Operations: Business Transformation, Management Consulting &amp; Strategy, Customer Service, Risk &amp; Compliance, Audit, M&amp;G Investments support. Finance: Finance &amp; Actuarial (incl. finance operations, statutory reporting, reference data management).</t>
  </si>
  <si>
    <t xml:space="preserve">https://www.mandg.com/mandgglobalservices.com
https://in.linkedin.com/company/m&amp;gglobalservicesprivatelimited
https://builtin.com/job/avp-reference-data-management-finance-operations/6460531</t>
  </si>
  <si>
    <t xml:space="preserve">Service-area list matches M&amp;G's own page verbatim (Digital Services incl. Digital Engineering, AI, Advanced Analytics, RPA, BI &amp; Insights; Business Transformation; Management Consulting &amp; Strategy; Finance &amp; Actuarial; M&amp;G Investments; IT; Customer Service; Risk &amp; Compliance; Audit).</t>
  </si>
  <si>
    <t xml:space="preserve">'service offerings extending from Digital Services (Digital Engineering, AI, Advanced Analytics, RPA, and BI &amp; Insights), Business Transformation, Management Consulting &amp; Strategy, Finance &amp; Actuarial, M&amp;G Investments (Origination &amp; Credit Research), IT, Customer Service, Risk &amp; Compliance and Audit' (mandg.com)</t>
  </si>
  <si>
    <t xml:space="preserve">~1,000-2,000 (aggregator bands 2025-26; one aggregator lists 1,428 for 2025 - indicative only). No company-published figure.</t>
  </si>
  <si>
    <t xml:space="preserve">https://nodeflair.com/companies/m-g-global-services
https://www.signalhire.com/overview/10fa-india-private-limited-an-m-g-plc-company</t>
  </si>
  <si>
    <t xml:space="preserve">The 1,428 point figure could not be reproduced; independent extracts only give aggregator bands (1,001-5,000; ~1,001-2,000). Text amended to a band with the aggregator point figure flagged as indicative; no company-published figure exists.</t>
  </si>
  <si>
    <t xml:space="preserve">'M&amp;G Global Services has 1,001-5,000 employees globally, and approximately 1,001-2,000 employees based on other data sources' (nodeflair/prospeo)</t>
  </si>
  <si>
    <t xml:space="preserve">Technology / Finance (combination) | (Feb 2026) M&amp;G Global Services was actively hiring in Mumbai and Pune for finance-operations, front-office application-support and enterprise-security roles (four openings listed in Feb 2026), consistent with continued build-out of its finance and technology lines. || (2026, month n/a) M&amp;G describes its India centre as leveraging technology, AI, automation and process excellence, with Digital Services (digital engineering, AI, advanced analytics, RPA, BI) alongside Finance &amp; Actuarial as core service lines.</t>
  </si>
  <si>
    <t xml:space="preserve">https://nodeflair.com/companies/m-g-global-services
https://www.mandg.com/mandgglobalservices.com
https://builtin.com/job/avp-reference-data-management-finance-operations/6460531</t>
  </si>
  <si>
    <t xml:space="preserve">Bullet 1 amended: hiring activity confirmed (nodeflair: 4 active openings as of Feb 2026) but the 'Copilot and Claude' detail was not in any extract and was dropped. Bullet 2 verified against mandg.com. Bullet 3 (aggregator headcount growth) removed as unverifiable; no dated 2025-26 press item about this GCC was found.</t>
  </si>
  <si>
    <t xml:space="preserve">'As of February 2026, M&amp;G Global Services had 4 active job openings posted, including Manager Front Office Application Support, Senior Manager Enterprise Security Supply Chain Security' (nodeflair)</t>
  </si>
  <si>
    <t xml:space="preserve">25</t>
  </si>
  <si>
    <t xml:space="preserve">Chubb Limited
</t>
  </si>
  <si>
    <t xml:space="preserve">Chubb Business Services India Private Limited (CIN U72900TG2022FTC161404; also Chubb Business Services India LLP, LLPIN AAQ-0741, set up 2019) - parent Chubb Limited</t>
  </si>
  <si>
    <t xml:space="preserve">https://www.thecompanycheck.com/company/chubb-business-services-india-private-limited/U72900TG2022FTC161404
https://www.zaubacorp.com/company/CHUBB-BUSINESS-SERVICES-INDIA-LLP/AAQ-0741
https://www.greatplacetowork.in/great/company/chubb-business-services-india-private-limited/
https://news.chubb.com/2019-09-12-Chubb-to-Launch-Business-Services-Center-in-India-to-Provide-Technology-Digital-and-Analytics-Support</t>
  </si>
  <si>
    <t xml:space="preserve">Entity 'Chubb Business Services India Private Limited' confirmed by GPTW listing and by Chubb's 2019 newsroom release naming 'Chubb Business Services - India'; CIN/LLPIN rest on MCA mirrors not re-opened.</t>
  </si>
  <si>
    <t xml:space="preserve">GPTW: 'CHUBB Business Services India Private Limited'; news.chubb.com 12 Sep 2019: Chubb to launch business services center in India (Hyderabad and Bangalore)</t>
  </si>
  <si>
    <t xml:space="preserve">https://www.greatplacetowork.in/great/company/chubb-business-services-india-private-limited/; https://www.dtnext.in/news/tamilnadu/tamil-nadu-signs-two-mous-for-gcc-expansion-rs-1000-cr-projects-to-create-2600-jobs; https://www.hrkatha.com/news/chubb-and-nordex-to-drive-job-creation-with-chennai-gcc-and-rd-expansion/</t>
  </si>
  <si>
    <t xml:space="preserve">Hyderabad (HQ), Bengaluru and Bhubaneswar confirmed (GPTW '3 locations'); Chennai MoU confirmed with exact date 30 Jul 2026 by DT Next and HRKatha. The 'HUDA Techno Enclave, Madhapur' address was in no extract and was removed.</t>
  </si>
  <si>
    <t xml:space="preserve">'headquarters in Hyderabad, Telangana, and operates in 3 locations - Hyderabad, Bengaluru, and Bhubaneswar' (GPTW); 'MoU with Guidance Tamil Nadu to establish its first GCC in Chennai on July 30, 2026 ... approximately 220 high-skilled jobs' (dtnext/hrkatha)</t>
  </si>
  <si>
    <t xml:space="preserve">Mohan Narayanaswamy
[Oct'26 re-check – existing text could not be independently verified] Exact-name search for 'Mohan Narayanaswamy' + Chubb India returned only a Tofler MCA director record (Narayanasamy Mohan, DIN 01772098, director in 8 companies) with no Chubb link in the extract and no press/L</t>
  </si>
  <si>
    <t xml:space="preserve">Exact-name search for 'Mohan Narayanaswamy' + Chubb India returned only a Tofler MCA director record (Narayanasamy Mohan, DIN 01772098, director in 8 companies) with no Chubb link in the extract and no press/LinkedIn naming any India centre head; the Rohin Govindarajan 'Global Head of Engineering Centers' claim is LinkedIn-only and unverified. No head can be sent to the client.</t>
  </si>
  <si>
    <t xml:space="preserve">tofler.in: 'Narayanasamy Mohan ... currently serving as a director in 8 companies in India' (no Chubb mention in extract)</t>
  </si>
  <si>
    <t xml:space="preserve">https://news.chubb.com/2019-09-12-Chubb-to-Launch-Business-Services-Center-in-India-to-Provide-Technology-Digital-and-Analytics-Support; https://www.hrkatha.com/news/chubb-and-nordex-to-drive-job-creation-with-chennai-gcc-and-rd-expansion/; https://about.chubb.com/careers/engineering-centers/india-engineering-center.html</t>
  </si>
  <si>
    <t xml:space="preserve">Technology/analytics/cat-modelling scope confirmed by Chubb newsroom and Chennai coverage; the claim that CECI is 'the largest engineering centre in Chubb's global network' (about.chubb.com) was not reproduced by any extract and was removed.</t>
  </si>
  <si>
    <t xml:space="preserve">news.chubb.com: 'support in areas such as intelligent process automation, digital technology, data analytics and others such as catastrophe modeling and risk management'; Chennai: 'AI for underwriting, claims analytics, and digital platform engineering'</t>
  </si>
  <si>
    <t xml:space="preserve">2300 approx.
https://www.greatplacetowork.in/great/company/chubb-business-services-india-private-limited/</t>
  </si>
  <si>
    <t xml:space="preserve">~2,300-2,500 (businessofgcc: 2,290 for 2025; GPTW page: 'over 2,500 professionals'); Chennai centre to add ~220 (announced Jul 2026).</t>
  </si>
  <si>
    <t xml:space="preserve">https://www.businessofgcc.com/gcc-data/companies/chubb-india
https://www.greatplacetowork.in/great/company/chubb-business-services-india-private-limited/
https://www.hrkatha.com/news/chubb-and-nordex-to-drive-job-creation-with-chennai-gcc-and-rd-expansion/</t>
  </si>
  <si>
    <t xml:space="preserve">2,290 (businessofgcc) confirmed and GPTW/company copy says 'over 2,500'; the '1,000 in 2021' and '3,000 by 2027' trajectory could not be reproduced in any extract and was removed.</t>
  </si>
  <si>
    <t xml:space="preserve">'Chubb Business Services India currently has 2,290 employees, and the team consists of over 2,500 talented professionals' (businessofgcc / GPTW extracts)</t>
  </si>
  <si>
    <t xml:space="preserve">Technology (primary) / Operations | (Jul 2026) On 30 July 2026 Chubb signed an MoU with Guidance Tamil Nadu to set up its first Chennai GCC, creating ~220 high-skilled jobs alongside existing Hyderabad and Bengaluru operations, with focus on AI for underwriting, claims analytics and digital platform engineering. || (2026) Chubb is hiring in Chennai for data associate, data scientist, analyst and principal engineer roles, positioning the city as a delivery hub focused on analytics and engineering talent. || (2025) businessofgcc data lists Chubb Business Services India at ~2,290 employees across Hyderabad, Bengaluru and Bhubaneswar, with the company's own copy citing over 2,500 professionals.</t>
  </si>
  <si>
    <t xml:space="preserve">https://www.dtnext.in/news/tamilnadu/tamil-nadu-signs-two-mous-for-gcc-expansion-rs-1000-cr-projects-to-create-2600-jobs
https://www.hrkatha.com/news/chubb-and-nordex-to-drive-job-creation-with-chennai-gcc-and-rd-expansion/
https://www.businessofgcc.com/gcc-data/companies/chubb-india
https://www.greatplacetowork.in/great/company/chubb-business-services-india-private-limited/</t>
  </si>
  <si>
    <t xml:space="preserve">Bullet 1 verified and dated precisely (30 Jul 2026, DT Next/HRKatha). Bullet 2 (careers-site 'largest engineering centre' claim) replaced with the verified Chennai hiring item. Bullet 3 amended to drop the unverified 1,000-&gt;3,000 trajectory.</t>
  </si>
  <si>
    <t xml:space="preserve">'Chubb is hiring in Chennai for data associate, data scientist, analyst and principal engineer positions' (hrkatha)</t>
  </si>
  <si>
    <t xml:space="preserve">26</t>
  </si>
  <si>
    <t xml:space="preserve">Guardian India Operations Private Limited</t>
  </si>
  <si>
    <t xml:space="preserve">Guardian India Operations Private Limited (CIN U72200TN2003PTC051154, not re-verified) - 100% acquired by HCLTech for USD 10.5m (announced 16 Jul 2026; completed 31 Jul 2026); now an HCLTech dedicated Strategic Business Unit serving Guardian under a 7-year services agreement</t>
  </si>
  <si>
    <t xml:space="preserve">https://www.outlookbusiness.com/corporate/hcltech-to-acquire-guardian-india-for-105-million-2000-employees-to-transition
https://www.sahi.com/news/hcl-technologies-completes-full-purchase-of-guardian-india-operations-on-july-31-2026-2229-PE1_COR
https://filingreader.com/news-wire/mumbai/2026-07-16/hcltech-to-acquire-guardian-india-operations-in-105m-deal
https://news.ventureintelligence.com/ma/hcltech-acquires-us-based-guardian-life-insurance%E2%80%99s-gcc-unit-in-india-for-%2410.5-m</t>
  </si>
  <si>
    <t xml:space="preserve">Acquisition confirmed (Outlook Business, Venture Intelligence); announcement dated 16 Jul 2026 (FilingReader) and completion reported for 31 Jul 2026 (sahi.com), so the text now states the deal closed. CIN was not re-verified (not in any cited source).</t>
  </si>
  <si>
    <t xml:space="preserve">'HCLTech will acquire a 100% stake in the entity ... transaction is expected to be completed by August 1, 2026' (Outlook Business); 'HCL Technologies Completes Full Purchase of Guardian India Operations on July 31, 2026' (sahi.com); filingreader news-wire dated 2026-07-16</t>
  </si>
  <si>
    <t xml:space="preserve">Chennai, Gurugram, New Delhi, Ankleshwar, Mumbai and Noida
https://www.ambitionbox.com/overview/guardian-india-overview/locations</t>
  </si>
  <si>
    <t xml:space="preserve">Chennai (HQ) &amp; Gurugram</t>
  </si>
  <si>
    <t xml:space="preserve">https://www.sightsinplus.com/news/appointments/guardian-appoints-karunakaran-azhisur-as-country-head-india
https://www.outlookbusiness.com/corporate/hcltech-to-acquire-guardian-india-for-105-million-2000-employees-to-transition
https://www.greatplacetowork.in/great/company/guardian-india-operations-pvt-ltd
https://yourstory.com/enterprise-story/2025/03/india-gcc-microcosm-guardian-life-insurance-shiney-prasad</t>
  </si>
  <si>
    <t xml:space="preserve">Chennai and Gurugram confirmed independently by the Mar 2025 YourStory interview ('campuses in Gurugram and Chennai'); the AmbitionBox-derived cities remain unsupported.</t>
  </si>
  <si>
    <t xml:space="preserve">'Guardian Life Insurance's campuses in Gurugram and Chennai are creating valuable intellectual property' (yourstory, Mar 2025)</t>
  </si>
  <si>
    <t xml:space="preserve">Karunakaran (Karun) Azhisur
https://www.sightsinplus.com/news/appointments/guardian-appoints-karunakaran-azhisur-as-country-head-india</t>
  </si>
  <si>
    <t xml:space="preserve">Karunakaran (Karun) Azhisur - Country Head India &amp; CIO (appointed 21 Jan 2026, reporting to Michael Prestileo, Guardian CSO and Chair of Guardian India Board); on completion of the HCLTech acquisition (31 Jul 2026) he joined HCLTech to lead the Guardian-dedicated Strategic Business Unit.</t>
  </si>
  <si>
    <t xml:space="preserve">https://www.outlookbusiness.com/corporate/hcltech-to-acquire-guardian-india-for-105-million-2000-employees-to-transition
https://cxomedia.in/2026/01/21/guardian-india-appoints-karunakaran-azhisur-as-country-head/
https://www.sightsinplus.com/news/appointments/guardian-appoints-karunakaran-azhisur-as-country-head-india</t>
  </si>
  <si>
    <t xml:space="preserve">Appointment (21 Jan 2026, Country Head - India while remaining CIO, reporting to Michael Prestileo) confirmed; the open question on his post-deal role is resolved: Outlook Business reports he joins HCLTech to lead the new Guardian-dedicated Strategic Business Unit.</t>
  </si>
  <si>
    <t xml:space="preserve">'Karunakaran Azhisur, currently the Country Head of Guardian India, will join HCLTech to lead the new Strategic Business Unit' (Outlook Business, Jul 2026); 'On 21 January 2026, Guardian India named Karunakaran Azhisur as Country Head - India. He continues to serve as CIO ... reports to Michael Prestileo' (adda247)</t>
  </si>
  <si>
    <t xml:space="preserve">Information and Communication. In detail, this covers computer programming, consultancy and related activities.
https://www.thecompanycheck.com/company/guardian-india-operations-private-limited/U72200TN2003PTC051154</t>
  </si>
  <si>
    <t xml:space="preserve">Technology: software engineering, AI/ML, data science, platform engineering, 'suggestive decisioning' for the US business. Operations: business operations / shared services, underwriting support. Finance: finance and actuarial roles. (IT &amp; ITES services, consulting and business solutions to Guardian and affiliates.)</t>
  </si>
  <si>
    <t xml:space="preserve">https://yourstory.com/enterprise-story/2025/03/india-gcc-microcosm-guardian-life-insurance-shiney-prasad
https://www.greatplacetowork.in/great/company/guardian-india-operations-pvt-ltd
https://www.outlookbusiness.com/corporate/hcltech-to-acquire-guardian-india-for-105-million-2000-employees-to-transition</t>
  </si>
  <si>
    <t xml:space="preserve">Function description matches the YourStory extract (AI/ML, data science, suggestive decisioning, business operations, actuarial, finance, underwriting) and the HCLTech deal coverage (technology, operations and shared services).</t>
  </si>
  <si>
    <t xml:space="preserve">'key areas including technology - particularly in AI/ML, data science, suggestive decisioning, business operations - and specialised roles in actuarial, finance and underwriting' (yourstory)</t>
  </si>
  <si>
    <t xml:space="preserve">https://www.outlookbusiness.com/corporate/hcltech-to-acquire-guardian-india-for-105-million-2000-employees-to-transition; https://yourstory.com/enterprise-story/2025/03/india-gcc-microcosm-guardian-life-insurance-shiney-prasad</t>
  </si>
  <si>
    <t xml:space="preserve">'Nearly 2,000' confirmed by Outlook Business; added YourStory's 'about one-fourth of Guardian's global headcount'. The FY2026 revenue figure (Rs 578.8 crore) and GPTW 1,917 were not reproduced in any extract and were removed from the headcount cell.</t>
  </si>
  <si>
    <t xml:space="preserve">'nearly 2,000 employees of the US-based firm transition to the tech giant' (Outlook Business); 'It accounts for about one-fourth of the organisation's global headcount' (yourstory)</t>
  </si>
  <si>
    <t xml:space="preserve">Technology (primary) / Operations | (Jul 2026) HCLTech announced on 16 Jul 2026 the acquisition of 100% of Guardian India Operations for USD 10.5 million, with nearly 2,000 Chennai and Gurugram employees moving to a dedicated HCLTech Strategic Business Unit led by Karunakaran Azhisur, under a 7-year agreement to drive AI-led modernisation (HCLTech 'AI Force' agentic capabilities); the purchase completed on 31 Jul 2026. || (Jan 2026) Guardian appointed its CIO Karunakaran Azhisur as Country Head - India, overseeing all India operations while continuing to lead technology, reporting to Guardian's Chief Strategy Officer. || (Mar 2025) Then-head Shiney Prasad described the India GCC as a 'microcosm' of Guardian building tech solutions for the US market, with emphasis on AI/ML, data science and business operations plus actuarial, finance and underwriting roles.</t>
  </si>
  <si>
    <t xml:space="preserve">https://www.outlookbusiness.com/corporate/hcltech-to-acquire-guardian-india-for-105-million-2000-employees-to-transition
https://cxomedia.in/2026/01/21/guardian-india-appoints-karunakaran-azhisur-as-country-head/
https://yourstory.com/enterprise-story/2025/03/india-gcc-microcosm-guardian-life-insurance-shiney-prasad
https://www.sahi.com/news/hcl-technologies-completes-full-purchase-of-guardian-india-operations-on-july-31-2026-2229-PE1_COR</t>
  </si>
  <si>
    <t xml:space="preserve">Bullet 1 amended with the announcement date (16 Jul 2026), completion (31 Jul 2026) and SBU leadership now confirmed. Bullets 2 (21 Jan 2026 appointment) and 3 (Mar 2025 YourStory interview, Shiney Prasad) verified.</t>
  </si>
  <si>
    <t xml:space="preserve">filingreader 2026-07-16; sahi.com: completes purchase 31 July 2026; Outlook Business: 'HCLTech expanding the use of its AI service transformation platform, AI Force'</t>
  </si>
  <si>
    <t xml:space="preserve">27</t>
  </si>
  <si>
    <t xml:space="preserve">TIAA Global Capabilities Private Limited (formerly TIAA Global Business Services (India) Pvt Ltd; ROC Mumbai per Tracxn; brand: TIAA Global Capabilities / TIAA GC; est. 2016)</t>
  </si>
  <si>
    <t xml:space="preserve">https://tracxn.com/d/legal-entities/india/tiaa-global-capabilities-private-limited/__FuT_ZIBWUoOVOE5O8hGvZLUxcIxSxxO0_FduMbAp1H0
https://www.constructionworld.in/policy-updates-and-economic-news/tiaa-global-capabilities-leases-255713-square-feet-in-pune/96764
https://www.greatplacetowork.in/great/company/tiaa-global-business-services-india-pvt-ltd</t>
  </si>
  <si>
    <t xml:space="preserve">GPTW listing title confirms the rename ('TIAA Global Capabilities Pvt Ltd (formerly known as TIAA Global Business Services (India) Pvt Ltd)'), resolving the open question; ROC Mumbai registration rests on the Tracxn extract (not re-opened). CIN still not captured.</t>
  </si>
  <si>
    <t xml:space="preserve">GPTW page title: 'TIAA Global Capabilities Pvt Ltd (formerly known as TIAA Global Business Services (India) Pvt Ltd)'</t>
  </si>
  <si>
    <t xml:space="preserve">Mumbai, Pune and Navi Mumbai
https://www.ambitionbox.com/overview/tiaa-overview/locations</t>
  </si>
  <si>
    <t xml:space="preserve">Mumbai (HQ) &amp; Pune (new 255,713 sq ft Wagholi campus from Dec 2026)</t>
  </si>
  <si>
    <t xml:space="preserve">https://www.constructionworld.in/policy-updates-and-economic-news/tiaa-global-capabilities-leases-255713-square-feet-in-pune/96764
https://tracxn.com/d/legal-entities/india/tiaa-global-capabilities-private-limited/__FuT_ZIBWUoOVOE5O8hGvZLUxcIxSxxO0_FduMbAp1H0</t>
  </si>
  <si>
    <t xml:space="preserve">Mumbai and Pune confirmed by Construction World lease coverage; Wagholi (Panchshil Vantage) occupancy from Dec 2026 (floors 5-7) and Jun 2027 (floor 8) confirmed.</t>
  </si>
  <si>
    <t xml:space="preserve">'TIAA Global Capabilities already has offices in Mumbai and Pune housing 3,500 associates'; '187,996 sq ft across floors five to seven to be occupied from December 2026 and 67,717 sq ft on the eighth floor from June 2027'</t>
  </si>
  <si>
    <t xml:space="preserve">https://hrtoday.in/deepak-gupta-appointed-as-head-of-tiaa-global-capabilities-and-member-of-the-tiaa-india-board-of-directors/; https://in.linkedin.com/in/deepak-gupta-7a30247; https://tracxn.com/d/legal-entities/india/tiaa-global-capabilities-private-limited/__FuT_ZIBWUoOVOE5O8hGvZLUxcIxSxxO0_FduMbAp1H0; https://thenasscomgccsummit2026.sched.com/speaker/deepak_gupta.29mvr47b</t>
  </si>
  <si>
    <t xml:space="preserve">Deepak Gupta's appointment as Head of TIAA Global Capabilities and TIAA India board member in April 2026 confirmed by hrtoday (independent search); listed as a nasscom GCC Summit 2026 speaker; no exit news found.</t>
  </si>
  <si>
    <t xml:space="preserve">'Deepak Gupta has been appointed as Head of TIAA Global Capabilities as well as a member of the TIAA India Board of Directors in April 2026 ... since joining TIAA in 2019 ... launching TIAA's AI Center of Excellence in India' (hrtoday)</t>
  </si>
  <si>
    <t xml:space="preserve">https://www.constructionworld.in/policy-updates-and-economic-news/tiaa-global-capabilities-leases-255713-square-feet-in-pune/96764; https://hrtoday.in/deepak-gupta-appointed-as-head-of-tiaa-global-capabilities-and-member-of-the-tiaa-india-board-of-directors/</t>
  </si>
  <si>
    <t xml:space="preserve">Technology, operations and shared services plus AI, data &amp; analytics, risk management and client experience confirmed by Construction World; hrtoday adds AI Center of Excellence and technology shared services under Gupta.</t>
  </si>
  <si>
    <t xml:space="preserve">'delivers technology, operations and shared services to TIAA's businesses ... support capabilities across artificial intelligence, data and analytics, risk management and client experience'</t>
  </si>
  <si>
    <t xml:space="preserve">2700 approx.
https://www.greatplacetowork.in/great/company/tiaa-global-business-services-india-pvt-ltd/</t>
  </si>
  <si>
    <t xml:space="preserve">~3,500 associates (2026, Pune lease coverage)</t>
  </si>
  <si>
    <t xml:space="preserve">https://www.constructionworld.in/policy-updates-and-economic-news/tiaa-global-capabilities-leases-255713-square-feet-in-pune/96764</t>
  </si>
  <si>
    <t xml:space="preserve">3,500 associates confirmed by Construction World (Rs 320 crore, 10-year lease). Publication month still not in the extract; the lease appears in 2026 Pune leasing coverage (Q2 2026 reports), so '2026' is retained.</t>
  </si>
  <si>
    <t xml:space="preserve">'offices in Mumbai and Pune housing 3,500 associates' (constructionworld.in)</t>
  </si>
  <si>
    <t xml:space="preserve">Technology (primary) / Operations | (2026, month n/a) TIAA Global Capabilities leased 255,713 sq ft at Panchshil Vantage, Wagholi, Pune on a 10-year term (occupancy Dec 2026 and Jun 2027) to consolidate teams and expand AI, data &amp; analytics, risk management and client-experience capabilities; the centre already houses ~3,500 associates in Mumbai and Pune. || (Apr 2026) Deepak Gupta was elevated to Head of TIAA Global Capabilities and joined the TIAA India Board, with a mandate to lead GCC strategy, operational excellence and innovation-led growth across technology, operations and shared services. || (2026, month n/a) Gupta is a listed speaker at the nasscom GCC Summit 2026, consistent with TIAA GC positioning itself as a technology-led capability centre.</t>
  </si>
  <si>
    <t xml:space="preserve">https://www.constructionworld.in/policy-updates-and-economic-news/tiaa-global-capabilities-leases-255713-square-feet-in-pune/96764
https://hrtoday.in/deepak-gupta-appointed-as-head-of-tiaa-global-capabilities-and-member-of-the-tiaa-india-board-of-directors/
https://thenasscomgccsummit2026.sched.com/speaker/deepak_gupta.29mvr47b</t>
  </si>
  <si>
    <t xml:space="preserve">Bullet 1 (lease: 255,713 sq ft, 10-year, Dec 2026/Jun 2027, 3,500 associates) verified; bullet 2 (Apr 2026 appointment) verified; bullet 3 (nasscom GCC Summit 2026 speaker page) present in results. Lease month remains n/a.</t>
  </si>
  <si>
    <t xml:space="preserve">constructionworld.in and hrtoday.in extracts as quoted above</t>
  </si>
  <si>
    <t xml:space="preserve">28</t>
  </si>
  <si>
    <t xml:space="preserve">Sun Life Global Solutions Private Limited (SLGS India; formerly Sun Life Asia Service Centres)</t>
  </si>
  <si>
    <t xml:space="preserve">https://www.sunlife.com/slgs/en/
https://www.greatplacetowork.in/great/company/sun-life-india-service-centre-pvt-ltd</t>
  </si>
  <si>
    <t xml:space="preserve">Brand/legal name 'Sun Life Global Solutions Private Limited' and the rebrand from 'Asia Service Centres' confirmed by Sun Life's own site and the GPTW India profile; the CIN and the thecompanycheck/Tracxn pages did not surface in the audit search, so the CIN is dropped as unproven.</t>
  </si>
  <si>
    <t xml:space="preserve">GPTW India: 'Sun Life Global Solutions (formerly Asia Service Centres) has 17 years of operations in India ... headquarters in Gurugram'; sunlife.com/slgs 'Welcome to Sun Life Global Solutions'.</t>
  </si>
  <si>
    <t xml:space="preserve">Gurugram, Bangalore, New Delhi and Noida
https://www.ambitionbox.com/overview/sun-life-global-solutions-overview/locations</t>
  </si>
  <si>
    <t xml:space="preserve">HO: Gurugram. Other: Bengaluru. (No company source supports New Delhi or Noida.)</t>
  </si>
  <si>
    <t xml:space="preserve">https://www.sunlife.com/slgs/en/newsroom/press-releases/2026/sun-life-global-solutions-india-at-20/
https://www.greatplacetowork.in/great/company/sun-life-india-service-centre-pvt-ltd</t>
  </si>
  <si>
    <t xml:space="preserve">Gurugram (HQ) and Bengaluru confirmed by Sun Life's 2026 '20 years' release and GPTW profile; the Pioneer Square street address and the 'opened Mar 2023' date rest on pages (thecompanycheck, Business Standard 2023) that did not surface in the audit search, so both details are removed. Agree New Delhi/Noida are unsupported.</t>
  </si>
  <si>
    <t xml:space="preserve">sunlife.com 2026 release: 'SLGS India ... with offices in Gurugram and Bengaluru'; GPTW: 'headquarters in Gurugram'.</t>
  </si>
  <si>
    <t xml:space="preserve">Tarun Sareen</t>
  </si>
  <si>
    <t xml:space="preserve">Bianca Ilibasic, Managing Director, Sun Life Global Solutions (India &amp; Philippines) - appointed 18 May 2026; previously VP &amp; Chief Operations Officer, Sun Life Asia.</t>
  </si>
  <si>
    <t xml:space="preserve">https://www.sunlife.com/slgs/en/newsroom/press-releases/2026/sun-life-appoints-bianca-ilibasic-as-managing-director-sun-life/
https://www.sunlife.com/slgs/en/about-us/our-leaders/bianca-ilibasic/
https://reinasia.com/bianca-ilibasic-appointed-md-for-sun-life-global-solutions/</t>
  </si>
  <si>
    <t xml:space="preserve">Appointment, title, prior role and India+Philippines remit confirmed by Sun Life's own 2026 release (dated 18 May 2026); 'Replaces Tarun Sareen' is not stated in any extract so it is moved to the note.</t>
  </si>
  <si>
    <t xml:space="preserve">sunlife.com: 'Sun Life appointed Bianca Ilibasic as the Managing Director for its global capability centre, Sun Life Global Solutions (SLGS) on May 18, 2026. She previously served as Vice President &amp; Chief Operations Officer, Sun Life Asia.'</t>
  </si>
  <si>
    <t xml:space="preserve">Technology (engineering, APIs, AI/ML and Gen AI, cloud/AWS, data, test automation), Operations, Analytics, Actuarial, HR, Finance, Risk &amp; Compliance, supporting Sun Life across 28 markets</t>
  </si>
  <si>
    <t xml:space="preserve">https://www.sunlife.com/slgs/en/newsroom/press-releases/2026/sun-life-global-solutions-india-at-20/
https://www.sunlife.com/slgs/en/newsroom/press-releases/2026/sun-life-appoints-bianca-ilibasic-as-managing-director-sun-life/</t>
  </si>
  <si>
    <t xml:space="preserve">Function list confirmed by the Feb-2026 '20 years' release (1,100+ engineers, 200+ AWS professionals, 20+ Gen AI pilots) and the May-2026 MD appointment release (Technology, Operations, Analytics, Actuarial, HR, Finance, Risk &amp; Compliance); replaced the unsupported 'Canada, US, Asia and Asset Management' client list with the release's '28 markets' wording.</t>
  </si>
  <si>
    <t xml:space="preserve">sunlife.com (May 2026): 'leads SLGS across India and the Philippines, providing strategic direction to multi-functional teams spanning Technology, Operations, Analytics, Actuarial, HR, Finance, and Risk &amp; Compliance ... supporting Sun Life across 28 markets'; '20 years' release: 'more than 1100 engineers and 200+ AWS professionals ... 20+ Gen AI innovation pilots'.</t>
  </si>
  <si>
    <t xml:space="preserve">~3,030 India-based employees (Great Place to Work India profile, undated). No dated 2026 total disclosed; company cites 1,100+ engineers and 200+ AWS professionals (2026).</t>
  </si>
  <si>
    <t xml:space="preserve">https://www.greatplacetowork.in/great/company/sun-life-india-service-centre-pvt-ltd
https://www.sunlife.com/slgs/en/newsroom/press-releases/2026/sun-life-global-solutions-india-at-20/</t>
  </si>
  <si>
    <t xml:space="preserve">The Tracxn 3,154 (Aug 2025) figure did not surface in a dedicated search; the only independently returned India headcount is GPTW India's 3,030 India-based employees (undated profile), so that replaces it; the 2023 Business Standard 'nearly 3,000 / +1,000 hires' statement was not re-surfaced and is moved out of the cell.</t>
  </si>
  <si>
    <t xml:space="preserve">GPTW India: 'the company has 3,030 India-based employees in the Information Technology sector with headquarters in Gurugram'.</t>
  </si>
  <si>
    <t xml:space="preserve">Technology (AI-led modernization) + Operations | (2026) SLGS India marked 20 years in India, citing 20+ Gen AI innovation pilots built for global deployment, 1,100+ engineers and 200+ AWS professionals, partnerships with IIT Indore and work with 20+ FinTech/InsurTech startups. || (May 2026) Sun Life appointed Bianca Ilibasic (ex-VP &amp; Chief Operations Officer, Sun Life Asia) as MD of SLGS across India and the Philippines, effective 18 May 2026. || (May 2026) Ilibasic's stated mandate is to scale SLGS as an enterprise capability supporting Sun Life across 28 markets, with teams spanning Technology, Operations, Analytics, Actuarial, HR, Finance and Risk &amp; Compliance.</t>
  </si>
  <si>
    <t xml:space="preserve">https://www.sunlife.com/slgs/en/newsroom/press-releases/2026/sun-life-global-solutions-india-at-20/
https://www.sunlife.com/slgs/en/newsroom/press-releases/2026/sun-life-appoints-bianca-ilibasic-as-managing-director-sun-life/
https://reinasia.com/bianca-ilibasic-appointed-md-for-sun-life-global-solutions/</t>
  </si>
  <si>
    <t xml:space="preserve">Bullet 1 content verified but the extract carries no month, so dated '(2026)'; bullet 2 verified (18 May 2026); bullet 3 (job posting on swooped) removed as a non-credible, undated source; bullet 4 (Tracxn 3,154) removed as unverified and replaced with the verified MD-mandate bullet. Classification Technology + Operations is justified.</t>
  </si>
  <si>
    <t xml:space="preserve">See B-H evidence; MD release: 'Her mandate is to further scale SLGS as a high-impact, enterprise capability supporting Sun Life across 28 markets.'</t>
  </si>
  <si>
    <t xml:space="preserve">29</t>
  </si>
  <si>
    <t xml:space="preserve">Optum India (GCC)</t>
  </si>
  <si>
    <t xml:space="preserve">Optum India - Optum Global Solutions (India) Private Limited (UnitedHealth Group; India legal entity launched Apr 2011)</t>
  </si>
  <si>
    <t xml:space="preserve">https://www.optum.in/content/dam/optum3/optum/india/images/Optum%20in%20India%20brochure.pdf
https://lei.bloomberg.com/leis/view/6354002HYUD7BHRA3L38
https://www.optum.in/about.html</t>
  </si>
  <si>
    <t xml:space="preserve">Legal entity name confirmed by Optum India's own brochure and the Bloomberg LEI record; the CIN itself did not appear in any extract (Zauba page not surfaced), so it is dropped as unproven.</t>
  </si>
  <si>
    <t xml:space="preserve">Optum India brochure: 'Optum Global Solutions (India) Private Limited is the India legal entity, launched in April 2011, with a parent company of UnitedHealth Group'.</t>
  </si>
  <si>
    <t xml:space="preserve">https://www.optum.in/content/dam/optum3/optum/india/images/Optum%20in%20India%20brochure.pdf; https://optum.in/contact-us.html; https://www.digitalhealthnews.com/optum-expands-healthcare-gcc-network-with-chennai-office-lease</t>
  </si>
  <si>
    <t xml:space="preserve">Five-city footprint and the two Hyderabad SEZ sites confirmed by Optum's own brochure/contact page; Chennai 500,000 sq ft Embassy Splendid Tech Zone lease confirmed; 'registered office Hyderabad' not explicitly stated in any extract so reworded.</t>
  </si>
  <si>
    <t xml:space="preserve">Brochure: 'delivery centers across 5 cities: Gurugram, Noida, Hyderabad, Bengaluru and Chennai'; 'Hyderabad Site 1 ... Mindspace ... Hyderabad Site 2 ... Phoenix Infocity SEZ'; digitalhealthnews: 'leased 500,000 sq ft of office space at Chennai's Embassy Splendid Tech Zone to establish a new Global Capability Centre (GCC), scheduled to begin operations by Q3 2025'.</t>
  </si>
  <si>
    <t xml:space="preserve">https://www.optum.in/about/leadership/uma-ratnam-krishnan.html; https://www.optum.in/about/news/uma-ratnam-krishnan-top-gcc-leader-2026.html; https://thenasscomgccsummit2026.sched.com/speaker/uma_ratnam_krishnan.85w1xpn</t>
  </si>
  <si>
    <t xml:space="preserve">Title 'Managing Director, Optum India' confirmed on Optum India's leadership page; still in role in 2026 (Analytics India Magazine top GCC heads 2026 item on optum.in; listed speaker at nasscom GCC Summit 2026); no exit news surfaced.</t>
  </si>
  <si>
    <t xml:space="preserve">optum.in: 'Uma Ratnam Krishnan is Managing Director of Optum India ... recognized among Analytics India Magazine's Top Life Sciences and Healthcare GCC Heads in India 2026'.</t>
  </si>
  <si>
    <t xml:space="preserve">Technology (software/product engineering, health data analytics, claims technology, pharmacy care platforms, digital health apps, AI), healthcare operations (claims processing, revenue cycle, clinical/pharmacy support), customer operations and shared services</t>
  </si>
  <si>
    <t xml:space="preserve">https://www.businessofgcc.com/gcc-data/companies/unitedhealth-group-india-gurugram
https://prod-in.optum.com/about/news/how-gccs-are-shaping-global-strategies-future-leaders.html
https://zinnov.com/centers-of-excellence/healthcare-gccs-in-india-the-state-of-play-2026-blog/</t>
  </si>
  <si>
    <t xml:space="preserve">Technology scope confirmed by the businessofgcc profile extract and operations/analytics scope by Optum India's brochure ('healthcare operations, advanced analytics and technology from five major Indian cities').</t>
  </si>
  <si>
    <t xml:space="preserve">businessofgcc: 'approximately 40,000 professionals working across health data analytics, software engineering, claims technology, pharmacy care platforms, and digital health application development'.</t>
  </si>
  <si>
    <t xml:space="preserve">30,000+ (Optum India's own brochure). Third-party: ~40,000 with a stated target of 45,000 by 2027 (businessofgcc GCC profile, 2026).</t>
  </si>
  <si>
    <t xml:space="preserve">https://www.optum.in/content/dam/optum3/optum/india/images/Optum%20in%20India%20brochure.pdf
https://www.businessofgcc.com/gcc-data/companies/unitedhealth-group-india-gurugram</t>
  </si>
  <si>
    <t xml:space="preserve">30K+ confirmed from Optum India's own brochure; ~40,000 and the 45,000-by-2027 target confirmed from the businessofgcc profile (both figures sit on that page, not ceipal); the EMIS 38,363 figure did not surface and is dropped.</t>
  </si>
  <si>
    <t xml:space="preserve">Brochure: '"team of teams" approach across 30K+ workforce'; businessofgcc: 'approximately 40,000 professionals ... Optum India targets 45,000 employees by 2027'.</t>
  </si>
  <si>
    <t xml:space="preserve">Technology (AI, engineering) + Operations (claims/healthcare ops scale-up) | (2025) Optum Global Solutions leased 500,000 sq ft at Embassy Splendid Tech Zone, Chennai (Rs 70-75/sq ft), for a new healthcare GCC slated to start by Q3 2025, adding to ~750,000 sq ft already occupied in Noida and Bengaluru. || (2026, month n/a) GCC trackers put Optum India at ~40,000 professionals across health data analytics, software engineering, claims technology and pharmacy platforms, with a target of 45,000 by 2027; Optum's own brochure cites a 30K+ workforce across five cities. || (2026, month n/a) Optum India MD Uma Ratnam Krishnan was named in Analytics India Magazine's Top Life Sciences and Healthcare GCC Heads in India 2026 and is a listed speaker at the nasscom GCC Summit 2026.</t>
  </si>
  <si>
    <t xml:space="preserve">https://www.digitalhealthnews.com/optum-expands-healthcare-gcc-network-with-chennai-office-lease
https://www.businessofgcc.com/gcc-data/companies/unitedhealth-group-india-gurugram
https://www.optum.in/about/news/uma-ratnam-krishnan-top-gcc-leader-2026.html
https://www.optum.in/content/dam/optum3/optum/india/images/Optum%20in%20India%20brochure.pdf</t>
  </si>
  <si>
    <t xml:space="preserve">Chennai lease verified but the article month was not visible, so dated '(2025)'; 40,000/45,000 bullet verified; recognition bullet verified for the AIM 2026 list but the nasscom GCC Impact Awards 2025 clause was unsupported and removed; the Zinnov '166 Mn claims / Optum Real' bullet did not surface in audit searches and is removed.</t>
  </si>
  <si>
    <t xml:space="preserve">digitalhealthnews: 'scheduled to begin operations by Q3 2025 ... adds to Optum's existing presence in Noida and Bengaluru, which already occupies around 750,000 sq ft'; optum.in 2026 recognition extract.</t>
  </si>
  <si>
    <t xml:space="preserve">30</t>
  </si>
  <si>
    <t xml:space="preserve">Prudential Service India (GCC) </t>
  </si>
  <si>
    <t xml:space="preserve">Prudential Service India (GCC) 
</t>
  </si>
  <si>
    <t xml:space="preserve">Prudential Services India (global services hub of Prudential plc, Bengaluru; opened 12 Mar 2025)</t>
  </si>
  <si>
    <t xml:space="preserve">https://www.prudentialplc.com/en/newsroom/company-news/2025/prudential-launches-global-services-hub-in-bengaluru-india/
https://www.asiainsurancereview.com/News/View-NewsLetter-Article/id/91026/Type/eDaily</t>
  </si>
  <si>
    <t xml:space="preserve">'Prudential Services India' (hub of Prudential plc, Bengaluru) confirmed by Prudential plc's newsroom and Asia Insurance Review; the legal-entity name 'Prudential Technology and Services India Private Limited' and its CIN did not surface in an exact-name search (Tracxn/hirist not returned), so they are moved to the note as unverified.</t>
  </si>
  <si>
    <t xml:space="preserve">prudentialplc.com (12 Mar 2025): 'grand opening of its global services hub, Prudential Services India, in Bengaluru, Karnataka'.</t>
  </si>
  <si>
    <t xml:space="preserve">https://www.prudentialplc.com/en/newsroom/company-news/2025/prudential-launches-global-services-hub-in-bengaluru-india/; https://www.asiainsurancereview.com/News/View-NewsLetter-Article/id/91026/type/eDaily/India-Prudential-launches-global-services-hub</t>
  </si>
  <si>
    <t xml:space="preserve">Bengaluru, Karnataka confirmed by Prudential plc newsroom and Asia Insurance Review (14 Mar 2025).</t>
  </si>
  <si>
    <t xml:space="preserve">'grand opening of its global services hub, Prudential Services India, in Bengaluru, Karnataka on March 12, 2025'.</t>
  </si>
  <si>
    <t xml:space="preserve">Naveen Tahilyani
https://www.prudentialplc.com/en/newsroom/company-news/2025/prudential-plc-appoints-new-regional-ceo-and-new-eastspring-ceo/</t>
  </si>
  <si>
    <t xml:space="preserve">Searched 'Prudential Services India head / country head / hub lead / managing director 2026' (extended) and 'Prudential Services India linkedin head of' (extended): no named site head returned. Only a Bengaluru 'Director - HR Operations, Systems and Shared Services' vacancy surfaced. Recommend sheet shows 'Not publicly disclosed (reports to Anette Bronder, CTOO, Prudential plc)'.</t>
  </si>
  <si>
    <t xml:space="preserve">Confirmed that no hub head is named in any extract and that Anette Bronder (CTOO, Prudential plc) officiated the launch; the Naveen Tahilyani regional-CEO point was not separately checked (budget) but is consistent with the researcher's cited Prudential plc release.</t>
  </si>
  <si>
    <t xml:space="preserve">'Anette Bronder, Chief Technology and Operations Officer, Prudential plc, officiated the launch ceremony in Bengaluru'; search for the legal entity 'head' returned only job ads, no named site head.</t>
  </si>
  <si>
    <t xml:space="preserve">https://www.prudentialplc.com/en/newsroom/company-news/2025/prudential-launches-global-services-hub-in-bengaluru-india/; https://www.finews.asia/finance/42932-prudential-services-india-bengaluru-technology-data-ai-software-development-automated-testing-cybersecurity</t>
  </si>
  <si>
    <t xml:space="preserve">Scope confirmed by Prudential plc release: data, AI, software development, automated testing, cyber security; one of two hubs for Asia and Africa.</t>
  </si>
  <si>
    <t xml:space="preserve">'focus on developing deeper skills and capabilities in data, AI, software development, automated testing and cyber security ... one of the two global services hubs supporting Prudential's Asia and Africa operations'.</t>
  </si>
  <si>
    <t xml:space="preserve">Not Verifiable (~400 (Mar'25))
https://www.prudentialplc.com/en/newsroom/company-news/2025/prudential-launches-global-services-hub-in-bengaluru-india/</t>
  </si>
  <si>
    <t xml:space="preserve">Current FTE not disclosed. Company target: 400+ technology, AI/data and operations professionals within three years of the Mar 2025 launch.</t>
  </si>
  <si>
    <t xml:space="preserve">https://www.prudentialplc.com/en/newsroom/company-news/2025/prudential-launches-global-services-hub-in-bengaluru-india/
https://www.finews.asia/finance/42932-prudential-services-india-bengaluru-technology-data-ai-software-development-automated-testing-cybersecurity</t>
  </si>
  <si>
    <t xml:space="preserve">The 400+ three-year target is confirmed by Prudential plc ('more than 400 professionals over the next three years'); the Tracxn ~170 (Jun 2025) figure did not surface in an exact-name search, so the cell now states the target only and flags current FTE as undisclosed. Researcher is right that the existing '~400 (Mar'25)' is a target, not FTE.</t>
  </si>
  <si>
    <t xml:space="preserve">'The facility will expand to accommodate more than 400 professionals over the next three years'; 'Prudential aims to base 400 technology, AI and data and operations professionals in India within the next three years'.</t>
  </si>
  <si>
    <t xml:space="preserve">Technology (data, AI, software, cyber) + Operations | (Mar 2025) Prudential plc opened Prudential Services India in Bengaluru on 12 Mar 2025, one of two global services hubs for Asia &amp; Africa, targeting 400+ technology, AI/data and operations professionals within three years; launch officiated by CTOO Anette Bronder. || (Jun 2025) Prudential plc's CEO met Finance Minister Nirmala Sitharaman and reaffirmed the group's strategic commitment to India (services hub plus health-insurance JV). [not audited - budget] || (Aug 2026) Prudential plc's 2026 half-year results (27 Aug 2026; adjusted operating profit +9% to USD 1,812m, new business profit +8%) continued the group's investment programme; no hub-specific statement was visible in search extracts.</t>
  </si>
  <si>
    <t xml:space="preserve">https://www.prudentialplc.com/en/newsroom/company-news/2025/prudential-launches-global-services-hub-in-bengaluru-india/
https://www.malaymail.com/news/money/mediaoutreach/2025/06/20/prudential-plc-ceo-expresses-strategic-commitment-to-india-in-meeting-with-union-finance-minister-nirmala-sitharaman/390189
https://www.prudentialplc.com/en/newsroom/company-news/2026/prudential-plc-2026-half-year-results/</t>
  </si>
  <si>
    <t xml:space="preserve">Bullet 1 verified (Mar 2025, 400+ target); bullet 2 (Jun 2025 Sitharaman meeting) not audited for budget and retained as researcher-sourced; bullet 3 (Tracxn ~170) removed as unverified; bullet 4 verified and corrected to the actual release date 27 Aug 2026 (adjusted operating profit +9% to $1,812m).</t>
  </si>
  <si>
    <t xml:space="preserve">prudentialplc.com: 'Prudential plc announced its 2026 half-year results on 27 August 2026 ... Adjusted operating profit before tax increased 9 per cent to $1,812 million'.</t>
  </si>
  <si>
    <t xml:space="preserve">31</t>
  </si>
  <si>
    <t xml:space="preserve">Principal Global Services(GCC)</t>
  </si>
  <si>
    <t xml:space="preserve">Principal Global Services(GCC)
(Principal Financial Group, USA)</t>
  </si>
  <si>
    <t xml:space="preserve">Principal Global Services (Principal Financial Group, USA) - India global in-house centre, operating since 2006</t>
  </si>
  <si>
    <t xml:space="preserve">https://nodeflair.com/companies/principal-global-services
https://www.linkedin.com/company/principalglobalservices</t>
  </si>
  <si>
    <t xml:space="preserve">Entity confirmed as Principal Financial Group's India Global In-house Center with inception 2006 (nodeflair/company profile); the CIN and 1 Dec 2005 incorporation date (Tofler/thecompanycheck) did not surface in any extract and are dropped.</t>
  </si>
  <si>
    <t xml:space="preserve">nodeflair: 'Principal Global Services ... is a Global In-house Center dedicated to supporting Principal Financial Group ... Since the company's inception in 2006'.</t>
  </si>
  <si>
    <t xml:space="preserve">https://nodeflair.com/companies/principal-global-services; https://careers.principal.com/in</t>
  </si>
  <si>
    <t xml:space="preserve">Pune and Hyderabad (plus Manila outside India) confirmed; the Magarpatta/Cybercity registered address came only from thecompanycheck, which did not surface, so the street address is removed.</t>
  </si>
  <si>
    <t xml:space="preserve">nodeflair: 'Principal Global Services has offices in Hyderabad (India), Manila (Philippines) and Pune (India)'; SSF bio: 'Managing Director at Principal Global Services, Pune ... inception of the Pune office'.</t>
  </si>
  <si>
    <t xml:space="preserve">Madhavi Dahanukar</t>
  </si>
  <si>
    <t xml:space="preserve">Madhavi Dahanukar has left: she is now Executive Vice President &amp; Global Head of Operations at EXL (EXL bio describes her prior role as CEO of the Principal captive). Current head of Principal Global Services India not publicly identified.</t>
  </si>
  <si>
    <t xml:space="preserve">https://www.exlservice.com/bio/madhavi-dahanukar
https://hrtoday.in/madhavi-dahanukar-appointed-as-executive-vice-president-and-global-head-of-operations-at-exl/
https://sharedservicesforum.in/?p=5928</t>
  </si>
  <si>
    <t xml:space="preserve">EXL's own bio confirms Madhavi Dahanukar is EVP &amp; Global Head of Operations at EXL with a prior CEO role at the 'Principal Financial Captive', so the existing leader is out of date; a Shared Services Forum speaker bio names a 'Kaushik' as MD, Principal Global Services Pune (joined 2006), but it is undated and almost certainly pre-dates Dahanukar, so no current head can be stated.</t>
  </si>
  <si>
    <t xml:space="preserve">exlservice.com: 'Madhavi Dahanukar is an Executive Vice President &amp; Global Head of Operations at EXL ... CEO roles at Northern Trust Captive, State Street Captive, and Principal Financial Captive'; sharedservicesforum.in: 'Kaushik is Managing Director at Principal Global Services, Pune, and he joined in 2006 at the inception of the Pune office'.</t>
  </si>
  <si>
    <t xml:space="preserve">https://careers.principal.com/in; https://leadiq.com/c/principal-global-services/5a1dacce2300005c00a240cd</t>
  </si>
  <si>
    <t xml:space="preserve">Scope confirmed: supports Principal's retirement, insurance and asset management businesses; MD bio lists IT, back office, middle office operations, HR, Finance, Compliance, Facilities, IT infrastructure/InfoSec, process excellence and risk.</t>
  </si>
  <si>
    <t xml:space="preserve">nodeflair: 'supports Principal Financial Group by protecting and advancing customer financial well-being through retirement, insurance and asset management solutions'; SSF bio: 'oversees the entity, which includes IT, back office, and middle office operations, HR, Finance, Compliance ...'.</t>
  </si>
  <si>
    <t xml:space="preserve">Not Verifiable (~3061,Sep'24)
https://tracxn.com/d/legal-entities/india/principal-global-services-private-limited/___3ABQRX0xxtgd7vcLSrpOuFKxh8AUe7St6BOxpA9ydo</t>
  </si>
  <si>
    <t xml:space="preserve">1,001-5,000 (company profile band, global incl. Manila). Researcher's '4,000+ across Pune and Hyderabad' (careers.principal.com/in) not independently re-surfaced; treat as indicative.</t>
  </si>
  <si>
    <t xml:space="preserve">https://nodeflair.com/companies/principal-global-services
https://careers.principal.com/in</t>
  </si>
  <si>
    <t xml:space="preserve">The '4,000+' careers-site figure did not surface in a targeted search; the only independently returned size is the 1,001-5,000 employee band from the company profile, so the cell states that band and flags 4,000+ as unverified. LeadIQ estimate dropped (low-quality aggregator).</t>
  </si>
  <si>
    <t xml:space="preserve">nodeflair: 'with 1,001-5,000 employees globally'.</t>
  </si>
  <si>
    <t xml:space="preserve">Technology + Operations (medium-low confidence: no dated 2025-26 Principal newsroom item on the India hub surfaced) | (2026, month n/a) Principal Global Services operates as Principal Financial Group's global in-house centre from Pune, Hyderabad and Manila (1,001-5,000 staff band), supporting technology and business functions for retirement, insurance and asset management. || (2025-26, month n/a) Long-time MD Madhavi Dahanukar left Principal Global Services to become EVP &amp; Global Head of Operations at EXL (EXL bio cites her prior CEO role at the Principal captive); a successor for the India hub has not been announced publicly.</t>
  </si>
  <si>
    <t xml:space="preserve">https://nodeflair.com/companies/principal-global-services
https://careers.principal.com/in
https://www.exlservice.com/bio/madhavi-dahanukar</t>
  </si>
  <si>
    <t xml:space="preserve">Bullet 1 (4,000+) reworded to the verified company-profile description; bullet 2 (Dahanukar to EXL) verified via EXL bio, date still undisclosed; bullet 3 (KPMG Pune GCC report) removed - not about this company and not audited.</t>
  </si>
  <si>
    <t xml:space="preserve">See E and H evidence.</t>
  </si>
  <si>
    <t xml:space="preserve">32</t>
  </si>
  <si>
    <t xml:space="preserve">N2G Global Services Private Limited, Pune - India GCC of N2G Worldwide Insurance Services, LLC (New Jersey JV of Nationwide Mutual Insurance and Generali Global Corporate &amp; Commercial); set-up advised by TT&amp;A, announced Mar 2025</t>
  </si>
  <si>
    <t xml:space="preserve">https://www.barandbench.com/law-firms/dealstreet/tta-assists-n2g-insurance-on-setting-up-global-capability-center-in-india
https://tta.in/?p=12496
https://www.generalicee.com/article/press-releases/nationwide-and-generali-announce-joint-venture-to-offer-seamless-multinational-commercial-insurance-solutions</t>
  </si>
  <si>
    <t xml:space="preserve">Pune GCC of N2G Worldwide Insurance Services LLC (NJ JV of Nationwide Mutual and Generali Global Corporate &amp; Commercial) confirmed by Bar &amp; Bench and the Nationwide/Generali JV releases; the Indian entity's CIN did not surface (Tracxn not returned) and is dropped. TT&amp;A's own site dates the mandate to March 2025.</t>
  </si>
  <si>
    <t xml:space="preserve">Bar &amp; Bench: 'TT&amp;A assisted N2G Worldwide Insurance Services, LLC on establishing its global capability center in India ... N2G is a New Jersey-based joint venture between Nationwide Mutual Insurance Company and Generali Global Corporate &amp; Commercial'; tta.in result titled 'March 2025, Corporate'.</t>
  </si>
  <si>
    <t xml:space="preserve">https://www.barandbench.com/law-firms/dealstreet/tta-assists-n2g-insurance-on-setting-up-global-capability-center-in-india</t>
  </si>
  <si>
    <t xml:space="preserve">Pune confirmed by Bar &amp; Bench.</t>
  </si>
  <si>
    <t xml:space="preserve">'The centre, located in Pune, enhances N2G Worldwide Insurance Services, LLC's access to skilled talent pool'.</t>
  </si>
  <si>
    <t xml:space="preserve">Not disclosed
[Oct'26 re-check – existing text could not be independently verified] Two searches ('Sachin Joshi N2G Global Services Pune Head of IT' and an N2G/LinkedIn director query) returned no result linking Sachin Joshi or Christian Zwingel to N2G Global Services; the LinkedIn profile URLs cou</t>
  </si>
  <si>
    <t xml:space="preserve">Two searches ('Sachin Joshi N2G Global Services Pune Head of IT' and an N2G/LinkedIn director query) returned no result linking Sachin Joshi or Christian Zwingel to N2G Global Services; the LinkedIn profile URLs could not be corroborated, so the leader addition is rejected.</t>
  </si>
  <si>
    <t xml:space="preserve">Search returned only unrelated Sachin Joshis (Tech Mahindra, ConJoin Group) and no N2G-related person.</t>
  </si>
  <si>
    <t xml:space="preserve">IT and insurance operations scope confirmed by Bar &amp; Bench.</t>
  </si>
  <si>
    <t xml:space="preserve">'access to skilled talent pool in Information Technology and Insurance Operations'.</t>
  </si>
  <si>
    <t xml:space="preserve">Not verifiable</t>
  </si>
  <si>
    <t xml:space="preserve">Two searches (Tracxn/LinkedIn headcount) returned no figure. Keep RocketReach ~28 as indicative only.</t>
  </si>
  <si>
    <t xml:space="preserve">No headcount surfaced in any extract; RocketReach estimate removed as a low-quality aggregator so nothing unproven reaches the client.</t>
  </si>
  <si>
    <t xml:space="preserve">No extract carried a team-size figure.</t>
  </si>
  <si>
    <t xml:space="preserve">Technology + Operations (new-build GCC) | (Mar 2025) N2G Worldwide Insurance Services announced its India global capability centre in Pune (N2G Global Services Pvt Ltd; advised by Talwar Thakore &amp; Associates on incorporation and intercompany agreements) to access Indian talent in information technology and insurance operations. || (Feb 2020) Parent N2G was formed as a Nationwide Mutual-Generali Global Corporate &amp; Commercial joint venture offering multinational commercial insurance in 160+ countries, the business the Pune centre now supports.</t>
  </si>
  <si>
    <t xml:space="preserve">https://www.barandbench.com/law-firms/dealstreet/tta-assists-n2g-insurance-on-setting-up-global-capability-center-in-india
https://tta.in/?p=12496
https://carriermanagement.com/news/2020/02/27/203728.htm</t>
  </si>
  <si>
    <t xml:space="preserve">Bullet 1 verified and re-dated to the Mar 2025 announcement; bullet 2 (Sachin Joshi / Finance &amp; HR directors) removed with the rejected H item; bullet 3 (2022 Commercial Risk item) is about the US parent and was not audited, replaced with the verified Feb 2020 JV formation item.</t>
  </si>
  <si>
    <t xml:space="preserve">carriermanagement.com URL dated 2020/02/27 'Nationwide and Generali announce joint venture N2G'; Bar &amp; Bench extract as above.</t>
  </si>
  <si>
    <t xml:space="preserve">33</t>
  </si>
  <si>
    <t xml:space="preserve">ERGO Technology &amp; Services Private Limited (ET&amp;S India; established Mumbai early 2022; technology hub of ERGO Group / Munich Re alongside ITERGO Germany and ET&amp;S Poland)</t>
  </si>
  <si>
    <t xml:space="preserve">https://www.ergo.com/en/microsite/ergo-technology-services-india
https://www.ergo.com/en/microsite/ergo-technology-services-india/about-ets-india</t>
  </si>
  <si>
    <t xml:space="preserve">Legal name 'ERGO Technology &amp; Services Pvt. Ltd.' and establishment in Mumbai at the beginning of 2022 confirmed on ergo.com; the CIN and 27 Jan 2022 incorporation date (Tofler/Zauba) did not surface in any extract and are dropped.</t>
  </si>
  <si>
    <t xml:space="preserve">ergo.com: 'ERGO Technology &amp; Services Pvt. Ltd. (ET&amp;S), based in India, was established in Mumbai, India's financial capital, at the beginning of 2022 ... together with technology hubs in Germany (ITERGO) and Poland (ERGO Technology &amp; Services S.A.)'.</t>
  </si>
  <si>
    <t xml:space="preserve">https://www.ergo.com/en/microsite/ergo-technology-services-india/contact; https://ergo.com/en/Microsites/ETS-India/Start/Contact</t>
  </si>
  <si>
    <t xml:space="preserve">Powai SEZ address confirmed on ERGO's own contact page.</t>
  </si>
  <si>
    <t xml:space="preserve">'Unit No. 201, 2nd Floor, Kensington, "A" Wing Building, Festus Properties Pvt. Ltd.- SEZ, Powai, Mumbai, Maharashtra- 400076'.</t>
  </si>
  <si>
    <t xml:space="preserve">https://tradebrains.in/features/?p=25913; https://www.linkedin.com/in/mansoori/</t>
  </si>
  <si>
    <t xml:space="preserve">Title MD &amp; CEO confirmed by Trade Brains launch coverage; a 2026-targeted search returned no exit or replacement news (only unrelated HDFC ERGO appointments).</t>
  </si>
  <si>
    <t xml:space="preserve">'Mehmood Mansoori is the MD &amp; CEO of Ergo Technology Services India'.</t>
  </si>
  <si>
    <t xml:space="preserve">https://www.ergo.com/en/microsite/ergo-technology-services-india/expertise; https://www.ergo.com/en/microsite/ergo-technology-services-india/about-ets-india</t>
  </si>
  <si>
    <t xml:space="preserve">Scope confirmed on ergo.com microsite (technology services for ERGO Group with the German and Polish hubs).</t>
  </si>
  <si>
    <t xml:space="preserve">'charter to provide technology services to the ERGO Group together with technology hubs in Germany (ITERGO Informationstechnologie GmbH) and Poland (ERGO Technology &amp; Services S.A.)'.</t>
  </si>
  <si>
    <t xml:space="preserve">760
https://www.greatplacetowork.in/great/company/ergo-technology-services-limited/</t>
  </si>
  <si>
    <t xml:space="preserve">557 India-based employees (Great Place to Work India certification data / ERGO microsite, undated). Launch target was 400 software professionals in year one (2022). LeadIQ 'nearly 800' not independently verified.</t>
  </si>
  <si>
    <t xml:space="preserve">https://www.greatplacetowork.in/great/company/ergo-technology-services-limited
https://www.ergo.com/en/microsite/ergo-technology-services-india</t>
  </si>
  <si>
    <t xml:space="preserve">Neither 'nearly 800' (LeadIQ) nor 760 surfaced in a targeted search; the only figure independently returned is 557 India-based employees (GPTW certification data / ERGO microsite), plus the 2022 launch target of 400 in year one, so the cell is set to 557 with the ~800 flagged as unverified.</t>
  </si>
  <si>
    <t xml:space="preserve">'ERGO Technology &amp; Services has 557 India-based employees and is headquartered in Mumbai'; 'tech centre in Mumbai that would employ 400 software professionals in the first year of operations'.</t>
  </si>
  <si>
    <t xml:space="preserve">Technology | (Feb 2022) ERGO Group launched its third tech hub, ERGO Technology &amp; Services Pvt Ltd in Mumbai, targeting 400 software professionals in its first year to support ERGO's ambition of becoming a leading tech-driven insurer. || (Undated, c.2024-25) GPTW India certification data lists 557 India-based employees at ET&amp;S India, Mumbai, i.e. above the year-one target. || (2026) ET&amp;S India operates as the offshore leg of ERGO's three-hub model (ITERGO Germany on-shore, ET&amp;S Poland near-shore, India offshore), providing technology services across the ERGO Group / Munich Re.</t>
  </si>
  <si>
    <t xml:space="preserve">https://www.business-standard.com/content/press-releases-ani/ergo-group-ag-launches-3rd-tech-hub-of-ergo-technology-and-services-management-in-mumbai-india-122022801127_1.html
https://tradebrains.in/features/?p=25913
https://www.ergo.com/en/microsite/ergo-technology-services-india
https://www.greatplacetowork.in/great/company/ergo-technology-services-limited</t>
  </si>
  <si>
    <t xml:space="preserve">Bullet 1 (~800) replaced with the verified 557 figure; bullet 2 (Jul 2026 ~2,100 group-wide, LeadIQ) rejected - unverified and from an aggregator; bullet 3 (Feb 2022 launch) verified and corrected to '400 software professionals in the first year'; added the verified three-hub model bullet.</t>
  </si>
  <si>
    <t xml:space="preserve">ergo.com: 'The three tech hubs (in Germany, Poland, and India) will boost the group's digital expertise, combining complementary on-shore (Germany), near-shore (Poland) and offshore (India) development centres'.</t>
  </si>
  <si>
    <t xml:space="preserve">34</t>
  </si>
  <si>
    <t xml:space="preserve">Hartford Global Services Private ltd</t>
  </si>
  <si>
    <t xml:space="preserve">Hartford Global Services Private Limited (The Hartford's India global technology centre; LEI 335800AJOBD1GXWVBG60; CIN U62099TS2025FTC202536, incorporated 20 Aug 2025, ROC Hyderabad)</t>
  </si>
  <si>
    <t xml:space="preserve">https://lei.bloomberg.com/leis/view/335800AJOBD1GXWVBG60
https://tracxn.com/d/legal-entities/india/hartford-global-services-private-limited/__q6pfnoXwGYWtKCykM9tA7AbtKBOhFg6diMkRTAb6UuY
https://www.crematrix.com/blog/?p=1346</t>
  </si>
  <si>
    <t xml:space="preserve">Entity name 'Hartford Global Services Private Limited' confirmed by the Bloomberg LEI record and the CRE Matrix lease report; added the LEI. CIN and 20 Aug 2025 incorporation date rest on the cited Tracxn record and were not re-quoted in any extract.</t>
  </si>
  <si>
    <t xml:space="preserve">Search 1 result titles: 'Legal Entity Identifier (LEI)' lei.bloomberg.com/leis/view/335800AJOBD1GXWVBG60; 'Hartford Global Services commits to 1.6 lakh sq ft office lease in Hyderabad's Gachibowli' (crematrix.com)</t>
  </si>
  <si>
    <t xml:space="preserve">https://www.crematrix.com/blog/?p=1346; https://www.business-standard.com/finance/personal-finance/hartford-global-rents-1-6-lakh-sq-ft-in-hyderabad-for-92-lakh-month-126011500669_1.html; https://www.siasat.com/us-insurance-major-the-hartford-opens-global-tech-centre-in-hyderabad-3374371/</t>
  </si>
  <si>
    <t xml:space="preserve">City and building confirmed (Kalyani Trident, Gachibowli, 21st-22nd floors, 1.59 lakh sq ft; 160,000 sq ft at inauguration); removed the unsupported 'up to 2.58 lakh sq ft' claim, which no extract supported.</t>
  </si>
  <si>
    <t xml:space="preserve">'Hartford Global Services' India arm has taken 1.59 lakh sq ft of office space in Gachibowli ... located in Kalyani Trident and spans the 21st and 22nd floors' (crematrix.com); 'The facility is located at Kalyani Trident in Hyderabad's Financial District. The facility spans 160,000 sq ft' (siasat.com / sakshipost.com)</t>
  </si>
  <si>
    <t xml:space="preserve">Surya Prakash Thammiraju
https://timesofindia.indiatimes.com/city/hyderabad/200-year-old-us-insurer-the-hartford-opens-first-india-global-tech-centre-in-hyderabad/articleshow/128727054.cms</t>
  </si>
  <si>
    <t xml:space="preserve">Padmavati Rallapalli, Head of HR, The Hartford Technology Center Hyderabad; site/country head not confirmed in credible indexed sources</t>
  </si>
  <si>
    <t xml:space="preserve">https://www.thepeoplesboard.com/news/the-hartford-technology-center-in-hyderabad-appoints-padmavati-rallapalli-as-head-of-hr/</t>
  </si>
  <si>
    <t xml:space="preserve">Two independent searches ('Surya Thammiraju The Hartford Managing Director India Head Hyderabad' and '"Thammiraju" Hartford Hyderabad') returned no result mentioning him, so the Thammiraju claim was moved out of new_text into the note; Padmavati Rallapalli as Head of HR is confirmed by The People's Board.</t>
  </si>
  <si>
    <t xml:space="preserve">Search result title: 'The Hartford Technology Center in Hyderabad Appoints Padmavati Rallapalli as Head of HR' (thepeoplesboard.com); search summary: 'I did not find any results specifically mentioning "Thammiraju" in connection with The Hartford or Hyderabad'</t>
  </si>
  <si>
    <t xml:space="preserve">https://www.siasat.com/us-insurance-major-the-hartford-opens-global-tech-centre-in-hyderabad-3374371/; https://www.theweek.in/wire-updates/business/2025/10/01/dcm86-the-hartford.html; https://www.business-standard.com/companies/news/us-insurance-major-the-hartford-opens-global-tech-centre-in-hyderabad-126022300413_1.html</t>
  </si>
  <si>
    <t xml:space="preserve">AI, digital innovation, engineering excellence and the cross-time-zone link to US hubs are confirmed; dropped 'cloud engineering', which no extract mentioned, and added the named US hubs.</t>
  </si>
  <si>
    <t xml:space="preserve">'strong focus on artificial intelligence, digital innovation and engineering excellence ... rapid prototyping and seamless cross-time-zone collaboration with the company's technology hubs in Hartford, Charlotte, Chicago, and Columbus' (siasat.com / sakshipost.com extract)</t>
  </si>
  <si>
    <t xml:space="preserve">Not verifiable (~1200 employees)
https://www.linkedin.com/posts/et-gcc_gcc-hartford-globalcapabilitycentres-activity-7431651108068130816-SoGE</t>
  </si>
  <si>
    <t xml:space="preserve">No actual current headcount surfaced. Existing sheet text ('Not verifiable (~1200 employees)') should read as a target, not a current figure.</t>
  </si>
  <si>
    <t xml:space="preserve">The ~1,200 figure is confirmed as a multi-year target, not a current headcount; no current figure surfaced in any extract.</t>
  </si>
  <si>
    <t xml:space="preserve">'expected to scale to a headcount of nearly 1,200 over the next few years as it expands advanced digital, engineering, and AI-led capabilities' (siasat.com; theweek.in 30 Sep 2025)</t>
  </si>
  <si>
    <t xml:space="preserve">Technology | (Sep 2025) The Hartford announced (12 Sep 2025) the launch of a technology centre in Hyderabad to drive innovation and AI transformation, its first India entry, and opened the centre on 30 Sep 2025 with a plan to scale to nearly 1,200 staff. || (Jan 2026) Hartford Global Services leased 1.59 lakh sq ft (21st and 22nd floors) at Kalyani Trident, Gachibowli, Hyderabad for about Rs 92.3 lakh a month (Rs 58/sq ft) on a five-year lease with a three-year lock-in; rent starts 1 Mar 2026 (21st floor) and 1 Sep 2026 (22nd floor). || (Feb 2026) Telangana IT Minister D Sridhar Babu formally inaugurated The Hartford's 160,000 sq ft global technology centre in Hyderabad's Financial District on 23 Feb 2026; the centre focuses on AI, digital innovation and engineering, collaborating with The Hartford's US hubs in Hartford, Charlotte, Chicago and Columbus.</t>
  </si>
  <si>
    <t xml:space="preserve">https://www.theweek.in/wire-updates/business/2025/09/12/dcm46-the-hartford.html
https://www.crematrix.com/blog/?p=1346
https://www.siasat.com/us-insurance-major-the-hartford-opens-global-tech-centre-in-hyderabad-3374371/</t>
  </si>
  <si>
    <t xml:space="preserve">All three bullets confirmed against dated wire/press extracts (12 Sep 2025 announcement, 30 Sep 2025 opening, Jan 2026 lease, 23 Feb 2026 inauguration); added the lease terms and rent-start dates from CRE Matrix and the exact inauguration date; Technology classification is justified.</t>
  </si>
  <si>
    <t xml:space="preserve">'Telangana Information Technology Minister D Sridhar Babu inaugurated the Global Technology Centre ... on Monday, February 23' (siasat.com); 'Hartford will pay Rs 44.48 lakh per month for 76,701 sq ft on the 21st floor and Rs 47.79 lakh per month for 82,406 sq ft on the 22nd floor ... five years with a three-year lock-in ... rent for the 21st-floor space from March 1, 2026 ... 22nd-floor premises will start from September 1, 2026' (crematrix.com); theweek.in wire items dated 12 Sep 2025 and 30 Sep/1 Oct 2025</t>
  </si>
  <si>
    <t xml:space="preserve">35</t>
  </si>
  <si>
    <t xml:space="preserve">Zurich Insurance group</t>
  </si>
  <si>
    <t xml:space="preserve">Zurich Insurance Group - Zurich Global Capability Center, Hyderabad (branded 'Zurich Capability Centers'; Indian legal entity name not identified in MCA mirrors)</t>
  </si>
  <si>
    <t xml:space="preserve">https://www.prnewswire.com/in/news-releases/zurich-launches-global-capability-center-in-hyderabad-to-power-next-gen-tech-and-ai-302755480.html
https://explorer.hub71.com/news/feed/zurich-insurance-launches-global-capability-center-in-hyderabad-to-advance-ai-and-tech-capabilities
https://www.reinsurancene.ws/zurich-appoints-amit-kalra-to-lead-new-global-capability-center-in-india/</t>
  </si>
  <si>
    <t xml:space="preserve">Launch of a Zurich Global Capability Center in Hyderabad (28 Apr 2026) and the 'Zurich Capability Centers' branding (Kalra's title) are confirmed by multiple trade-press extracts; no Indian legal entity surfaced, consistent with the researcher's note.</t>
  </si>
  <si>
    <t xml:space="preserve">'Zurich Insurance Group launched a Global Capability Center in Hyderabad in April 2026'; news items dated 'Asia - 2026-04-28'; 'appointed Amit Kalra as Head of Zurich Capability Centers' (reinsurancene.ws / reinasia.com / digitalterminal.in)</t>
  </si>
  <si>
    <t xml:space="preserve">https://www.prnewswire.com/in/news-releases/zurich-launches-global-capability-center-in-hyderabad-to-power-next-gen-tech-and-ai-302755480.html; https://www.reinsurancene.ws/zurich-appoints-amit-kalra-to-lead-new-global-capability-center-in-india/</t>
  </si>
  <si>
    <t xml:space="preserve">Hyderabad confirmed as the sole announced India GCC location in all extracts.</t>
  </si>
  <si>
    <t xml:space="preserve">'launch of its new Global Capability Centre in Hyderabad, India' (reinsurancene.ws)</t>
  </si>
  <si>
    <t xml:space="preserve">https://www.reinsurancene.ws/zurich-appoints-amit-kalra-to-lead-new-global-capability-center-in-india/; https://hrtoday.in/amit-kalra-appointed-as-global-head-of-zurich-capability-centers-at-zurich-insurance-group/; https://www.cxodigitalpulse.com/amit-kalra-joins-zurich-insurance-to-lead-global-capability-centres/</t>
  </si>
  <si>
    <t xml:space="preserve">Name, title, 1 Jul 2026 effective date and Swiss Re background confirmed; added his last Swiss Re role and the HR Today source; no 2026 exit news in results.</t>
  </si>
  <si>
    <t xml:space="preserve">'Zurich Insurance Group has appointed Amit Kalra as head of Zurich Capability Centres, effective 1 July 2026 ... Kalra joins from Swiss Re, where he spent more than 19 years and most recently served as head of global business solutions' (reinsurancene.ws)</t>
  </si>
  <si>
    <t xml:space="preserve">https://www.prnewswire.com/in/news-releases/zurich-launches-global-capability-center-in-hyderabad-to-power-next-gen-tech-and-ai-302755480.html; https://explorer.hub71.com/news/feed/zurich-insurance-launches-global-capability-center-in-hyderabad-to-advance-ai-and-tech-capabilities</t>
  </si>
  <si>
    <t xml:space="preserve">Function list confirmed verbatim (cloud engineering, data and AI, application development, cybersecurity, quality engineering; end-to-end ownership across engineering, data and core business operations).</t>
  </si>
  <si>
    <t xml:space="preserve">'Zurich will recruit specialists across cloud engineering, data and AI, application development, cybersecurity and quality engineering ... end-to-end ownership across engineering, data and core business functions'</t>
  </si>
  <si>
    <t xml:space="preserve">Not disclosed in Zurich's own release; trade press (Hub71 news feed / Digital Terminal) reports the centre will create over 1,000 jobs (Apr 2026)</t>
  </si>
  <si>
    <t xml:space="preserve">https://explorer.hub71.com/news/feed/zurich-insurance-launches-global-capability-center-in-hyderabad-to-advance-ai-and-tech-capabilities
https://digitalterminal.in/tech-companies/zurich-insurance-group-launches-new-hyderabad-gcc-to-boost-ai-growth-appoints-amit-kalra-as-global-head</t>
  </si>
  <si>
    <t xml:space="preserve">Two independent searches returned the sentence 'The center will create over 1,000 jobs' from the Hub71/Digital Terminal result set; it remains a trade-press figure absent from the company release, so the text keeps that caveat.</t>
  </si>
  <si>
    <t xml:space="preserve">'Zurich Insurance Group has launched a Global Capability Center in Hyderabad to power next-gen tech and AI. The center will create over 1,000 jobs.' (search 6 extract, results led by explorer.hub71.com and digitalterminal.in)</t>
  </si>
  <si>
    <t xml:space="preserve">Technology | (Apr 2026) Zurich Insurance Group announced (28 Apr 2026) a Global Capability Center in Hyderabad to advance technology and AI capabilities, with end-to-end ownership across engineering, data and core business operations and AI-enabled ways of working embedded from day one. || (Apr 2026) Zurich said the Hyderabad centre will recruit specialists in cloud engineering, data and AI, application development, cybersecurity and quality engineering; trade press reports it will create over 1,000 jobs. || (Jul 2026) Amit Kalra (ex-Swiss Re, Head of Global Business Solutions) took up the new global role of Head of Zurich Capability Centers from 1 Jul 2026, based in India, to shape group capability-centre strategy and lead the Hyderabad build-out.</t>
  </si>
  <si>
    <t xml:space="preserve">All three bullets and their dates (28 Apr 2026 launch; 1 Jul 2026 appointment) are supported by the extracts; Technology classification justified.</t>
  </si>
  <si>
    <t xml:space="preserve">'The centre was designed to embed AI-enabled ways of working from inception rather than retrofitting legacy processes later'; 'appointed Amit Kalra as Head of Zurich Capability Centers, effective 1 July 2026, to shape the group's global strategy and oversee the Hyderabad expansion'</t>
  </si>
  <si>
    <t xml:space="preserve">36</t>
  </si>
  <si>
    <t xml:space="preserve">Carelon Global Solutions India LLP</t>
  </si>
  <si>
    <t xml:space="preserve">https://www.anthem.com/content/carelon/public-cgs/us/en/home-in/about-us.html; https://www.thecompanycheck.com/company/carelon-global-solutions-india-llp/AAL-0928; https://unglobalcompact.org/what-is-gc/participants/165394-Carelon-Global-Solutions-India-LLP</t>
  </si>
  <si>
    <t xml:space="preserve">Company about-us page confirms the Legato lineage, Jan 2023 rename and Elevance ownership; LLPIN rests on the cited TheCompanyCheck record (not re-quoted).</t>
  </si>
  <si>
    <t xml:space="preserve">'Previously known as Legato Health Technologies, Carelon Global Solutions underwent a name change and joined the Carelon family of brands in January 2023, as a fully owned subsidiary of Elevance Health' (anthem.com about-us)</t>
  </si>
  <si>
    <t xml:space="preserve">https://www.anthem.com/content/carelon/public-cgs/us/en/home-in/about-us.html; https://in.linkedin.com/company/carelon-global-solutions-in</t>
  </si>
  <si>
    <t xml:space="preserve">Three cities confirmed on the company site; removed the 'Phoenix Avance' building name because no extract supported the Hyderabad building / LEED Gold claim.</t>
  </si>
  <si>
    <t xml:space="preserve">'With over 18,000 associates and offices in Bangalore, Hyderabad, and Gurugram'; 'Bengaluru, Hyderabad and Gurugram in India, Manila in the Philippines, Limerick in Ireland and San Juan in Puerto Rico' (anthem.com about-us)</t>
  </si>
  <si>
    <t xml:space="preserve">https://www.anthem.com/content/carelon/public-cgs/us/en/home-in/about-us.html; https://aimmediahouse.com/recognitions-lists/top-25-gcc-heads-india-2024; https://gcc.et-edge.com/2026-bangalore/</t>
  </si>
  <si>
    <t xml:space="preserve">Saisekar's name and title confirmed on the company about-us page and AIM's Top 25 GCC Heads 2024 (which also gives his Northern Trust background); no 2026 exit news; added Pawan Sachdeva (Sr MD &amp; Technology Head, India) who surfaced as a 2026 ET Edge GCC Summit panelist.</t>
  </si>
  <si>
    <t xml:space="preserve">'Krishnamoorthy Saisekar is VP and Chief Country Executive of Carelon Global Solutions India' (anthem.com); 'Mosur Saisekar (also known as Sai) as the Chief Country Executive ... before Carelon, served as CEO of Northern Trust Corporation in India' (aimmediahouse.com 2024); 'Pawan Sachdeva, Sr. Managing Director &amp; Technology Head- India at Carelon Global Solutions, is participating as a panelist' (gcc.et-edge.com 2026)</t>
  </si>
  <si>
    <t xml:space="preserve">https://www.anthem.com/content/carelon/public-cgs/us/en/home-in/about-us.html</t>
  </si>
  <si>
    <t xml:space="preserve">Rewrote the function list to match the company's own about-us description (digital solutions and automation, IT application support, data analytics, BPaaS, operational support) and dropped the three job-tracker sources (Workopia, FresherOffCampus, ZoomInfo) as non-credible.</t>
  </si>
  <si>
    <t xml:space="preserve">'The company offers services including digital solutions and automation, IT application support, data analytics, Business Process-as-a-Service (BPaaS), and operational support' (anthem.com about-us)</t>
  </si>
  <si>
    <t xml:space="preserve">https://www.anthem.com/content/carelon/public-cgs/us/en/home-in/about-us.html; https://in.linkedin.com/company/carelon-global-solutions-in; https://tracxn.com/d/legal-entities/india/carelon-global-solutions-india-llp/__t5LyM-s_Qomr3Pl1A8yaRuQEDYf5b_gqcK3ODIcKVYY</t>
  </si>
  <si>
    <t xml:space="preserve">18,000+ confirmed on the company's own about-us page (added as primary source); the Tracxn 15,071 figure did not surface in audit extracts and is flagged as not re-verified.</t>
  </si>
  <si>
    <t xml:space="preserve">'With over 18,000 associates and offices in Bangalore, Hyderabad, and Gurugram' (anthem.com about-us); AIM Research 2024: 'the team has expanded to over 18,000 associates across offices in Bengaluru, Hyderabad, and Gurugram'</t>
  </si>
  <si>
    <t xml:space="preserve">Operations / Technology | (2026, month n/a) Carelon Global Solutions was named one of the Most Impactful GCCs of India at the ET Edge GCC Summit 2026 in Bengaluru for the second consecutive time (company awards page). || (2026, month n/a) CGS India received the Leadership in Transport Safety Implementation Award at MoveInSync Prodcon 2026 for its Safe Commute initiative (company awards page). || (Apr 2026) Tracxn records Carelon Global Solutions India LLP at 15,071 employees (1 Apr 2026) versus 17,180 in Feb 2025, while the company site cites 18,000+ associates across Bengaluru, Hyderabad and Gurugram (Tracxn figure not re-verified in audit).</t>
  </si>
  <si>
    <t xml:space="preserve">https://www.anthem.com/content/carelon/public-cgs/us/en/home-in/about-us/awards.html
https://www.anthem.com/content/carelon/public-cgs/us/en/home-in/about-us/awards.html
https://tracxn.com/d/legal-entities/india/carelon-global-solutions-india-llp/__t5LyM-s_Qomr3Pl1A8yaRuQEDYf5b_gqcK3ODIcKVYY</t>
  </si>
  <si>
    <t xml:space="preserve">Bullets 1 and 2 confirmed on the company awards page; removed the unsupported LEED Gold / Phoenix Avance claim from bullet 2 and deleted the Workopia-sourced Sep 2026 hiring bullet (job-tracker source, not credible); kept the Tracxn headcount bullet with a not-re-verified flag.</t>
  </si>
  <si>
    <t xml:space="preserve">'Carelon Global Solutions has been recognized for the second consecutive time as one of the Most Impactful GCC's of India at ET Edge GCC Summit 2026 in Bengaluru'; 'CGS India has been honored with the Leadership in Transport Safety Implementation Award at Move Insync Prodcon 2026 for our Safe Commute initiative' (anthem.com awards page); 'The search results did not return specific information about Carelon Global Solutions receiving a LEED Gold certification'</t>
  </si>
  <si>
    <t xml:space="preserve">37</t>
  </si>
  <si>
    <t xml:space="preserve">Intact India GCC (Gurugram)</t>
  </si>
  <si>
    <t xml:space="preserve">Intact India GCC (Gurugram)
(formerly RSA India GCC; Intact Financial Corporation)</t>
  </si>
  <si>
    <t xml:space="preserve">Intact Business Services Private Limited (CIN U66290HR2010FTC049525 per Zauba; U67190 variant on TheCompanyCheck; incorporated 9 Dec 2010, ROC Delhi; subsidiary of a company incorporated outside India - Royal &amp; Sun Alliance Insurance Ltd / Intact Financial Corporation; formerly RSA Actuarial Services (India) Private Limited) - trades as Intact India / RSA India (An Intact Company); Intact Insurance (UK) also lists an 'India branch' at DLF Cyber City</t>
  </si>
  <si>
    <t xml:space="preserve">https://www.zaubacorp.com/INTACT-BUSINESS-SERVICES-PRIVATE-LIMITED-U66290HR2010FTC049525
https://www.thecompanycheck.com/company/rsa-actuarial-services-india-private-limited/U67190HR2010FTC049525
https://www.intactinsurance.co.uk/india-branch/leadership
https://in.linkedin.com/company/intact-india</t>
  </si>
  <si>
    <t xml:space="preserve">Zauba confirms the entity as Intact Business Services Private Limited, incorporated 9 Dec 2010, ROC Delhi, foreign subsidiary - but under CIN U66290HR2010FTC049525 (not U67190 as the researcher wrote for Zauba), so the CIN was corrected with the variant noted; the Zauba URL was fixed; the former-name claim is kept on the strength of the matching CIN root in the cited TheCompanyCheck slug.</t>
  </si>
  <si>
    <t xml:space="preserve">'Intact Business Services Private Limited (CIN: U66290HR2010FTC049525) is a Private company incorporated on 09 Dec 2010. It is classified as a subsidiary of a company incorporated outside India and is registered at Registrar of Companies, Delhi ... involved in insurance and pension funding' (zaubacorp.com); result 'www.intactinsurance.co.uk/india-branch/leadership'</t>
  </si>
  <si>
    <t xml:space="preserve">Gurugram (registered office: 11th Floor, Building 10B, DLF Cyber City Phase II; Intact Insurance UK India branch office: 1st Floor, Building 10C, DLF Cyber City Phase II)</t>
  </si>
  <si>
    <t xml:space="preserve">https://www.zaubacorp.com/INTACT-BUSINESS-SERVICES-PRIVATE-LIMITED-U66290HR2010FTC049525
https://intactinsurance.co.uk/contact-us</t>
  </si>
  <si>
    <t xml:space="preserve">Gurugram / DLF Cyber City confirmed, but Zauba gives the current registered office as 11th Floor Building 10B (the researcher's 1st Floor 10C is the Intact Insurance UK India-branch address on intactinsurance.co.uk); both addresses now shown.</t>
  </si>
  <si>
    <t xml:space="preserve">'The registered address ... is 11th Floor Building No.10B, DLF Cyber City Phase II, Gurugram, Haryana, 122002' (zaubacorp.com); 'Intact Insurance also has an office in India at 1st Floor 10C, DLF Cyber City, Ph-II, Gurugram 122002' (intactinsurance.co.uk/contact-us)</t>
  </si>
  <si>
    <t xml:space="preserve">https://www.cxodigitalpulse.com/?p=46685; https://hrtoday.in/sameer-madan-joins-intact-india-as-chief-of-finance-technology-and-operations-for-india-gcc/; https://www.bwcfoworld.com/article/sameer-madan-named-cfto-at-intact-financial-india-gcc-596559</t>
  </si>
  <si>
    <t xml:space="preserve">Name, title, Gurugram base and Agilent/Fractal background confirmed by CXO Digital Pulse and HR Today; the Mar 2026 date rests on the wave-1 BW CFO World item; no 2026 exit news surfaced.</t>
  </si>
  <si>
    <t xml:space="preserve">'Sameer Madan has been appointed as Chief of Finance, Technology and Operations (CFTO) for Intact India's Global Capability Center (GCC). Based in Gurugram ... nearly 19 years at Agilent Technologies ... Principal Advisor at Fractal' (cxodigitalpulse.com / hrtoday.in)</t>
  </si>
  <si>
    <t xml:space="preserve">1. Finance (controllership, global finance operations, compliance &amp; reporting) 2. Technology / IT 3. Operations - integrated under a Chief of Finance, Technology and Operations 4. Actuarial (pricing, capital modelling, reserving) for the Intact/RSA group - per the entity's former name 'RSA Actuarial Services (India)' and researcher-cited Kompass / job-ad excerpts (not re-verified in audit)</t>
  </si>
  <si>
    <t xml:space="preserve">https://hrtoday.in/sameer-madan-joins-intact-india-as-chief-of-finance-technology-and-operations-for-india-gcc/
https://www.cxodigitalpulse.com/?p=46685
https://in.kompass.com/c/rsa-actuarial-services-india-private-limited/in442774/
https://www.jobaaj.com/job/rsa-india-an-intact-company-actuary-reserving-team-gurugram-haryana-4-to-6-years-791855</t>
  </si>
  <si>
    <t xml:space="preserve">Finance, technology and operations scope is confirmed by the CFTO appointment extracts; the actuarial centre-of-excellence claim did not surface in the audit search and is retained only with a 'not re-verified' flag because the entity's former legal name independently supports an actuarial function.</t>
  </si>
  <si>
    <t xml:space="preserve">'he will focus on strengthening the organisation's finance, technology, and operational frameworks ... extensive experience across controllership, global finance operations, compliance and reporting' (hrtoday.in / cxodigitalpulse.com); search for 'RSA India "An Intact Company" Gurugram actuarial centre of excellence' returned no supporting extract</t>
  </si>
  <si>
    <t xml:space="preserve">[Oct'26 re-check – existing text could not be independently verified] Two searches (entity-level and 'employees headcount revenue tracxn thecompanycheck') returned only Zauba registration data with no headcount or revenue, so the 174-employee / Rs 50-100 Cr figures are unproven and cleared.</t>
  </si>
  <si>
    <t xml:space="preserve">Two searches (entity-level and 'employees headcount revenue tracxn thecompanycheck') returned only Zauba registration data with no headcount or revenue, so the 174-employee / Rs 50-100 Cr figures are unproven and cleared.</t>
  </si>
  <si>
    <t xml:space="preserve">'the search results do not provide specific information about the company's employee headcount, revenue figures from Tracxn, or data from TheCompanyCheck' (search 20 summary)</t>
  </si>
  <si>
    <t xml:space="preserve">Finance / Operations / Technology | (Mar 2026) Intact's India GCC in Gurugram appointed Sameer Madan (ex-Agilent, ex-Fractal) as Chief of Finance, Technology and Operations, consolidating finance, IT and operations leadership of the centre under one executive. || (2026, month n/a) The Indian entity now appears on MCA mirrors as Intact Business Services Private Limited (CIN root ...HR2010FTC049525, formerly RSA Actuarial Services (India) Private Limited), completing the RSA-to-Intact rebrand of the Gurugram centre, which still advertises roles under 'RSA India (An Intact Company)'.</t>
  </si>
  <si>
    <t xml:space="preserve">https://www.cxodigitalpulse.com/?p=46685
https://www.zaubacorp.com/INTACT-BUSINESS-SERVICES-PRIVATE-LIMITED-U66290HR2010FTC049525</t>
  </si>
  <si>
    <t xml:space="preserve">Bullet 1 confirmed; bullet 2 supported by Zauba now listing the new name under the same CIN root; bullet 3 (174 employees / Rs 50-100 Cr) removed because its headcount basis was rejected.</t>
  </si>
  <si>
    <t xml:space="preserve">'INTACT BUSINESS SERVICES PRIVATE LIMITED' zaubacorp.com/...-U66290HR2010FTC049525 ; CFTO extracts as in H</t>
  </si>
  <si>
    <t xml:space="preserve">38</t>
  </si>
  <si>
    <t xml:space="preserve">PFI India Innovation Centre (GCC of Prudential Financial, Inc., USA)</t>
  </si>
  <si>
    <t xml:space="preserve">https://www.uniindia.com/business-economy/business-haryana-pfi-innovation-centre/188639; https://www.prudentialplc.com/en/newsroom/company-news/2025/prudential-launches-global-services-hub-in-bengaluru-india/</t>
  </si>
  <si>
    <t xml:space="preserve">Entity description confirmed by the UNI wire report; replaced the test.uniindia.com mirror with the canonical uniindia.com URL (item 188639, 22 Sep 2026) and dropped the gcc-pulse.com aggregator source.</t>
  </si>
  <si>
    <t xml:space="preserve">'Prudential Financial Inc (PFI), a Fortune 200 company with a history spanning nearly 150 years, has opened its first innovation centre in India at Gurugram's Cyber City under Haryana's Global Capability Centre (GCC) policy' (uniindia.com, page dated Tuesday, September 22, 2026)</t>
  </si>
  <si>
    <t xml:space="preserve">Gurugram / Cyber City confirmed; source replaced with the canonical UNI URL and the gcc-pulse aggregator dropped.</t>
  </si>
  <si>
    <t xml:space="preserve">'has opened its first innovation centre in India at Gurugram's Cyber City' (uniindia.com)</t>
  </si>
  <si>
    <t xml:space="preserve">Not disclosed
[Oct'26 re-check – existing text could not be independently verified] Two searches naming Goel and Nischal with PFI Innovation Centre India returned no supporting extract (the UNI summary did not mention Goel; the People Matters URL did not surface), so the leader names are cleared pe</t>
  </si>
  <si>
    <t xml:space="preserve">Two searches naming Goel and Nischal with PFI Innovation Centre India returned no supporting extract (the UNI summary did not mention Goel; the People Matters URL did not surface), so the leader names are cleared pending page-level confirmation.</t>
  </si>
  <si>
    <t xml:space="preserve">'the search results do not contain information about Pravin Goel serving as Vice President Country Head'; 'I did not find a specific announcement connecting Upasna Nischal with the PFI Innovation Centre India'; result 'Upasna Nischal elevated to India site head, Fidelity International' (hrkatha.com)</t>
  </si>
  <si>
    <t xml:space="preserve">1. AI / GenAI 2. Data engineering and analytics 3. Cybersecurity 4. Digital product development and digital platforms 5. Enterprise technology 6. Operations and automation 7. Global transformation support for PFI's US and global businesses</t>
  </si>
  <si>
    <t xml:space="preserve">https://www.uniindia.com/business-economy/business-haryana-pfi-innovation-centre/188639
https://ssfglobal.in/industry_action/prudential-financial-builds-gurugram-innovation-centre-around-ai-data-and-global-capability-ownership/</t>
  </si>
  <si>
    <t xml:space="preserve">budget - the audit extracts confirmed the UNI article as the canonical source but did not re-quote the function list; x.com source removed as non-credible.</t>
  </si>
  <si>
    <t xml:space="preserve">n/a</t>
  </si>
  <si>
    <t xml:space="preserve">Not disclosed by PFI or the Haryana government (no headcount or hiring target in Sep 2026 inauguration coverage)</t>
  </si>
  <si>
    <t xml:space="preserve">Removed the 27-employee figure because beBee is a job aggregator (not a credible source per the brief) and no extract supported it; retained only the 'not disclosed' statement.</t>
  </si>
  <si>
    <t xml:space="preserve">UNI extract: inauguration coverage with no headcount; search returned no company-published figure</t>
  </si>
  <si>
    <t xml:space="preserve">Technology (with Operations) | (Sep 2026) Haryana Industries and Commerce Minister Rao Narbir Singh inaugurated PFI Innovation Centre India at DLF Cyber City, Gurugram (reported 22 Sep 2026, inauguration 'on Monday' i.e. 21 Sep 2026) under the state's GCC policy - Prudential Financial's first India innovation centre, which the minister said reflects investor confidence in Haryana's ecosystem.</t>
  </si>
  <si>
    <t xml:space="preserve">Kept and corrected the inauguration bullet (UNI dated 22 Sep 2026 says the opening was 'on Monday', i.e. 21 Sep 2026, not 22 Sep); removed the Aug 2026 'confirmed it is establishing' bullet (only Sep 2026 coverage surfaced; x.com source) and the People Matters HR bullet (URL did not surface, names rejected).</t>
  </si>
  <si>
    <t xml:space="preserve">'Haryana Industries and Commerce Minister Rao Narbir Singh inaugurated the PFI Innovation Centre India on Monday, saying the global financial services company's decision to establish its first such centre in India at Gurugram reflected growing investor confidence in Haryana's business ecosystem' (uniindia.com, page dated Tuesday, September 22, 2026)</t>
  </si>
  <si>
    <t xml:space="preserve">39</t>
  </si>
  <si>
    <t xml:space="preserve">Assurant India GCC</t>
  </si>
  <si>
    <t xml:space="preserve">Assurant Warranty Solutions (India) Private Limited (CIN U74140TN2014FTC098384, LEI 9845003E4B6C83B27B14, incorporated 9 Dec 2014, registered office No. 44/38 Veerabadran Street, Nungambakkam, Chennai; the GPTW-certified and hiring entity for Assurant's India GCC). Sister entity: Assurant Automotive Warranty Solutions (India) Private Limited (CIN U74900TN2013PTC094323; not re-verified)</t>
  </si>
  <si>
    <t xml:space="preserve">https://leikart.com/leicert/9845003E4B6C83B27B14
https://www.greatplacetowork.in/great/company/assurant-india
https://www.sec.gov/Archives/edgar/data/1267238/000126723825000008/aiz12312024-ex214q24.htm
https://www.thecompanycheck.com/company/assurant-automotive-warranty-solutions-india-private-limited/U74900TN2013PTC094323</t>
  </si>
  <si>
    <t xml:space="preserve">Legal name, CIN, LEI, 9 Dec 2014 incorporation and Nungambakkam, Chennai registered office confirmed by the LEI record and the GPTW India profile; added Assurant's SEC Exhibit 21 subsidiary list as a corroborating source; the sister automotive entity was not re-verified.</t>
  </si>
  <si>
    <t xml:space="preserve">'The company's legal name is ASSURANT WARRANTY SOLUTIONS (INDIA) PRIVATE LIMITED with LEI number 9845003E4B6C83B27B14 ... No. 44 / 38, Veerabadran Street, 1st Floor, Nungambakkam, Chennai, 600034 ... CIN is U74140TN2014FTC098384, and it was created on 2014-12-09' (leikart.com / greatplacetowork.in)</t>
  </si>
  <si>
    <t xml:space="preserve">Hyderabad, Bengaluru, Chennai, Gurugram &amp; Mumbai</t>
  </si>
  <si>
    <t xml:space="preserve">Chennai (registered office), Bengaluru &amp; Mumbai (main offices; 'remote-first' per GPTW); roles also advertised in Hyderabad and Gurugram</t>
  </si>
  <si>
    <t xml:space="preserve">https://jobs.assurant.com/en/locations/india/
https://www.greatplacetowork.in/great/company/assurant-india
https://leikart.com/leicert/9845003E4B6C83B27B14</t>
  </si>
  <si>
    <t xml:space="preserve">Five cities confirmed on the careers site, but both the careers site and GPTW profile describe the physical office footprint as Chennai, Bengaluru and Mumbai (remote-first), so Hyderabad and Gurugram are now shown as hiring locations rather than offices.</t>
  </si>
  <si>
    <t xml:space="preserve">'Assurant offers roles in technology, data, finance, HR, operations, and more across Hyderabad, Bengaluru, Chennai, Gurgaon and Mumbai'; 'With a PAN-India presence in Chennai, Bengaluru, and Mumbai' (jobs.assurant.com); 'remote first approach at work with offices in Chennai, Mumbai and Bengaluru' (greatplacetowork.in)</t>
  </si>
  <si>
    <t xml:space="preserve">Harini Kannan - Country Head, India, Assurant (appointed Apr 2026; ex-HDFC ERGO General Insurance, multiple senior roles); remit covers Auto and Consumer Living businesses plus the growing GCC</t>
  </si>
  <si>
    <t xml:space="preserve">https://hrtoday.in/harini-kannan-appointed-as-country-head-india-at-assurant/
https://www.theofficialboard.com/news/assurant</t>
  </si>
  <si>
    <t xml:space="preserve">Name, title, Apr 2026 date, HDFC ERGO background and the GCC-plus-business remit confirmed by HR Today; no 2026 departure news surfaced.</t>
  </si>
  <si>
    <t xml:space="preserve">'Harini Kannan has been appointed as Country Head - India at Assurant in April 2026 ... Auto and Consumer Living solutions, alongside a growing Global Capability Centre ... Before joining Assurant, Harini Kannan served at HDFC ERGO General Insurance in multiple senior leadership roles' (hrtoday.in)</t>
  </si>
  <si>
    <t xml:space="preserve">Technology (software engineering), data and analytics (incl. reinsurance accounting/data analytics), finance, HR, operations and customer contact; the India GCC supports Assurant's global operations across technology, analytics and insurance for its device, auto and home protection businesses</t>
  </si>
  <si>
    <t xml:space="preserve">https://jobs.assurant.com/en/locations/india/
https://jobs.assurant.com/en/jobs/job/lead-reinsurance-data-analyst-accounting-data-analytics-hyderabad-r-114140
https://www.jobaaj.com/job/assurant-warranty-solutions-india-pvt-ltd-assurant-specialist-customer-contact-operations-bangalore-3-to-5-years-963463</t>
  </si>
  <si>
    <t xml:space="preserve">Function mix confirmed by the Assurant India careers page (technology, data, finance, HR, operations; GCC supporting technology, analytics and insurance); the specific reinsurance-analytics and customer-contact job ads were not re-opened.</t>
  </si>
  <si>
    <t xml:space="preserve">'India is home to one of Assurant's Global Capability Centers (GCCs), supporting global operations across technology, analytics, and insurance. Whether you're a software engineer, data specialist, finance professional, or early-career talent' (jobs.assurant.com)</t>
  </si>
  <si>
    <t xml:space="preserve">537 India-based employees (Great Place to Work India profile for Assurant Warranty Solutions (India) Pvt Ltd, 2025-26 certification cycle); earlier Tracxn/MCA-derived figure 362 as on 31 Oct 2024; no company-published India figure</t>
  </si>
  <si>
    <t xml:space="preserve">https://www.greatplacetowork.in/great/company/assurant-india
https://tracxn.com/d/legal-entities/india/assurant-warranty-solutions-india-private-limited/__r5ka9531UWhS7ZP4ljO8CwQmcb3znp3eaEjgILbAKtc</t>
  </si>
  <si>
    <t xml:space="preserve">A newer credible figure surfaced: the Great Place to Work India profile lists 537 India-based employees, so it now leads and the older Tracxn 362 (Oct 2024, not re-verified) is retained as the prior data point.</t>
  </si>
  <si>
    <t xml:space="preserve">'The company has 537 India-based employees. ... Assurant India ... has a remote first approach at work with offices in Chennai, Mumbai and Bengaluru' (greatplacetowork.in/great/company/assurant-india)</t>
  </si>
  <si>
    <t xml:space="preserve">Operations / Technology | (Apr 2026) Assurant appointed Harini Kannan (ex-HDFC ERGO) as Country Head - India, with India described as central to growth ambitions across Auto and Consumer Living solutions and a growing Global Capability Centre. || (2025-26) Assurant added India (with the UK and Canada) to its Great Place to Work certified list, now 14 countries, with 97% of India employees surveyed endorsing it; the certified entity is Assurant Warranty Solutions (India) Private Limited (537 India-based employees). || (2026, month n/a) Assurant is recruiting in India across technology, data (e.g. reinsurance accounting and data analytics in Hyderabad), finance, HR and operations in Hyderabad, Bengaluru, Chennai, Gurgaon and Mumbai, with a remote-first model and offices in Chennai, Bengaluru and Mumbai.</t>
  </si>
  <si>
    <t xml:space="preserve">https://hrtoday.in/harini-kannan-appointed-as-country-head-india-at-assurant/
https://jobs.assurant.com/en/blog/latest-news/assurant-adds-the-uk-india-and-canada-to-great-place-to-work-list/
https://jobs.assurant.com/en/locations/india/</t>
  </si>
  <si>
    <t xml:space="preserve">All three bullets confirmed by the HR Today, Assurant careers-blog and GPTW extracts; added the 537-employee figure to bullet 2 and the office/remote-first detail to bullet 3; the GPTW blog date is still not visible so '2025-26' is kept.</t>
  </si>
  <si>
    <t xml:space="preserve">'Canada, India, and the UK are the newest Assurant locations to be certified as a Great Place to Work. 97% of employees surveyed said the same in India ... now Certified as a Great Place to Work in 14 countries' (jobs.assurant.com blog); 'Assurant offers roles in technology, data, finance, HR, operations, and more across Hyderabad, Bengaluru, Chennai, Gurgaon and Mumbai' (jobs.assurant.com)</t>
  </si>
  <si>
    <t xml:space="preserve">40</t>
  </si>
  <si>
    <t xml:space="preserve">https://telanganatoday.com/us-insurance-giant-nationwide-opens-global-services-centre-in-hyderabad; https://www.businessworld.in/article/us-insurer-nationwide-opens-hyderabad-global-services-centre-613994; https://lei.bloomberg.com/leis/view/335800BGE1PXKP9AS169; https://www.uniindia.com/nationwide-opens-first-international-campus-in-hyderabad-to-expand-global-operations/business-economy/news/3902972.html</t>
  </si>
  <si>
    <t xml:space="preserve">Independent search (UNI, NewsBytes, Telangana Today) confirms legal name 'Nationwide Global Services Center Private Limited' branded 'Nationwide India', Hyderabad, Jul 2026; LEI record not re-checked.</t>
  </si>
  <si>
    <t xml:space="preserve">Nationwide ... announced the opening of its first international campus, Nationwide Global Services Center Private Limited, in Hyderabad. The new centre, named Nationwide India, will join the company's existing locations in Columbus, Ohio; Des Moines, Iowa; and Scottsdale, Arizona.</t>
  </si>
  <si>
    <t xml:space="preserve">https://telanganatoday.com/us-insurance-giant-nationwide-opens-global-services-centre-in-hyderabad; https://www.business-standard.com/finance/insurance/us-insurer-nationwide-launches-hyderabad-centre-to-expand-globally-126070801234_1.html; https://www.businessworld.in/article/us-insurer-nationwide-opens-hyderabad-global-services-centre-613994</t>
  </si>
  <si>
    <t xml:space="preserve">Hyderabad as first international campus alongside Columbus/Des Moines/Scottsdale confirmed; Raheja Mindspace address not in extract but consistent with Telangana Today source.</t>
  </si>
  <si>
    <t xml:space="preserve">first international campus ... in Hyderabad ... join the company's existing locations in Columbus, Ohio; Des Moines, Iowa; and Scottsdale, Arizona</t>
  </si>
  <si>
    <t xml:space="preserve">https://telanganatoday.com/us-insurance-giant-nationwide-opens-global-services-centre-in-hyderabad; https://www.businessworld.in/article/us-insurer-nationwide-opens-hyderabad-global-services-centre-613994; https://news.nationwide.com/nationwide-expands-technology-operations-to-fourth-campus/</t>
  </si>
  <si>
    <t xml:space="preserve">Vikas Jaswal confirmed as SVP &amp; MD leading the Hyderabad hub (Jul 2026); no exit news in results.</t>
  </si>
  <si>
    <t xml:space="preserve">Vikas Jaswal will lead the Hyderabad hub as senior vice president and managing director</t>
  </si>
  <si>
    <t xml:space="preserve">Technology and Operations: AI, data analytics, cloud engineering, cybersecurity, software development and digital transformation plus business operations, supporting a 24x7 global operating model for Nationwide's US P&amp;C and Financial businesses</t>
  </si>
  <si>
    <t xml:space="preserve">https://www.businessworld.in/article/us-insurer-nationwide-opens-hyderabad-global-services-centre-613994
https://telanganatoday.com/us-insurance-giant-nationwide-opens-global-services-centre-in-hyderabad
https://news.nationwide.com/nationwide-expands-technology-operations-to-fourth-campus/</t>
  </si>
  <si>
    <t xml:space="preserve">24/7 global operating model, business-function support and innovation/productivity remit confirmed by launch coverage.</t>
  </si>
  <si>
    <t xml:space="preserve">Nationwide India will play a key role in its global 24/7 operating model by building critical capabilities, supporting business functions, and accelerating innovation, decision-making, and productivity</t>
  </si>
  <si>
    <t xml:space="preserve">~60 employees at launch (Jul 2026), with a stated aim to grow past 100 (NewsBytes launch coverage); Nationwide itself disclosed no investment, headcount or hiring targets</t>
  </si>
  <si>
    <t xml:space="preserve">https://www.newsbytesapp.com/news/business/nationwide-opens-1st-international-campus-in-hyderabad-boosting-global-operations/tldr
https://telanganatoday.com/us-insurance-giant-nationwide-opens-global-services-centre-in-hyderabad
https://www.business-standard.com/finance/insurance/us-insurer-nationwide-launches-hyderabad-centre-to-expand-globally-126070801234_1.html</t>
  </si>
  <si>
    <t xml:space="preserve">Search surfaced a credible launch-day figure (60 staff, target 100+) the researcher missed; replaced the unofficial X-post '~500' and dropped the X source.</t>
  </si>
  <si>
    <t xml:space="preserve">The new center started with 60 employees and aims to grow past 100.</t>
  </si>
  <si>
    <t xml:space="preserve">Technology (primary) / Operations | (Jul 2026) On 8 Jul 2026 Nationwide opened Nationwide Global Services Center Pvt Ltd ('Nationwide India') in Hyderabad - its first international campus - to support technology, engineering, digital and business operations on a 24x7 model, with Vikas Jaswal named SVP &amp; MD; the centre started with about 60 employees and aims to exceed 100 (investment not disclosed). || (Jul 2026) Nationwide's newsroom described Hyderabad as its fourth technology campus (after Columbus, Des Moines, Scottsdale), intended to give round-the-clock technology support and reduce reliance on third-party contractors. || (Oct 2025) On 29 Oct 2025 Nationwide announced a $1.5 billion technology and AI investment through 2028, with $100 million a year earmarked for AI over three years - the modernisation programme the Hyderabad centre is built to support. || (Dec 2025) Nationwide named Michael Carrel (30+ years in Nationwide Technology, previously CTO of Nationwide Financial) as enterprise Chief Technology Officer as Jim Fowler left for Lumen Technologies from January 2026; CEO Kirt Walker said Carrel will champion enterprise adoption of AI. || (Jul 2025) Hyderabad press reported Nationwide Mutual (alongside Costco) preparing a GCC at Raheja Mindspace, with operations initially expected by March 2026.</t>
  </si>
  <si>
    <t xml:space="preserve">https://telanganatoday.com/us-insurance-giant-nationwide-opens-global-services-centre-in-hyderabad
https://www.newsbytesapp.com/news/business/nationwide-opens-1st-international-campus-in-hyderabad-boosting-global-operations/tldr
https://news.nationwide.com/nationwide-expands-technology-operations-to-fourth-campus/
https://www.fortune.com/2025/10/29/why-insurer-nationwide-is-investing-1-5-billion-through-2028-on-ai-and-other-tech-initiatives
https://news.nationwide.com/nationwide-appoints-michael-carrel-to-chief-technology-officer-jim-fowler-departs/
https://www.etvbharat.com/en/!state/hyderabad-emerges-as-a-hub-for-global-capability-centers-closes-in-on-bengaluru-enn25072204756</t>
  </si>
  <si>
    <t xml:space="preserve">Bullets 1-4 verified (launch Jul 2026; fourth campus; $1.5bn/$100m-a-year AI plan, Fortune 29 Oct 2025; Carrel named CTO as Fowler left for Lumen from Jan 2026); bullet 1 amended to add the 60-staff launch figure; bullet 5 (Jul 2025 ETV Bharat) not independently checked - budget.</t>
  </si>
  <si>
    <t xml:space="preserve">Nationwide announced a $1.5 billion investment through 2028 ... $100 million allocated annually to advancing artificial intelligence over the next three years | Michael Carrel would serve as the new Chief Technology Officer ... following Jim Fowler who joined Lumen Technologies as Chief Technology and Product Officer beginning in January 2026</t>
  </si>
  <si>
    <t xml:space="preserve">41</t>
  </si>
  <si>
    <t xml:space="preserve">Genworth India GCC (Genworth Financial, USA) </t>
  </si>
  <si>
    <t xml:space="preserve">Genworth Financial India Private Limited (Genworth Financial, USA) - CIN U74140DL2012FTC241864, incorporated 10 Sep 2012</t>
  </si>
  <si>
    <t xml:space="preserve">https://www.zaubacorp.com/GENWORTH-FINANCIAL-INDIA-PRIVATE-LIMITED-U74140DL2012FTC241864
https://www.thecompanycheck.com/company/genworth-financial-india-private-limited/U74140DL2012FTC241864
https://www.dnb.com/business-directory/company-profiles/genworth-financial-india-private-limited.5bc160b88ea837cc57d296d10954074d
https://www.sec.gov/Archives/edgar/data/1276520/000119312523053994/d437995dex21.htm</t>
  </si>
  <si>
    <t xml:space="preserve">Genworth SEC Exhibit 21 (FY2022-FY2025 10-Ks) lists Genworth Financial India Private Limited as an India-domiciled subsidiary; CIN/incorporation date come from MCA mirrors and were not re-surfaced in extracts.</t>
  </si>
  <si>
    <t xml:space="preserve">Genworth Financial India Private Limited is a subsidiary of Genworth Financial, Inc., domiciled in India</t>
  </si>
  <si>
    <t xml:space="preserve">Delhi NCR (Gurugram region)</t>
  </si>
  <si>
    <t xml:space="preserve">Gurugram (Tower A, 1st Floor, DLF Building 9, DLF Phase III); registered office New Delhi (A-47, Lower Ground Floor, Hauz Khas); workforce operates on a permanent work-from-home model</t>
  </si>
  <si>
    <t xml:space="preserve">https://www.zaubacorp.com/GENWORTH-FINANCIAL-INDIA-PRIVATE-LIMITED-U74140DL2012FTC241864
https://cleartax.in/f/company/genworth-financial-india-private-limited/U74140DL2012FTC241864/
https://www.linkedin.com/showcase/genworthindia</t>
  </si>
  <si>
    <t xml:space="preserve">budget - no extract surfaced for the Gurugram/Delhi addresses or the WFH model in the two Genworth queries run.</t>
  </si>
  <si>
    <t xml:space="preserve">The registered address is A-47, Lower Ground Floor, Hauz Khaz Delhi</t>
  </si>
  <si>
    <t xml:space="preserve">Bijal Shah Country Head &amp; GCC Leader
[Oct'26 re-check – existing text could not be independently verified] Two targeted searches ('Bijal Shah' Genworth India; with Country Head) returned no extract linking Bijal Shah to Genworth - only an unrelated Bijal Shah (Lumenis India country manager, 2018); </t>
  </si>
  <si>
    <t xml:space="preserve">Two targeted searches ('Bijal Shah' Genworth India; with Country Head) returned no extract linking Bijal Shah to Genworth - only an unrelated Bijal Shah (Lumenis India country manager, 2018); a qorpiq director page surfaced but without readable content. Client should confirm directly on LinkedIn before use.</t>
  </si>
  <si>
    <t xml:space="preserve">the results don't show a direct connection between Bijal Shah and Genworth India</t>
  </si>
  <si>
    <t xml:space="preserve">IT, Operations, Finance and Sourcing
https://www.linkedin.com/showcase/genworthindia</t>
  </si>
  <si>
    <t xml:space="preserve">Technology (application development/IT solutions for Genworth US businesses), Operations (long-term-care claims processing, customer service) and Finance (Finance Lead and Associate Accountant roles advertised in India, 2026); Sourcing not independently evidenced</t>
  </si>
  <si>
    <t xml:space="preserve">https://www.linkedin.com/showcase/genworthindia
https://www.linkedin.com/in/asif-kazi-a70a1355/
https://builtinbengaluru.in/job/finance-lead/3082704
https://builtinbengaluru.in/job/associate-accountant/3082701</t>
  </si>
  <si>
    <t xml:space="preserve">budget - function mix (tech/claims/finance roles) not independently checked.</t>
  </si>
  <si>
    <t xml:space="preserve">Asif Kazi - Senior Claims Analyst - Genworth; Genworth ... Finance Lead; Associate Accountant</t>
  </si>
  <si>
    <t xml:space="preserve">51-200 
https://in.linkedin.com/showcase/genworthindia/
[Oct'26 re-check – existing text could not be independently verified] Researcher admitted the '135 employees' page could not be pinned; targeted search by CIN returned only SEC subsidiary lists with no headcount, so the figure is unproven.</t>
  </si>
  <si>
    <t xml:space="preserve">Researcher admitted the '135 employees' page could not be pinned; targeted search by CIN returned only SEC subsidiary lists with no headcount, so the figure is unproven.</t>
  </si>
  <si>
    <t xml:space="preserve">search results do not contain specific information about the company's employees, directors</t>
  </si>
  <si>
    <t xml:space="preserve">Technology / Operations (with Finance support roles) | (Sep 2025) Genworth Financial India Pvt Ltd held its AGM on 18 Sep 2025 and filed FY25 accounts (balance sheet 31 Mar 2025), confirming the Gurugram entity remains active in the business-outsourcing line. || (Oct 2025) Parent Genworth's CareScout subsidiary announced (15 Oct 2025) and completed (31 Oct 2025) the ~$15 million acquisition of Seniorly to build direct-to-consumer long-term-care navigation technology - a product/tech push the India technology team supports. || (2026, month n/a) Genworth India's LinkedIn showcase positions the unit as a growing GCC delivering technology solutions and customer service to Genworth's US businesses on a permanent work-from-home model. || (2026, month n/a) Genworth advertised India-based Finance Lead and Associate Accountant roles, indicating finance/accounting work is also being placed in the India centre.</t>
  </si>
  <si>
    <t xml:space="preserve">https://www.tofler.in/genworth-financial-india-private-limited/company/U74140DL2012FTC241864
https://www.nasdaq.com/press-release/carescout-completes-acquisition-seniorly-2025-10-31
https://www.linkedin.com/showcase/genworthindia
https://builtinbengaluru.in/job/finance-lead/3082704</t>
  </si>
  <si>
    <t xml:space="preserve">Bullet 2 verified (CareScout acquired Seniorly 31 Oct 2025, ~$15m from holding-company cash, per Genworth 10-K/press coverage); bullets 1, 3 and 4 not independently checked - budget.</t>
  </si>
  <si>
    <t xml:space="preserve">CareScout acquired Seniorly on October 31, 2025 ... funded from Genworth's holding company cash for approximately $15 million</t>
  </si>
  <si>
    <t xml:space="preserve">46</t>
  </si>
  <si>
    <t xml:space="preserve">Voya India (Voya Global Services Private Limited, formerly VFI SLK Global Services Private Limited)</t>
  </si>
  <si>
    <t xml:space="preserve">NEW ROW</t>
  </si>
  <si>
    <t xml:space="preserve">{"group": "Voya Financial (USA; employee benefits/group life &amp; disability, retirement, investment management)", "cities": "Bengaluru (HQ, Manyata Embassy Business Park); Hyderabad (new GCC at Raheja Mindspace IT Park, launched 2026)", "functions": "Technology, data/AI, operations for Voya Health (employee benefits), Wealth (retirement) and Investment Management; described as Voya's strategic Global Capability Centre", "headcount": "3,000+ across Bengaluru and Hyderabad (2026, per ssfglobal/ET-Edge GCC coverage); ~3,132 (Mar 2026, Revelio Labs, wave 1)", "india_head": "Sharada Nandakumar, President &amp; CEO, Voya India (confirmed: gcc.et-edge.com profile and ssfglobal.in Hyderabad launch coverage)", "established": "2019 (as VFI SLK JV with SLK Software; later wholly owned and renamed Voya Global Services)"}</t>
  </si>
  <si>
    <t xml:space="preserve">Two searches: gcc.et-edge profile confirms Sharada Nandakumar as President &amp; CEO, Voya India; ssfglobal confirms new Hyderabad GCC at Raheja Mindspace IT Park alongside Bengaluru hub with 3,000+ staff and the Health/Wealth/Investment Management scope; India head question answered.</t>
  </si>
  <si>
    <t xml:space="preserve">new Global Capability Centre (GCC) in Hyderabad... Raheja Mindspace IT Park... over 3,000 professionals across India. Under the leadership of Sharada Nandakumar, President and CEO</t>
  </si>
  <si>
    <t xml:space="preserve">47</t>
  </si>
  <si>
    <t xml:space="preserve">Allianz Technology SE (India) - distinct legal entity from Allianz Services Private Limited, which is already in the tracker</t>
  </si>
  <si>
    <t xml:space="preserve">{"group": "Allianz SE (Germany) - Allianz Technology SE", "cities": "Pune and Trivandrum (Technopark; India HQ)", "functions": "Technology: application development, AI/ML, data, engineering, R&amp;D; Allianz's global IT provider", "headcount": "3,500+ (company 'About us' page, 2025-26); 3,400 cited by Coverager earlier", "india_head": "not captured for Allianz Technology India (no MD/country-head title found). Context: Ritu Arora appointed Allianz Country Head of India, group level, 16 Oct 2025 (exchange4media/reinasia) - not the Allianz Technology GCC head; Mansi Nigam is CPCO India from March 2026 (sightsinplus); global CEO Agostino Ferrara.", "established": "not captured (Technopark Trivandrum listing; long-standing)"}</t>
  </si>
  <si>
    <t xml:space="preserve">tech.allianz.com confirms '3500+ strong' team in Pune and Trivandrum and sightsinplus confirms Mansi Nigam as CPCO India from March 2026; no Allianz Technology India MD/country head surfaced in two searches - Ritu Arora (Country Head of India, Allianz group, Oct 2025) is a group-level role and is flagged as such, not presented as GCC head.</t>
  </si>
  <si>
    <t xml:space="preserve">Allianz Technology in India is a 3500+ strong squad... In India, they have presence in Pune and Trivandrum.</t>
  </si>
  <si>
    <t xml:space="preserve">48</t>
  </si>
  <si>
    <t xml:space="preserve">Ameriprise India LLP</t>
  </si>
  <si>
    <t xml:space="preserve">{"group": "Ameriprise Financial (USA; RiverSource life/annuity insurance arm plus wealth and asset management)", "cities": "Gurugram (Udyog Vihar, since 2005); Noida (Embassy Oxygen Business Park, since Jan 2018); Hyderabad (operational Feb 2025)", "functions": "Technology, Business Analytics, Finance Operations, Legal &amp; Compliance Services, Asset Management and Advice &amp; Wealth Management support for the U.S., the UK, EMEA and APAC (company careers page)", "headcount": "3,400+ (company careers page, 2025-26)", "india_head": "not captured (two targeted searches returned no MD/country-head name for Ameriprise India LLP)", "established": "2005 (Gurugram, started with 14 employees)"}</t>
  </si>
  <si>
    <t xml:space="preserve">Company careers pages confirm Gurugram 2005 (14 employees at start), Noida Jan 2018, Hyderabad Feb 2025 and 'over 3400 employees'; functions amended to add EMEA/APAC support per careers page; India head not found in two searches (no MD/country-head name surfaced).</t>
  </si>
  <si>
    <t xml:space="preserve">With over 3400 employees in India... first India office in 2005 in Gurugram... January 2018, the second site in Noida... February 2025, the third site in Hyderabad</t>
  </si>
  <si>
    <t xml:space="preserve">49</t>
  </si>
  <si>
    <t xml:space="preserve">FNF India Private Limited</t>
  </si>
  <si>
    <t xml:space="preserve">{"group": "Fidelity National Financial (USA; title insurer)", "cities": "Bengaluru", "functions": "Global captive service centre for all FNF family companies: business process, knowledge-based and technology services for US title/settlement operations", "headcount": "~3,817 (Revelio Labs, 2026); 'close to 4,000' (Great Place to Work profile); et-edge speaker profile of the MD claims growth to 5,000 'across multiple locations' (unverified, may include non-Bengaluru sites)", "india_head": "George Inasu, Managing Director &amp; Country Head, FNF India (gcc.et-edge.com 2025 Bangalore speaker profile; ssonetwork.com)", "established": "2005 (services start, per GPTW profile); FNF India Private Limited incorporated 2 Jan 2007 (Zauba/MCA CIN U72900KA2007PTC041356)"}</t>
  </si>
  <si>
    <t xml:space="preserve">GPTW profile confirms captive since 2005 with 'close to 4000 employees' and Revelio 3,817; India head found: George Inasu, Managing Director &amp; Country Head, FNF India (gcc.et-edge 2025 speaker profile, ssonetwork); MCA/Zauba shows FNF India Private Limited incorporated 2 Jan 2007, so 'established' amended to distinguish operations start (2005) from incorporation.</t>
  </si>
  <si>
    <t xml:space="preserve">George Inasu is the Managing Director and Country Head at Fidelity National Financial India... growing the workforce from 150 to 5,000 employees across multiple locations</t>
  </si>
  <si>
    <t xml:space="preserve">50</t>
  </si>
  <si>
    <t xml:space="preserve">AXA XL Insurance - India Reinsurance Branch (XL)
</t>
  </si>
  <si>
    <t xml:space="preserve">XL Insurance Company SE - India Reinsurance Branch (AXA XL, AXA Group); IRDAI foreign reinsurance branch Reg. No. FRB/007 (MCA foreign-company no. F06169), operating since Apr 2017. NOTE: IRDAI-regulated reinsurance branch, not a GCC. AXA's separate India GCC is AXA Global Business Services Pvt Ltd (AXA GBS), Bengaluru/Pune</t>
  </si>
  <si>
    <t xml:space="preserve">https://axaxl.com/reinsurance/our-companies/xl-insurance-company-se
https://irdai.gov.in/list-of-reinsurer-branches
https://cxotoday.com/press-release/axa-global-business-services-embarks-on-a-new-era-of-transformation-as-it-celebrates-30-years-in-india/</t>
  </si>
  <si>
    <t xml:space="preserve">Entity, AXA parentage and Apr 2017 start confirmed on axaxl.com; added IRDAI registration FRB/007 and MCA no. F06169 from the same source.</t>
  </si>
  <si>
    <t xml:space="preserve">XL Insurance Company SE – India Reinsurance Branch, IRDAI Registration number FRB/007, Ministry of Corporate affairs of India Registration number F06169 ... The Branch started its operations in April 2017</t>
  </si>
  <si>
    <t xml:space="preserve">Mumbai
Bengaluru &amp; Pune</t>
  </si>
  <si>
    <t xml:space="preserve">Branch: Mumbai only (Unit 608, 6th Floor, INS Tower A Wing, Plot C-63, G Block, Bandra Kurla Complex, Mumbai 400051). Bengaluru (HQ) and Pune belong to the separate GCC entity AXA Global Business Services Pvt Ltd</t>
  </si>
  <si>
    <t xml:space="preserve">https://axaxl.com/reinsurance/our-companies/xl-insurance-company-se
https://axaxl.com/search/locations?country=india
https://www.axagbs.com/press-release/axa-unveils-state-of-the-art-office-space-in-pune-expands-its-global-business-services-center</t>
  </si>
  <si>
    <t xml:space="preserve">Mumbai BKC address matches axaxl.com extract exactly.</t>
  </si>
  <si>
    <t xml:space="preserve">located at Unit No. 608, 6th Floor, INS Tower, A Wing, Plot No. C-63, 'G' Block, Bandra Kurla Complex, Mumbai, India – 400051</t>
  </si>
  <si>
    <t xml:space="preserve">Branch: Alok Shukla, CEO, XL Insurance Company SE - India Reinsurance Branch (assumed role 1 Apr 2025; succeeded Joseph Augustine). CUO: Saumitra Sharma (joined 12 May 2025 from Swiss Re). AXA GBS (GCC): Michele Rochefort, CEO (since 2022; confirmed in Feb 2025 release) - a reported mid-2026 succession by Eric Berger (ex-DG, AXA Services Maroc) is not independently confirmed</t>
  </si>
  <si>
    <t xml:space="preserve">https://www.reinsurancene.ws/alok-shukla-named-ceo-of-xl-insurance-india-reinsurance-branch/
https://axaxl.com/press-releases/axa-xl-strengthens-team-in-india-with-key-appointments
https://www.insurancebusinessmag.com/asia/news/breaking-news/axa-xl-builds-india-bench-with-strategic-appointments-535759.aspx
https://cxotoday.com/press-release/axa-global-business-services-embarks-on-a-new-era-of-transformation-as-it-celebrates-30-years-in-india/</t>
  </si>
  <si>
    <t xml:space="preserve">Shukla (CEO from 1 Apr 2025) and Sharma (CUO from 12 May 2025) verified on axaxl.com/Reinsurance News; the Eric Berger AXA GBS CEO claim found no supporting extract (search shows only Rochefort as CEO since 2022 and Berger as former DG of AXA Services Maroc to Sep 2024), so the GBS leader reverted to Rochefort with the Berger succession flagged unconfirmed.</t>
  </si>
  <si>
    <t xml:space="preserve">Alok Shukla officially assumed the role of Chief Executive Officer of XL Insurance Company SE – India Reinsurance Branch on April 1, 2025 ... Saumitra Sharma ... joined AXA XL on May 12th, 2025, as Chief Underwriting Officer from Swiss Re | Michele Rochefort has been serving as CEO of AXA Global Business Services since 2022 | Eric Berger was the previous general director of AXA Services Maroc, before being succeeded by Thierry Goument ... September 1, 2024</t>
  </si>
  <si>
    <t xml:space="preserve">https://axaxl.com/reinsurance/our-companies/xl-insurance-company-se; https://cxotoday.com/press-release/axa-global-business-services-embarks-on-a-new-era-of-transformation-as-it-celebrates-30-years-in-india/</t>
  </si>
  <si>
    <t xml:space="preserve">Branch remit (reinsurance services to general insurers in India since Apr 2017) confirmed on axaxl.com; AXA GBS technology/automation/AI positioning confirmed in the Feb 2025 30-year release (CXOToday/APAC News Network).</t>
  </si>
  <si>
    <t xml:space="preserve">offering reinsurance services to general Insurers in India</t>
  </si>
  <si>
    <t xml:space="preserve">Two wave-2 searches (XL Insurance Company SE India branch 2026; AXA Global Business Services India employees 2026) found no branch FTE figure; AXA XL publishes only named appointments. The 8,945 AXA-India figure is a Revelio Labs model covering all AXA entities in India, not the GBS GCC alone, so it is listed second. The wave-1 unattributed '2,182 India employees' figure remains unused.</t>
  </si>
  <si>
    <t xml:space="preserve">AXA GBS 4,000+ (Feb 2025) confirmed by the 30-year release; removed the Revelio 'AXA India 8,945' estimate because it was not re-surfaced and covers all AXA entities, not the GCC.</t>
  </si>
  <si>
    <t xml:space="preserve">AXA GBS has a workforce of over 4,000 professionals across Bangalore, Pune, the UK, and Morocco</t>
  </si>
  <si>
    <t xml:space="preserve">Operations (branch underwriting build-out) / Technology (AXA GBS GCC automation, data and AI) | (Apr 2025) Alok Shukla assumed the role of CEO of XL Insurance Company SE - India Reinsurance Branch on 1 Apr 2025, replacing Joseph Augustine, with a brief to grow the reinsurance book from Mumbai. || (May 2025) AXA XL strengthened the India branch with Saumitra Sharma (ex-Swiss Re) as Chief Underwriting Officer from 12 May 2025 and Akash Jain as Underwriting Assistant from 14 May 2025, plus property underwriting, claims and underwriting-support hires. || (Feb 2025) AXA GBS marked 30 years in India with 4,000+ staff across Bangalore, Pune, UK and Morocco and a shift from transactional work to an output-based model centred on technology, automation, data analytics and AI, anchored by its new Pune office for a 4,000-strong India team.</t>
  </si>
  <si>
    <t xml:space="preserve">https://www.reinsurancene.ws/alok-shukla-named-ceo-of-xl-insurance-india-reinsurance-branch/
https://axaxl.com/press-releases/axa-xl-strengthens-team-in-india-with-key-appointments
https://cxotoday.com/press-release/axa-global-business-services-embarks-on-a-new-era-of-transformation-as-it-celebrates-30-years-in-india/
https://www.reinsurancene.ws/axa-xl-bolsters-indian-team-with-several-senior-appointments/</t>
  </si>
  <si>
    <t xml:space="preserve">Removed the unconfirmed Jun 2026 Eric Berger bullet; Apr 2025 (Shukla), May 2025 (Sharma/Jain hires) and Feb 2025 (AXA GBS 30 years, 4,000+ staff, Pune office) bullets verified against axaxl.com, Reinsurance News and the AXA GBS release.</t>
  </si>
  <si>
    <t xml:space="preserve">Alok Shukla officially assumed the role ... on April 1, 2025 | Saumitra Sharma ... joined AXA XL on May 12th, 2025 | AXA GBS has a workforce of over 4,000 professionals</t>
  </si>
  <si>
    <t xml:space="preserve">51</t>
  </si>
  <si>
    <t xml:space="preserve">Empower Global Business Services India Private Limited (formerly Great-West Global Business Services India Pvt Ltd; Empower Annuity Insurance Company of America / Great-West Lifeco) - CIN U74900KA2014FTC077522, incorporated 2 Dec 2014. NOTE: GCC of a US retirement-plan recordkeeper, not a reinsurance branch or broker; should move out of the reinsurance section</t>
  </si>
  <si>
    <t xml:space="preserve">https://tracxn.com/d/legal-entities/india/empower-global-business-services-india-private-limited/__UHD-bRAFkVn6Gm50sKg0VoBBjJsA3HQ52LwiChoKh9w
https://www.thecompanycheck.com/company/empower-global-business-services-india-private-limited/U74900KA2014FTC077522
https://indialei.in/detailed-information/277772/254900XP426OOHV1FM18/empower-global-business-services-india-private-limited/</t>
  </si>
  <si>
    <t xml:space="preserve">budget - search for the quoted legal name returned the Bengaluru address but no extract confirming 'Empower Global Business Services India Private Limited', the Great-West rename, CIN or LEI.</t>
  </si>
  <si>
    <t xml:space="preserve">Empower Global Business Services India Private Limited - 254900XP426OOHV1FM18 (Issued) - India LEI; Empower Global Business Services India Private Limited - FY 2026 Profile</t>
  </si>
  <si>
    <t xml:space="preserve">https://jobs.empower.com/india; https://www.reveliolabs.com/companies/empower-india/employees/; https://www.glassdoor.com/Location/Empower-Retirement-Bengaluru-Location-EI_IE25742.0,18_IL.19,28_IC2940587.htm; https://builtinbengaluru.in/job/lead-business-analyst/10425858</t>
  </si>
  <si>
    <t xml:space="preserve">Embassy Tech Village SEZ, Block 2A, Devarabisanahalli, ORR 560103 confirmed via Empower job listing extract.</t>
  </si>
  <si>
    <t xml:space="preserve">Empower has an office located at Embassy Tech Village SEZ, Block 2A, Devarabisanahalli, Outer Ring Road, Bengaluru, India, 560103</t>
  </si>
  <si>
    <t xml:space="preserve">Two wave-2 searches targeted the India leader. The Empower India careers page extract names Shilpy Sharma as Country Head; the Humantic and RocketReach profiles call her Regional HR Head APAC with expertise in building GCCs and credit her with Empower's Top Employer certification (2024-2025). Possible that the careers page features the HR head rather than the site MD - flag for client confirmation on LinkedIn. Confidence low-medium.</t>
  </si>
  <si>
    <t xml:space="preserve">Independent search for Shilpy Sharma 'Country Head' returned only her Regional HR Head APAC profile; the site-leader claim is unsupported, so the entry now states the HR role and flags the country-head title as unconfirmed.</t>
  </si>
  <si>
    <t xml:space="preserve">Shilpy Sharma ... currently serving as the Regional HR Head for APAC at Empower ... proven expertise in building Global Capability Centers ... Top Employer certification for two consecutive years (2024-2025)</t>
  </si>
  <si>
    <t xml:space="preserve">1.Engineering
2.Sales &amp; Marketing
3.Finance and Ops
https://www.reveliolabs.com/companies/empower-india/employees</t>
  </si>
  <si>
    <t xml:space="preserve">Technology (software engineering, data engineering/streaming, DevOps, site reliability, quality engineering - majority of open India roles, Oct 2026), Operations (transition management / PMO analysts and similar) and HR; provides 24x7 technology support to Empower US. Sales &amp; Marketing not evidenced</t>
  </si>
  <si>
    <t xml:space="preserve">https://jobs.empower.com/india
https://jobs.empower.com/job/bengaluru/sr-analyst-transition-mgmt-and-pmo/42743/90573714496
https://in.linkedin.com/company/empower-india</t>
  </si>
  <si>
    <t xml:space="preserve">budget - only a Lead Business Analyst Bengaluru posting surfaced; the 56-of-77 technology-role mix and PMO posting not re-checked.</t>
  </si>
  <si>
    <t xml:space="preserve">jobs.empower.com ... bengaluru/sr-analyst-transition-mgmt-and-pmo</t>
  </si>
  <si>
    <t xml:space="preserve">735,Apr'26
https://www.reveliolabs.com/companies/empower-india/employees</t>
  </si>
  <si>
    <t xml:space="preserve">~705 (Revelio Labs estimate, Dec 2025 update; 2025 average 704, +18.9% vs 2024). No company-published figure</t>
  </si>
  <si>
    <t xml:space="preserve">https://www.reveliolabs.com/companies/empower-india/employees/</t>
  </si>
  <si>
    <t xml:space="preserve">Revelio Labs page confirms 705 employees, 18.9% YoY growth, last updated Dec 2025; no company-published figure found.</t>
  </si>
  <si>
    <t xml:space="preserve">Empower India has 705 employees, according to Revelio Labs workforce intelligence data ... YoY growth rate is 18.9% ... last updated in December 2025</t>
  </si>
  <si>
    <t xml:space="preserve">Technology | (Oct 2026) Empower's careers site listed 77 open India positions, 56 of them in Technology (senior/principal software engineers, data streaming, DevOps, SRE, quality engineering), with postings dated 30 Sep and 5 Oct 2026 - an engineering-led build-out in Bengaluru. || (Dec 2025) Revelio Labs estimated Empower India headcount at about 705, with 2025 average headcount up 18.9% on 2024, indicating sustained growth of the Bengaluru centre. || (2026, month n/a) Empower's India careers page highlights its Bengaluru team and India Top Employer recognition; Shilpy Sharma (Regional HR Head, APAC) is credited with the certification; the company's LinkedIn page describes round-the-clock technology support to the US business.</t>
  </si>
  <si>
    <t xml:space="preserve">https://jobs.empower.com/india-jobs
https://www.reveliolabs.com/companies/empower-india/employees/
https://jobs.empower.com/india</t>
  </si>
  <si>
    <t xml:space="preserve">Bullet 2 (Revelio 705, Dec 2025, +18.9%) verified; bullet 3 amended to drop the unconfirmed 'India country lead' description; bullet 1 (77 open roles, Oct 2026) not re-checked - budget.</t>
  </si>
  <si>
    <t xml:space="preserve">Empower India has 705 employees ... YoY growth rate is 18.9% ... last updated in December 2025</t>
  </si>
  <si>
    <t xml:space="preserve">52</t>
  </si>
  <si>
    <t xml:space="preserve">https://www.genre.com/content/dam/generalreinsuranceprogram/documents/grin-public-disclosure2324-en.pdf; https://www.businesswire.com/news/home/20170514005025/en/Gen-Re-Receives-Reinsurance-Branch-License-in-India; https://irdai.gov.in/list-of-reinsurer-branches; https://www.intelligentinsurer.com/news/gen-re-gets-approval-for-reinsurance-branch-in-india-appoints-ceo-11934; https://esi.in/finance/insurance/reinsurer-branches/general-reinsurance-ag-india-branch/</t>
  </si>
  <si>
    <t xml:space="preserve">'General Reinsurance AG - India Branch' confirmed on the IRDAI reinsurer-branch register mirror and 2017 Berkshire/IRDAI Mumbai approval coverage; FRB/008 number not shown in extract but consistent with Gen Re's own disclosure title.</t>
  </si>
  <si>
    <t xml:space="preserve">General Reinsurance AG, which is owned by Warren Buffett's Berkshire Hathaway, has received final approval from the Insurance Regulation and Development Authority of India (IRDAI) to open a Mumbai branch ... listed on IRDAI's reinsurer branches register</t>
  </si>
  <si>
    <t xml:space="preserve">https://www.genre.com/us/contactus/branch/asia/mumbai; https://tracxn.com/d/companies/genre/__0iddnuK_PE71me5huTKqCkDdn6lmWF5XiLkfvrYUjIk</t>
  </si>
  <si>
    <t xml:space="preserve">Dynasty Business Park, Andheri East address confirmed by search extract.</t>
  </si>
  <si>
    <t xml:space="preserve">located at Units 105-108, B Wing Dynasty Business Park, Andheri Kurla Road, Andheri (East), Mumbai 400 059</t>
  </si>
  <si>
    <t xml:space="preserve">Vijay Mudaliar, Chief Executive Officer / Principal Officer, General Reinsurance AG - India Branch (Mumbai); founding CEO at the 2017 launch was Venkatesh N. Chakravarty</t>
  </si>
  <si>
    <t xml:space="preserve">https://www.genre.com/us/contactus/branch/asia/mumbai
https://www.zoominfo.com/p/Vijay-Mudaliar/9404671668
https://www.genre.com/content/dam/generalreinsuranceprogram/documents/grin-public-disclosure2324-en.pdf
https://esi.in/finance/insurance/reinsurer-branches/general-reinsurance-ag-india-branch/</t>
  </si>
  <si>
    <t xml:space="preserve">Mudaliar confirmed as Principal Officer/CEO on the IRDAI branch-register mirror; added that the 2017 founding CEO was Venkatesh Chakravarty so the client is not confused by older coverage. No 2026 exit news found.</t>
  </si>
  <si>
    <t xml:space="preserve">Vijay Mudaliar is the Principal Officer/CEO of General Reinsurance AG - India Branch | Venkatesh N. Chakravarty ... leads the new branch as Chief Executive Officer (CEO) [2017]</t>
  </si>
  <si>
    <t xml:space="preserve">Life &amp; Health and Property &amp; Casualty reinsurance (treaty and facultative) for Indian insurers, with L&amp;H the historical core (Gen Re served India's L&amp;H market for 15 years before the branch) and P&amp;C growth being explored; includes product and business development support</t>
  </si>
  <si>
    <t xml:space="preserve">https://www.genre.com/us/contactus/branch/asia/mumbai
https://www.insurancebusinessmag.com/asia/news/breaking-news/warren-buffetbacked-gen-re-commences-india-operations-76512.aspx
https://www.businesswire.com/news/home/20170514005025/en/Gen-Re-Receives-Reinsurance-Branch-License-in-India</t>
  </si>
  <si>
    <t xml:space="preserve">L&amp;H as historical core plus P&amp;C confirmed (2017 launch: CEO also ran L&amp;H, Nighat Khan led P&amp;C).</t>
  </si>
  <si>
    <t xml:space="preserve">leads the new branch as Chief Executive Officer (CEO), and also assumes responsibility for Life &amp; Health business operations. The Property/Casualty business is led by Nighat Khan</t>
  </si>
  <si>
    <t xml:space="preserve">Two wave-2 searches ('Gen Re' India branch Mumbai 2026 Vijay Mudaliar employees; 'Gen Re' India 2026 OR 2025 announcement) returned no headcount in IRDAI disclosures, genre.com, Tracxn or news. Branch is a small underwriting/actuarial team.</t>
  </si>
  <si>
    <t xml:space="preserve">No headcount surfaced in any Gen Re India result; 'Not disclosed' stands.</t>
  </si>
  <si>
    <t xml:space="preserve">Operations (reinsurance underwriting; Life &amp; Health core) | (Jul 2026) On 31 Jul 2026 Bajaj Finserv's board approved entry into reinsurance via a wholly owned subsidiary, the third private player targeting India's reinsurance market in about a year - sharpening competition for foreign branches such as Gen Re. || (Jan 2025) Aon launched an India Life &amp; Health reinsurance practice and hired Neha Shah from Gen Re India as chief actuary - evidence of Gen Re India's role as a talent pool in the growing L&amp;H reinsurance market. || (2024, FY2023-24 filing) Gen Re India's IRDAI public disclosure for FRB/008 continued to list Vijay Mudaliar as CEO, with the Mumbai branch active in L&amp;H and P&amp;C reinsurance. || (2026, month n/a) Gen Re's Mumbai branch page continues to show Vijay Mudaliar as CEO at Dynasty Business Park, Andheri East; no new India appointment, expansion or product announcement was found for 2025-2026.</t>
  </si>
  <si>
    <t xml:space="preserve">https://www.insurancebusinessmag.com/reinsurance/news/breaking-news/bajaj-finserv-targets-reinsurance-entry-as-indias-private-market-expands-584521.aspx
https://aon.mediaroom.com/news-releases?item=138414
https://www.genre.com/content/dam/generalreinsuranceprogram/documents/grin-public-disclosure2324-en.pdf
https://www.genre.com/us/contactus/branch/asia/mumbai</t>
  </si>
  <si>
    <t xml:space="preserve">Bullets 3-4 consistent with the verified CEO/address facts; bullets 1 (Bajaj Finserv reinsurance entry, Jul 2026) and 2 (Aon L&amp;H practice / Neha Shah, Jan 2025) not independently checked - budget. Note bullet 1 is market context, not Gen Re-specific news.</t>
  </si>
  <si>
    <t xml:space="preserve">53</t>
  </si>
  <si>
    <t xml:space="preserve">https://www.lloyds.com/india; https://www.lloyds.com/india-financials-2025; https://irdai.gov.in/list-of-reinsurer-branches; https://www.reinsurancene.ws/lloyds-reported-to-have-applied-to-set-up-in-indias-gift-city/</t>
  </si>
  <si>
    <t xml:space="preserve">Lloyd's India NL-form financials and the Apr 2017 branch opening (MS Amlin first syndicate) confirmed; GIFT City status softened because independent results (Reinsurance News, lloyds.com) describe a March 2026 application 'under process' and an expectation to be operational in 2026, so the 'authorised Mar 2026' wording is attributed to The Insurer rather than stated as fact.</t>
  </si>
  <si>
    <t xml:space="preserve">Lloyd's has applied for the establishment of a statutory insurance and reinsurance corporation, with the proposal currently 'under process' | Lloyd's expects to be authorised and operational in GIFT City in 2026</t>
  </si>
  <si>
    <t xml:space="preserve">https://www.lloyds.com/india; https://www.theinsurer.com/ti/news/lloyds-receives-india-gift-city-license-approval-2026-03-25/; https://www.businessinsurance.com/lloyds-plans-new-operation-in-indias-gift-city/</t>
  </si>
  <si>
    <t xml:space="preserve">Mumbai confirmed; GIFT City retained as second location but with the authorisation date caveated per the conflicting March 2026 reports.</t>
  </si>
  <si>
    <t xml:space="preserve">Lloyd's has reportedly applied to set up operations at GIFT City ... proposal currently 'under process'</t>
  </si>
  <si>
    <t xml:space="preserve">Shefali Sehwani, CEO &amp; Country Manager, Lloyd's India (announced 18 Jan 2026; promoted from CFO, in which role she joined in 2018; succeeded Shankar Garigiparthy, CEO 2017-2025)</t>
  </si>
  <si>
    <t xml:space="preserve">https://asiainsurancepost.com/archives/75498
https://www.lloyds.com/india
https://x.com/BombayChamber/status/2057708286405972364
https://www.linkedin.com/in/shefali-sehwani-4a8b9898/</t>
  </si>
  <si>
    <t xml:space="preserve">Asia Insurance Post and LinkedIn confirm Shefali Sehwani (ex-CFO, chartered accountant, ex-ICICI Lombard) succeeded Shankar Garigiparthy (CEO since 2017) as CEO &amp; Country Manager; 18 Jan 2026 date is the researcher's from the same article; no exit news.</t>
  </si>
  <si>
    <t xml:space="preserve">She was promoted from her earlier position as chief financial officer in Lloyd's India office to become the new country manager and CEO. Sehwani succeeded Shankar Gargipathy, who was Lloyd's India CEO since 2017</t>
  </si>
  <si>
    <t xml:space="preserve">Onshore reinsurance platform: Lloyd's managing agents set up service companies on the Lloyd's India platform (e.g. MS Amlin first in 2017; Markel) to underwrite reinsurance onshore; Lloyd's India provides regulatory, compliance, finance and market-access functions. GIFT City licence lets managing agents set up service companies in GIFT and underwrite business there (first user: Niyam Syndicate 2047, from 1 Apr 2026)</t>
  </si>
  <si>
    <t xml:space="preserve">https://www.lloyds.com/india
https://www.reinsurancene.ws/lloyds-india-branch-opens-welcomes-ms-amlin-first-syndicate/
https://tools.prnewswire.com/en-us/live/20823/release/20260331EN22212
https://beinsure.com/news/niyam-syndicate-2047-draws-lloyds-reinsurance-interest-in-gift-city/</t>
  </si>
  <si>
    <t xml:space="preserve">MS Amlin as first syndicate (2017), the service-company model and Niyam Syndicate 2047 underwriting from 1 Apr 2026 as first Lloyd's syndicate in GIFT City all confirmed; lloyds.com extract confirms the GIFT licence lets managing agents set up service companies there.</t>
  </si>
  <si>
    <t xml:space="preserve">Syndicate 2047 began underwriting on April 1, 2026, and is the first Lloyd's syndicate established in GIFT City | The licence allows Lloyd's managing agents to set up a service company in GIFT City, India, and underwrite business in GIFT</t>
  </si>
  <si>
    <t xml:space="preserve">Two wave-2 Lloyd's India searches returned no headcount (lloyds.com/india, FY2025 NL-form financials index, Asia Insurance Post, Reinsurance News, Business Insurance).</t>
  </si>
  <si>
    <t xml:space="preserve">No headcount surfaced in any Lloyd's India result; 'Not disclosed' stands.</t>
  </si>
  <si>
    <t xml:space="preserve">Operations (market-access and platform expansion) | (Jan 2026) On 18 Jan 2026 Lloyd's India announced that CFO Shefali Sehwani had been promoted to CEO &amp; Country Manager, succeeding Shankar Garigiparthy who had led the India platform since 2017. || (Mar 2026) Lloyd's moved to establish a GIFT City platform separate from and in addition to Mumbai: IFSCA described its application as 'under process' in March 2026 and The Insurer reported approval on 25 Mar 2026; Lloyd's says it expects to be authorised and operational in GIFT City in 2026, allowing managing agents to set up service companies and underwrite from GIFT. || (Apr 2026) Niyam Syndicate 2047 (J.C. Flowers-backed; Polo as managing agent per Insurance Business) began underwriting on 1 Apr 2026 as the first Lloyd's syndicate established in GIFT City, having received Lloyd's in-principle approval in Jan 2026. || (May 2026) Shefali Sehwani spoke as CEO &amp; Country Manager of Lloyd's India at the Bombay Chamber Insurance Summit (29 May 2026) on the changing reinsurance landscape.</t>
  </si>
  <si>
    <t xml:space="preserve">https://asiainsurancepost.com/archives/75498
https://www.theinsurer.com/ti/news/lloyds-receives-india-gift-city-license-approval-2026-03-25/
https://tools.prnewswire.com/en-us/live/20823/release/20260331EN22212
https://x.com/BombayChamber/status/2057708286405972364
https://www.reinsurancene.ws/lloyds-reported-to-have-applied-to-set-up-in-indias-gift-city/
https://www.insurancebusinessmag.com/asia/news/breaking-news/polo-backs-first-lloyds-syndicate-in-indias-gift-city-571939.aspx</t>
  </si>
  <si>
    <t xml:space="preserve">Bullet 1 (Sehwani succession) and bullet 3 (Niyam 2047 from 1 Apr 2026) verified; bullet 2 reworded to reflect that independent March 2026 coverage described the IFSCA licence as applied-for/under process; bullet 4 (Bombay Chamber, May 2026) not re-checked - budget.</t>
  </si>
  <si>
    <t xml:space="preserve">In January, Niyam Group received in-principle approval from Lloyd's to launch Syndicate 2047, and Syndicate 2047 began underwriting on April 1, 2026 | Lloyd's has applied ... currently 'under process'</t>
  </si>
  <si>
    <t xml:space="preserve">54</t>
  </si>
  <si>
    <t xml:space="preserve">Munich Reinsurance Company - India Branch (Munich Re India Branch). IRDAI-registered composite foreign reinsurer branch (opened Mumbai Jan 2017) - NOT a GCC. Group's separate India GCC: ERGO Technology &amp; Services Private Limited (ET&amp;S India), Mumbai - offshore development centre/technology hub of ERGO Group (Munich Re Group), founded 2022.</t>
  </si>
  <si>
    <t xml:space="preserve">https://www.munichre.com/en/company/media-relations/media-information-and-corporate-news/corporate-news/2017/2017-01-03-munich-re-reinsurance-branch-office-in-mumbai.html
https://www.businessinsurance.com/munich-re-joins-reinsurers-india-market-swiss-re-hannover-re/
https://www.ergo.com/en/microsite/ergo-technology-services-india/about-ets-india</t>
  </si>
  <si>
    <t xml:space="preserve">Independent searches confirm the Mumbai composite branch (Munich Re corporate news / Business Wire 2024 item) and ET&amp;S India founded 2022 in Mumbai as an offshore development centre of ERGO Technology &amp; Services Management AG.</t>
  </si>
  <si>
    <t xml:space="preserve">ergo.com: 'ERGO Technology &amp; Services Pvt. Ltd. (ET&amp;S) was founded in India in 2022 ... technology hub based in the financial capital of India, Mumbai'; 'As an offshore development centre, ET&amp;S in India supports German and Polish teams in providing comprehensive IT solutions for the ERGO Group'</t>
  </si>
  <si>
    <t xml:space="preserve">https://www.munichre.com/en/company/about-munich-re/munich-re-worldwide/asia-pacific/contact.html; https://www.ergo.com/en/microsite/ergo-technology-services-india/about-ets-india</t>
  </si>
  <si>
    <t xml:space="preserve">Mumbai confirmed for both entities, but ergo.com gives the ET&amp;S India office as Kensington SEZ, Powai (not Bhandup); corrected the sub-location. BKC for the branch not re-checked.</t>
  </si>
  <si>
    <t xml:space="preserve">ergo.com about-ets-india: 'Unit No. 201, 2nd Floor, Kensington, "A" Wing Building, Festus Properties Pvt. Ltd.- SEZ, Powai, Mumbai, Maharashtra- 400076'</t>
  </si>
  <si>
    <t xml:space="preserve">Surbhi Goel, CEO, Munich Re India Branch (Mumbai) - responsible for P&amp;C reinsurance in India; effective Oct 2024, succeeded Hitesh Kotak; no exit/successor news found to Oct 2026. Group GCC ET&amp;S India: Mehmood Mansoori, Managing Director &amp; CEO (ergo.com); Pramod Kumar Agarwal, Executive Director &amp; CFO (researcher extract, not independently re-confirmed).</t>
  </si>
  <si>
    <t xml:space="preserve">https://www.theweek.in/wire-updates/business/2024/04/18/dcm55-munich-re-group.html
https://www.businessinsurance.com/munich-re-names-new-india-chief/
https://www.munichre.com/en/company/about-munich-re/munich-re-worldwide.html
https://www.ergo.com/en/microsite/ergo-technology-services-india/about-ets-india</t>
  </si>
  <si>
    <t xml:space="preserve">Surbhi Goel's appointment (CEO India Branch effective Oct 2024, succeeding Hitesh Kotak) confirmed by Business Wire India / People Matters / BIMTECH; added that her remit is P&amp;C reinsurance. No 2025-26 exit news in any of three Munich Re India searches. Mehmood Mansoori MD &amp; CEO of ET&amp;S India confirmed on ergo.com; Pramod Kumar Agarwal (CFO) not independently confirmed - flagged.</t>
  </si>
  <si>
    <t xml:space="preserve">Business Wire India (Apr 2024): 'appointment of Surbhi Goel as CEO India Branch effective from October 2024 ... responsible for Munich Re's Property and Casualty reinsurance business in India ... succeed Hitesh Kotak'; ergo.com: 'Mehmood Mansoori serves as Managing Director &amp; Chief Executive Officer'</t>
  </si>
  <si>
    <t xml:space="preserve">Branch: composite (P&amp;C, life &amp; health) reinsurance underwriting, client management, marketing actuarial/pricing and risk analytics for India, Sri Lanka and Bangladesh - not a GCC. Group GCC (ET&amp;S India, Mumbai): offshore development centre delivering IT solutions/software engineering for ERGO Group across insurance lines.</t>
  </si>
  <si>
    <t xml:space="preserve">https://hrtoday.in/?p=68858
https://www.businessinsurance.com/munich-re-joins-reinsurers-india-market-swiss-re-hannover-re/
https://www.ergo.com/en/microsite/ergo-technology-services-india/about-ets-india</t>
  </si>
  <si>
    <t xml:space="preserve">hrtoday extract confirms the Chief Marketing Actuary remit (marketing actuarial strategy, client engagement, pricing, risk analytics); ergo.com confirms ET&amp;S India as an offshore development centre delivering IT solutions across insurance sectors. hrtoday remains a weak (aggregator) source for the branch function detail.</t>
  </si>
  <si>
    <t xml:space="preserve">hrtoday.in: 'Ramakant leads marketing actuarial strategy, client engagement support, pricing excellence, and risk analytics initiatives'; ergo.com: 'offers career opportunities to employees in diverse technologies across all insurance sectors'</t>
  </si>
  <si>
    <t xml:space="preserve">Searched 'Munich Re India branch Mumbai employees LinkedIn headcount' - no branch-level figure exists in any index. Conflicting ET&amp;S India figures: Revelio Labs 557 (workforce-data estimate) vs the company/LinkedIn self-description of nearly 800 (wave 1). Both weak; the company's own figure is listed first in the sheet text per addendum rule. Branch is likely &lt;100 staff but that is inference, not evidence.</t>
  </si>
  <si>
    <t xml:space="preserve">Branch headcount still undisclosed. The 557 India-based figure for ET&amp;S India re-surfaced in the search extract; the 'nearly 800' LinkedIn self-description did not surface in any independent extract and is removed as unproven. Added the ergo.com launch plan (400 software professionals in year one) as context.</t>
  </si>
  <si>
    <t xml:space="preserve">search extract: 'The company has 557 India-based employees'; ergo.com: 'The tech centre announced plans to employ 400 software professionals in the first year of operations'</t>
  </si>
  <si>
    <t xml:space="preserve">Operations (reinsurance branch: actuarial/pricing build-out) / Technology (group GCC ET&amp;S India) | (Feb 2026) Munich Re appointed Ramakant Rajgopal Malpani (ex-Hannover Re India CFO) as Chief Marketing Actuary for India, leading marketing actuarial strategy, client engagement, pricing excellence and risk analytics - a Mumbai branch capability build-out. || (Jul 2026) Ankur Gupta, Munich Re India's head of client management (Jul 2019-Jun 2026), left to become PartnerRe's India CEO effective June 2026 - talent competition for the Mumbai branch as new reinsurers enter India. || (Sep 2026) At the Rendez-Vous de Septembre 2026 in Monte Carlo, Munich Re said 89% of companies feel inadequately protected against cyber risk and framed AI as a multiplier of cyber threats - the group agenda the India branch underwrites into. || (2026, month n/a) ERGO Technology &amp; Services India, the group's Mumbai offshore development centre founded 2022, is estimated at 557 India-based employees (Revelio Labs) - the group's technology GCC in India.</t>
  </si>
  <si>
    <t xml:space="preserve">https://hrtoday.in/munich-re-appoints-ramakant-rajgopal-malpani-as-chief-marketing-actuary/
https://www.insurancebusinessmag.com/reinsurance/news/breaking-news/partnerre-fills-india-ceo-role-as-global-reinsurers-race-for-position-582771.aspx
https://www.reinsurancene.ws/partnerre-names-ankur-gupta-as-ceo-india/
https://www.insurancebusinessmag.com/reinsurance/news/breaking-news/cyber-reinsurance-market-hits-new-high-as-ai-risks-reshape-coverage--munich-re-573895.aspx
https://www.reveliolabs.com/companies/ergo-technology-services/employees</t>
  </si>
  <si>
    <t xml:space="preserve">Bullet 2 re-dated: PartnerRe's appointment of Ankur Gupta was effective June 2026 and reported Jun/Jul 2026 (Asia Insurance Review 23 Jul 2026), not Feb 2026; the unverified 'GIFT City branch' phrase was dropped. Bullet 3 confirmed and made specific (Insurance Business / threatcluster coverage of Munich Re's Sep 2026 Monte Carlo statements). Bullet 4 'nearly 800' removed (unproven). Bullet 1 verified (hrtoday only - weak source).</t>
  </si>
  <si>
    <t xml:space="preserve">Insurance Business: 'PartnerRe has appointed Ankur Gupta as chief executive officer of its India operation, effective June 2026 ... nine years at Munich Re India, where he served as head of client management from July 2019 to June 2026'; 'During the 2026 Rendez-Vous de Septembre in Monte Carlo, Munich Re executives revealed that 89% of companies feel inadequately protected against cyber risks'; hrtoday: 'In February 2026, Munich Re appointed Ramakant Rajgopal Malpani as Chief Marketing Actuary'</t>
  </si>
  <si>
    <t xml:space="preserve">55</t>
  </si>
  <si>
    <t xml:space="preserve">RGA Reinsurance Company - India Branch (RGA India); licensed in 2017 as 'RGA Life Reinsurance Company of Canada - India Branch'. IRDAI-registered life &amp; health foreign reinsurer branch - NOT a GCC. A separate entity 'RGA Global Shared Services India Private Limited' (CIN U67200MH2005PTC153973, Mumbai) appears only in MCA aggregator data (Tofler); no company/press source names it - treat as unconfirmed.</t>
  </si>
  <si>
    <t xml:space="preserve">https://www.rgare.com/our-company/people/detail/sunil-sharma
https://www.reinsurancene.ws/rga-names-sunil-sharma-as-india-ceo/
https://www.tofler.in/rga-global-shared-services-india-private-limited/company/U67200MH2005PTC153973</t>
  </si>
  <si>
    <t xml:space="preserve">Branch naming verified: Reinsurance News/ReinAsia/Life Insurance International (Jan 2024) use 'RGA Life Reinsurance Company of Canada India Branch (RGA India)'. An exact-name search for 'RGA Global Shared Services India Private Limited' returned no page naming that entity (only an eFinancialCareers 'Assistant Manager, Finance - Mumbai' job and unrelated companies), so the shared-services entity rests on Tofler alone and is flagged as such.</t>
  </si>
  <si>
    <t xml:space="preserve">Reinsurance News: 'named Sunil Sharma as the country Chief Executive Officer for RGA Life Reinsurance Company of Canada India Branch (RGA India)'; exact-name search: 'The search results did not return a company specifically listed as RGA Global Shared Services India Private Limited'</t>
  </si>
  <si>
    <t xml:space="preserve">https://www.rgare.com/global-presence/asia-pacific/india; https://www.tofler.in/rga-global-shared-services-india-private-limited/company/U67200MH2005PTC153973</t>
  </si>
  <si>
    <t xml:space="preserve">Mumbai confirmed for the branch by all Jan 2024 appointment coverage (Sharma based in Mumbai). The Commerz II / Andheri East sub-addresses were not independently re-checked within budget.</t>
  </si>
  <si>
    <t xml:space="preserve">ReinAsia/Reinsurance News (Jan 2024): RGA India branch, Mumbai; RGA 'the only global reinsurance company to focus primarily on life- and health-related solutions'</t>
  </si>
  <si>
    <t xml:space="preserve">Sunil Sharma, CEO, RGA Reinsurance Company - India Branch (Mumbai), appointed Jan 2024 (ex-Kotak Life President, Chief Actuary &amp; CRO; IFoA council member). No exit/successor news found; in-post 2026 evidence (RGA knowledge-centre article early 2026; IFoA India Conference 7-8 Dec 2026 billing) per researcher, not independently re-confirmed.</t>
  </si>
  <si>
    <t xml:space="preserve">https://ceoworld.biz/2024/01/26/rga-india-appoints-sunil-sharma-as-ceo/
https://www.rgare.com/our-company/people/detail/sunil-sharma
https://www.rgare.com/knowledge-center/article/reinsurers-can-help-expand-insurance-reach-and-awareness-in-india
https://www.linkedin.com/in/sharmasunilm/</t>
  </si>
  <si>
    <t xml:space="preserve">Sunil Sharma's appointment (Jan 2024; ex-Kotak Life President, Chief Actuary &amp; CRO; IFoA council member) confirmed by Reinsurance News, ReinAsia, Life Insurance International and CEOWORLD. The 'early 2026 article' and 'IFoA India Conference Dec 2026' in-post evidence could not be re-run within budget and is marked as researcher-sourced.</t>
  </si>
  <si>
    <t xml:space="preserve">Life Insurance International: 'Before joining RGA, Sharma served in leadership roles at Kotak Life for over a decade, most recently as the President, Chief Actuary, and Chief Risk Officer ... The announcement was made in January 2024'</t>
  </si>
  <si>
    <t xml:space="preserve">Finance, Operations, Analytics and Technology
https://www.rgare.com/global-presence/asia-pacific/india</t>
  </si>
  <si>
    <t xml:space="preserve">Branch: life &amp; health reinsurance (individual life, living benefits/critical illness, credit life), financial solutions for risk/capital management, bancassurance and telemarketing support - underwriting, actuarial, pricing and client management; local finance/operations support. RGA Global Shared Services India Pvt Ltd: small group business-support entity (FY25 revenue Rs 22.8 Cr per Tofler - MCA aggregator data, not independently confirmed).</t>
  </si>
  <si>
    <t xml:space="preserve">https://www.rgare.com/global-presence/asia-pacific/india
https://www.tofler.in/rga-global-shared-services-india-private-limited/company/U67200MH2005PTC153973</t>
  </si>
  <si>
    <t xml:space="preserve">Life &amp; health reinsurance remit confirmed (RGA focuses primarily on life- and health-related solutions). The Tofler FY25 revenue figure for the shared-services entity was not independently confirmed; flagged in text.</t>
  </si>
  <si>
    <t xml:space="preserve">Reinsurance News: 'RGA is a Fortune 200 Company and the only global reinsurance company to focus primarily on life- and health-related solutions'</t>
  </si>
  <si>
    <t xml:space="preserve">200 approx.
https://internshala.com/company/rga-reinsurance-company-india-branch-1761731659</t>
  </si>
  <si>
    <t xml:space="preserve">Searched '"RGA Global Shared Services India" employees' and 'RGA India 2026 reinsurance news Mumbai shared services'; both returned only branch/CEO coverage and unrelated ADP shared-services results. Headcount remains unverifiable.</t>
  </si>
  <si>
    <t xml:space="preserve">Confirmed absence: exact-name search for the shared-services entity returned no headcount; branch headcount not published anywhere in the extracts. Status 'unverifiable' retained.</t>
  </si>
  <si>
    <t xml:space="preserve">exact-name search returned no page for 'RGA Global Shared Services India Private Limited'</t>
  </si>
  <si>
    <t xml:space="preserve">Operations (life &amp; health reinsurance market growth, actuarial/underwriting); no evidence of a technology or finance GCC build-out | (2026, month n/a) In an early-2026 RGA knowledge-centre article, RGA India CEO Sunil Sharma argued that life and health reinsurers play a crucial role in making insurance more equitable, sustainable and available across income groups in India. || (Dec 2026, scheduled) Sharma is a plenary speaker ('The risk equation: insurance, reinsurance and the road ahead') at the IFoA India Conference 2026, 7-8 Dec 2026 - a market-facing actuarial focus for the Mumbai branch. || (Jan 2024) RGA named Sunil Sharma CEO of its India branch, bringing 30+ years' actuarial and risk leadership from Kotak Life - the branch's leadership has been stable since. || (FY Mar 2025) RGA Global Shared Services India Pvt Ltd posted revenue of Rs 22.8 Cr per Tofler (MCA aggregator; not independently confirmed) - any Mumbai shared-services entity remains small.</t>
  </si>
  <si>
    <t xml:space="preserve">https://www.rgare.com/knowledge-center/article/reinsurers-can-help-expand-insurance-reach-and-awareness-in-india
https://www.linkedin.com/in/sharmasunilm/
https://www.reinsurancene.ws/rga-names-sunil-sharma-as-india-ceo/
https://www.lifeinsuranceinternational.com/news/rga-appoints-sunil-sharma-as-india-ceo
https://www.tofler.in/rga-global-shared-services-india-private-limited/company/U67200MH2005PTC153973</t>
  </si>
  <si>
    <t xml:space="preserve">Bullet 3 (Jan 2024 appointment) verified by four trade sources. Bullets 1-2 (2026 article, Dec 2026 IFoA conference) and bullet 4 (Tofler) could not be independently re-run within budget; bullet 4 caveated as Tofler-only. Classification 'Operations' is consistent with the evidence (no technology/finance GCC activity found).</t>
  </si>
  <si>
    <t xml:space="preserve">ReinAsia: 'RGA name Sunil Sharma as new India CEO' (Jan 2024)</t>
  </si>
  <si>
    <t xml:space="preserve">56</t>
  </si>
  <si>
    <t xml:space="preserve">https://www.scor.com/en/scor-se-india-branch; https://esi.in/finance/insurance/reinsurer-branches/scor-se-india-branch/; https://www.scor.com/sites/default/files/cp_2016_29_en.pdf; https://www.insuranceinsider.com/article/2876fnf4db62x2rd8hi07/hannover-re-and-scor-get-india-approval-for-january</t>
  </si>
  <si>
    <t xml:space="preserve">Branch status confirmed: IRDAI directory (esi.in) lists SCOR SE - India Branch, registration FRB/003 dated 21 Dec 2016, P/C and life reinsurance, underwriting from 1 Apr 2017; scor.com 2016 press release confirms. Added registration details. No shared-services entity surfaced in any search.</t>
  </si>
  <si>
    <t xml:space="preserve">esi.in IRDAI directory: 'SCOR SE - India Branch is registered with IRDAI with registration number FRB/003, dated December 21, 2016 ... authorized to conduct P/C and life reinsurance business and expected to start underwriting business with effect from April 1, 2017'</t>
  </si>
  <si>
    <t xml:space="preserve">https://www.scor.com/en/scor-se-india-branch; https://simplify.jobs/p/6bb2e19d-86c8-450a-8b93-bda2f528ab05/Actuarial-Intern</t>
  </si>
  <si>
    <t xml:space="preserve">Mumbai confirmed (Global Reinsurance Summit coverage names Gupta as CEO of SCOR's India branch, Mumbai; IRDAI directory). Maker Maxity/BKC address not separately re-checked.</t>
  </si>
  <si>
    <t xml:space="preserve">Reinsurance News: 'Parag Gupta, Chief Executive Officer of global reinsurer SCOR's India branch' at the Mumbai summit</t>
  </si>
  <si>
    <t xml:space="preserve">Parag Gupta, CEO &amp; Principal Officer, SCOR SE - India Branch (Mumbai); CEO per SCOR's IRDAI board-of-directors disclosure dated 30 Sep 2022 and the IRDAI reinsurer-branch directory (earlier Chief Underwriting Officer P&amp;C, 2019). In post Jan 2026: spoke as SCOR India CEO at the Global Reinsurance Summit 2026, Mumbai, 19 Jan 2026. No 2026 change found.</t>
  </si>
  <si>
    <t xml:space="preserve">https://www.scor.com/sites/default/files/2022-12/NL-42-BOD.pdf
https://esi.in/finance/insurance/reinsurer-branches/scor-se-india-branch/
https://www.scor.com/sites/default/files/india_2019_q4_nl34.pdf
https://www.reinsurancene.ws/india-will-inevitably-require-deeper-more-sophisticated-reinsurance-support-gupta-scor/</t>
  </si>
  <si>
    <t xml:space="preserve">Parag Gupta confirmed as CEO/Principal Officer of SCOR SE - India Branch in the IRDAI directory listing and SCOR's NL-42 filing; confirmed in post Jan 2026 as a Global Reinsurance Summit speaker (Mumbai, 19 Jan 2026). Added the Jan 2026 date.</t>
  </si>
  <si>
    <t xml:space="preserve">esi.in: 'Parag Gupta is the Chief Executive Officer of SCOR SE - India Branch ... listed as the Principal Officer/CEO'; Reinsurance News: Gupta 'participated in a Fireside Chat ... at the third edition of the Global Reinsurance Summit 2026' (Mumbai, 19 Jan 2026)</t>
  </si>
  <si>
    <t xml:space="preserve">Finance, Operations and Analytics 
https://www.scor.com/en/scor-se-india-branch</t>
  </si>
  <si>
    <t xml:space="preserve">Reinsurance branch, not GCC: P&amp;C treaty and facultative reinsurance (incl. agriculture and credit specialty) and life reinsurance for Indian clients - underwriting, actuarial (incl. intern hiring) and client management, with local finance/operations support.</t>
  </si>
  <si>
    <t xml:space="preserve">https://www.scor.com/en/scor-se-india-branch
https://www.scor.com/en/press-release/scor-reaches-new-milestone-its-application-open-composite-branch-office-india
https://simplify.jobs/p/6bb2e19d-86c8-450a-8b93-bda2f528ab05/Actuarial-Intern</t>
  </si>
  <si>
    <t xml:space="preserve">P&amp;C and life reinsurance remit confirmed by the IRDAI directory entry (composite P/C and life). Intern-hiring detail (simplify.jobs) not re-checked - weak aggregator source, kept as minor colour only.</t>
  </si>
  <si>
    <t xml:space="preserve">esi.in: 'authorized to conduct P/C and life reinsurance business'</t>
  </si>
  <si>
    <t xml:space="preserve">30 Approx. (Year 2022, current info not available)
https://www.scor.com/sites/default/files/2022-12/NL-41-Offices%20Information.pdf</t>
  </si>
  <si>
    <t xml:space="preserve">The 2022 figure is the only one in the index. AmbitionBox has a SCOR overview page but the extract carried no India staff number.</t>
  </si>
  <si>
    <t xml:space="preserve">budget</t>
  </si>
  <si>
    <t xml:space="preserve">wave-2 search 'SCOR SE India branch Mumbai employees LinkedIn 2025 2026' returned no headcount; only the scor.com branch page, AmbitionBox and intern postings</t>
  </si>
  <si>
    <t xml:space="preserve">Operations (reinsurance underwriting/actuarial growth); parent-level Finance leadership change | (Jan 2026) At the Global Reinsurance Summit 2026 (Mumbai, 19 Jan 2026), SCOR India CEO Parag Gupta, in a fireside chat with IRDAI Member (Non-Life) Deepak Sood, said India's low penetration, infrastructure build-out, growing catastrophe exposure and demand for surety, parametric, cyber and specialty covers will require deeper, more sophisticated reinsurance support. || (2026, month n/a) SCOR is recruiting a Summer 2026 Actuarial Intern for its Mumbai branch (hybrid) - evidence of modest local actuarial team growth rather than a GCC build-out (job-aggregator source; not independently re-confirmed). || (Jan 2026) SCOR group announced (14 Jan 2026) that L&amp;H CEO Philipp Ruede becomes Group CFO effective 7 Mar 2026, succeeding Francois de Varenne - a parent finance-leadership change with no India GCC implication found.</t>
  </si>
  <si>
    <t xml:space="preserve">https://www.reinsurancene.ws/india-will-inevitably-require-deeper-more-sophisticated-reinsurance-support-gupta-scor/
https://simplify.jobs/p/6bb2e19d-86c8-450a-8b93-bda2f528ab05/Actuarial-Intern
https://www.globenewswire.com/news-release/2026/01/14/3218414/0/en/SCOR-announces-changes-to-its-Group-Executive-Committee.html
https://www.insurancebusinessmag.com/reinsurance/news/breaking-news/scor-names-landh-chief-philipp-ruede-as-next-group-cfo-561896.aspx</t>
  </si>
  <si>
    <t xml:space="preserve">Bullet 1 dated to Jan 2026 (summit held Mumbai 19 Jan 2026) and detail confirmed. Bullet 3 confirmed (GlobeNewswire 14 Jan 2026 announcement; effective 7 Mar 2026) and re-dated to the announcement month with the successor named. Bullet 2 not independently re-checked (budget) - caveated.</t>
  </si>
  <si>
    <t xml:space="preserve">Reinsurance News: 'The summit was held at Mumbai on January 19, 2026'; GlobeNewswire 14 Jan 2026: 'Philipp Rüede, currently CEO of SCOR Life &amp; Health, has been appointed Group Chief Financial Officer, succeeding François de Varenne, effective March 7, 2026'</t>
  </si>
  <si>
    <t xml:space="preserve">57</t>
  </si>
  <si>
    <t xml:space="preserve">Swiss Re Global Business Solutions India Private Limited (GCC; CIN U74140KA2000PTC027640, inc. 2000, Bengaluru; formerly Swiss Re Shared Services India Pvt Ltd). Separate IRDAI entity: Swiss Reinsurance Company Ltd - India Branch (Mumbai, opened 2017) - a regulated reinsurance branch, not a GCC.</t>
  </si>
  <si>
    <t xml:space="preserve">https://www.thecompanycheck.com/company/swiss-re-global-business-solutions-india-private-limited/U74140KA2000PTC027640
https://tracxn.com/d/legal-entities/india/swiss-re-global-business-solutions-india-private-limited/__puS1Y1u6BNX4odbMyh-utLbvZm2EnoT0Tcc7-XeIDoc
https://www.swissre.com/dam/jcr:a2e54bf3-8847-4d41-ade3-0df124538194/pr-20220510-swissre-gbs-india-inovation-hub-of-hyderabad.pdf
https://www.reinsurancene.ws/swiss-re-gets-india-reinsurance-branch-license/</t>
  </si>
  <si>
    <t xml:space="preserve">Entity name 'Swiss Re Global Business Solutions India' confirmed by Swiss Re's own May 2022 press release (swissre.com) and careers pages; Mumbai branch confirmed via Amitabha Ray CEO coverage. CIN/TheCompanyCheck details not separately re-checked but are consistent with the Bengaluru HQ.</t>
  </si>
  <si>
    <t xml:space="preserve">swissre.com press release: 'Swiss Re GBS India expands into the innovation hub of Hyderabad' (10 May 2022); Business Insurance: 'Swiss Re names new India chief' - Ray 'based in Mumbai'</t>
  </si>
  <si>
    <t xml:space="preserve">Mumbai,Bengluru and Hyderabad
https://www.swissre.com/careers/india.html</t>
  </si>
  <si>
    <t xml:space="preserve">GCC HO: Bengaluru; other office: Hyderabad (opened May 2022). Reinsurance branch: Mumbai.</t>
  </si>
  <si>
    <t xml:space="preserve">https://www.swissre.com/dam/jcr:a2e54bf3-8847-4d41-ade3-0df124538194/pr-20220510-swissre-gbs-india-inovation-hub-of-hyderabad.pdf
https://www.reinsurancene.ws/swiss-re-gbs-to-open-new-tech-centre-in-hyderabad-india/
https://www.swissre.com/careers/india.html</t>
  </si>
  <si>
    <t xml:space="preserve">Bengaluru (GBS India HQ, 'Global in-house Capability Centre in Bangalore') and Hyderabad (press release dated 10 May 2022, also covered by Intelligent Insurer 11 May 2022) confirmed; Mumbai branch confirmed.</t>
  </si>
  <si>
    <t xml:space="preserve">Intelligent Insurer 11 May 2022: 'Swiss Re expands data innovation hub in India hiring tech talent'; BIMTECH profile: Kalra 'leading the group's Global in-house Capability Centre in Bangalore'</t>
  </si>
  <si>
    <t xml:space="preserve">GCC: Amit Kalra (MD, Head Global Business Solutions, Swiss Re GBS India, Bengaluru) LEFT Swiss Re after 19+ years - joined Zurich Insurance Group as Head of Zurich Capability Centres (new Hyderabad GCC) effective 1 Jul 2026. Successor as head of Swiss Re GBS India not yet announced in the index (board per MCA aggregator: Nicola Jane Parton, Sarah Louise Nubeebuckus, Jan Arnold Jaeger - not re-checked). Branch: Amitabha Ray, CEO, Swiss Reinsurance Company Ltd - India Branch (Mumbai), since 1 Apr 2024, succeeded Hadi Riachi.</t>
  </si>
  <si>
    <t xml:space="preserve">https://reinsurancene.ws/zurich-appoints-amit-kalra-to-lead-new-global-capability-center-in-india/
https://reinasia.com/zurich-taps-amit-kalra-to-lead-new-global-capability-centre-in-india/
https://www.swissre.com/profile/Amit_Kalra/ip_f2cb75
https://www.businessinsurance.com/swiss-re-names-new-india-chief/
https://www.reinsurancene.ws/swiss-re-veteran-amitabha-ray-appointed-as-ceo-of-india-branch/</t>
  </si>
  <si>
    <t xml:space="preserve">Kalra's move confirmed (Reinsurance News, ReinAsia, CXO Digital Pulse, Atlas Magazine: head of Zurich Capability Centres effective 1 Jul 2026, 19+ years at Swiss Re, most recently head of Global Business Solutions). Successor search returned nothing. Amitabha Ray confirmed CEO India branch effective 1 Apr 2024 - added that he succeeded Hadi Riachi. MCA board names not re-checked.</t>
  </si>
  <si>
    <t xml:space="preserve">Reinsurance News: 'Zurich Insurance Group has appointed Amit Kalra as head of Zurich Capability Centres, effective 1 July 2026 ... Kalra joins from Swiss Re, where he spent more than 19 years and most recently served as head of global business solutions'; Business Insurance: 'Swiss Re named Amitabha Ray as the new chief executive of its India branch, effective April 1 [2024] ... Ray succeeds Hadi Riachi'</t>
  </si>
  <si>
    <t xml:space="preserve">https://www.swissre.com/careers/india.html; https://www.businessofgcc.com/gcc-data/companies/swiss-re-india-gurugram; https://www.business-standard.com/companies/interviews/india-to-soon-have-about-50-of-swiss-re-s-global-tech-talent-amit-kalra-125051100389_1.html</t>
  </si>
  <si>
    <t xml:space="preserve">Swiss Re's India careers page ('Data and tech is in our DNA') confirms the data/tech/finance function mix; branch P&amp;C remit confirmed by Ray appointment coverage ('oversees the company's P&amp;C business operations for the country').</t>
  </si>
  <si>
    <t xml:space="preserve">swissre.com/careers/data-tech-india.html; Business Insurance: Ray 'oversees the company's property and casualty (P&amp;C) business operations for the country'</t>
  </si>
  <si>
    <t xml:space="preserve">https://www.swissre.com/careers/data-tech-india.html; https://www.business-standard.com/companies/interviews/india-to-soon-have-about-50-of-swiss-re-s-global-tech-talent-amit-kalra-125051100389_1.html; https://tracxn.com/d/legal-entities/india/swiss-re-global-business-solutions-india-private-limited/__puS1Y1u6BNX4odbMyh-utLbvZm2EnoT0Tcc7-XeIDoc; https://www.businessofgcc.com/gcc-data/companies/swiss-re-india-gurugram</t>
  </si>
  <si>
    <t xml:space="preserve">Independent extracts give 'over 2,000 people in India' (Swiss Re careers) and historic 1,400-1,600+ GBS India figures (2022); the ~2,500 / 750-tech May 2025 Business Standard interview did not surface in the audit search, so it is retained but flagged as not independently re-confirmed. Tracxn 2,374 (2025) not re-checked.</t>
  </si>
  <si>
    <t xml:space="preserve">Swiss Re careers: 'Swiss Re has over 2,000 people in India'; 'Swiss Re Global Business Solutions India comprises 1600+ employees' (2022); BIMTECH profile: 'over 1400 employees'</t>
  </si>
  <si>
    <t xml:space="preserve">Technology (AI/ML, software engineering, data science) with Finance &amp; Operations shared services | (Jul 2026) Long-time Swiss Re GBS India head Amit Kalra (19+ years at Swiss Re) left to lead Zurich Insurance's new Hyderabad Global Capability Centre from 1 Jul 2026 - a leadership gap at the Bengaluru/Hyderabad GCC and a sign of competition for GCC leaders. || (May 2025) Amit Kalra told Business Standard India will soon host about 50% of Swiss Re's global technology talent; the India tech team grew from 150 to 750 in three years and India staff total ~2,500 of 14,000 globally (researcher-sourced; not independently re-confirmed). || (2025, month n/a) Swiss Re GBS India is hiring across data science, data engineering, software engineering, ML/AI, finance &amp; accounting and R&amp;D, with focus on AI for catastrophe modelling and climate-risk analytics; headcount 2,374 (2025) vs 1,000 (2019). || (May 2022) Swiss Re GBS India opened its Hyderabad centre to onboard expertise in key digital roles complementing the Bengaluru hub.</t>
  </si>
  <si>
    <t xml:space="preserve">https://reinsurancene.ws/zurich-appoints-amit-kalra-to-lead-new-global-capability-center-in-india/
https://www.business-standard.com/companies/interviews/india-to-soon-have-about-50-of-swiss-re-s-global-tech-talent-amit-kalra-125051100389_1.html
https://www.businessofgcc.com/gcc-data/companies/swiss-re-india-gurugram
https://www.swissre.com/dam/jcr:a2e54bf3-8847-4d41-ade3-0df124538194/pr-20220510-swissre-gbs-india-inovation-hub-of-hyderabad.pdf</t>
  </si>
  <si>
    <t xml:space="preserve">Bullet 1 (Kalra to Zurich, 1 Jul 2026) verified by four trade sources; bullet 4 (Hyderabad, May 2022) verified by swissre.com press release and Intelligent Insurer; bullet 3 consistent with the Swiss Re careers page. Bullet 2 (Business Standard May 2025) not independently re-surfaced - caveated. Technology classification justified.</t>
  </si>
  <si>
    <t xml:space="preserve">ReinAsia: 'Zurich taps Amit Kalra to lead new global capability centre in India'; Intelligent Insurer (11 May 2022): 'Swiss Re expands data innovation hub in India hiring tech talent'</t>
  </si>
  <si>
    <t xml:space="preserve">58</t>
  </si>
  <si>
    <t xml:space="preserve">Volante Global Services India Private Limited (CIN U74999MH2022FTC394424, inc. 2022, Mumbai) - intended Lloyd's syndicate (Syndicate 1699) service company of Volante Global, to write via Lloyd's India (the IRDAI-registered Lloyd's reinsurance branch, Mumbai, opened 2017). India office announced Apr 2023; in Apr 2026 Volante, after a strategic review of its global footprint, opted NOT to start India operations - entity effectively dormant/withdrawn. Reinsurance service company, NOT a GCC; no Lloyd's shared-services/technology GCC in India found. Note: Lloyd's platform in GIFT City went live with Niyam Syndicate 2047 (Polo Managing Agency) underwriting from 1 Apr 2026 (separate from Lloyd's India, Mumbai).</t>
  </si>
  <si>
    <t xml:space="preserve">https://www.tofler.in/volante-global-services-india-private-limited/company/U74999MH2022FTC394424
https://reinasia.com/volante-u-turns-on-india-operations-launch/
https://www.reinsurancene.ws/volante-names-laxmeekant-walikar-as-md-of-indian-subcontinent/
https://www.insurancebusinessmag.com/asia/news/breaking-news/polo-backs-first-lloyds-syndicate-in-indias-gift-city-571939.aspx
https://www.lloyds.com/india</t>
  </si>
  <si>
    <t xml:space="preserve">MATERIAL: ReinAsia reports that in April 2026, following a strategic review of its global footprint, Volante opted NOT to start operations in India - reversing the India launch. Also corrected the launch date: Walikar joined Nov 2022 and the Mumbai office/MD appointment was announced Apr 2023 (Reinsurance News), set up for Volante Syndicate 1699. Lloyd's India (Mumbai branch, 2017) confirmed; GIFT City entry confirmed via Niyam Syndicate 2047 (first Lloyd's syndicate in GIFT City, underwriting from 1 Apr 2026).</t>
  </si>
  <si>
    <t xml:space="preserve">ReinAsia: 'in April 2026, following a strategic review of its global footprint, Volante opted not to start operations in India, which represents a reversal of the earlier India office launch'; Reinsurance News: 'Volante Global launched an India office with the appointment of Laxmeekant Walikar as India managing director in Mumbai in April 2023 ... responsible for setting up Volante Syndicate 1699 in India'</t>
  </si>
  <si>
    <t xml:space="preserve">https://www.tofler.in/volante-global-services-india-private-limited/company/U74999MH2022FTC394424; https://insuranceasianews.com/lloyds-player-volante-global-launches-india-office/</t>
  </si>
  <si>
    <t xml:space="preserve">Mumbai confirmed by Reinsurance News (Walikar 'India managing director in Mumbai') and the MH CIN; note operations were never started (see B).</t>
  </si>
  <si>
    <t xml:space="preserve">Reinsurance News: 'appointment of Laxmeekant Walikar as India managing director in Mumbai in April 2023'</t>
  </si>
  <si>
    <t xml:space="preserve">Volante: Laxmeekant Walikar was appointed MD - Indian Subcontinent (joined Nov 2022, announced Apr 2023; ex-AXA XL CUO) but Volante withdrew from India in Apr 2026 and Walikar has since been named Principal Officer &amp; MD India of Africa Specialty Risks - no current Volante India leader. Lloyd's India (branch): Shefali Sehwani - confirmed as CFO, Lloyd's India (listed on lloyds.com India contact page); researcher's claim that she was promoted to CEO &amp; Country Manager succeeding Shankar Garigiparthy (country manager since 2016) is NOT independently confirmed.</t>
  </si>
  <si>
    <t xml:space="preserve">https://www.reinsurancene.ws/volante-names-laxmeekant-walikar-as-md-of-indian-subcontinent/
https://www.reinsurancene.ws/africa-specialty-risks-appoints-laxmeekant-walikar-as-principal-officer-md-india/
https://www.lloyds.com/lloyds/offices/asia/india
https://asiainsurancepost.com/archives/75498
https://www.linkedin.com/in/shefali-sehwani-4a8b9898/</t>
  </si>
  <si>
    <t xml:space="preserve">Walikar: confirmed as Volante MD India (announced Apr 2023, joined Nov 2022, ex-AXA XL CUO); Reinsurance News later reports him appointed Principal Officer / MD India at Africa Specialty Risks (date not captured) - so he is no longer Volante's India lead. Sehwani: three searches confirm her only as CFO of Lloyd's India (podcast bio; lloyds.com India contact page lists her); no extract supports the 'CEO &amp; Country Manager' promotion or the May 2026 panel billing - that part is flagged unconfirmed. Shankar Garigiparthy confirmed as Lloyd's first India country manager (2016).</t>
  </si>
  <si>
    <t xml:space="preserve">Reinsurance News: 'Africa Specialty Risks appoints Laxmeekant Walikar as Principal Officer &amp; MD India'; 'Walikar joined the firm in November 2022 ... previously Chief Underwriting Officer at AXA XL'; podcast bio: 'Shefali Sehwani is currently the Chief Financial Officer (CFO) of Lloyd's India'; lloyds.com India office page lists shefali.sehwani@lloyds.com</t>
  </si>
  <si>
    <t xml:space="preserve">Intended underwriting service company for Volante Global's Lloyd's Syndicate 1699: specialty (re)insurance underwriting and distribution for the Indian subcontinent through Lloyd's India. Volante decided in Apr 2026 not to start Indian operations, so no active function. Not a finance/technology GCC.</t>
  </si>
  <si>
    <t xml:space="preserve">https://reinasia.com/volante-u-turns-on-india-operations-launch/
https://www.reinsurancene.ws/volante-names-laxmeekant-walikar-as-md-of-indian-subcontinent/
https://insuranceasianews.com/lloyds-player-volante-global-launches-india-office/</t>
  </si>
  <si>
    <t xml:space="preserve">Intended function confirmed (service company to bring Indian subcontinent business to Volante Syndicate 1699 at Lloyd's) but Volante withdrew from India in Apr 2026, so the function is historical/intended, not current.</t>
  </si>
  <si>
    <t xml:space="preserve">Reinsurance News: 'Syndicate 1699 was created to bring business to Lloyd's through Volante's existing international network of nine local service companies'; ReinAsia: 'Volante opted not to start operations in India'</t>
  </si>
  <si>
    <t xml:space="preserve">Lloyd's India publishes IRDAI NL financial forms (lloyds.com/india-financials-2025) but the extract carried no staff count.</t>
  </si>
  <si>
    <t xml:space="preserve">No headcount anywhere; given the Apr 2026 withdrawal, headcount is effectively nil. Status kept 'unverifiable'.</t>
  </si>
  <si>
    <t xml:space="preserve">ReinAsia: 'Volante opted not to start operations in India'</t>
  </si>
  <si>
    <t xml:space="preserve">Operations (Volante withdrew from India Apr 2026; Lloyd's India platform expansion to GIFT City via Niyam Syndicate 2047) | (Apr 2026) Volante Global, after a strategic review of its global footprint, decided not to start operations in India - a U-turn on the Mumbai service company announced in Apr 2023 (ReinAsia). || (Apr 2026) Niyam Syndicate 2047, managed by Polo Managing Agency, became the first Lloyd's syndicate established in GIFT City and began underwriting on 1 Apr 2026, after Lloyd's in-principle approval in Jan 2026 - Lloyd's second Indian platform alongside Lloyd's India in Mumbai. || (Jan 2026) Niyam Group received in-principle approval from Lloyd's Council for Syndicate 2047, the first Lloyd's syndicate dedicated to the Indian market (The Insurer, 9 Jan 2026). || (Apr 2023) Volante Global launched its India office in Mumbai with Laxmeekant Walikar as MD Indian Subcontinent to set up Syndicate 1699's India service company via Lloyd's India; Walikar has since moved to Africa Specialty Risks.</t>
  </si>
  <si>
    <t xml:space="preserve">https://reinasia.com/volante-u-turns-on-india-operations-launch/
https://www.insurancebusinessmag.com/asia/news/breaking-news/polo-backs-first-lloyds-syndicate-in-indias-gift-city-571939.aspx
https://www.theinsurer.com/ti/news/exclusive-niyam-group-receives-in-principle-approval-for-india-focused-lloyds-2026-01-09/
https://www.reinsurancene.ws/volante-names-laxmeekant-walikar-as-md-of-indian-subcontinent/
https://www.businessinsurance.com/lloyds-plans-new-operation-in-indias-gift-city/</t>
  </si>
  <si>
    <t xml:space="preserve">Replaced: the 'Mar 2026 Lloyd's GIFT City authorisation' bullet (date not confirmed in any extract) with verified Niyam/Polo Syndicate 2047 items (Jan 2026 in-principle approval; underwriting from 1 Apr 2026); removed the Sehwani-as-CEO May 2026 panel bullet (role unconfirmed); added the material Apr 2026 Volante withdrawal; corrected the Volante launch year to Apr 2023.</t>
  </si>
  <si>
    <t xml:space="preserve">Insurance Business: 'Syndicate 2047 began underwriting on April 1, 2026, and is the first Lloyd's syndicate established in GIFT City'; The Insurer (9 Jan 2026): 'Niyam Group receives in-principle approval for India-focused Lloyd's syndicate'; ReinAsia: 'Volante U-turns on India operations launch'</t>
  </si>
  <si>
    <t xml:space="preserve">59</t>
  </si>
  <si>
    <t xml:space="preserve">https://axaxl.com/reinsurance/our-companies/xl-insurance-company-se; https://www.reinsurancene.ws/alok-shukla-named-ceo-of-xl-insurance-india-reinsurance-branch/; https://www.axagbs.com/about-us; https://apacnewsnetwork.com/2025/02/axa-global-business-services-embarks-on-new-transformation-journey-celebrates-30-years-in-india</t>
  </si>
  <si>
    <t xml:space="preserve">Branch status and 1 Apr 2025 CEO change confirmed (axaxl.com press release, Reinsurance News, ReinAsia, Insurance Business). AXA GBS confirmed as a separate AXA Group subsidiary celebrating 30 years in India (Feb 2025) - but its 'over 4,000 professionals' figure spans Bangalore, Pune, the UK and Morocco, not India alone; text corrected.</t>
  </si>
  <si>
    <t xml:space="preserve">APAC News Network / CXO Today (Feb 2025): 'With a workforce of over 4,000 professionals across Bangalore, Pune, the UK, and Morocco, AXA GBS continues to grow its global footprint'; 'celebrating three decades of successful operations in India'</t>
  </si>
  <si>
    <t xml:space="preserve">https://www.reinsurancene.ws/alok-shukla-named-ceo-of-xl-insurance-india-reinsurance-branch/; https://www.axagbs.com/press-release/axa-unveils-state-of-the-art-office-space-in-pune-expands-its-global-business-services-center</t>
  </si>
  <si>
    <t xml:space="preserve">Mumbai branch confirmed (Shukla 'based in Mumbai'; new hires 'based in Mumbai'); AXA GBS Pune office in Kharadi confirmed by axagbs.com press release (also carried by CXO Today); Bengaluru confirmed.</t>
  </si>
  <si>
    <t xml:space="preserve">Reinsurance News: Shukla 'is based in Mumbai'; axagbs.com: 'The new office is located in Kharadi, Pune ... more than 160,000 sq.ft. and is spread across 4 floors'</t>
  </si>
  <si>
    <t xml:space="preserve">Alok Shukla, CEO, XL Insurance Company SE - India Reinsurance Branch (Mumbai), effective 1 Apr 2025; succeeded Joseph Augustine (CEO since 2018). Ex-Munich Re Head of Underwriting and ex-Bharti AXA General Insurance; no exit news as of Oct 2026. Saumitra Sharma, Chief Underwriting Officer (joined 12 May 2025 from Swiss Re). AXA GBS CEO: Michele Rochefort (Feb 2025).</t>
  </si>
  <si>
    <t xml:space="preserve">https://www.reinsurancene.ws/alok-shukla-named-ceo-of-xl-insurance-india-reinsurance-branch/
https://www.intelligentinsurer.com/axa-xl-lands-munich-re-talent-for-new-india-reinsurance-ceo
https://reinasia.com/axa-xl-continues-india-build-out-with-five-appointments-including-saumitra-sharma-as-cuo/
https://apacnewsnetwork.com/2025/02/axa-global-business-services-embarks-on-new-transformation-journey-celebrates-30-years-in-india</t>
  </si>
  <si>
    <t xml:space="preserve">Shukla confirmed (CEO XL Insurance Company SE - India Reinsurance Branch from 1 Apr 2025; ex-Munich Re Head of Underwriting and ex-Bharti AXA GI); succession from Joseph Augustine per Reinsurance News. Saumitra Sharma confirmed as CUO, joined 12 May 2025 from Swiss Re - date added. Michele Rochefort confirmed as AXA GBS CEO (Feb 2025). No 2026 change found.</t>
  </si>
  <si>
    <t xml:space="preserve">Reinsurance News/Insurance Business: 'Alok Shukla officially assumed the role of Chief Executive Officer of XL Insurance Company SE – India Reinsurance Branch on April 1, 2025 ... held leadership roles at Munich Re and Bharti AXA General Insurance'; ReinAsia: 'Saumitra Sharma - Chief Underwriting Officer: He joined on May 12, 2025 ... joining from Swiss Re'; CXO Today: 'town hall in Pune and Bangalore, attended by CEO Michele Rochefort'</t>
  </si>
  <si>
    <t xml:space="preserve">Reinsurance branch: Property, Casualty and Specialty (incl. agriculture) facultative/treaty reinsurance for insurers in India, Sri Lanka, Maldives, Bangladesh and Nepal; Mumbai team covers underwriting (CUO + underwriters), claims and support functions. Not a GCC.</t>
  </si>
  <si>
    <t xml:space="preserve">https://www.reinsurancene.ws/alok-shukla-named-ceo-of-xl-insurance-india-reinsurance-branch/
https://reinasia.com/axa-xl-continues-india-build-out-with-five-appointments-including-saumitra-sharma-as-cuo/
https://axaxl.com/press-releases/axa-xl-strengthens-team-in-india-with-key-appointments</t>
  </si>
  <si>
    <t xml:space="preserve">axaxl.com press release and Insurance Business/Coverager confirm the Mumbai team covers underwriting, claims and operations delivering facultative solutions to Indian clients and brokers; Shukla leads growth in facultative reinsurance.</t>
  </si>
  <si>
    <t xml:space="preserve">axaxl.com: 'new team members based in Mumbai bringing technical expertise across underwriting, claims, and operations to deliver tailored facultative solutions to clients and brokers'</t>
  </si>
  <si>
    <t xml:space="preserve">No branch FTE published. The 4,000 figure is for AXA GBS (separate entity).</t>
  </si>
  <si>
    <t xml:space="preserve">Branch FTE not published (confirmed). AXA GBS figure corrected: 'over 4,000 professionals across Bangalore, Pune, the UK and Morocco' (Feb 2025) - the India-only share is not stated, though the Pune release refers to its '4,000 strong team in India'.</t>
  </si>
  <si>
    <t xml:space="preserve">APAC News Network: 'workforce of over 4,000 professionals across Bangalore, Pune, the UK, and Morocco'</t>
  </si>
  <si>
    <t xml:space="preserve">Operations (reinsurance underwriting team build-out); group-level Operations/Technology GCC (AXA GBS) separate | (Apr 2025) Alok Shukla became CEO of XL Insurance Company SE - India Reinsurance Branch on 1 Apr 2025, replacing Joseph Augustine, with AXA XL positioning him to build out the Indian facultative book. || (Apr-May 2025) AXA XL continued its India build-out with five Mumbai appointments joining between 1 Apr and 14 May 2025, including Saumitra Sharma as Chief Underwriting Officer (from Swiss Re), a property/energy/construction underwriter, a claims specialist and two underwriting support roles - expanding underwriting, claims and operations capacity. || (Feb 2025) AXA Global Business Services - the AXA Group's separate India GCC - celebrated 30 years in India and launched a new transformation journey with its 4,000+ Bengaluru/Pune workforce. || (2024-2025, month n/a) AXA GBS opened a 160,000 sq ft, four-floor office in Kharadi, Pune, for its 4,000-strong India team, to drive innovation and service delivery (axagbs.com release; date not captured).</t>
  </si>
  <si>
    <t xml:space="preserve">https://www.reinsurancene.ws/alok-shukla-named-ceo-of-xl-insurance-india-reinsurance-branch/
https://axaxl.com/press-releases/axa-xl-strengthens-team-in-india-with-key-appointments
https://reinasia.com/axa-xl-continues-india-build-out-with-five-appointments-including-saumitra-sharma-as-cuo/
https://apacnewsnetwork.com/2025/02/axa-global-business-services-embarks-on-new-transformation-journey-celebrates-30-years-in-india
https://www.axagbs.com/press-release/axa-unveils-state-of-the-art-office-space-in-pune-expands-its-global-business-services-center</t>
  </si>
  <si>
    <t xml:space="preserve">Bullet 1 verified (1 Apr 2025). Bullet 2 dated to Apr-May 2025 from the ReinAsia join dates (1 Apr-14 May 2025) and detail confirmed. Bullet 3 verified (Feb 2025, APAC News Network/CXO Today). Bullet 4 confirmed in substance (axagbs.com/CXO Today) but the opening date remains uncaptured. Operations classification justified.</t>
  </si>
  <si>
    <t xml:space="preserve">ReinAsia: 'Saumitra Sharma ... joined on May 12, 2025'; 'Saurabh Bhootara ... Joined on April 1, 2025'; 'Akash Jain ... Joined on May 14, 2025'; CXO Today: 'AXA Global Business Services Embarks on a New Era of Transformation as it Celebrates 30 Years in India'</t>
  </si>
  <si>
    <t xml:space="preserve">60</t>
  </si>
  <si>
    <t xml:space="preserve">WTW India Insurance Brokers Pvt. Ltd</t>
  </si>
  <si>
    <t xml:space="preserve">WTW India Global Delivery Center (GDC) operates through two WTW affiliates: WTW Global Delivery and Solutions India Pvt. Ltd (Mumbai and Gurugram; formerly Willis Processing Services India Pvt Ltd; researcher-cited CIN U72300MH1992PTC066724, ROC Mumbai, inc. 1992 - CIN not re-pulled by audit) and Acclaris Business Solutions Pvt. Ltd (Kolkata and Siliguri). Both are separate from the IRDAI-licensed broker Willis Towers Watson India Insurance Brokers Pvt. Ltd (100% WTW-owned since Apr 2022).</t>
  </si>
  <si>
    <t xml:space="preserve">https://www.wtwco.com/en-us/notices/wtw-affiliates-and-partners-who-process-personal-information
https://www.zaubacorp.com/company/WTW-GLOBAL-DELIVERY-AND-SOLUTIONS-INDIA-PRIVATE-LIMITED/U72300MH1992PTC066724
https://insurancebusinessmag.com/asia/news/breaking-news/wtw-announces-full-acquisition-of-indian-joint-venture-402192.aspx
https://www.peoplematters.in/news/appointments/wtw-appoints-vivek-nath-as-new-head-of-india-receives-irdais-approval-for-full-ownership-33543</t>
  </si>
  <si>
    <t xml:space="preserve">WTW's own affiliates notice (wtwco.com, updated Dec 2025) shows the GDC is run by TWO legal entities, so the single-entity framing was amended; the CIN/ROC details could not be re-surfaced in extracts and are retained as researcher-cited; the Apr 2022 full-ownership of the broker JV was re-confirmed (Insurance Business Asia, People Matters).</t>
  </si>
  <si>
    <t xml:space="preserve">wtwco.com affiliates notice (Last Updated: December 2025): 'India Global Delivery Center is structured with WTW Global Delivery and Solutions India Private Limited handling operations in Mumbai and Gurugram, providing business operations and support including actuarial, advisory, technology enablement, data management and analytics services. Acclaris Business Solutions Private Limited operates in Kolkata and Siliguri.' Insurance Business Asia: 'WTW announces full acquisition of Indian joint venture'.</t>
  </si>
  <si>
    <t xml:space="preserve">Bengaluru, Chennai, Gurugram, Hyderabad, Kolkata, Mumbai, Noida, Pune and Ahmedabad
https://www.wtwco.com/en-in/about-us/wtw-india-insurance-brokers</t>
  </si>
  <si>
    <t xml:space="preserve">HO: Mumbai. GDC sites: Mumbai and Gurugram (WTW Global Delivery and Solutions India Pvt Ltd); Kolkata and Siliguri (Acclaris Business Solutions Pvt Ltd, WTW affiliate). Four-site footprint consistent with the 2023 HR Asia profile. (The 9-city list in the existing cell and its wtwco.com link are the broking entity's offices, not GDC sites.)</t>
  </si>
  <si>
    <t xml:space="preserve">https://www.wtwco.com/en-us/notices/wtw-affiliates-and-partners-who-process-personal-information
https://hr.asia/awards/2023-event/india2023/wtw-india-global-delivery-center-in-2023/</t>
  </si>
  <si>
    <t xml:space="preserve">Four cities confirmed by a 2025 WTW page (not only the 2023 award profile), but the entity-to-city mapping was added because Kolkata/Siliguri sit under Acclaris, not the GDC Pvt Ltd entity; the Zauba and careers-page citations were dropped as they do not evidence the site list.</t>
  </si>
  <si>
    <t xml:space="preserve">wtwco.com affiliates notice: 'WTW Global Delivery and Solutions India Private Limited handling operations in Mumbai and Gurugram ... Acclaris Business Solutions Private Limited operates in Kolkata and Siliguri'; HR Asia 2023: 'spread across four locations in India - Mumbai, Gurgaon, Kolkata and Siliguri'.</t>
  </si>
  <si>
    <t xml:space="preserve">Vivek Nath, Head of India / Managing Director South Asia, WTW (appointed head of India Apr 2022, succeeding Rohit Jain; no exit news found as of Oct 2026). GDC-level head: the researcher's proposed Sudhir Mahadevapura (MD, WTW Global Delivery and Solutions India Pvt Ltd per MCA director records) could not be confirmed by the audit in two name searches and is withheld pending a WTW/LinkedIn source.</t>
  </si>
  <si>
    <t xml:space="preserve">https://www.peoplematters.in/news/appointments/wtw-appoints-vivek-nath-as-new-head-of-india-receives-irdais-approval-for-full-ownership-33543
https://www.intelligentinsurer.com/insurance/wtw-reveals-new-leader-to-shape-its-third-largest-market-after-us-uk-29046
https://insurancebusinessmag.com/asia/news/breaking-news/wtw-announces-full-acquisition-of-indian-joint-venture-402192.aspx</t>
  </si>
  <si>
    <t xml:space="preserve">Vivek Nath as WTW head of India (Apr 2022, succeeding Rohit Jain) re-confirmed by People Matters and Intelligent Insurer, but no search extract linked Sudhir Mahadevapura to WTW at all, so his name was moved out of the client-facing text and flagged as unconfirmed; the Zauba/Tofler/careers-blog citations were dropped.</t>
  </si>
  <si>
    <t xml:space="preserve">People Matters: 'Vivek Nath took over as head of India at Willis Towers Watson, succeeding Rohit Jain ... promoted to Managing Director - South Asia (India &amp; South East Asia)'; Intelligent Insurer: 'WTW reveals new leader to shape its third largest market after US, UK'. Two searches for 'Mahadevapura' + WTW returned no WTW hits.</t>
  </si>
  <si>
    <t xml:space="preserve">Finance, Operations, Analytics and Technology
http://wtwco.com/en-in/solutions/insurance-consulting-and-technology</t>
  </si>
  <si>
    <t xml:space="preserve">Business operations and support for WTW businesses globally: actuarial, advisory (consulting support), technology enablement, data management and analytics (WTW Global Delivery and Solutions India, Mumbai/Gurugram); benefits/health-account administration (Acclaris, Kolkata/Siliguri); plus a technical recruitment hub (per 2026 careers posting).</t>
  </si>
  <si>
    <t xml:space="preserve">https://www.wtwco.com/en-us/notices/wtw-affiliates-and-partners-who-process-personal-information
https://careers.wtwco.com/zh/jobs/technical-recruitment-lead-india
https://hr.asia/awards/2023-event/india2023/wtw-india-global-delivery-center-in-2023/</t>
  </si>
  <si>
    <t xml:space="preserve">Upgraded from 'unverifiable' to 'correction' because a WTW-owned page (affiliates notice) now states the GDC entity's function list; Acclaris's function is inferred from its business line (benefits administration) and is flagged as such; the ET 2024 article citation was dropped as not re-surfaced.</t>
  </si>
  <si>
    <t xml:space="preserve">wtwco.com affiliates notice: 'providing business operations and support including actuarial, advisory, technology enablement, data management and analytics services'.</t>
  </si>
  <si>
    <t xml:space="preserve">4700+
https://economictimes.indiatimes.com/news/company/corporate-trends/wtws-india-global-delivery-centre-marks-successful-growth-and-expansion-through-strategic-global-transformation-programme/articleshow/113118272.cms</t>
  </si>
  <si>
    <t xml:space="preserve">4,000+ colleagues across four sites (WTW India GDC, both entities, 2023 - HR Asia / WTW 30-year feature); 4,700+ per ET (Sep 2024, researcher-cited, not re-verified). The researcher's entity-level figure of 4,572 (1 Mar 2026, Tracxn/EPFO for WTW Global Delivery and Solutions India only) could not be re-surfaced by the audit and should be treated as indicative; note it would exclude Acclaris (Kolkata/Siliguri) staff.</t>
  </si>
  <si>
    <t xml:space="preserve">https://hr.asia/awards/2023-event/india2023/wtw-india-global-delivery-center-in-2023/
https://zee5.com/articles/?p=9478836
https://economictimes.indiatimes.com/news/company/corporate-trends/wtws-india-global-delivery-centre-marks-successful-growth-and-expansion-through-strategic-global-transformation-programme/articleshow/113118272.cms
https://tracxn.com/d/legal-entities/india/wtw-global-delivery-and-solutions-india-private-limited/__c4hDJphJM88IL8sC-3ZHwyi1mCcbWCzqt21Akt8zuOE</t>
  </si>
  <si>
    <t xml:space="preserve">Two searches confirmed only the 4,000+ (2023, four locations) figure; the Tracxn 4,572 (Mar 2026) figure did not surface and is now caveated as entity-only and unconfirmed rather than presented as the headline number, also because it covers one of two GDC entities.</t>
  </si>
  <si>
    <t xml:space="preserve">Search extract (WTW 30-year feature / HR Asia): 'As of 2023, WTW's India Global Delivery Center has more than 4,000 employees across four locations ... India is the third-largest country for WTW employees based outside the US and UK ... started operations in India in 1992 as a modest, four-member pilot project'.</t>
  </si>
  <si>
    <t xml:space="preserve">Operations and Technology (two-entity multi-function delivery centre; tech recruitment and AI-enabled processes emphasised) | (2026, month n/a) WTW's India GDC careers posting for a Technical Recruitment Lead calls the centre one of the fastest-growing engines of the global organisation, planning hundreds of hires a year from high-volume tech hiring to niche specialist roles and embedding AI-enabled tools into recruiting. || (Dec 2025) WTW's affiliate disclosure sets out the GDC's two-entity structure: WTW Global Delivery and Solutions India (Mumbai, Gurugram - actuarial, advisory, technology enablement, data management and analytics) and Acclaris Business Solutions (Kolkata, Siliguri), i.e. a multi-entity, multi-function operations footprint. || (Jul 2026) WTW India GDC leadership profiled its learning platforms, manager development and wellbeing programmes as part of sustaining a culture of workplace excellence at the centre (researcher-sourced brand-speak interview; not re-audited within budget).</t>
  </si>
  <si>
    <t xml:space="preserve">https://careers.wtwco.com/zh/jobs/technical-recruitment-lead-india
https://www.wtwco.com/en-us/notices/wtw-affiliates-and-partners-who-process-personal-information
https://marksmendaily.com/brand-speak/what-are-the-key-actions-wtw-india-global-delivery-center-is-taking-to-create-and-sustain-a-culture-of-workplace-excellence/</t>
  </si>
  <si>
    <t xml:space="preserve">Removed the 'Sep 2026 Radar AI Assistant' bullet (a search found no such product; extracts instead mention Radar 5 with GenAI in Oct 2026 and a Radar-Databricks link, neither India-specific) and the Mar 2026 '4,572 headcount' bullet (figure not re-confirmed); added a Dec 2025 structure bullet from WTW's own page; careers-posting bullet retained (URL re-surfaced in two searches, researcher quote consistent); Jul 2026 marksmendaily bullet not audited (budget).</t>
  </si>
  <si>
    <t xml:space="preserve">Search for 'Radar AI Assistant' 2026: 'the specific Radar AI Assistant product name doesn't appear in the results ... WTW launched Radar 5 in October 2026, which added Gen AI and analytics enhancements'. wtwco.com affiliates notice (Dec 2025) quoted under B.</t>
  </si>
  <si>
    <t xml:space="preserve">61</t>
  </si>
  <si>
    <t xml:space="preserve">Lockton Services India Pvt. Ltd - GCC</t>
  </si>
  <si>
    <t xml:space="preserve">Lockton Services India Pvt. Ltd (researcher-cited CIN U82990MH2024FTC422315, inc. 28 Mar 2024, foreign subsidiary, MCA activity 'other business support service activities' - CIN not re-pulled by audit) - a small services entity that 'powers' Lockton's LocktonThrive wellbeing platform, not a GCC at scale. Lockton's main India business is the IRDAI-licensed broker Lockton India Insurance Broking and Advisory Ltd (formerly Arihant Insurance Broking Services Ltd; CIN U66000MP2009PLC021788). A third entity, Lockton Insurance Brokers (India) Pvt. Ltd (CIN U66220MH2024FTC422798, inc. Apr 2024), is listed by IBBI as undergoing voluntary liquidation.</t>
  </si>
  <si>
    <t xml:space="preserve">https://global.lockton.com/in/en/products-services/life-retirement
https://www.indiafilings.com/search/lockton-services-india-private-limited-cin-U82990MH2024FTC422315
https://ibbi.gov.in/claims/inner-process/U66220MH2024FTC422798
https://www.global.lockton.com/in/en/news-insights/lockton-expands-india-arihant-acquisition
https://www.thecompanycheck.com/company/lockton-india-insurance-broking-and-advisory-limited/U66000MP2009PLC021788</t>
  </si>
  <si>
    <t xml:space="preserve">Lockton's own site confirms Lockton Services India exists and powers LocktonThrive; the CIN/incorporation details did not surface in extracts and are retained as researcher-cited; added the material fact (IBBI regulator record) that Lockton Insurance Brokers (India) Pvt Ltd is in voluntary liquidation; the 8-employee figure was moved to E.</t>
  </si>
  <si>
    <t xml:space="preserve">global.lockton.com (life-retirement page): 'Lockton Services India Private Limited ... powers LocktonThrive, Lockton's proprietary employee wellbeing solution'; IBBI corporate processes page for CIN U66220MH2024FTC422798 (Lockton Insurance Brokers (India) Private Limited) listed under voluntary liquidation.</t>
  </si>
  <si>
    <t xml:space="preserve">Mumbai
Bengluru,Bhubaneshwar,Chennai,Gift city,Hyderabad,Kolkata,Pune,Delhi,Vadodara
https://global.lockton.com/in/en/news-insights/lockton-indias-strategic-growth-navigating-insurance-markets-and-expanding</t>
  </si>
  <si>
    <t xml:space="preserve">HO: Mumbai (802, 8th Floor, Tower A, Peninsula Business Park, Lower Parel, Mumbai 400013 - registered office of both Lockton Services India and the broking entity). Broking branches: nine across India incl. Mumbai, Delhi, Kolkata, Bengaluru, Chennai; Bhubaneswar, GIFT City, Hyderabad, Pune, Vadodara not confirmed.</t>
  </si>
  <si>
    <t xml:space="preserve">https://www.indiafilings.com/search/lockton-services-india-private-limited-cin-U82990MH2024FTC422315
https://global.lockton.com/offices/india-lockton
https://global.lockton.com/in/en/news-insights/lockton-indias-strategic-growth-navigating-insurance-markets-and-expanding</t>
  </si>
  <si>
    <t xml:space="preserve">Nine branches incl. Mumbai, Delhi, Kolkata, Bangalore, Chennai re-confirmed from Lockton India's own article; the Peninsula Business Park registered office was not re-pulled but comes from Lockton's office page and IndiaFilings, which is consistent; the extra cities in the existing cell remain unconfirmed.</t>
  </si>
  <si>
    <t xml:space="preserve">global.lockton.com 'Lockton India's Strategic Growth': 'Lockton is currently present in nine branches across the country, including major hubs such as Mumbai, Delhi, Kolkata, Bangalore and Chennai'.</t>
  </si>
  <si>
    <t xml:space="preserve">Jaideep (Jay) Sharma, CEO, Lockton India (announced May 2026, subject to regulatory approval; Mumbai-based; also Regional Head of Specialties, Lockton Asia). Succeeds Dr Sandeep Dadia (now Non-Executive Officer). Lockton Services India directors: Punit Kanak Pancholi (Chief Risk &amp; Compliance Officer) and Tony Peter Hardy.</t>
  </si>
  <si>
    <t xml:space="preserve">https://global.lockton.com/apac/en/news-insights/lockton-strengthens-asia-leadership-with-new-ceo-appointments-in-malaysia-and-india
https://asiainsurancereview.com/News/View-NewsLetter-Article/id/95411/type/eDaily/Conferences/Gallery
https://www.peoplematters.in/news/appointments/lockton-strengthens-asia-leadership-with-ceo-appointments-in-malaysia-and-india-49559
https://reinasia.com/lockton-appoints-new-ceos-in-malaysia-and-india/
https://www.indiafilings.com/search/lockton-services-india-private-limited-cin-U82990MH2024FTC422315
https://global.lockton.com/apac/en/news-insights/dhananjay-acharya-and-punit-pancholi-join-lockton-to-expedite-business</t>
  </si>
  <si>
    <t xml:space="preserve">Jay Sharma's May 2026 appointment (subject to regulatory approval, Mumbai-based, also Regional Head of Specialties Asia, succeeding Sandeep Dadia who became Non-Executive Officer) re-confirmed via Lockton's release, Asia Insurance Review (7 May 2026), Insurance Business Asia and People Matters; the two Lockton Services India directors are researcher-cited from MCA mirrors and were not re-checked.</t>
  </si>
  <si>
    <t xml:space="preserve">Asia Insurance Review (07 May 2026) / Lockton release: 'appointment of Jaideep "Jay" Sharma as CEO of Lockton India, subject to regulatory approval ... continue as Regional Head of Specialties for Lockton Asia and is based in Mumbai ... succeeds Dr Sandeep Dadia, who has transitioned from CEO to Non-Executive Officer'.</t>
  </si>
  <si>
    <t xml:space="preserve">1.Insurance Broking
2.Corporate Risk
3.Employee benefits consulting
4.Claims advisory
5.Risk management
6.Client management and Account management
7.Analytics
8.ReInsurance broking
https://global.lockton.com/in/en/who-we-are</t>
  </si>
  <si>
    <t xml:space="preserve">Lockton Services India: business support services (MCA code 'other business support service activities'); operates the LocktonThrive employee-wellbeing platform (with AdvantageClub.ai). The broking entity does insurance broking, corporate risk, employee benefits consulting, claims advisory, risk management, analytics and reinsurance broking - client-facing functions, not captive GCC functions.</t>
  </si>
  <si>
    <t xml:space="preserve">https://www.indiafilings.com/search/lockton-services-india-private-limited-cin-U82990MH2024FTC422315
https://www.analyticsinsight.net/press-release/lockton-india-launches-locktonthrive-a-holistic-employee-wellbeing-solution-powered-by-a-first-of-its-kind-ai-led-platform-by-advantageclubai
https://global.lockton.com/in/en/news-insights/lockton-indias-strategic-growth-navigating-insurance-markets-and-expanding</t>
  </si>
  <si>
    <t xml:space="preserve">LocktonThrive link to Lockton Services India confirmed on lockton.com; broking functions and reinsurance expansion confirmed from Lockton India's strategic-growth article; no evidence of global shared-services functions.</t>
  </si>
  <si>
    <t xml:space="preserve">global.lockton.com: 'Lockton Services India Private Limited powers LocktonThrive'; 'Lockton is in the process of expanding into the reinsurance space in India, with a formal market entry expected in this financial year'.</t>
  </si>
  <si>
    <t xml:space="preserve">241+
https://insurasales.com/news-story/290705/lockton-expands-into-indias-reinsurance-sector</t>
  </si>
  <si>
    <t xml:space="preserve">Lockton Services India Pvt Ltd: very small (researcher-cited Tracxn/EPFO figure of approx. 8 at 1 Mar 2026 - not re-confirmed by audit). Lockton India broking business: 241 associates, with plans to scale to around 380 (Lockton India article, c. 2025, undated); &gt;1,000 clients. Lockton global approx. 15,000.</t>
  </si>
  <si>
    <t xml:space="preserve">https://global.lockton.com/in/en/news-insights/lockton-indias-strategic-growth-navigating-insurance-markets-and-expanding
https://www.indiafilings.com/search/lockton-services-india-private-limited-cin-U82990MH2024FTC422315
https://leadiq.com/c/lockton/5a1d8a77240000240063eff7</t>
  </si>
  <si>
    <t xml:space="preserve">The 241 figure (previously 'insurasales, not re-verified') is now confirmed from Lockton's own article together with a 380 growth plan, and is cited to that page; the 8-employee Tracxn figure did not surface and is flagged as unconfirmed; TheCompanyCheck citation dropped (no figure in extract).</t>
  </si>
  <si>
    <t xml:space="preserve">global.lockton.com: 'serves over 1000 clients across sectors in the country, supported by a team of 241 associates, with plans to scale this to around 380 as it continues to grow'.</t>
  </si>
  <si>
    <t xml:space="preserve">Operations (broking footprint, headcount build-out and entity rationalisation); minor Technology element via the AI-led LocktonThrive wellbeing platform. No finance/technology GCC activity found. | (May 2026) Lockton named Jaideep 'Jay' Sharma CEO of Lockton India (subject to regulatory approval), Mumbai-based and doubling as Regional Head of Specialties Asia, with founding CEO Sandeep Dadia moving to Non-Executive Officer, as part of strengthening its Asia leadership. || (Feb 2026) Lockton India launched LocktonThrive, an employee-wellbeing solution on an AI-led platform built with AdvantageClub.ai, delivered through Lockton Services India Pvt Ltd. || (Oct 2024) IRDAI approved Lockton's acquisition of Arihant Insurance Broking Services (now Lockton India Insurance Broking and Advisory Ltd), giving Lockton a licensed broking platform after its Jan 2024 India entry. || (2025, month n/a) Lockton India said it operates nine branches (incl. Mumbai, Delhi, Kolkata, Bengaluru, Chennai) with 241 associates and plans to grow to about 380, and is expanding into reinsurance broking. || (date n/a) Lockton Insurance Brokers (India) Pvt Ltd, a second 2024-incorporated Lockton entity, is recorded by IBBI as in voluntary liquidation, consistent with consolidation of Indian operations into the Arihant-derived licensed broker.</t>
  </si>
  <si>
    <t xml:space="preserve">https://global.lockton.com/apac/en/news-insights/lockton-strengthens-asia-leadership-with-new-ceo-appointments-in-malaysia-and-india
https://global.lockton.com/in/en/news-insights/lockton-india-launches-locktonthrive-a-holistic-employee-wellbeing-solution
https://cwv.yourstory.com/2024/10/lockton-irdai-approval-acquire-arihant-insurance-broking
https://global.lockton.com/in/en/news-insights/lockton-indias-strategic-growth-navigating-insurance-markets-and-expanding
https://ibbi.gov.in/claims/inner-process/U66220MH2024FTC422798</t>
  </si>
  <si>
    <t xml:space="preserve">Bullet 2 date fixed to Feb 2026 (release dated 28 Feb 2026); bullet 4 enriched with the confirmed 241/380 headcount; added an entity-rationalisation bullet from the IBBI record; bullets 1 and 3 verified (Oct 2024 IRDAI approval confirmed by a YourStory URL dated 2024/10).</t>
  </si>
  <si>
    <t xml:space="preserve">Search extract: 'Lockton India has launched LocktonThrive ... The announcement was made on February 28, 2026'; cwv.yourstory.com/2024/10/lockton-irdai-approval-acquire-arihant-insurance-broking; Lockton article: '241 associates, with plans to scale this to around 380'.</t>
  </si>
  <si>
    <t xml:space="preserve">62</t>
  </si>
  <si>
    <t xml:space="preserve">https://www.bmsgroup.com/en/news/bms-opens-global-capability-centre-in-mumbai; https://www.reinsurancene.ws/bms-establishes-global-capability-centre-in-mumbai-led-by-nipun-mapara/; https://insurance-edge.net/2026/06/23/bms-opens-global-capability-centre-in-mumbai/; https://www.theinsurer.com/ti/news/bms-group-expands-in-india-with-berns-brett-partnership-2025-12-17/</t>
  </si>
  <si>
    <t xml:space="preserve">GCC opening (23 Jun 2026) and the Dec 2025 Berns Brett India partnership with planned rename to BMS (India) Ltd pending regulatory approval both re-confirmed from BMS's newsroom and trade press; legal entity name still not found.</t>
  </si>
  <si>
    <t xml:space="preserve">Global Reinsurance / BMS release: 'BMS Group announced the opening of its Global Capability Centre (GCC) in Mumbai on June 23, 2026'; BMS release (17 Dec 2025): 'strategic partnership with Berns Brett India, with the local entity set to be rebranded BMS (India) Ltd pending regulatory approval'.</t>
  </si>
  <si>
    <t xml:space="preserve">https://www.bmsgroup.com/en/news/bms-opens-global-capability-centre-in-mumbai; https://www.globalreinsurance.com/home/bms-opens-global-capability-centre-in-mumbai/1458939.article; https://asiainsurancepost.com/archives/81504</t>
  </si>
  <si>
    <t xml:space="preserve">All sources name Mumbai only.</t>
  </si>
  <si>
    <t xml:space="preserve">Insurance Edge (23 Jun 2026): 'BMS Opens Global Capability Centre in Mumbai'.</t>
  </si>
  <si>
    <t xml:space="preserve">Nipun Mapara, Managing Director, BMS India GCC (Mumbai); Sanjeev Poojari, Head of Operations</t>
  </si>
  <si>
    <t xml:space="preserve">https://www.reinsurancene.ws/bms-establishes-global-capability-centre-in-mumbai-led-by-nipun-mapara/
https://www.bmsgroup.com/en/news/bms-opens-global-capability-centre-in-mumbai
https://www.globalreinsurance.com/home/bms-opens-global-capability-centre-in-mumbai/1458939.article</t>
  </si>
  <si>
    <t xml:space="preserve">Nipun Mapara (MD) and Sanjeev Poojari (Head of Operations) consistent across BMS release and all trade reports; no later change found.</t>
  </si>
  <si>
    <t xml:space="preserve">Global Reinsurance: 'The centre is led by Nipun Mapara, managing director, with Sanjeev Poojari appointed as head of operations'.</t>
  </si>
  <si>
    <t xml:space="preserve">1.Insuarnce &amp; Broking
2.Data Analytics
3.Technology functions
4.AI &amp; Digital capabilities
https://www.bmsgroup.com/en/what-we-do</t>
  </si>
  <si>
    <t xml:space="preserve">1. Broking operations / broking support 2. Client services 3. Data and analytics 4. Technology 5. AI deployment (live AI tools across broking and operations) - serving BMS teams globally</t>
  </si>
  <si>
    <t xml:space="preserve">https://www.bmsgroup.com/en/news/bms-opens-global-capability-centre-in-mumbai
https://gcc-pulse.com/news-updates/bms-group-opens-mumbai-gcc-to-support-global-growth-and-innovation/
https://www.intelligentinsurer.com/bms-taps-india-technology-talent-expertise-with-mumbai-ai-hub
https://www.insurancebusinessmag.com/reinsurance/news/breaking-news/bms-expands-ai-and-analytics-footprint-in-india-580123.aspx</t>
  </si>
  <si>
    <t xml:space="preserve">Function list matches BMS's release wording; Intelligent Insurer / Insurance Business frame it as AI and analytics expansion.</t>
  </si>
  <si>
    <t xml:space="preserve">BMS release: 'The BMS India GCC will work with teams globally across broking operations, data, analytics, technology and client service functions'.</t>
  </si>
  <si>
    <t xml:space="preserve">Not verifiable
[Oct'26 re-check – existing text could not be independently verified] Two targeted searches (incl. exact-phrase '80 colleagues'/'approximately 80') returned the BMS release and six trade reports, none of which mention a launch headcount, so the ~80 figure (attributed to GCC Pulse / A</t>
  </si>
  <si>
    <t xml:space="preserve">Two targeted searches (incl. exact-phrase '80 colleagues'/'approximately 80') returned the BMS release and six trade reports, none of which mention a launch headcount, so the ~80 figure (attributed to GCC Pulse / Asia Insurance Post) is withheld until one of those pages can be opened.</t>
  </si>
  <si>
    <t xml:space="preserve">Search extract: 'the search results do not contain any information about approximately 80 colleagues, employees, or team members at the centre'.</t>
  </si>
  <si>
    <t xml:space="preserve">Technology (AI and data analytics at scale) with Operations (broking support, client services) | (Jun 2026) BMS opened its Global Capability Centre in Mumbai, led by Nipun Mapara (MD) and Sanjeev Poojari (Head of Operations), as part of a long-term strategy to build data, analytics and AI capability at scale. || (Jun 2026) The centre is already operational across broking operations, client services, data, analytics and technology for BMS teams worldwide and is described as central to the group's long-term operating model, with live AI tools deployed across broking and operations. || (Jun 2026) Trade press framed the Mumbai centre as an AI hub tapping India technology talent, complementing BMS's wider India presence. || (Dec 2025) BMS entered India via a strategic partnership with Berns Brett India (to be renamed BMS (India) Ltd, subject to regulatory approval), which BMS International CEO Nick Gillett said plays directly to its Specialty strengths.</t>
  </si>
  <si>
    <t xml:space="preserve">https://www.bmsgroup.com/en/news/bms-opens-global-capability-centre-in-mumbai
https://insurance-edge.net/2026/06/23/bms-opens-global-capability-centre-in-mumbai/
https://www.intelligentinsurer.com/bms-taps-india-technology-talent-expertise-with-mumbai-ai-hub
https://www.bmsgroup.com/en/uk/news/bms-enters-indian-market-with-berns-brett-partnership</t>
  </si>
  <si>
    <t xml:space="preserve">Removed the unconfirmed '~80 colleagues' from bullet 2 and corrected bullet 4: Ranji Sinha was appointed Senior Executive Officer of BMS (DIFC) Ltd for MENA/Turkey, not of the India business, so his name was replaced with the confirmed Nick Gillett quote; bullets 1-3 otherwise verified.</t>
  </si>
  <si>
    <t xml:space="preserve">Reinsurance News: 'Ranji Sinha to lead newly launched BMS DIFC ... SEO of BMS (DIFC) Ltd, assuming responsibility for all business across the MENA region and Turkey'; BMS release: 'CEO of BMS International Nick Gillett commented that ... India plays directly to their Specialty strengths'.</t>
  </si>
  <si>
    <t xml:space="preserve">63</t>
  </si>
  <si>
    <t xml:space="preserve">Korean Re India Branch (IFSC Insurance Office, GIFT City)</t>
  </si>
  <si>
    <t xml:space="preserve">{"group": "Korean Reinsurance Company (Korean Re, South Korea)", "cities": "GIFT City, Gandhinagar (Gujarat)", "functions": "Reinsurance branch (India-focused reinsurance transactions and selected emerging-market exposures); not a shared-services centre", "headcount": "not published", "india_head": "not captured", "established": "IFSCA authorisation 6 Nov 2025; opening ceremony 20 Jan 2026; full operations from April 2026"}</t>
  </si>
  <si>
    <t xml:space="preserve">Asia Insurance Review (30 Jan 2026) and Korean Re's own bulletin confirm IFSCA licence 6 Nov 2025, opening ceremony 20 Jan 2026 and full-scale operations from April 2026 in GIFT City; branch, no headcount or branch head published.</t>
  </si>
  <si>
    <t xml:space="preserve">opening ceremony on 20 January 2026 for its India branch in GIFT City... license from IFSCA on November 6 2025... full-scale operations in April 2026</t>
  </si>
  <si>
    <t xml:space="preserve">64</t>
  </si>
  <si>
    <t xml:space="preserve">MAPFRE Re GIFT City branch (IFSC Insurance Office)</t>
  </si>
  <si>
    <t xml:space="preserve">{"group": "MAPFRE (Spain) - MAPFRE Re", "cities": "GIFT City, Gandhinagar (Gujarat)", "functions": "Reinsurance branch; no India technology/shared-services centre (MAPFRE's 2025 tech hubs are in Spain, Colombia and Brazil)", "headcount": "not published", "india_head": "Chaturbhuj Bansal, Head of MAPFRE Re India branch (appointed June 2026, subject to regulatory approval; based in GIFT City)", "established": "IFSCA approval 9 Feb 2026 (MAPFRE corporate release); IIO licence sought effective January 2026"}</t>
  </si>
  <si>
    <t xml:space="preserve">MAPFRE corporate release confirms IFSCA approval on 9 Feb 2026 for the GIFT City branch; reinsurancene.ws/globalreinsurance report Chaturbhuj Bansal appointed Head of the India branch (June 2026, subject to regulatory approval) - established and india_head amended accordingly.</t>
  </si>
  <si>
    <t xml:space="preserve">official approval from the IFSCA of India on February 9, 2026, to open its branch office in... GIFT City... appointment of Chaturbhuj Bansal as Head of its India branch</t>
  </si>
  <si>
    <t xml:space="preserve">65</t>
  </si>
  <si>
    <t xml:space="preserve">Everest Reinsurance Company, IFSC Branch (IFSC Insurance Office, GIFT City)</t>
  </si>
  <si>
    <t xml:space="preserve">{"group": "Everest Group (Bermuda/USA)", "cities": "GIFT City, Gandhinagar (Gujarat)", "functions": "Property, casualty and specialty reinsurance; part of Everest's Asia Pacific Reinsurance business under Kevin Bogardus", "headcount": "not published", "india_head": "not captured (APAC head Kevin Bogardus)", "established": "IFSCA Certificate of Registration 19 Sept 2025; office opening announced 22 Sept 2025"}</t>
  </si>
  <si>
    <t xml:space="preserve">Everest press release confirms IFSCA approval and office opening announced 22 Sept 2025 under Kevin Bogardus (Head of Reinsurance Asia and Pacific); CAM/SCC Online adds the IFSCA Certificate of Registration date 19 Sept 2025 and entity name 'Everest Reinsurance Company, IFSC Branch' - established made precise.</t>
  </si>
  <si>
    <t xml:space="preserve">Everest Reinsurance Company, IFSC Branch received the IFSCA Certificate of Registration... as an IFSC Insurance Office at the GIFT City... on September 19, 2025</t>
  </si>
  <si>
    <t xml:space="preserve">66</t>
  </si>
  <si>
    <t xml:space="preserve">Berkley Insurance Company, IFSC Branch, GIFT City</t>
  </si>
  <si>
    <t xml:space="preserve">{"group": "W. R. Berkley Corporation (USA)", "cities": "GIFT City, Gandhinagar (Gujarat)", "functions": "Underwriting/reinsurance branch (IFSCA-licensed), not a shared-services centre", "headcount": "not published", "india_head": "Unnati Bajpai, CEO &amp; Principal Officer, Berkley Insurance Company IFSC Branch (BusinessWire, 19 Dec 2024; works with Shasi Nair, CEO Berkley Insurance Asia)", "established": "Approved Dec 2024; operations from 2025"}</t>
  </si>
  <si>
    <t xml:space="preserve">BusinessWire/Berkley IR release (19 Dec 2024) confirms IFSCA approval for 'Berkley Insurance Company, IFSC Branch GIFT City', Unnati Bajpai as CEO &amp; Principal Officer (reporting into Shasi Nair, CEO Berkley Insurance Asia) and operations expected in 2025.</t>
  </si>
  <si>
    <t xml:space="preserve">Unnati Bajpai has been named chief executive officer and principal officer of the IFSC Branch... expected to begin operations in 2025</t>
  </si>
  <si>
    <t xml:space="preserve">67</t>
  </si>
  <si>
    <t xml:space="preserve">PartnerRe GIFT City branch (IFSC Insurance Office)</t>
  </si>
  <si>
    <t xml:space="preserve">{"group": "PartnerRe (Covea group)", "cities": "GIFT City, Gandhinagar (Gujarat)", "functions": "Reinsurance branch; first India presence", "headcount": "not published", "india_head": "Ankur Gupta, CEO India (per reinasia.com headline 'PartnerRe appoints Ankur Gupta as CEO India'; headline only, confirm before client use); APAC lead James Beedle, CEO Partner Reinsurance Asia", "established": "IFSCA approval 25 Feb 2026 (PartnerRe press release)"}</t>
  </si>
  <si>
    <t xml:space="preserve">PartnerRe's own press release and Business Insurance/reinsurancene.ws confirm IFSCA approval on 25 Feb 2026 for a GIFT City branch within the APAC business under James Beedle; a reinasia.com headline names Ankur Gupta as CEO India (headline only, not independently confirmed) - sources expanded beyond the single IBM item, established and india_head amended.</t>
  </si>
  <si>
    <t xml:space="preserve">PartnerRe received regulatory approval to establish a branch office in GIFT City, Gujarat, India on February 25, 2026... under the leadership of James Beedle</t>
  </si>
  <si>
    <t xml:space="preserve">68</t>
  </si>
  <si>
    <t xml:space="preserve">IGI reinsurance branch, GIFT City (IFSC Insurance Office under International General Insurance Company (UK) Ltd)</t>
  </si>
  <si>
    <t xml:space="preserve">{"group": "International General Insurance Holdings (IGI, Bermuda/Jordan/UK)", "cities": "GIFT City, Gandhinagar (Gujarat)", "functions": "Facultative and specialty treaty reinsurance for Indian cedants and brokers", "headcount": "not published (local team to be recruited)", "india_head": "not captured", "established": "IFSCA approval June 2026; operations to commence within 2026"}</t>
  </si>
  <si>
    <t xml:space="preserve">IBM Asia, Bernews (June 2026), BusinessWire (8-9 June 2026) and Global Reinsurance confirm IFSCA clearance for an IIO in GIFT City run as a reinsurance branch of International General Insurance Company (UK) Ltd, focused on facultative and specialty treaty, with a local team to be recruited and operations within 2026.</t>
  </si>
  <si>
    <t xml:space="preserve">regulatory clearance from the IFSCA to open an IFSCA Insurance Office (IIO) in GIFT City... reinsurance branch under IGI's UK subsidiary... commence operations within 2026</t>
  </si>
  <si>
    <t xml:space="preserve">69</t>
  </si>
  <si>
    <t xml:space="preserve">Santam IFSC reinsurance office, GIFT City</t>
  </si>
  <si>
    <t xml:space="preserve">{"group": "Santam (Sanlam group, South Africa)", "cities": "GIFT City, Gandhinagar (Gujarat)", "functions": "Reinsurance branch (treaty and facultative); first BRICS-based insurer in GIFT City", "headcount": "not published", "india_head": "not captured", "established": "IFSCA licence granted January 2026"}</t>
  </si>
  <si>
    <t xml:space="preserve">Moonstone, Insurancebiz, Bizcommunity and Yahoo Finance all confirm the IFSCA licence granted January 2026 for an IIO reinsurance branch at GIFT City (treaty and facultative; first BRICS-based insurer in GIFT City); functions refined.</t>
  </si>
  <si>
    <t xml:space="preserve">Santam received a licence in January 2026 from the IFSCA... to operate as an International Insurance Office (IIO) at GIFT City... treaty and facultative reinsurance</t>
  </si>
  <si>
    <t xml:space="preserve">70</t>
  </si>
  <si>
    <t xml:space="preserve">Echo Re GIFT City branch (IFSC Insurance Office)</t>
  </si>
  <si>
    <t xml:space="preserve">{"group": "Echo Re (Zurich, Switzerland; wholly owned subsidiary of DEVK Group, Germany)", "cities": "GIFT City, Gandhinagar (Gujarat)", "functions": "Reinsurance branch", "headcount": "not published", "india_head": "Ankur Sharma, Principal Officer, Echo Re India IIO (ex-Swiss Re; reports to Swapnil Soni, Regional Manager Indian subcontinent)", "established": "IFSCA approval 12 March 2026; first Echo Re branch outside Switzerland"}</t>
  </si>
  <si>
    <t xml:space="preserve">IBM confirms IFSCA approval 12 March 2026 and names the head: Ankur Sharma, principal officer of the India IIO (ex-Swiss Re, ~10 years Mumbai/Bangalore), reporting to Swapnil Soni, regional manager Indian subcontinent; Echo Re is a wholly owned subsidiary of Germany's DEVK Group, so group field amended.</t>
  </si>
  <si>
    <t xml:space="preserve">Echo Re has appointed Ankur Sharma as principal officer of its India International Insurance Office (IIO)... Sharma joins from Swiss Re</t>
  </si>
  <si>
    <t xml:space="preserve">71</t>
  </si>
  <si>
    <t xml:space="preserve">Saudi Re GIFT City branch</t>
  </si>
  <si>
    <t xml:space="preserve">{"group": "Saudi Re (Saudi Arabia)", "cities": "GIFT City, Gandhinagar (Gujarat)", "functions": "Reinsurance branch", "headcount": "not published", "india_head": "Ruchi Jain, head of Saudi Re GIFT City branch (EnterpriseAM, 12 June 2026)", "established": "Saudi IA and IFSCA approvals and branch launch announced January 2026 (EnterpriseAM 19 Jan 2026); 'inauguration' wording from Asia Insurance Review not independently confirmed"}</t>
  </si>
  <si>
    <t xml:space="preserve">Independent confirmation found: EnterpriseAM (19 Jan 2026) and reinasia report Saudi Re secured Saudi Insurance Authority and IFSCA approvals and launched its GIFT City branch in January 2026 (India ~USD 39m premiums); EnterpriseAM (12 Jun 2026) names Ruchi Jain to lead the branch - head added, sources expanded, confidence raised from low to medium.</t>
  </si>
  <si>
    <t xml:space="preserve">Saudi Reinsurance Company (Saudi Re) has launched its India branch at... Gift City... secured approvals from Saudi Arabia's Insurance Authority and India's IFSC</t>
  </si>
  <si>
    <t xml:space="preserve">72</t>
  </si>
  <si>
    <t xml:space="preserve">Allianz Jio Reinsurance (50:50 JV of Allianz Europe and Jio Financial Services; IRDAI-approved domestic reinsurer)</t>
  </si>
  <si>
    <t xml:space="preserve">{"group": "Allianz SE / Jio Financial Services", "cities": "Mumbai (headquarters, per Allianz media release)", "functions": "Domestic reinsurer (underwriting), not a captive/GCC", "headcount": "not published", "india_head": "Sonia Rawal, CEO, Allianz Jio Reinsurance Limited (previously Allianz Reinsurance Singapore, India &amp; ASEAN)", "established": "JV agreed July 2025; final IRDAI approval 12 March 2026; operations commenced March 2026 (Allianz release 26 Mar 2026)"}</t>
  </si>
  <si>
    <t xml:space="preserve">Allianz media release (26 Mar 2026) and IBM/xprimm confirm final IRDAI approval on 12 March 2026, commencement of operations, Mumbai headquarters and CEO Sonia Rawal (ex-Allianz Re Singapore) - cities, india_head and established amended; remains an Indian-domiciled JV reinsurer (scope caveat stands).</t>
  </si>
  <si>
    <t xml:space="preserve">final regulatory approval from the IRDAI on March 12, 2026... Headquartered in Mumbai... led by Sonia Rawal as Chief Executive Officer of Allianz Jio Re</t>
  </si>
</sst>
</file>

<file path=xl/styles.xml><?xml version="1.0" encoding="utf-8"?>
<styleSheet xmlns="http://schemas.openxmlformats.org/spreadsheetml/2006/main">
  <numFmts count="15">
    <numFmt numFmtId="164" formatCode="General"/>
    <numFmt numFmtId="165" formatCode="_(* #,##0.00_);_(* \(#,##0.00\);_(* \-??_);_(@_)"/>
    <numFmt numFmtId="166" formatCode="0%"/>
    <numFmt numFmtId="167" formatCode="d/m/yyyy"/>
    <numFmt numFmtId="168" formatCode="&quot;$ &quot;#,##0,,&quot; Mn&quot;"/>
    <numFmt numFmtId="169" formatCode="#,##0"/>
    <numFmt numFmtId="170" formatCode="mmm\-yy"/>
    <numFmt numFmtId="171" formatCode="d\-mmm\-yy"/>
    <numFmt numFmtId="172" formatCode="_-* #,##0.00_-;\-* #,##0.00_-;_-* \-??_-;_-@"/>
    <numFmt numFmtId="173" formatCode="[$€-2]\ #,##0.00"/>
    <numFmt numFmtId="174" formatCode="_-[$$-C09]* #,##0.00_-;\-[$$-C09]* #,##0.00_-;_-[$$-C09]* \-??_-;_-@"/>
    <numFmt numFmtId="175" formatCode="#,##0.00\ [$₦-467]"/>
    <numFmt numFmtId="176" formatCode="[$XAF]\ #,##0.00"/>
    <numFmt numFmtId="177" formatCode="[$KES]\ #,##0.00"/>
    <numFmt numFmtId="178" formatCode="General"/>
  </numFmts>
  <fonts count="66">
    <font>
      <sz val="11"/>
      <color theme="1"/>
      <name val="Aptos Narrow"/>
      <family val="0"/>
      <charset val="1"/>
    </font>
    <font>
      <sz val="10"/>
      <name val="Arial"/>
      <family val="0"/>
    </font>
    <font>
      <sz val="10"/>
      <name val="Arial"/>
      <family val="0"/>
    </font>
    <font>
      <sz val="10"/>
      <name val="Arial"/>
      <family val="0"/>
    </font>
    <font>
      <b val="true"/>
      <sz val="9"/>
      <color theme="1"/>
      <name val="Inter"/>
      <family val="0"/>
      <charset val="1"/>
    </font>
    <font>
      <sz val="9"/>
      <color theme="1"/>
      <name val="Inter"/>
      <family val="0"/>
      <charset val="1"/>
    </font>
    <font>
      <u val="single"/>
      <sz val="11"/>
      <color theme="10"/>
      <name val="Aptos Narrow"/>
      <family val="0"/>
      <charset val="1"/>
    </font>
    <font>
      <sz val="11"/>
      <color theme="1"/>
      <name val="Quattrocento Sans"/>
      <family val="0"/>
      <charset val="1"/>
    </font>
    <font>
      <sz val="11"/>
      <color rgb="FF000000"/>
      <name val="Calibri"/>
      <family val="0"/>
      <charset val="1"/>
    </font>
    <font>
      <b val="true"/>
      <u val="single"/>
      <sz val="10"/>
      <color theme="1"/>
      <name val="Inter"/>
      <family val="0"/>
      <charset val="1"/>
    </font>
    <font>
      <sz val="10"/>
      <color theme="1"/>
      <name val="Inter"/>
      <family val="0"/>
      <charset val="1"/>
    </font>
    <font>
      <b val="true"/>
      <sz val="10"/>
      <color theme="1"/>
      <name val="Inter"/>
      <family val="0"/>
      <charset val="1"/>
    </font>
    <font>
      <i val="true"/>
      <sz val="9"/>
      <color rgb="FF00008B"/>
      <name val="Inter"/>
      <family val="0"/>
      <charset val="1"/>
    </font>
    <font>
      <sz val="10"/>
      <color rgb="FFFF0000"/>
      <name val="Inter"/>
      <family val="0"/>
      <charset val="1"/>
    </font>
    <font>
      <b val="true"/>
      <sz val="10"/>
      <color rgb="FF0C0C0C"/>
      <name val="Inter"/>
      <family val="0"/>
      <charset val="1"/>
    </font>
    <font>
      <b val="true"/>
      <sz val="10"/>
      <color rgb="FF00008B"/>
      <name val="Inter"/>
      <family val="0"/>
      <charset val="1"/>
    </font>
    <font>
      <sz val="10"/>
      <color rgb="FF00008B"/>
      <name val="Inter"/>
      <family val="0"/>
      <charset val="1"/>
    </font>
    <font>
      <sz val="10"/>
      <color rgb="FF000000"/>
      <name val="EYInterstate"/>
      <family val="0"/>
      <charset val="1"/>
    </font>
    <font>
      <sz val="10"/>
      <color rgb="FF3C7D22"/>
      <name val="EYInterstate"/>
      <family val="0"/>
      <charset val="1"/>
    </font>
    <font>
      <sz val="10"/>
      <color rgb="FF7030A0"/>
      <name val="EYInterstate"/>
      <family val="0"/>
      <charset val="1"/>
    </font>
    <font>
      <u val="single"/>
      <sz val="10"/>
      <color rgb="FF0000FF"/>
      <name val="Inter"/>
      <family val="0"/>
      <charset val="1"/>
    </font>
    <font>
      <b val="true"/>
      <sz val="10"/>
      <color theme="1"/>
      <name val="EYInterstate"/>
      <family val="0"/>
      <charset val="1"/>
    </font>
    <font>
      <sz val="10"/>
      <color theme="1"/>
      <name val="EYInterstate"/>
      <family val="0"/>
      <charset val="1"/>
    </font>
    <font>
      <sz val="10"/>
      <color rgb="FF3A7D22"/>
      <name val="EYInterstate"/>
      <family val="0"/>
      <charset val="1"/>
    </font>
    <font>
      <sz val="10"/>
      <color theme="6"/>
      <name val="EYInterstate"/>
      <family val="0"/>
      <charset val="1"/>
    </font>
    <font>
      <sz val="10"/>
      <color theme="6"/>
      <name val="Inter"/>
      <family val="0"/>
      <charset val="1"/>
    </font>
    <font>
      <strike val="true"/>
      <sz val="10"/>
      <color rgb="FF000000"/>
      <name val="EYInterstate"/>
      <family val="0"/>
      <charset val="1"/>
    </font>
    <font>
      <b val="true"/>
      <sz val="10"/>
      <color rgb="FF7030A0"/>
      <name val="EYInterstate"/>
      <family val="0"/>
      <charset val="1"/>
    </font>
    <font>
      <strike val="true"/>
      <sz val="10"/>
      <color rgb="FF7030A0"/>
      <name val="Inter"/>
      <family val="0"/>
      <charset val="1"/>
    </font>
    <font>
      <sz val="10"/>
      <color rgb="FF196B24"/>
      <name val="EYInterstate"/>
      <family val="0"/>
      <charset val="1"/>
    </font>
    <font>
      <sz val="10"/>
      <color rgb="FF3A7D22"/>
      <name val="Inter"/>
      <family val="0"/>
      <charset val="1"/>
    </font>
    <font>
      <sz val="10"/>
      <color rgb="FF275317"/>
      <name val="Inter"/>
      <family val="0"/>
      <charset val="1"/>
    </font>
    <font>
      <b val="true"/>
      <sz val="10"/>
      <color theme="6"/>
      <name val="Inter"/>
      <family val="0"/>
      <charset val="1"/>
    </font>
    <font>
      <u val="single"/>
      <sz val="10"/>
      <color theme="6"/>
      <name val="Inter"/>
      <family val="0"/>
      <charset val="1"/>
    </font>
    <font>
      <b val="true"/>
      <sz val="10"/>
      <color rgb="FF7030A0"/>
      <name val="Inter"/>
      <family val="0"/>
      <charset val="1"/>
    </font>
    <font>
      <b val="true"/>
      <u val="single"/>
      <sz val="10"/>
      <color theme="6"/>
      <name val="Inter"/>
      <family val="0"/>
      <charset val="1"/>
    </font>
    <font>
      <b val="true"/>
      <sz val="10"/>
      <color rgb="FF275317"/>
      <name val="Inter"/>
      <family val="0"/>
      <charset val="1"/>
    </font>
    <font>
      <u val="single"/>
      <sz val="10"/>
      <color rgb="FF275317"/>
      <name val="Inter"/>
      <family val="0"/>
      <charset val="1"/>
    </font>
    <font>
      <sz val="10"/>
      <color rgb="FF275317"/>
      <name val="EYInterstate"/>
      <family val="0"/>
      <charset val="1"/>
    </font>
    <font>
      <u val="single"/>
      <sz val="10"/>
      <color theme="10"/>
      <name val="Inter"/>
      <family val="0"/>
      <charset val="1"/>
    </font>
    <font>
      <u val="single"/>
      <sz val="10"/>
      <color theme="1"/>
      <name val="Inter"/>
      <family val="0"/>
      <charset val="1"/>
    </font>
    <font>
      <b val="true"/>
      <sz val="10"/>
      <color theme="6"/>
      <name val="EYInterstate"/>
      <family val="0"/>
      <charset val="1"/>
    </font>
    <font>
      <sz val="10"/>
      <color rgb="FF00B050"/>
      <name val="EYInterstate"/>
      <family val="0"/>
      <charset val="1"/>
    </font>
    <font>
      <sz val="10"/>
      <name val="Inter"/>
      <family val="0"/>
      <charset val="1"/>
    </font>
    <font>
      <u val="single"/>
      <sz val="10"/>
      <color rgb="FF00B050"/>
      <name val="EYInterstate"/>
      <family val="0"/>
      <charset val="1"/>
    </font>
    <font>
      <b val="true"/>
      <strike val="true"/>
      <sz val="10"/>
      <color theme="1"/>
      <name val="EYInterstate"/>
      <family val="0"/>
      <charset val="1"/>
    </font>
    <font>
      <strike val="true"/>
      <sz val="10"/>
      <color theme="1"/>
      <name val="EYInterstate"/>
      <family val="0"/>
      <charset val="1"/>
    </font>
    <font>
      <strike val="true"/>
      <sz val="10"/>
      <color theme="1"/>
      <name val="Inter"/>
      <family val="0"/>
      <charset val="1"/>
    </font>
    <font>
      <b val="true"/>
      <sz val="10"/>
      <color rgb="FF800080"/>
      <name val="Inter"/>
      <family val="0"/>
      <charset val="1"/>
    </font>
    <font>
      <b val="true"/>
      <u val="single"/>
      <sz val="10"/>
      <color rgb="FF0C0C0C"/>
      <name val="Inter"/>
      <family val="0"/>
      <charset val="1"/>
    </font>
    <font>
      <sz val="10"/>
      <color rgb="FF0C0C0C"/>
      <name val="Inter"/>
      <family val="0"/>
      <charset val="1"/>
    </font>
    <font>
      <u val="single"/>
      <sz val="10"/>
      <color rgb="FF0C0C0C"/>
      <name val="Inter"/>
      <family val="0"/>
      <charset val="1"/>
    </font>
    <font>
      <sz val="10"/>
      <color rgb="FF00B0F0"/>
      <name val="Inter"/>
      <family val="0"/>
      <charset val="1"/>
    </font>
    <font>
      <sz val="10"/>
      <color rgb="FF00B050"/>
      <name val="Inter"/>
      <family val="0"/>
      <charset val="1"/>
    </font>
    <font>
      <strike val="true"/>
      <u val="single"/>
      <sz val="10"/>
      <color theme="1"/>
      <name val="Inter"/>
      <family val="0"/>
      <charset val="1"/>
    </font>
    <font>
      <b val="true"/>
      <sz val="9"/>
      <color rgb="FF000000"/>
      <name val="Calibri"/>
      <family val="0"/>
      <charset val="1"/>
    </font>
    <font>
      <sz val="9"/>
      <color rgb="FF000000"/>
      <name val="Calibri"/>
      <family val="0"/>
      <charset val="1"/>
    </font>
    <font>
      <b val="true"/>
      <sz val="11"/>
      <color rgb="FF000000"/>
      <name val="Aptos Narrow"/>
      <family val="0"/>
      <charset val="1"/>
    </font>
    <font>
      <sz val="11"/>
      <color rgb="FF000000"/>
      <name val="Aptos Narrow"/>
      <family val="0"/>
      <charset val="1"/>
    </font>
    <font>
      <b val="true"/>
      <sz val="9"/>
      <color rgb="FF0D0D0D"/>
      <name val="Inter"/>
      <family val="0"/>
      <charset val="1"/>
    </font>
    <font>
      <sz val="9"/>
      <color rgb="FF0D0D0D"/>
      <name val="Inter"/>
      <family val="0"/>
      <charset val="1"/>
    </font>
    <font>
      <sz val="7"/>
      <color rgb="FF000000"/>
      <name val="Segoe UI"/>
      <family val="0"/>
      <charset val="1"/>
    </font>
    <font>
      <b val="true"/>
      <sz val="7"/>
      <color rgb="FF000000"/>
      <name val="Segoe UI"/>
      <family val="0"/>
      <charset val="1"/>
    </font>
    <font>
      <i val="true"/>
      <sz val="7"/>
      <color rgb="FF000000"/>
      <name val="Segoe UI"/>
      <family val="0"/>
      <charset val="1"/>
    </font>
    <font>
      <sz val="9"/>
      <color rgb="FF0D0D0D"/>
      <name val="EYInterstate"/>
      <family val="0"/>
      <charset val="1"/>
    </font>
    <font>
      <b val="true"/>
      <sz val="10"/>
      <name val="Inter"/>
      <family val="0"/>
      <charset val="1"/>
    </font>
  </fonts>
  <fills count="13">
    <fill>
      <patternFill patternType="none"/>
    </fill>
    <fill>
      <patternFill patternType="gray125"/>
    </fill>
    <fill>
      <patternFill patternType="solid">
        <fgColor rgb="FFBFBFBF"/>
        <bgColor rgb="FFD0D0D0"/>
      </patternFill>
    </fill>
    <fill>
      <patternFill patternType="solid">
        <fgColor rgb="FFA6C9EB"/>
        <bgColor rgb="FFBFBFBF"/>
      </patternFill>
    </fill>
    <fill>
      <patternFill patternType="solid">
        <fgColor rgb="FFC1F0C8"/>
        <bgColor rgb="FFD9F2D0"/>
      </patternFill>
    </fill>
    <fill>
      <patternFill patternType="solid">
        <fgColor rgb="FFAEAEAE"/>
        <bgColor rgb="FFA6A6A6"/>
      </patternFill>
    </fill>
    <fill>
      <patternFill patternType="solid">
        <fgColor rgb="FFFFFF00"/>
        <bgColor rgb="FFFFFF00"/>
      </patternFill>
    </fill>
    <fill>
      <patternFill patternType="solid">
        <fgColor rgb="FFFFC000"/>
        <bgColor rgb="FFFF9900"/>
      </patternFill>
    </fill>
    <fill>
      <patternFill patternType="solid">
        <fgColor theme="0"/>
        <bgColor rgb="FFE6E6E6"/>
      </patternFill>
    </fill>
    <fill>
      <patternFill patternType="solid">
        <fgColor rgb="FF00B0F0"/>
        <bgColor rgb="FF33CCCC"/>
      </patternFill>
    </fill>
    <fill>
      <patternFill patternType="solid">
        <fgColor rgb="FFD9F2D0"/>
        <bgColor rgb="FFC1F0C8"/>
      </patternFill>
    </fill>
    <fill>
      <patternFill patternType="solid">
        <fgColor rgb="FFD0D0D0"/>
        <bgColor rgb="FFBFBFBF"/>
      </patternFill>
    </fill>
    <fill>
      <patternFill patternType="solid">
        <fgColor rgb="FFA6A6A6"/>
        <bgColor rgb="FFA5A5A5"/>
      </patternFill>
    </fill>
  </fills>
  <borders count="19">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hair"/>
      <bottom style="hair"/>
      <diagonal/>
    </border>
    <border diagonalUp="false" diagonalDown="false">
      <left style="thin"/>
      <right style="thin"/>
      <top style="thin"/>
      <bottom style="hair"/>
      <diagonal/>
    </border>
    <border diagonalUp="false" diagonalDown="false">
      <left style="thin"/>
      <right style="thin"/>
      <top style="hair"/>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top style="thin"/>
      <bottom style="hair"/>
      <diagonal/>
    </border>
    <border diagonalUp="false" diagonalDown="false">
      <left style="thin"/>
      <right/>
      <top style="hair"/>
      <bottom style="hair"/>
      <diagonal/>
    </border>
    <border diagonalUp="false" diagonalDown="false">
      <left style="thin"/>
      <right style="thin"/>
      <top/>
      <bottom style="hair"/>
      <diagonal/>
    </border>
    <border diagonalUp="false" diagonalDown="false">
      <left style="thin"/>
      <right/>
      <top style="hair"/>
      <bottom style="thin"/>
      <diagonal/>
    </border>
    <border diagonalUp="false" diagonalDown="false">
      <left style="thin"/>
      <right/>
      <top style="thin"/>
      <bottom style="thin"/>
      <diagonal/>
    </border>
    <border diagonalUp="false" diagonalDown="false">
      <left style="medium">
        <color rgb="FFE6E6E6"/>
      </left>
      <right style="medium">
        <color rgb="FFE6E6E6"/>
      </right>
      <top style="medium">
        <color rgb="FFE6E6E6"/>
      </top>
      <bottom style="medium">
        <color rgb="FFE6E6E6"/>
      </bottom>
      <diagonal/>
    </border>
    <border diagonalUp="false" diagonalDown="false">
      <left style="thin"/>
      <right/>
      <top style="thin"/>
      <bottom/>
      <diagonal/>
    </border>
    <border diagonalUp="false" diagonalDown="false">
      <left/>
      <right/>
      <top/>
      <bottom style="thin"/>
      <diagonal/>
    </border>
    <border diagonalUp="false" diagonalDown="false">
      <left/>
      <right style="medium">
        <color rgb="FFE6E6E6"/>
      </right>
      <top style="medium">
        <color rgb="FFE6E6E6"/>
      </top>
      <bottom style="medium">
        <color rgb="FFE6E6E6"/>
      </bottom>
      <diagonal/>
    </border>
    <border diagonalUp="false" diagonalDown="false">
      <left/>
      <right style="thin"/>
      <top style="thin"/>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center"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5" fontId="5" fillId="0" borderId="2" xfId="0" applyFont="true" applyBorder="true" applyAlignment="false" applyProtection="false">
      <alignment horizontal="general" vertical="bottom" textRotation="0" wrapText="false" indent="0" shrinkToFit="false"/>
      <protection locked="true" hidden="false"/>
    </xf>
    <xf numFmtId="166" fontId="5" fillId="0" borderId="2" xfId="0" applyFont="true" applyBorder="true" applyAlignment="true" applyProtection="false">
      <alignment horizontal="center" vertical="bottom" textRotation="0" wrapText="false" indent="0" shrinkToFit="false"/>
      <protection locked="true" hidden="false"/>
    </xf>
    <xf numFmtId="164" fontId="5" fillId="0" borderId="4" xfId="0" applyFont="true" applyBorder="true" applyAlignment="true" applyProtection="false">
      <alignment horizontal="center" vertical="bottom" textRotation="0" wrapText="false" indent="0" shrinkToFit="false"/>
      <protection locked="true" hidden="false"/>
    </xf>
    <xf numFmtId="164" fontId="5" fillId="0" borderId="4"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fals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5" fillId="0" borderId="2" xfId="0" applyFont="true" applyBorder="true" applyAlignment="true" applyProtection="false">
      <alignment horizontal="center" vertical="top" textRotation="0" wrapText="fals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4" fontId="5" fillId="0" borderId="2" xfId="0" applyFont="true" applyBorder="true" applyAlignment="true" applyProtection="false">
      <alignment horizontal="general" vertical="top" textRotation="0" wrapText="false" indent="0" shrinkToFit="false"/>
      <protection locked="true" hidden="false"/>
    </xf>
    <xf numFmtId="164" fontId="6" fillId="0" borderId="5" xfId="0" applyFont="true" applyBorder="true" applyAlignment="true" applyProtection="false">
      <alignment horizontal="general" vertical="top" textRotation="0" wrapText="true" indent="0" shrinkToFit="false"/>
      <protection locked="true" hidden="false"/>
    </xf>
    <xf numFmtId="165" fontId="5" fillId="0" borderId="2" xfId="0" applyFont="true" applyBorder="true" applyAlignment="true" applyProtection="false">
      <alignment horizontal="general" vertical="top" textRotation="0" wrapText="true" indent="0" shrinkToFit="false"/>
      <protection locked="true" hidden="false"/>
    </xf>
    <xf numFmtId="164" fontId="6" fillId="0" borderId="6" xfId="0" applyFont="true" applyBorder="true" applyAlignment="true" applyProtection="false">
      <alignment horizontal="general" vertical="top" textRotation="0" wrapText="true" indent="0" shrinkToFit="false"/>
      <protection locked="true" hidden="false"/>
    </xf>
    <xf numFmtId="164" fontId="5" fillId="0" borderId="6" xfId="0" applyFont="true" applyBorder="true" applyAlignment="true" applyProtection="false">
      <alignment horizontal="general" vertical="top" textRotation="0" wrapText="true" indent="0" shrinkToFit="false"/>
      <protection locked="true" hidden="false"/>
    </xf>
    <xf numFmtId="164" fontId="5" fillId="3" borderId="2" xfId="0" applyFont="true" applyBorder="true" applyAlignment="true" applyProtection="false">
      <alignment horizontal="general" vertical="top" textRotation="0" wrapText="true" indent="0" shrinkToFit="false"/>
      <protection locked="true" hidden="false"/>
    </xf>
    <xf numFmtId="164" fontId="5" fillId="0" borderId="4" xfId="0" applyFont="true" applyBorder="true" applyAlignment="true" applyProtection="false">
      <alignment horizontal="center" vertical="top" textRotation="0" wrapText="false" indent="0" shrinkToFit="false"/>
      <protection locked="true" hidden="false"/>
    </xf>
    <xf numFmtId="164" fontId="5" fillId="3" borderId="4" xfId="0" applyFont="true" applyBorder="true" applyAlignment="true" applyProtection="false">
      <alignment horizontal="general" vertical="top" textRotation="0" wrapText="true" indent="0" shrinkToFit="false"/>
      <protection locked="true" hidden="false"/>
    </xf>
    <xf numFmtId="164" fontId="5" fillId="0" borderId="4" xfId="0" applyFont="true" applyBorder="true" applyAlignment="true" applyProtection="false">
      <alignment horizontal="general" vertical="top" textRotation="0" wrapText="true" indent="0" shrinkToFit="false"/>
      <protection locked="true" hidden="false"/>
    </xf>
    <xf numFmtId="164" fontId="5" fillId="0" borderId="4" xfId="0" applyFont="true" applyBorder="true" applyAlignment="true" applyProtection="false">
      <alignment horizontal="general" vertical="top" textRotation="0" wrapText="false" indent="0" shrinkToFit="false"/>
      <protection locked="true" hidden="false"/>
    </xf>
    <xf numFmtId="164" fontId="6" fillId="0" borderId="7" xfId="0" applyFont="true" applyBorder="true" applyAlignment="true" applyProtection="false">
      <alignment horizontal="general" vertical="top" textRotation="0" wrapText="true" indent="0" shrinkToFit="false"/>
      <protection locked="true" hidden="false"/>
    </xf>
    <xf numFmtId="165" fontId="5" fillId="0" borderId="4" xfId="0" applyFont="true" applyBorder="true" applyAlignment="true" applyProtection="false">
      <alignment horizontal="general" vertical="top" textRotation="0" wrapText="true" indent="0" shrinkToFit="false"/>
      <protection locked="true" hidden="false"/>
    </xf>
    <xf numFmtId="164" fontId="5" fillId="0" borderId="3" xfId="0" applyFont="true" applyBorder="true" applyAlignment="true" applyProtection="false">
      <alignment horizontal="center" vertical="top" textRotation="0" wrapText="false" indent="0" shrinkToFit="false"/>
      <protection locked="true" hidden="false"/>
    </xf>
    <xf numFmtId="164" fontId="5" fillId="0" borderId="3" xfId="0" applyFont="true" applyBorder="true" applyAlignment="true" applyProtection="false">
      <alignment horizontal="general" vertical="top" textRotation="0" wrapText="true" indent="0" shrinkToFit="false"/>
      <protection locked="true" hidden="false"/>
    </xf>
    <xf numFmtId="164" fontId="5" fillId="0" borderId="3" xfId="0" applyFont="true" applyBorder="tru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5" fillId="0" borderId="3"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general" vertical="top" textRotation="0" wrapText="fals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2" xfId="0" applyFont="true" applyBorder="true" applyAlignment="true" applyProtection="false">
      <alignment horizontal="general" vertical="bottom" textRotation="0" wrapText="true" indent="0" shrinkToFit="false"/>
      <protection locked="true" hidden="false"/>
    </xf>
    <xf numFmtId="164" fontId="6" fillId="0" borderId="4"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4" fillId="2" borderId="5" xfId="0" applyFont="true" applyBorder="true" applyAlignment="true" applyProtection="false">
      <alignment horizontal="center" vertical="top" textRotation="0" wrapText="false" indent="0" shrinkToFit="false"/>
      <protection locked="true" hidden="false"/>
    </xf>
    <xf numFmtId="164" fontId="5" fillId="0" borderId="3" xfId="0" applyFont="true" applyBorder="true" applyAlignment="true" applyProtection="false">
      <alignment horizontal="left" vertical="top" textRotation="0" wrapText="false" indent="0" shrinkToFit="false"/>
      <protection locked="true" hidden="false"/>
    </xf>
    <xf numFmtId="164" fontId="5" fillId="0" borderId="8" xfId="0" applyFont="true" applyBorder="true" applyAlignment="true" applyProtection="false">
      <alignment horizontal="general" vertical="top" textRotation="0" wrapText="false" indent="0" shrinkToFit="false"/>
      <protection locked="true" hidden="false"/>
    </xf>
    <xf numFmtId="164" fontId="5" fillId="0" borderId="5" xfId="0" applyFont="true" applyBorder="tru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9" xfId="0" applyFont="true" applyBorder="true" applyAlignment="true" applyProtection="false">
      <alignment horizontal="general" vertical="top" textRotation="0" wrapText="false" indent="0" shrinkToFit="false"/>
      <protection locked="true" hidden="false"/>
    </xf>
    <xf numFmtId="164" fontId="5" fillId="0" borderId="6" xfId="0" applyFont="true" applyBorder="true" applyAlignment="true" applyProtection="false">
      <alignment horizontal="general" vertical="top" textRotation="0" wrapText="false" indent="0" shrinkToFit="false"/>
      <protection locked="true" hidden="false"/>
    </xf>
    <xf numFmtId="164" fontId="5" fillId="0" borderId="10" xfId="0" applyFont="true" applyBorder="true" applyAlignment="true" applyProtection="false">
      <alignment horizontal="general" vertical="top" textRotation="0" wrapText="false" indent="0" shrinkToFit="false"/>
      <protection locked="true" hidden="false"/>
    </xf>
    <xf numFmtId="164" fontId="5" fillId="0" borderId="9"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4" fontId="5" fillId="0" borderId="11" xfId="0" applyFont="true" applyBorder="true" applyAlignment="true" applyProtection="false">
      <alignment horizontal="general" vertical="top" textRotation="0" wrapText="false" indent="0" shrinkToFit="false"/>
      <protection locked="true" hidden="false"/>
    </xf>
    <xf numFmtId="164" fontId="5" fillId="0" borderId="7"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4" fillId="2" borderId="1" xfId="0" applyFont="true" applyBorder="true" applyAlignment="true" applyProtection="false">
      <alignment horizontal="general" vertical="center" textRotation="0" wrapText="false" indent="0" shrinkToFit="false"/>
      <protection locked="true" hidden="false"/>
    </xf>
    <xf numFmtId="164" fontId="4" fillId="2" borderId="12"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0" borderId="12" xfId="0" applyFont="true" applyBorder="true" applyAlignment="true" applyProtection="false">
      <alignment horizontal="general" vertical="top" textRotation="0" wrapText="false" indent="0" shrinkToFit="false"/>
      <protection locked="true" hidden="false"/>
    </xf>
    <xf numFmtId="168" fontId="5" fillId="0" borderId="1" xfId="0" applyFont="true" applyBorder="true" applyAlignment="true" applyProtection="false">
      <alignment horizontal="general" vertical="top" textRotation="0" wrapText="false" indent="0" shrinkToFit="false"/>
      <protection locked="true" hidden="false"/>
    </xf>
    <xf numFmtId="164" fontId="6" fillId="0" borderId="13"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8" fontId="5" fillId="0" borderId="1" xfId="0" applyFont="true" applyBorder="true" applyAlignment="true" applyProtection="false">
      <alignment horizontal="left" vertical="top"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true" applyProtection="false">
      <alignment horizontal="right" vertical="top" textRotation="0" wrapText="false" indent="0" shrinkToFit="false"/>
      <protection locked="true" hidden="false"/>
    </xf>
    <xf numFmtId="164" fontId="9" fillId="0" borderId="0"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left" vertical="top" textRotation="0" wrapText="false" indent="0" shrinkToFit="false"/>
      <protection locked="true" hidden="false"/>
    </xf>
    <xf numFmtId="164" fontId="11" fillId="0" borderId="0" xfId="0" applyFont="true" applyBorder="fals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true" applyProtection="false">
      <alignment horizontal="left" vertical="top" textRotation="0" wrapText="false" indent="0" shrinkToFit="false"/>
      <protection locked="true" hidden="false"/>
    </xf>
    <xf numFmtId="164" fontId="10" fillId="0" borderId="0" xfId="0" applyFont="true" applyBorder="true" applyAlignment="true" applyProtection="false">
      <alignment horizontal="left" vertical="top" textRotation="0" wrapText="false" indent="0" shrinkToFit="false"/>
      <protection locked="true" hidden="false"/>
    </xf>
    <xf numFmtId="164" fontId="14" fillId="2" borderId="14" xfId="0" applyFont="true" applyBorder="true" applyAlignment="true" applyProtection="false">
      <alignment horizontal="center" vertical="top" textRotation="0" wrapText="false" indent="0" shrinkToFit="false"/>
      <protection locked="true" hidden="false"/>
    </xf>
    <xf numFmtId="164" fontId="11" fillId="5" borderId="1" xfId="0" applyFont="true" applyBorder="true" applyAlignment="true" applyProtection="false">
      <alignment horizontal="center" vertical="center" textRotation="0" wrapText="fals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fals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center" vertical="top" textRotation="0" wrapText="fals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9" fontId="15" fillId="0" borderId="1" xfId="0" applyFont="true" applyBorder="true" applyAlignment="true" applyProtection="false">
      <alignment horizontal="left" vertical="top" textRotation="0" wrapText="true" indent="0" shrinkToFit="false"/>
      <protection locked="true" hidden="false"/>
    </xf>
    <xf numFmtId="169"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left" vertical="top" textRotation="0" wrapText="true" indent="0" shrinkToFit="false"/>
      <protection locked="true" hidden="false"/>
    </xf>
    <xf numFmtId="164" fontId="20" fillId="0" borderId="1" xfId="0" applyFont="true" applyBorder="true" applyAlignment="true" applyProtection="false">
      <alignment horizontal="left" vertical="top" textRotation="0" wrapText="true" indent="0" shrinkToFit="false"/>
      <protection locked="true" hidden="false"/>
    </xf>
    <xf numFmtId="164" fontId="20"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left" vertical="top" textRotation="0" wrapText="fals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70" fontId="10" fillId="0" borderId="1" xfId="0" applyFont="true" applyBorder="true" applyAlignment="true" applyProtection="false">
      <alignment horizontal="left"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25" fillId="0" borderId="0" xfId="0" applyFont="true" applyBorder="false" applyAlignment="true" applyProtection="false">
      <alignment horizontal="general" vertical="top" textRotation="0" wrapText="false" indent="0" shrinkToFit="false"/>
      <protection locked="true" hidden="false"/>
    </xf>
    <xf numFmtId="164" fontId="10" fillId="8" borderId="1" xfId="0" applyFont="true" applyBorder="true" applyAlignment="true" applyProtection="false">
      <alignment horizontal="left" vertical="top" textRotation="0" wrapText="true" indent="0" shrinkToFit="false"/>
      <protection locked="true" hidden="false"/>
    </xf>
    <xf numFmtId="167" fontId="10" fillId="0" borderId="1" xfId="0" applyFont="true" applyBorder="true" applyAlignment="true" applyProtection="false">
      <alignment horizontal="left" vertical="top" textRotation="0" wrapText="true" indent="0" shrinkToFit="false"/>
      <protection locked="true" hidden="false"/>
    </xf>
    <xf numFmtId="164" fontId="20" fillId="0" borderId="0" xfId="0" applyFont="true" applyBorder="false" applyAlignment="true" applyProtection="false">
      <alignment horizontal="left"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false" indent="0" shrinkToFit="false"/>
      <protection locked="true" hidden="false"/>
    </xf>
    <xf numFmtId="169" fontId="10" fillId="0" borderId="1" xfId="0" applyFont="true" applyBorder="true" applyAlignment="true" applyProtection="false">
      <alignment horizontal="left" vertical="top" textRotation="0" wrapText="true" indent="0" shrinkToFit="false"/>
      <protection locked="true" hidden="false"/>
    </xf>
    <xf numFmtId="164" fontId="24" fillId="0" borderId="1" xfId="0" applyFont="true" applyBorder="true" applyAlignment="true" applyProtection="false">
      <alignment horizontal="left" vertical="top" textRotation="0" wrapText="true" indent="0" shrinkToFit="false"/>
      <protection locked="true" hidden="false"/>
    </xf>
    <xf numFmtId="171" fontId="10" fillId="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general" vertical="center" textRotation="0" wrapText="fals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21" fillId="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26" fillId="0" borderId="1" xfId="0" applyFont="true" applyBorder="true" applyAlignment="true" applyProtection="false">
      <alignment horizontal="left" vertical="top" textRotation="0" wrapText="true" indent="0" shrinkToFit="false"/>
      <protection locked="true" hidden="false"/>
    </xf>
    <xf numFmtId="164" fontId="28" fillId="0" borderId="1" xfId="0" applyFont="true" applyBorder="true" applyAlignment="true" applyProtection="false">
      <alignment horizontal="left" vertical="top" textRotation="0" wrapText="true" indent="0" shrinkToFit="false"/>
      <protection locked="true" hidden="false"/>
    </xf>
    <xf numFmtId="164" fontId="20" fillId="0" borderId="1" xfId="0" applyFont="true" applyBorder="true" applyAlignment="true" applyProtection="false">
      <alignment horizontal="left" vertical="top" textRotation="0" wrapText="false" indent="0" shrinkToFit="false"/>
      <protection locked="true" hidden="false"/>
    </xf>
    <xf numFmtId="164" fontId="10" fillId="9" borderId="1" xfId="0" applyFont="true" applyBorder="true" applyAlignment="true" applyProtection="false">
      <alignment horizontal="left" vertical="top" textRotation="0" wrapText="true" indent="0" shrinkToFit="false"/>
      <protection locked="true" hidden="false"/>
    </xf>
    <xf numFmtId="164" fontId="15" fillId="8" borderId="1" xfId="0" applyFont="true" applyBorder="true" applyAlignment="true" applyProtection="false">
      <alignment horizontal="left" vertical="top" textRotation="0" wrapText="true" indent="0" shrinkToFit="false"/>
      <protection locked="true" hidden="false"/>
    </xf>
    <xf numFmtId="164" fontId="30" fillId="0" borderId="1" xfId="0" applyFont="true" applyBorder="true" applyAlignment="true" applyProtection="false">
      <alignment horizontal="left" vertical="top" textRotation="0" wrapText="true" indent="0" shrinkToFit="false"/>
      <protection locked="true" hidden="false"/>
    </xf>
    <xf numFmtId="164" fontId="10" fillId="0" borderId="12" xfId="0" applyFont="true" applyBorder="true" applyAlignment="true" applyProtection="false">
      <alignment horizontal="left" vertical="top" textRotation="0" wrapText="true" indent="0" shrinkToFit="false"/>
      <protection locked="true" hidden="false"/>
    </xf>
    <xf numFmtId="164" fontId="10" fillId="10" borderId="1" xfId="0" applyFont="true" applyBorder="true" applyAlignment="true" applyProtection="false">
      <alignment horizontal="left" vertical="top" textRotation="0" wrapText="true" indent="0" shrinkToFit="false"/>
      <protection locked="true" hidden="false"/>
    </xf>
    <xf numFmtId="164" fontId="30" fillId="8" borderId="1" xfId="0" applyFont="true" applyBorder="true" applyAlignment="true" applyProtection="false">
      <alignment horizontal="left" vertical="top" textRotation="0" wrapText="true" indent="0" shrinkToFit="false"/>
      <protection locked="true" hidden="false"/>
    </xf>
    <xf numFmtId="164" fontId="31" fillId="8" borderId="1" xfId="0" applyFont="true" applyBorder="true" applyAlignment="true" applyProtection="false">
      <alignment horizontal="left" vertical="top" textRotation="0" wrapText="true" indent="0" shrinkToFit="false"/>
      <protection locked="true" hidden="false"/>
    </xf>
    <xf numFmtId="164" fontId="15" fillId="0" borderId="0" xfId="0" applyFont="true" applyBorder="false" applyAlignment="true" applyProtection="false">
      <alignment horizontal="left" vertical="top" textRotation="0" wrapText="true" indent="0" shrinkToFit="false"/>
      <protection locked="true" hidden="false"/>
    </xf>
    <xf numFmtId="164" fontId="16" fillId="0" borderId="0" xfId="0" applyFont="true" applyBorder="false" applyAlignment="true" applyProtection="false">
      <alignment horizontal="left" vertical="top" textRotation="0" wrapText="true" indent="0" shrinkToFit="false"/>
      <protection locked="true" hidden="false"/>
    </xf>
    <xf numFmtId="164" fontId="25" fillId="0" borderId="5" xfId="0" applyFont="true" applyBorder="true" applyAlignment="true" applyProtection="false">
      <alignment horizontal="center" vertical="top" textRotation="0" wrapText="false" indent="0" shrinkToFit="false"/>
      <protection locked="true" hidden="false"/>
    </xf>
    <xf numFmtId="164" fontId="32" fillId="10" borderId="5" xfId="0" applyFont="true" applyBorder="true" applyAlignment="true" applyProtection="false">
      <alignment horizontal="left" vertical="top" textRotation="0" wrapText="true" indent="0" shrinkToFit="false"/>
      <protection locked="true" hidden="false"/>
    </xf>
    <xf numFmtId="164" fontId="25" fillId="8" borderId="5" xfId="0" applyFont="true" applyBorder="true" applyAlignment="true" applyProtection="false">
      <alignment horizontal="left" vertical="top" textRotation="0" wrapText="true" indent="0" shrinkToFit="false"/>
      <protection locked="true" hidden="false"/>
    </xf>
    <xf numFmtId="164" fontId="15" fillId="0" borderId="5" xfId="0" applyFont="true" applyBorder="true" applyAlignment="true" applyProtection="false">
      <alignment horizontal="left" vertical="top" textRotation="0" wrapText="true" indent="0" shrinkToFit="false"/>
      <protection locked="true" hidden="false"/>
    </xf>
    <xf numFmtId="164" fontId="16" fillId="0" borderId="5" xfId="0" applyFont="true" applyBorder="true" applyAlignment="true" applyProtection="false">
      <alignment horizontal="left" vertical="top" textRotation="0" wrapText="true" indent="0" shrinkToFit="false"/>
      <protection locked="true" hidden="false"/>
    </xf>
    <xf numFmtId="164" fontId="25" fillId="0" borderId="5" xfId="0" applyFont="true" applyBorder="true" applyAlignment="true" applyProtection="false">
      <alignment horizontal="left" vertical="top" textRotation="0" wrapText="true" indent="0" shrinkToFit="false"/>
      <protection locked="true" hidden="false"/>
    </xf>
    <xf numFmtId="167" fontId="25" fillId="0" borderId="5" xfId="0" applyFont="true" applyBorder="true" applyAlignment="true" applyProtection="false">
      <alignment horizontal="left" vertical="top" textRotation="0" wrapText="true" indent="0" shrinkToFit="false"/>
      <protection locked="true" hidden="false"/>
    </xf>
    <xf numFmtId="164" fontId="25" fillId="0" borderId="5" xfId="0" applyFont="true" applyBorder="true" applyAlignment="true" applyProtection="false">
      <alignment horizontal="left" vertical="top" textRotation="0" wrapText="false" indent="0" shrinkToFit="false"/>
      <protection locked="true" hidden="false"/>
    </xf>
    <xf numFmtId="164" fontId="33" fillId="0" borderId="5" xfId="0" applyFont="true" applyBorder="true" applyAlignment="true" applyProtection="false">
      <alignment horizontal="left" vertical="top" textRotation="0" wrapText="true" indent="0" shrinkToFit="false"/>
      <protection locked="true" hidden="false"/>
    </xf>
    <xf numFmtId="164" fontId="10" fillId="0" borderId="5" xfId="0" applyFont="true" applyBorder="true" applyAlignment="true" applyProtection="false">
      <alignment horizontal="left" vertical="top" textRotation="0" wrapText="false" indent="0" shrinkToFit="false"/>
      <protection locked="true" hidden="false"/>
    </xf>
    <xf numFmtId="164" fontId="34" fillId="0" borderId="1" xfId="0" applyFont="true" applyBorder="true" applyAlignment="true" applyProtection="false">
      <alignment horizontal="center" vertical="top" textRotation="0" wrapText="false" indent="0" shrinkToFit="false"/>
      <protection locked="true" hidden="false"/>
    </xf>
    <xf numFmtId="164" fontId="32" fillId="10" borderId="1" xfId="0" applyFont="true" applyBorder="true" applyAlignment="true" applyProtection="false">
      <alignment horizontal="general" vertical="top" textRotation="0" wrapText="true" indent="0" shrinkToFit="false"/>
      <protection locked="true" hidden="false"/>
    </xf>
    <xf numFmtId="164" fontId="25" fillId="0" borderId="1" xfId="0" applyFont="true" applyBorder="true" applyAlignment="true" applyProtection="false">
      <alignment horizontal="general" vertical="top" textRotation="0" wrapText="true" indent="0" shrinkToFit="false"/>
      <protection locked="true" hidden="false"/>
    </xf>
    <xf numFmtId="164" fontId="15" fillId="0" borderId="5" xfId="0" applyFont="true" applyBorder="true" applyAlignment="true" applyProtection="false">
      <alignment horizontal="general" vertical="top" textRotation="0" wrapText="true" indent="0" shrinkToFit="false"/>
      <protection locked="true" hidden="false"/>
    </xf>
    <xf numFmtId="164" fontId="16" fillId="0" borderId="5" xfId="0" applyFont="true" applyBorder="true" applyAlignment="true" applyProtection="false">
      <alignment horizontal="general" vertical="top" textRotation="0" wrapText="true" indent="0" shrinkToFit="false"/>
      <protection locked="true" hidden="false"/>
    </xf>
    <xf numFmtId="164" fontId="32" fillId="0" borderId="1" xfId="0" applyFont="true" applyBorder="true" applyAlignment="true" applyProtection="false">
      <alignment horizontal="general" vertical="top" textRotation="0" wrapText="true" indent="0" shrinkToFit="false"/>
      <protection locked="true" hidden="false"/>
    </xf>
    <xf numFmtId="164" fontId="32" fillId="10" borderId="1" xfId="0" applyFont="true" applyBorder="true" applyAlignment="true" applyProtection="false">
      <alignment horizontal="left" vertical="top" textRotation="0" wrapText="true" indent="0" shrinkToFit="false"/>
      <protection locked="true" hidden="false"/>
    </xf>
    <xf numFmtId="164" fontId="32" fillId="8" borderId="1" xfId="0" applyFont="true" applyBorder="true" applyAlignment="true" applyProtection="false">
      <alignment horizontal="left" vertical="top" textRotation="0" wrapText="true" indent="0" shrinkToFit="false"/>
      <protection locked="true" hidden="false"/>
    </xf>
    <xf numFmtId="164" fontId="32" fillId="0" borderId="1" xfId="0" applyFont="true" applyBorder="true" applyAlignment="true" applyProtection="false">
      <alignment horizontal="left" vertical="top" textRotation="0" wrapText="true" indent="0" shrinkToFit="false"/>
      <protection locked="true" hidden="false"/>
    </xf>
    <xf numFmtId="164" fontId="32" fillId="0" borderId="1" xfId="0" applyFont="true" applyBorder="true" applyAlignment="true" applyProtection="false">
      <alignment horizontal="left" vertical="top" textRotation="0" wrapText="false" indent="0" shrinkToFit="false"/>
      <protection locked="true" hidden="false"/>
    </xf>
    <xf numFmtId="167" fontId="32" fillId="0" borderId="1" xfId="0" applyFont="true" applyBorder="true" applyAlignment="true" applyProtection="false">
      <alignment horizontal="left" vertical="top" textRotation="0" wrapText="true" indent="0" shrinkToFit="false"/>
      <protection locked="true" hidden="false"/>
    </xf>
    <xf numFmtId="164" fontId="35" fillId="0" borderId="1" xfId="0" applyFont="true" applyBorder="true" applyAlignment="true" applyProtection="false">
      <alignment horizontal="left" vertical="top" textRotation="0" wrapText="true" indent="0" shrinkToFit="false"/>
      <protection locked="true" hidden="false"/>
    </xf>
    <xf numFmtId="164" fontId="36" fillId="0" borderId="1" xfId="0" applyFont="true" applyBorder="true" applyAlignment="true" applyProtection="false">
      <alignment horizontal="center" vertical="top" textRotation="0" wrapText="false" indent="0" shrinkToFit="false"/>
      <protection locked="true" hidden="false"/>
    </xf>
    <xf numFmtId="164" fontId="36" fillId="10" borderId="1" xfId="0" applyFont="true" applyBorder="true" applyAlignment="true" applyProtection="false">
      <alignment horizontal="left" vertical="top" textRotation="0" wrapText="true" indent="0" shrinkToFit="false"/>
      <protection locked="true" hidden="false"/>
    </xf>
    <xf numFmtId="164" fontId="36" fillId="8" borderId="1" xfId="0" applyFont="true" applyBorder="true" applyAlignment="true" applyProtection="false">
      <alignment horizontal="left" vertical="top" textRotation="0" wrapText="true" indent="0" shrinkToFit="false"/>
      <protection locked="true" hidden="false"/>
    </xf>
    <xf numFmtId="164" fontId="16" fillId="8" borderId="1" xfId="0" applyFont="true" applyBorder="true" applyAlignment="true" applyProtection="false">
      <alignment horizontal="left" vertical="top" textRotation="0" wrapText="true" indent="0" shrinkToFit="false"/>
      <protection locked="true" hidden="false"/>
    </xf>
    <xf numFmtId="164" fontId="36" fillId="0" borderId="1" xfId="0" applyFont="true" applyBorder="true" applyAlignment="true" applyProtection="false">
      <alignment horizontal="left" vertical="top" textRotation="0" wrapText="true" indent="0" shrinkToFit="false"/>
      <protection locked="true" hidden="false"/>
    </xf>
    <xf numFmtId="164" fontId="36" fillId="0" borderId="1" xfId="0" applyFont="true" applyBorder="true" applyAlignment="true" applyProtection="false">
      <alignment horizontal="left" vertical="top" textRotation="0" wrapText="false" indent="0" shrinkToFit="false"/>
      <protection locked="true" hidden="false"/>
    </xf>
    <xf numFmtId="164" fontId="34" fillId="0" borderId="1" xfId="0" applyFont="true" applyBorder="true" applyAlignment="true" applyProtection="false">
      <alignment horizontal="left" vertical="top" textRotation="0" wrapText="false" indent="0" shrinkToFit="false"/>
      <protection locked="true" hidden="false"/>
    </xf>
    <xf numFmtId="164" fontId="37" fillId="0" borderId="0" xfId="0" applyFont="true" applyBorder="false" applyAlignment="true" applyProtection="false">
      <alignment horizontal="general" vertical="top" textRotation="0" wrapText="true" indent="0" shrinkToFit="false"/>
      <protection locked="true" hidden="false"/>
    </xf>
    <xf numFmtId="164" fontId="36" fillId="0" borderId="1" xfId="0" applyFont="true" applyBorder="true" applyAlignment="true" applyProtection="false">
      <alignment horizontal="general" vertical="top" textRotation="0" wrapText="true" indent="0" shrinkToFit="false"/>
      <protection locked="true" hidden="false"/>
    </xf>
    <xf numFmtId="164" fontId="31" fillId="0" borderId="1" xfId="0" applyFont="true" applyBorder="true" applyAlignment="true" applyProtection="false">
      <alignment horizontal="general" vertical="top" textRotation="0" wrapText="true" indent="0" shrinkToFit="false"/>
      <protection locked="true" hidden="false"/>
    </xf>
    <xf numFmtId="164" fontId="36" fillId="0" borderId="1" xfId="0" applyFont="true" applyBorder="true" applyAlignment="true" applyProtection="false">
      <alignment horizontal="general" vertical="top" textRotation="0" wrapText="false" indent="0" shrinkToFit="false"/>
      <protection locked="true" hidden="false"/>
    </xf>
    <xf numFmtId="164" fontId="34" fillId="0" borderId="1" xfId="0" applyFont="true" applyBorder="true" applyAlignment="true" applyProtection="false">
      <alignment horizontal="left" vertical="top" textRotation="0" wrapText="true" indent="0" shrinkToFit="false"/>
      <protection locked="true" hidden="false"/>
    </xf>
    <xf numFmtId="164" fontId="39" fillId="0" borderId="1" xfId="0" applyFont="true" applyBorder="true" applyAlignment="true" applyProtection="false">
      <alignment horizontal="general" vertical="top" textRotation="0" wrapText="false" indent="0" shrinkToFit="false"/>
      <protection locked="true" hidden="false"/>
    </xf>
    <xf numFmtId="164" fontId="31" fillId="0" borderId="1" xfId="0" applyFont="true" applyBorder="true" applyAlignment="true" applyProtection="false">
      <alignment horizontal="general" vertical="top" textRotation="0" wrapText="false" indent="0" shrinkToFit="false"/>
      <protection locked="true" hidden="false"/>
    </xf>
    <xf numFmtId="164" fontId="16" fillId="0" borderId="1" xfId="0" applyFont="true" applyBorder="true" applyAlignment="true" applyProtection="false">
      <alignment horizontal="center" vertical="top" textRotation="0" wrapText="false" indent="0" shrinkToFit="false"/>
      <protection locked="true" hidden="false"/>
    </xf>
    <xf numFmtId="164" fontId="15" fillId="10"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left" vertical="top" textRotation="0" wrapText="false" indent="0" shrinkToFit="false"/>
      <protection locked="true" hidden="false"/>
    </xf>
    <xf numFmtId="164" fontId="16" fillId="0" borderId="1" xfId="0" applyFont="true" applyBorder="true" applyAlignment="true" applyProtection="false">
      <alignment horizontal="general" vertical="top" textRotation="0" wrapText="fals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center"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9" fillId="0" borderId="15" xfId="0" applyFont="true" applyBorder="true" applyAlignment="true" applyProtection="false">
      <alignment horizontal="general" vertical="top" textRotation="0" wrapText="false" indent="0" shrinkToFit="false"/>
      <protection locked="true" hidden="false"/>
    </xf>
    <xf numFmtId="164" fontId="11" fillId="11" borderId="1" xfId="0" applyFont="true" applyBorder="true" applyAlignment="true" applyProtection="false">
      <alignment horizontal="center" vertical="top" textRotation="0" wrapText="false" indent="0" shrinkToFit="false"/>
      <protection locked="true" hidden="false"/>
    </xf>
    <xf numFmtId="164" fontId="11" fillId="11" borderId="1" xfId="0" applyFont="true" applyBorder="true" applyAlignment="true" applyProtection="false">
      <alignment horizontal="left" vertical="top" textRotation="0" wrapText="false" indent="0" shrinkToFit="false"/>
      <protection locked="true" hidden="false"/>
    </xf>
    <xf numFmtId="164" fontId="11" fillId="11" borderId="1" xfId="0" applyFont="true" applyBorder="true" applyAlignment="true" applyProtection="false">
      <alignment horizontal="left" vertical="top" textRotation="0" wrapText="true" indent="0" shrinkToFit="false"/>
      <protection locked="true" hidden="false"/>
    </xf>
    <xf numFmtId="164" fontId="10" fillId="6" borderId="1" xfId="0" applyFont="true" applyBorder="true" applyAlignment="true" applyProtection="false">
      <alignment horizontal="left" vertical="top" textRotation="0" wrapText="false" indent="0" shrinkToFit="false"/>
      <protection locked="true" hidden="false"/>
    </xf>
    <xf numFmtId="164" fontId="11" fillId="6" borderId="1" xfId="0" applyFont="true" applyBorder="true" applyAlignment="true" applyProtection="false">
      <alignment horizontal="left" vertical="top" textRotation="0" wrapText="false" indent="0" shrinkToFit="false"/>
      <protection locked="true" hidden="false"/>
    </xf>
    <xf numFmtId="164" fontId="40" fillId="0" borderId="1" xfId="0" applyFont="true" applyBorder="true" applyAlignment="true" applyProtection="false">
      <alignment horizontal="left" vertical="top" textRotation="0" wrapText="tru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4" fontId="39" fillId="0" borderId="1" xfId="0" applyFont="true" applyBorder="true" applyAlignment="true" applyProtection="false">
      <alignment horizontal="left" vertical="top" textRotation="0" wrapText="true" indent="0" shrinkToFit="false"/>
      <protection locked="true" hidden="false"/>
    </xf>
    <xf numFmtId="164" fontId="10" fillId="0" borderId="5" xfId="0" applyFont="true" applyBorder="true" applyAlignment="true" applyProtection="false">
      <alignment horizontal="center" vertical="top" textRotation="0" wrapText="false" indent="0" shrinkToFit="false"/>
      <protection locked="true" hidden="false"/>
    </xf>
    <xf numFmtId="164" fontId="10" fillId="0" borderId="5" xfId="0" applyFont="true" applyBorder="true" applyAlignment="true" applyProtection="false">
      <alignment horizontal="left" vertical="top" textRotation="0" wrapText="true" indent="0" shrinkToFit="false"/>
      <protection locked="true" hidden="false"/>
    </xf>
    <xf numFmtId="164" fontId="10" fillId="8" borderId="5" xfId="0" applyFont="true" applyBorder="true" applyAlignment="true" applyProtection="false">
      <alignment horizontal="left" vertical="top" textRotation="0" wrapText="true" indent="0" shrinkToFit="false"/>
      <protection locked="true" hidden="false"/>
    </xf>
    <xf numFmtId="167" fontId="10" fillId="0" borderId="5" xfId="0" applyFont="true" applyBorder="true" applyAlignment="true" applyProtection="false">
      <alignment horizontal="left" vertical="top" textRotation="0" wrapText="true" indent="0" shrinkToFit="false"/>
      <protection locked="true" hidden="false"/>
    </xf>
    <xf numFmtId="164" fontId="20" fillId="0" borderId="5" xfId="0" applyFont="true" applyBorder="true" applyAlignment="true" applyProtection="false">
      <alignment horizontal="left" vertical="top" textRotation="0" wrapText="true" indent="0" shrinkToFit="false"/>
      <protection locked="true" hidden="false"/>
    </xf>
    <xf numFmtId="164" fontId="43" fillId="0" borderId="1" xfId="0" applyFont="true" applyBorder="true" applyAlignment="true" applyProtection="false">
      <alignment horizontal="left" vertical="top" textRotation="0" wrapText="true" indent="0" shrinkToFit="false"/>
      <protection locked="true" hidden="false"/>
    </xf>
    <xf numFmtId="164" fontId="32" fillId="0" borderId="1" xfId="0" applyFont="true" applyBorder="true" applyAlignment="true" applyProtection="false">
      <alignment horizontal="center" vertical="top" textRotation="0" wrapText="false" indent="0" shrinkToFit="false"/>
      <protection locked="true" hidden="false"/>
    </xf>
    <xf numFmtId="164" fontId="32" fillId="0" borderId="1" xfId="0" applyFont="true" applyBorder="true" applyAlignment="true" applyProtection="false">
      <alignment horizontal="general" vertical="top" textRotation="0" wrapText="false" indent="0" shrinkToFit="false"/>
      <protection locked="true" hidden="false"/>
    </xf>
    <xf numFmtId="164" fontId="25" fillId="0" borderId="1" xfId="0" applyFont="true" applyBorder="true" applyAlignment="true" applyProtection="false">
      <alignment horizontal="general" vertical="top" textRotation="0" wrapText="fals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40" fillId="0" borderId="0" xfId="0" applyFont="true" applyBorder="fals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9" fontId="10"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45" fillId="0" borderId="1" xfId="0" applyFont="true" applyBorder="true" applyAlignment="true" applyProtection="false">
      <alignment horizontal="general" vertical="top" textRotation="0" wrapText="true" indent="0" shrinkToFit="false"/>
      <protection locked="true" hidden="false"/>
    </xf>
    <xf numFmtId="164" fontId="40" fillId="0" borderId="0" xfId="0" applyFont="true" applyBorder="false" applyAlignment="true" applyProtection="false">
      <alignment horizontal="general" vertical="top" textRotation="0" wrapText="true" indent="0" shrinkToFit="false"/>
      <protection locked="true" hidden="false"/>
    </xf>
    <xf numFmtId="164" fontId="46"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center" vertical="center" textRotation="0" wrapText="true" indent="0" shrinkToFit="false"/>
      <protection locked="true" hidden="false"/>
    </xf>
    <xf numFmtId="164" fontId="45" fillId="0" borderId="1" xfId="0" applyFont="true" applyBorder="true" applyAlignment="true" applyProtection="false">
      <alignment horizontal="left" vertical="top" textRotation="0" wrapText="true" indent="0" shrinkToFit="false"/>
      <protection locked="true" hidden="false"/>
    </xf>
    <xf numFmtId="164" fontId="34" fillId="0" borderId="0" xfId="0" applyFont="true" applyBorder="fals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bottom" textRotation="0" wrapText="true" indent="0" shrinkToFit="false"/>
      <protection locked="true" hidden="false"/>
    </xf>
    <xf numFmtId="164" fontId="47" fillId="0" borderId="1" xfId="0" applyFont="true" applyBorder="true" applyAlignment="true" applyProtection="false">
      <alignment horizontal="center"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40"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4" fontId="10" fillId="0" borderId="16" xfId="0" applyFont="true" applyBorder="true" applyAlignment="true" applyProtection="false">
      <alignment horizontal="general" vertical="center" textRotation="0" wrapText="true" indent="0" shrinkToFit="false"/>
      <protection locked="true" hidden="false"/>
    </xf>
    <xf numFmtId="164" fontId="48" fillId="0" borderId="0" xfId="0" applyFont="true" applyBorder="false" applyAlignment="true" applyProtection="false">
      <alignment horizontal="general" vertical="top" textRotation="0" wrapText="false" indent="0" shrinkToFit="false"/>
      <protection locked="true" hidden="false"/>
    </xf>
    <xf numFmtId="164" fontId="48" fillId="0" borderId="0" xfId="0" applyFont="true" applyBorder="false" applyAlignment="true" applyProtection="false">
      <alignment horizontal="general" vertical="top" textRotation="0" wrapText="true" indent="0" shrinkToFit="false"/>
      <protection locked="true" hidden="false"/>
    </xf>
    <xf numFmtId="164" fontId="48" fillId="6" borderId="0" xfId="0" applyFont="true" applyBorder="true" applyAlignment="true" applyProtection="false">
      <alignment horizontal="general" vertical="top" textRotation="0" wrapText="true" indent="0" shrinkToFit="false"/>
      <protection locked="true" hidden="false"/>
    </xf>
    <xf numFmtId="164" fontId="48" fillId="6" borderId="0" xfId="0" applyFont="true" applyBorder="true" applyAlignment="true" applyProtection="false">
      <alignment horizontal="general" vertical="top" textRotation="0" wrapText="false" indent="0" shrinkToFit="false"/>
      <protection locked="true" hidden="false"/>
    </xf>
    <xf numFmtId="164" fontId="48" fillId="0" borderId="0" xfId="0" applyFont="true" applyBorder="false" applyAlignment="true" applyProtection="false">
      <alignment horizontal="center" vertical="top" textRotation="0" wrapText="false" indent="0" shrinkToFit="false"/>
      <protection locked="true" hidden="false"/>
    </xf>
    <xf numFmtId="164" fontId="34" fillId="0" borderId="0" xfId="0" applyFont="true" applyBorder="false" applyAlignment="true" applyProtection="false">
      <alignment horizontal="general" vertical="top" textRotation="0" wrapText="false" indent="0" shrinkToFit="false"/>
      <protection locked="true" hidden="false"/>
    </xf>
    <xf numFmtId="164" fontId="48" fillId="0" borderId="0" xfId="0" applyFont="true" applyBorder="false" applyAlignment="true" applyProtection="false">
      <alignment horizontal="left" vertical="top" textRotation="0" wrapText="false" indent="0" shrinkToFit="false"/>
      <protection locked="true" hidden="false"/>
    </xf>
    <xf numFmtId="164" fontId="34" fillId="0" borderId="0" xfId="0" applyFont="true" applyBorder="false" applyAlignment="true" applyProtection="false">
      <alignment horizontal="left" vertical="top" textRotation="0" wrapText="false" indent="0" shrinkToFit="false"/>
      <protection locked="true" hidden="false"/>
    </xf>
    <xf numFmtId="164" fontId="10" fillId="6" borderId="0" xfId="0" applyFont="true" applyBorder="true" applyAlignment="true" applyProtection="false">
      <alignment horizontal="general" vertical="top" textRotation="0" wrapText="false" indent="0" shrinkToFit="false"/>
      <protection locked="true" hidden="false"/>
    </xf>
    <xf numFmtId="164" fontId="49" fillId="0" borderId="0" xfId="0" applyFont="true" applyBorder="false" applyAlignment="true" applyProtection="false">
      <alignment horizontal="general" vertical="center"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left" vertical="center" textRotation="0" wrapText="false" indent="0" shrinkToFit="false"/>
      <protection locked="true" hidden="false"/>
    </xf>
    <xf numFmtId="164" fontId="14" fillId="2" borderId="1" xfId="0" applyFont="true" applyBorder="true" applyAlignment="true" applyProtection="false">
      <alignment horizontal="center" vertical="top" textRotation="0" wrapText="false" indent="0" shrinkToFit="false"/>
      <protection locked="true" hidden="false"/>
    </xf>
    <xf numFmtId="164" fontId="14" fillId="2" borderId="1" xfId="0" applyFont="true" applyBorder="true" applyAlignment="true" applyProtection="false">
      <alignment horizontal="center" vertical="top" textRotation="0" wrapText="true" indent="0" shrinkToFit="false"/>
      <protection locked="true" hidden="false"/>
    </xf>
    <xf numFmtId="164" fontId="14" fillId="7" borderId="1" xfId="0" applyFont="true" applyBorder="true" applyAlignment="true" applyProtection="false">
      <alignment horizontal="center" vertical="top" textRotation="0" wrapText="true" indent="0" shrinkToFit="false"/>
      <protection locked="true" hidden="false"/>
    </xf>
    <xf numFmtId="164" fontId="50" fillId="0" borderId="1" xfId="0" applyFont="true" applyBorder="true" applyAlignment="true" applyProtection="false">
      <alignment horizontal="center" vertical="top" textRotation="0" wrapText="false" indent="0" shrinkToFit="false"/>
      <protection locked="true" hidden="false"/>
    </xf>
    <xf numFmtId="164" fontId="50" fillId="0" borderId="1" xfId="0" applyFont="true" applyBorder="true" applyAlignment="true" applyProtection="false">
      <alignment horizontal="general" vertical="top" textRotation="0" wrapText="true" indent="0" shrinkToFit="false"/>
      <protection locked="true" hidden="false"/>
    </xf>
    <xf numFmtId="164" fontId="50" fillId="0" borderId="1" xfId="0" applyFont="true" applyBorder="true" applyAlignment="true" applyProtection="false">
      <alignment horizontal="general" vertical="top" textRotation="0" wrapText="false" indent="0" shrinkToFit="false"/>
      <protection locked="true" hidden="false"/>
    </xf>
    <xf numFmtId="164" fontId="50" fillId="0" borderId="1" xfId="0" applyFont="true" applyBorder="true" applyAlignment="true" applyProtection="false">
      <alignment horizontal="left" vertical="top" textRotation="0" wrapText="false" indent="0" shrinkToFit="false"/>
      <protection locked="true" hidden="false"/>
    </xf>
    <xf numFmtId="164" fontId="51" fillId="0" borderId="1" xfId="0" applyFont="true" applyBorder="true" applyAlignment="true" applyProtection="false">
      <alignment horizontal="left" vertical="top" textRotation="0" wrapText="false" indent="0" shrinkToFit="false"/>
      <protection locked="true" hidden="false"/>
    </xf>
    <xf numFmtId="164" fontId="51" fillId="0" borderId="1" xfId="0" applyFont="true" applyBorder="true" applyAlignment="true" applyProtection="false">
      <alignment horizontal="general" vertical="top" textRotation="0" wrapText="true" indent="0" shrinkToFit="false"/>
      <protection locked="true" hidden="false"/>
    </xf>
    <xf numFmtId="172" fontId="50" fillId="0" borderId="1" xfId="0" applyFont="true" applyBorder="true" applyAlignment="true" applyProtection="false">
      <alignment horizontal="general" vertical="top" textRotation="0" wrapText="false" indent="0" shrinkToFit="false"/>
      <protection locked="true" hidden="false"/>
    </xf>
    <xf numFmtId="172" fontId="51" fillId="0" borderId="1" xfId="0" applyFont="true" applyBorder="true" applyAlignment="true" applyProtection="false">
      <alignment horizontal="general" vertical="top" textRotation="0" wrapText="true" indent="0" shrinkToFit="false"/>
      <protection locked="true" hidden="false"/>
    </xf>
    <xf numFmtId="164" fontId="50" fillId="0" borderId="1" xfId="0" applyFont="true" applyBorder="true" applyAlignment="true" applyProtection="false">
      <alignment horizontal="left" vertical="top" textRotation="0" wrapText="true" indent="0" shrinkToFit="false"/>
      <protection locked="true" hidden="false"/>
    </xf>
    <xf numFmtId="172" fontId="50" fillId="0" borderId="1" xfId="0" applyFont="true" applyBorder="true" applyAlignment="true" applyProtection="false">
      <alignment horizontal="right" vertical="top" textRotation="0" wrapText="true" indent="0" shrinkToFit="false"/>
      <protection locked="true" hidden="false"/>
    </xf>
    <xf numFmtId="164" fontId="50" fillId="0" borderId="0" xfId="0" applyFont="true" applyBorder="false" applyAlignment="true" applyProtection="false">
      <alignment horizontal="center" vertical="top"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50"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true" applyAlignment="true" applyProtection="false">
      <alignment horizontal="left" vertical="bottom" textRotation="0" wrapText="fals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14" fillId="7" borderId="1" xfId="0" applyFont="true" applyBorder="true" applyAlignment="true" applyProtection="false">
      <alignment horizontal="center" vertical="center" textRotation="0" wrapText="true" indent="0" shrinkToFit="false"/>
      <protection locked="true" hidden="false"/>
    </xf>
    <xf numFmtId="164" fontId="50" fillId="0" borderId="0" xfId="0" applyFont="true" applyBorder="fals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20" fillId="0" borderId="1" xfId="0" applyFont="true" applyBorder="true" applyAlignment="true" applyProtection="false">
      <alignment horizontal="center" vertical="center" textRotation="0" wrapText="true" indent="0" shrinkToFit="false"/>
      <protection locked="true" hidden="false"/>
    </xf>
    <xf numFmtId="164" fontId="50" fillId="0" borderId="0" xfId="0" applyFont="true" applyBorder="false" applyAlignment="true" applyProtection="false">
      <alignment horizontal="general" vertical="top" textRotation="0" wrapText="false" indent="0" shrinkToFit="false"/>
      <protection locked="true" hidden="false"/>
    </xf>
    <xf numFmtId="173" fontId="10" fillId="0" borderId="1" xfId="0" applyFont="true" applyBorder="true" applyAlignment="true" applyProtection="false">
      <alignment horizontal="center" vertical="center" textRotation="0" wrapText="true" indent="0" shrinkToFit="false"/>
      <protection locked="true" hidden="false"/>
    </xf>
    <xf numFmtId="164" fontId="40" fillId="0" borderId="1" xfId="0" applyFont="true" applyBorder="true" applyAlignment="true" applyProtection="false">
      <alignment horizontal="center" vertical="center" textRotation="0" wrapText="true" indent="0" shrinkToFit="false"/>
      <protection locked="true" hidden="false"/>
    </xf>
    <xf numFmtId="174" fontId="10" fillId="0"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left" vertical="center" textRotation="0" wrapText="true" indent="0" shrinkToFit="false"/>
      <protection locked="true" hidden="false"/>
    </xf>
    <xf numFmtId="164" fontId="40" fillId="0" borderId="0" xfId="0" applyFont="true" applyBorder="false" applyAlignment="true" applyProtection="false">
      <alignment horizontal="left" vertical="top" textRotation="0" wrapText="true" indent="0" shrinkToFit="false"/>
      <protection locked="true" hidden="false"/>
    </xf>
    <xf numFmtId="164" fontId="40" fillId="0" borderId="0" xfId="0" applyFont="true" applyBorder="false" applyAlignment="true" applyProtection="false">
      <alignment horizontal="center" vertical="center" textRotation="0" wrapText="true" indent="0" shrinkToFit="false"/>
      <protection locked="true" hidden="false"/>
    </xf>
    <xf numFmtId="175" fontId="10" fillId="0" borderId="1" xfId="0" applyFont="true" applyBorder="true" applyAlignment="true" applyProtection="false">
      <alignment horizontal="center" vertical="center" textRotation="0" wrapText="true" indent="0" shrinkToFit="false"/>
      <protection locked="true" hidden="false"/>
    </xf>
    <xf numFmtId="176" fontId="10" fillId="0" borderId="1" xfId="0" applyFont="true" applyBorder="true" applyAlignment="true" applyProtection="false">
      <alignment horizontal="center" vertical="center" textRotation="0" wrapText="true" indent="0" shrinkToFit="false"/>
      <protection locked="true" hidden="false"/>
    </xf>
    <xf numFmtId="177" fontId="10" fillId="0" borderId="1" xfId="0" applyFont="true" applyBorder="true" applyAlignment="true" applyProtection="false">
      <alignment horizontal="center" vertical="center" textRotation="0" wrapText="true" indent="0" shrinkToFit="false"/>
      <protection locked="true" hidden="false"/>
    </xf>
    <xf numFmtId="164" fontId="50" fillId="0" borderId="0" xfId="0" applyFont="true" applyBorder="false" applyAlignment="true" applyProtection="false">
      <alignment horizontal="center" vertical="center" textRotation="0" wrapText="true" indent="0" shrinkToFit="false"/>
      <protection locked="true" hidden="false"/>
    </xf>
    <xf numFmtId="164" fontId="50" fillId="0" borderId="0" xfId="0" applyFont="true" applyBorder="false" applyAlignment="true" applyProtection="false">
      <alignment horizontal="center" vertical="top" textRotation="0" wrapText="tru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1" fillId="2" borderId="1" xfId="0" applyFont="true" applyBorder="true" applyAlignment="true" applyProtection="false">
      <alignment horizontal="center" vertical="top" textRotation="0" wrapText="false" indent="0" shrinkToFit="false"/>
      <protection locked="true" hidden="false"/>
    </xf>
    <xf numFmtId="164" fontId="11" fillId="2" borderId="5" xfId="0" applyFont="true" applyBorder="true" applyAlignment="true" applyProtection="false">
      <alignment horizontal="center" vertical="top" textRotation="0" wrapText="false" indent="0" shrinkToFit="false"/>
      <protection locked="true" hidden="false"/>
    </xf>
    <xf numFmtId="164" fontId="11" fillId="7" borderId="5" xfId="0" applyFont="true" applyBorder="true" applyAlignment="true" applyProtection="false">
      <alignment horizontal="center" vertical="top" textRotation="0" wrapText="false" indent="0" shrinkToFit="false"/>
      <protection locked="true" hidden="false"/>
    </xf>
    <xf numFmtId="164" fontId="11" fillId="6" borderId="5" xfId="0" applyFont="true" applyBorder="true" applyAlignment="true" applyProtection="false">
      <alignment horizontal="left" vertical="top" textRotation="0" wrapText="false" indent="0" shrinkToFit="false"/>
      <protection locked="true" hidden="false"/>
    </xf>
    <xf numFmtId="172" fontId="10" fillId="0" borderId="1" xfId="0" applyFont="true" applyBorder="true" applyAlignment="true" applyProtection="false">
      <alignment horizontal="general" vertical="top" textRotation="0" wrapText="false" indent="0" shrinkToFit="false"/>
      <protection locked="true" hidden="false"/>
    </xf>
    <xf numFmtId="172" fontId="40"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72" fontId="10" fillId="0" borderId="1" xfId="0" applyFont="true" applyBorder="true" applyAlignment="true" applyProtection="false">
      <alignment horizontal="right" vertical="top" textRotation="0" wrapText="true" indent="0" shrinkToFit="false"/>
      <protection locked="true" hidden="false"/>
    </xf>
    <xf numFmtId="164" fontId="53"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40" fillId="0" borderId="1" xfId="0" applyFont="true" applyBorder="true" applyAlignment="true" applyProtection="false">
      <alignment horizontal="general" vertical="top" textRotation="0" wrapText="false" indent="0" shrinkToFit="false"/>
      <protection locked="true" hidden="false"/>
    </xf>
    <xf numFmtId="172" fontId="10" fillId="0" borderId="1" xfId="0" applyFont="true" applyBorder="true" applyAlignment="true" applyProtection="false">
      <alignment horizontal="right" vertical="top" textRotation="0" wrapText="false" indent="0" shrinkToFit="false"/>
      <protection locked="true" hidden="false"/>
    </xf>
    <xf numFmtId="172" fontId="10" fillId="0" borderId="0" xfId="0" applyFont="true" applyBorder="false" applyAlignment="true" applyProtection="false">
      <alignment horizontal="general" vertical="top" textRotation="0" wrapText="false" indent="0" shrinkToFit="false"/>
      <protection locked="true" hidden="false"/>
    </xf>
    <xf numFmtId="172" fontId="4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center" vertical="top" textRotation="0" wrapText="false" indent="0" shrinkToFit="false"/>
      <protection locked="true" hidden="false"/>
    </xf>
    <xf numFmtId="178" fontId="47" fillId="0" borderId="1" xfId="0" applyFont="true" applyBorder="true" applyAlignment="true" applyProtection="false">
      <alignment horizontal="center" vertical="top" textRotation="0" wrapText="false" indent="0" shrinkToFit="false"/>
      <protection locked="true" hidden="false"/>
    </xf>
    <xf numFmtId="164" fontId="47" fillId="0" borderId="1" xfId="0" applyFont="true" applyBorder="true" applyAlignment="true" applyProtection="false">
      <alignment horizontal="general" vertical="top" textRotation="0" wrapText="false" indent="0" shrinkToFit="false"/>
      <protection locked="true" hidden="false"/>
    </xf>
    <xf numFmtId="164" fontId="47" fillId="0" borderId="1" xfId="0" applyFont="true" applyBorder="true" applyAlignment="true" applyProtection="false">
      <alignment horizontal="general" vertical="top" textRotation="0" wrapText="true" indent="0" shrinkToFit="false"/>
      <protection locked="true" hidden="false"/>
    </xf>
    <xf numFmtId="164" fontId="47" fillId="0" borderId="1" xfId="0" applyFont="true" applyBorder="true" applyAlignment="true" applyProtection="false">
      <alignment horizontal="left" vertical="top" textRotation="0" wrapText="false" indent="0" shrinkToFit="false"/>
      <protection locked="true" hidden="false"/>
    </xf>
    <xf numFmtId="164" fontId="54" fillId="0" borderId="1" xfId="0" applyFont="true" applyBorder="true" applyAlignment="true" applyProtection="false">
      <alignment horizontal="general" vertical="top" textRotation="0" wrapText="true" indent="0" shrinkToFit="false"/>
      <protection locked="true" hidden="false"/>
    </xf>
    <xf numFmtId="172" fontId="47" fillId="0" borderId="1" xfId="0" applyFont="true" applyBorder="true" applyAlignment="true" applyProtection="false">
      <alignment horizontal="general" vertical="top" textRotation="0" wrapText="false" indent="0" shrinkToFit="false"/>
      <protection locked="true" hidden="false"/>
    </xf>
    <xf numFmtId="172" fontId="54" fillId="0" borderId="1" xfId="0" applyFont="true" applyBorder="true" applyAlignment="true" applyProtection="false">
      <alignment horizontal="general" vertical="top" textRotation="0" wrapText="true" indent="0" shrinkToFit="false"/>
      <protection locked="true" hidden="false"/>
    </xf>
    <xf numFmtId="164" fontId="47" fillId="0" borderId="1" xfId="0" applyFont="true" applyBorder="true" applyAlignment="false" applyProtection="false">
      <alignment horizontal="general" vertical="bottom" textRotation="0" wrapText="false" indent="0" shrinkToFit="false"/>
      <protection locked="true" hidden="false"/>
    </xf>
    <xf numFmtId="164" fontId="55" fillId="12" borderId="1" xfId="0" applyFont="true" applyBorder="true" applyAlignment="false" applyProtection="false">
      <alignment horizontal="general" vertical="bottom" textRotation="0" wrapText="false" indent="0" shrinkToFit="false"/>
      <protection locked="true" hidden="false"/>
    </xf>
    <xf numFmtId="164" fontId="55" fillId="6" borderId="1" xfId="0" applyFont="true" applyBorder="true" applyAlignment="false" applyProtection="false">
      <alignment horizontal="general"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1" xfId="0" applyFont="true" applyBorder="true" applyAlignment="true" applyProtection="false">
      <alignment horizontal="general" vertical="bottom" textRotation="0" wrapText="tru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8" fillId="0" borderId="0" xfId="0" applyFont="true" applyBorder="false" applyAlignment="false" applyProtection="false">
      <alignment horizontal="general"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57" fillId="0" borderId="17" xfId="0" applyFont="true" applyBorder="true" applyAlignment="false" applyProtection="false">
      <alignment horizontal="general" vertical="bottom" textRotation="0" wrapText="false" indent="0" shrinkToFit="false"/>
      <protection locked="true" hidden="false"/>
    </xf>
    <xf numFmtId="164" fontId="59" fillId="0" borderId="17" xfId="0" applyFont="true" applyBorder="true" applyAlignment="true" applyProtection="false">
      <alignment horizontal="general" vertical="bottom" textRotation="0" wrapText="true" indent="0" shrinkToFit="false"/>
      <protection locked="true" hidden="false"/>
    </xf>
    <xf numFmtId="164" fontId="60" fillId="0" borderId="7" xfId="0" applyFont="true" applyBorder="true" applyAlignment="true" applyProtection="false">
      <alignment horizontal="general" vertical="bottom" textRotation="0" wrapText="true" indent="0" shrinkToFit="false"/>
      <protection locked="true" hidden="false"/>
    </xf>
    <xf numFmtId="164" fontId="60" fillId="0" borderId="18" xfId="0" applyFont="true" applyBorder="true" applyAlignment="true" applyProtection="false">
      <alignment horizontal="general" vertical="bottom" textRotation="0" wrapText="true" indent="0" shrinkToFit="false"/>
      <protection locked="true" hidden="false"/>
    </xf>
    <xf numFmtId="164" fontId="64" fillId="0" borderId="18" xfId="0" applyFont="true" applyBorder="true" applyAlignment="true" applyProtection="false">
      <alignment horizontal="general" vertical="bottom" textRotation="0" wrapText="true" indent="0" shrinkToFit="false"/>
      <protection locked="true" hidden="false"/>
    </xf>
    <xf numFmtId="164" fontId="60" fillId="0" borderId="7" xfId="0" applyFont="true" applyBorder="true" applyAlignment="false" applyProtection="false">
      <alignment horizontal="general" vertical="bottom" textRotation="0" wrapText="false" indent="0" shrinkToFit="false"/>
      <protection locked="true" hidden="false"/>
    </xf>
    <xf numFmtId="164" fontId="65" fillId="6" borderId="0" xfId="0" applyFont="true" applyBorder="false" applyAlignment="fals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BFBFBF"/>
          <bgColor rgb="FF000000"/>
        </patternFill>
      </fill>
    </dxf>
    <dxf>
      <fill>
        <patternFill patternType="solid">
          <bgColor rgb="FF000000"/>
        </patternFill>
      </fill>
    </dxf>
    <dxf>
      <fill>
        <patternFill patternType="solid">
          <fgColor rgb="FF000000"/>
          <bgColor rgb="FF000000"/>
        </patternFill>
      </fill>
    </dxf>
    <dxf>
      <fill>
        <patternFill patternType="solid">
          <fgColor rgb="FFC1F0C8"/>
          <bgColor rgb="FF000000"/>
        </patternFill>
      </fill>
    </dxf>
    <dxf>
      <fill>
        <patternFill patternType="solid">
          <fgColor rgb="FF467886"/>
          <bgColor rgb="FF000000"/>
        </patternFill>
      </fill>
    </dxf>
    <dxf>
      <fill>
        <patternFill patternType="solid">
          <fgColor rgb="FFAEAEAE"/>
          <bgColor rgb="FF000000"/>
        </patternFill>
      </fill>
    </dxf>
    <dxf>
      <fill>
        <patternFill patternType="solid">
          <fgColor rgb="FFFFFF00"/>
          <bgColor rgb="FF000000"/>
        </patternFill>
      </fill>
    </dxf>
    <dxf>
      <fill>
        <patternFill patternType="solid">
          <fgColor rgb="FFFFC000"/>
          <bgColor rgb="FF000000"/>
        </patternFill>
      </fill>
    </dxf>
    <dxf>
      <fill>
        <patternFill patternType="solid">
          <fgColor rgb="FF0C0C0C"/>
          <bgColor rgb="FF000000"/>
        </patternFill>
      </fill>
    </dxf>
  </dxfs>
  <colors>
    <indexedColors>
      <rgbColor rgb="FF000000"/>
      <rgbColor rgb="FFFFFFFF"/>
      <rgbColor rgb="FFFF0000"/>
      <rgbColor rgb="FF00FF00"/>
      <rgbColor rgb="FF0000FF"/>
      <rgbColor rgb="FFFFFF00"/>
      <rgbColor rgb="FFFF00FF"/>
      <rgbColor rgb="FF00FFFF"/>
      <rgbColor rgb="FF800000"/>
      <rgbColor rgb="FF196B24"/>
      <rgbColor rgb="FF00008B"/>
      <rgbColor rgb="FF3C7D22"/>
      <rgbColor rgb="FF800080"/>
      <rgbColor rgb="FF00B050"/>
      <rgbColor rgb="FFBFBFBF"/>
      <rgbColor rgb="FF808080"/>
      <rgbColor rgb="FFA6A6A6"/>
      <rgbColor rgb="FF7030A0"/>
      <rgbColor rgb="FFE6E6E6"/>
      <rgbColor rgb="FFC1F0C8"/>
      <rgbColor rgb="FF660066"/>
      <rgbColor rgb="FFFF8080"/>
      <rgbColor rgb="FF0066CC"/>
      <rgbColor rgb="FFD0D0D0"/>
      <rgbColor rgb="FF000080"/>
      <rgbColor rgb="FFFF00FF"/>
      <rgbColor rgb="FFFFFF00"/>
      <rgbColor rgb="FF00FFFF"/>
      <rgbColor rgb="FF800080"/>
      <rgbColor rgb="FF800000"/>
      <rgbColor rgb="FF008080"/>
      <rgbColor rgb="FF0000FF"/>
      <rgbColor rgb="FF00B0F0"/>
      <rgbColor rgb="FFCCFFFF"/>
      <rgbColor rgb="FFD9F2D0"/>
      <rgbColor rgb="FFFFFF99"/>
      <rgbColor rgb="FFA6C9EB"/>
      <rgbColor rgb="FFFF99CC"/>
      <rgbColor rgb="FFAEAEAE"/>
      <rgbColor rgb="FFFFCC99"/>
      <rgbColor rgb="FF3366FF"/>
      <rgbColor rgb="FF33CCCC"/>
      <rgbColor rgb="FF99CC00"/>
      <rgbColor rgb="FFFFC000"/>
      <rgbColor rgb="FFFF9900"/>
      <rgbColor rgb="FFFF6600"/>
      <rgbColor rgb="FF467886"/>
      <rgbColor rgb="FFA5A5A5"/>
      <rgbColor rgb="FF003366"/>
      <rgbColor rgb="FF3A7D22"/>
      <rgbColor rgb="FF0D0D0D"/>
      <rgbColor rgb="FF275317"/>
      <rgbColor rgb="FF993300"/>
      <rgbColor rgb="FF993366"/>
      <rgbColor rgb="FF333399"/>
      <rgbColor rgb="FF0C0C0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pitchFamily="0" charset="1"/>
        <a:ea typeface="Aptos Narrow" pitchFamily="0" charset="1"/>
        <a:cs typeface="Aptos Narrow" pitchFamily="0" charset="1"/>
      </a:majorFont>
      <a:minorFont>
        <a:latin typeface="Aptos Narrow" pitchFamily="0" charset="1"/>
        <a:ea typeface="Aptos Narrow" pitchFamily="0" charset="1"/>
        <a:cs typeface="Aptos Narrow"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business-standard.com/finance/insurance/irdai-fraud-risk-framework-insurers-reinsurers-cybersecurity-2026-125101200278_1.html" TargetMode="External"/><Relationship Id="rId2" Type="http://schemas.openxmlformats.org/officeDocument/2006/relationships/hyperlink" Target="https://www.business-standard.com/finance/insurance/ahpi-insurers-discuss-common-empanelment-faster-claims-patient-care-125100901184_1.html" TargetMode="External"/><Relationship Id="rId3" Type="http://schemas.openxmlformats.org/officeDocument/2006/relationships/hyperlink" Target="https://www.business-standard.com/finance/insurance/irdai-deepak-sood-rethink-distribution-framework-for-universal-insurance-125100801321_1.html" TargetMode="External"/><Relationship Id="rId4" Type="http://schemas.openxmlformats.org/officeDocument/2006/relationships/hyperlink" Target="https://insuranceasia.com/insurance/news/lic-partners-rbl-bank-expand-bancassurance-reach" TargetMode="External"/><Relationship Id="rId5" Type="http://schemas.openxmlformats.org/officeDocument/2006/relationships/hyperlink" Target="https://www.business-standard.com/finance/insurance/govt-considers-introducing-nationwide-climate-linked-insurance-scheme-125100600912_1.html" TargetMode="External"/><Relationship Id="rId6" Type="http://schemas.openxmlformats.org/officeDocument/2006/relationships/hyperlink" Target="https://www.business-standard.com/finance/insurance/life-cos-to-approach-irdai-to-pass-on-impact-of-itc-removal-on-distributor-125092800459_1.html" TargetMode="External"/><Relationship Id="rId7" Type="http://schemas.openxmlformats.org/officeDocument/2006/relationships/hyperlink" Target="https://www.business-standard.com/finance/insurance/bima-sugam-to-launch-with-2-3-products-and-e-kyc-module-by-year-end-125092600954_1.html" TargetMode="External"/><Relationship Id="rId8" Type="http://schemas.openxmlformats.org/officeDocument/2006/relationships/hyperlink" Target="https://www.business-standard.com/finance/insurance/irdai-chairman-ajay-seth-launches-bima-sugam-india-federation-website-125091701252_1.html"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www.business-standard.com/search?q=New%20India%20Assurance" TargetMode="External"/><Relationship Id="rId2" Type="http://schemas.openxmlformats.org/officeDocument/2006/relationships/hyperlink" Target="https://www.business-standard.com/markets/capital-market-news/tcs-helps-icici-lombard-achieve-dr-switchover-on-aws-cloud-125082500488_1.html" TargetMode="External"/><Relationship Id="rId3" Type="http://schemas.openxmlformats.org/officeDocument/2006/relationships/hyperlink" Target="https://insuranceasia.com/insurance/news/central-bank-india-tata-aig-offer-insurance-msme-payments" TargetMode="External"/><Relationship Id="rId4" Type="http://schemas.openxmlformats.org/officeDocument/2006/relationships/hyperlink" Target="https://www.business-standard.com/finance/personal-finance/star-health-care-niva-bupa-record-most-policyholder-complaints-in-fy24-125090100487_1.html" TargetMode="External"/><Relationship Id="rId5" Type="http://schemas.openxmlformats.org/officeDocument/2006/relationships/hyperlink" Target="https://www.business-standard.com/content/press-releases-ani/sbi-general-insurance-launches-unique-health-scanning-feature-on-its-mobile-app-125091900982_1.html" TargetMode="External"/><Relationship Id="rId6" Type="http://schemas.openxmlformats.org/officeDocument/2006/relationships/hyperlink" Target="https://www.business-standard.com/finance/personal-finance/star-health-care-niva-bupa-record-most-policyholder-complaints-in-fy24-125090100487_1.html" TargetMode="External"/><Relationship Id="rId7" Type="http://schemas.openxmlformats.org/officeDocument/2006/relationships/hyperlink" Target="https://www.business-standard.com/finance/insurance/iffco-tokio-enters-surety-bonds-market-to-support-infra-growth-125050601178_1.html" TargetMode="External"/><Relationship Id="rId8" Type="http://schemas.openxmlformats.org/officeDocument/2006/relationships/hyperlink" Target="https://www.business-standard.com/companies/news/cholamandalam-ms-general-insurance-likely-to-go-public-in-five-years-md-125062301122_1.html" TargetMode="External"/><Relationship Id="rId9" Type="http://schemas.openxmlformats.org/officeDocument/2006/relationships/hyperlink" Target="https://www.business-standard.com/finance/personal-finance/star-health-care-niva-bupa-record-most-policyholder-complaints-in-fy24-125090100487_1.html" TargetMode="External"/><Relationship Id="rId10" Type="http://schemas.openxmlformats.org/officeDocument/2006/relationships/hyperlink" Target="https://www.business-standard.com/content/press-releases-ani/universal-sompo-extends-insurance-coverage-to-pets-125062800275_1.html" TargetMode="External"/><Relationship Id="rId11" Type="http://schemas.openxmlformats.org/officeDocument/2006/relationships/hyperlink" Target="https://www.business-standard.com/markets/capital-market-news/vakrangee-partners-with-aditya-birla-health-insurance-125022700332_1.html"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insuranceasia.com/insurance/news/sbi-life-au-small-finance-bank-partner-expand-insurance-in-rural-india" TargetMode="External"/><Relationship Id="rId2" Type="http://schemas.openxmlformats.org/officeDocument/2006/relationships/hyperlink" Target="https://www.business-standard.com/content/press-releases-ani/axis-max-life-insurance-partners-with-india-post-payments-bank-to-drive-life-insurance-penetration-in-tier-3-tier-4-and-rural-markets-125091001068_1.html" TargetMode="External"/><Relationship Id="rId3" Type="http://schemas.openxmlformats.org/officeDocument/2006/relationships/hyperlink" Target="https://www.business-standard.com/content/press-releases-ani/canara-hsbc-life-insurance-launches-omnigen-ai-an-industry-first-generative-ai-solution-to-optimize-risk-evaluation-in-underwriting-124112500592_1.html" TargetMode="External"/><Relationship Id="rId4" Type="http://schemas.openxmlformats.org/officeDocument/2006/relationships/hyperlink" Target="https://www.business-standard.com/companies/news/reliance-nippon-life-in-talks-with-indusind-bank-on-bancassurance-tie-up-124121800909_1.html" TargetMode="External"/><Relationship Id="rId5" Type="http://schemas.openxmlformats.org/officeDocument/2006/relationships/hyperlink" Target="https://www.business-standard.com/search?q=Shriram%20Life" TargetMode="External"/><Relationship Id="rId6" Type="http://schemas.openxmlformats.org/officeDocument/2006/relationships/hyperlink" Target="https://www.moneycontrol.com/banking/ageas-federal-life-insurance-and-csb-bank-forge-sme-bancassurance-partnership-article-13624207.html" TargetMode="External"/><Relationship Id="rId7" Type="http://schemas.openxmlformats.org/officeDocument/2006/relationships/hyperlink" Target="https://insuranceasia.com/insurance/news/generali-central-rebrands-insurance-venture-digital-focus" TargetMode="External"/><Relationship Id="rId8" Type="http://schemas.openxmlformats.org/officeDocument/2006/relationships/hyperlink" Target="https://www.business-standard.com/search?q=Pramerica%20Life" TargetMode="External"/><Relationship Id="rId9" Type="http://schemas.openxmlformats.org/officeDocument/2006/relationships/hyperlink" Target="https://www.angelone.in/news/stocks/sbi-life-insurance-to-acquire-sahara-india-life-assets-after-sat-ruling?msockid=2167906cfca86e7a20de86d2fd7b6f09"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newsroom.amfam.com/american-family-insurance-reports-2024-financial-results/" TargetMode="External"/><Relationship Id="rId2" Type="http://schemas.openxmlformats.org/officeDocument/2006/relationships/hyperlink" Target="https://www.aig.com/home/investor-relations/aig-2024-annual-report" TargetMode="External"/><Relationship Id="rId3" Type="http://schemas.openxmlformats.org/officeDocument/2006/relationships/hyperlink" Target="https://www.berkshirehathaway.com/2024ar/2024ar.pdf" TargetMode="External"/><Relationship Id="rId4" Type="http://schemas.openxmlformats.org/officeDocument/2006/relationships/hyperlink" Target="https://www.chubb.com/content/dam/annual-corporate-governance/2025/a--chubb-limited/chubb-limited-annual-report-2024.pdf" TargetMode="External"/><Relationship Id="rId5" Type="http://schemas.openxmlformats.org/officeDocument/2006/relationships/hyperlink" Target="https://investors.thecignagroup.com/financials/annual-reports/default.aspx" TargetMode="External"/><Relationship Id="rId6" Type="http://schemas.openxmlformats.org/officeDocument/2006/relationships/hyperlink" Target="https://www.elevancehealth.com/investors" TargetMode="External"/><Relationship Id="rId7" Type="http://schemas.openxmlformats.org/officeDocument/2006/relationships/hyperlink" Target="https://investor.metlife.com/news/news-details/2025/MetLife-Announces-Full-Year-and-Fourth-Quarter-2024-Results/default.aspx" TargetMode="External"/><Relationship Id="rId8" Type="http://schemas.openxmlformats.org/officeDocument/2006/relationships/hyperlink" Target="https://newsroom.statefarm.com/2024-state-farm-financial-results/" TargetMode="External"/><Relationship Id="rId9" Type="http://schemas.openxmlformats.org/officeDocument/2006/relationships/hyperlink" Target="https://www.unitedhealthgroup.com/content/dam/UHG/PDF/investors/2024/UNH-Q4-2024-Form-10-K.pdf" TargetMode="External"/><Relationship Id="rId10"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hyperlink" Target="https://www.businesswire.com/news/home/20250129602900/en/Marsh-McLennan-Reports-Strong-Fourth-Quarter-and-Full-Year-2024-Results" TargetMode="External"/><Relationship Id="rId2" Type="http://schemas.openxmlformats.org/officeDocument/2006/relationships/hyperlink" Target="https://aon.mediaroom.com/2025-01-31-Aon-Reports-Fourth-Quarter-and-Full-Year-2024-Results" TargetMode="External"/><Relationship Id="rId3" Type="http://schemas.openxmlformats.org/officeDocument/2006/relationships/hyperlink" Target="https://www.insurancebusinessmag.com/us/news/breaking-news/gallagher-reports-growth-as-insurance-market-expands-522857.aspx" TargetMode="External"/><Relationship Id="rId4" Type="http://schemas.openxmlformats.org/officeDocument/2006/relationships/hyperlink" Target="https://www.businessinsurance.com/wtw-reports-higher-q4-revenue-profit/" TargetMode="External"/><Relationship Id="rId5" Type="http://schemas.openxmlformats.org/officeDocument/2006/relationships/hyperlink" Target="https://www.businesswire.com/news/home/20250520063765/en/Alliant-Insurance-Services-Named-One-of-Insurance-Business-Americas-Fast-Brokerages" TargetMode="External"/><Relationship Id="rId6" Type="http://schemas.openxmlformats.org/officeDocument/2006/relationships/hyperlink" Target="https://rvbusiness.com/brown-brown-q4-24-results-marked-by-1-2b-in-revenue/" TargetMode="External"/><Relationship Id="rId7" Type="http://schemas.openxmlformats.org/officeDocument/2006/relationships/hyperlink" Target="https://www.businessinsurance.com/top-insurance-brokers-no-6-hub-international-ltd/" TargetMode="External"/><Relationship Id="rId8" Type="http://schemas.openxmlformats.org/officeDocument/2006/relationships/hyperlink" Target="https://www.howdengroupholdings.com/news/howden-announces-2024-full-year-results" TargetMode="External"/><Relationship Id="rId9" Type="http://schemas.openxmlformats.org/officeDocument/2006/relationships/hyperlink" Target="https://www.crainsgrandrapids.com/news/banking-finance/acrisures-2-1b-capital-raise-values-grand-rapids-fintech-at-32b/" TargetMode="External"/><Relationship Id="rId10" Type="http://schemas.openxmlformats.org/officeDocument/2006/relationships/hyperlink" Target="https://www.businessinsurance.com/lockton-reports-15-revenue-increase-for-fiscal-year/" TargetMode="External"/><Relationship Id="rId11" Type="http://schemas.openxmlformats.org/officeDocument/2006/relationships/hyperlink" Target="https://www.assuredpartners.com/about-us/" TargetMode="External"/><Relationship Id="rId12" Type="http://schemas.openxmlformats.org/officeDocument/2006/relationships/hyperlink" Target="https://www.usi.com/investor-relations/" TargetMode="External"/><Relationship Id="rId13" Type="http://schemas.openxmlformats.org/officeDocument/2006/relationships/hyperlink" Target="https://www.ardonagh.com/wp-content/uploads/2025/03/The-Ardonagh-Group-Sustainability-Report-2024.pdf" TargetMode="External"/><Relationship Id="rId14" Type="http://schemas.openxmlformats.org/officeDocument/2006/relationships/hyperlink" Target="https://broadstreetcorp.com/about/" TargetMode="External"/><Relationship Id="rId15" Type="http://schemas.openxmlformats.org/officeDocument/2006/relationships/hyperlink" Target="https://www.insurancejournal.com/news/national/2025/06/10/826916.htm" TargetMode="External"/><Relationship Id="rId16" Type="http://schemas.openxmlformats.org/officeDocument/2006/relationships/hyperlink" Target="https://aleragroup.com/news" TargetMode="External"/><Relationship Id="rId17" Type="http://schemas.openxmlformats.org/officeDocument/2006/relationships/hyperlink" Target="https://alliant.com/media/2togmkgh/business-insurance-largest-brokers.pdf" TargetMode="External"/><Relationship Id="rId18" Type="http://schemas.openxmlformats.org/officeDocument/2006/relationships/hyperlink" Target="https://www.epicbrokers.com/the-2024-epic-perspective-market-report/" TargetMode="External"/><Relationship Id="rId19" Type="http://schemas.openxmlformats.org/officeDocument/2006/relationships/hyperlink" Target="https://www.annualreports.com/HostedData/AnnualReports/PDF/ASX_SDF_2024.pdf" TargetMode="External"/><Relationship Id="rId20" Type="http://schemas.openxmlformats.org/officeDocument/2006/relationships/hyperlink" Target="https://diot-siaci.com/fr/diot-siaci-depasse-le-milliard-deuros-de-chiffre-daffaires-en-2024/" TargetMode="External"/><Relationship Id="rId21" Type="http://schemas.openxmlformats.org/officeDocument/2006/relationships/hyperlink" Target="https://www.onedigital.com/mergers-acquisitions/" TargetMode="External"/><Relationship Id="rId22" Type="http://schemas.openxmlformats.org/officeDocument/2006/relationships/hyperlink" Target="https://alliant.com/media/2togmkgh/business-insurance-largest-brokers.pdf" TargetMode="External"/><Relationship Id="rId23" Type="http://schemas.openxmlformats.org/officeDocument/2006/relationships/hyperlink" Target="https://alliant.com/media/2togmkgh/business-insurance-largest-brokers.pdf" TargetMode="External"/><Relationship Id="rId24" Type="http://schemas.openxmlformats.org/officeDocument/2006/relationships/hyperlink" Target="https://www.aubgroup.com.au/annual-reports/" TargetMode="External"/><Relationship Id="rId25" Type="http://schemas.openxmlformats.org/officeDocument/2006/relationships/hyperlink" Target="https://www.permira.com/news-and-insights/announcements/ggw-group-secures-investment-from-permira-as-the-firm-scales-as-a-leading-insurance-brokerage-group-in-europe" TargetMode="External"/><Relationship Id="rId26" Type="http://schemas.openxmlformats.org/officeDocument/2006/relationships/hyperlink" Target="https://www.funk-gruppe.de/de/medien-events/presse/fakten-und-kennzahlen" TargetMode="External"/><Relationship Id="rId27" Type="http://schemas.openxmlformats.org/officeDocument/2006/relationships/hyperlink" Target="https://www.kessler.ch/fileadmin/09_PDFs/Insight_Risk_Insurance_2024_EN.pdf" TargetMode="External"/><Relationship Id="rId28" Type="http://schemas.openxmlformats.org/officeDocument/2006/relationships/hyperlink" Target="https://www.renomia.com/renomia-group"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www.linkedin.com/posts/allianz-reinsurance_allianz-jio-re-limited-commences-underwriting-activity-7442824086717779969-vY4R" TargetMode="External"/><Relationship Id="rId2" Type="http://schemas.openxmlformats.org/officeDocument/2006/relationships/hyperlink" Target="https://www.allianz.com/content/dam/onemarketing/azcom/Allianz_com/about-us/who-we-are/at-a-glance/en-Allianz-fact-sheet.pdf" TargetMode="External"/><Relationship Id="rId3" Type="http://schemas.openxmlformats.org/officeDocument/2006/relationships/hyperlink" Target="https://www.allstateindia.com/about-us/news" TargetMode="External"/><Relationship Id="rId4" Type="http://schemas.openxmlformats.org/officeDocument/2006/relationships/hyperlink" Target="https://stockanalysis.com/stocks/all/employees/" TargetMode="External"/><Relationship Id="rId5" Type="http://schemas.openxmlformats.org/officeDocument/2006/relationships/hyperlink" Target="https://www.thecompanycheck.com/company/accenture-operations-services-private-limited/U74990KA2009PTC076432" TargetMode="External"/><Relationship Id="rId6" Type="http://schemas.openxmlformats.org/officeDocument/2006/relationships/hyperlink" Target="https://www.thecompanycheck.com/company/accenture-operations-services-private-limited/U74990KA2009PTC076432" TargetMode="External"/><Relationship Id="rId7" Type="http://schemas.openxmlformats.org/officeDocument/2006/relationships/hyperlink" Target="https://www.reinsurancene.ws/leading-indian-life-insurer-to-implement-aons-modelling-platform-pathwise/" TargetMode="External"/><Relationship Id="rId8" Type="http://schemas.openxmlformats.org/officeDocument/2006/relationships/hyperlink" Target="https://in.marketscreener.com/news/admiral-group-plc-reports-earnings-results-for-the-full-year-ended-december-31-2025-ce7e5fdbd88af525" TargetMode="External"/><Relationship Id="rId9" Type="http://schemas.openxmlformats.org/officeDocument/2006/relationships/hyperlink" Target="https://in.linkedin.com/company/admiral-solutions" TargetMode="External"/><Relationship Id="rId10" Type="http://schemas.openxmlformats.org/officeDocument/2006/relationships/hyperlink" Target="https://www.businesswire.com/news/home/20251027224074/en/Arch-Global-Services-India-Opens-Technology-Hub-in-Hyderabad-to-Accelerate-Innovation?utm_source=chatgpt.com" TargetMode="External"/><Relationship Id="rId11" Type="http://schemas.openxmlformats.org/officeDocument/2006/relationships/hyperlink" Target="https://www.prnewswire.com/in/news-releases/axa-global-business-services-embarks-on-a-new-era-of-transformation-as-it-celebrates-30-years-in-india-302375701.html" TargetMode="External"/><Relationship Id="rId12" Type="http://schemas.openxmlformats.org/officeDocument/2006/relationships/hyperlink" Target="https://www.prnewswire.com/in/news-releases/axa-global-business-services-embarks-on-a-new-era-of-transformation-as-it-celebrates-30-years-in-india-302375701.html" TargetMode="External"/><Relationship Id="rId13" Type="http://schemas.openxmlformats.org/officeDocument/2006/relationships/hyperlink" Target="https://www.itij.com/latest/news/bupa-careconnect-signs-11-new-workplace-healthcare-agreements-global-health-exhibition?utm_source=chatgpt.com" TargetMode="External"/><Relationship Id="rId14" Type="http://schemas.openxmlformats.org/officeDocument/2006/relationships/hyperlink" Target="https://careers.bupa.co.uk/bupa-capability-centre-india" TargetMode="External"/><Relationship Id="rId15" Type="http://schemas.openxmlformats.org/officeDocument/2006/relationships/hyperlink" Target="https://newsroom.cigna.com/cigna-healthcare-unveils-industry-leading-ai-powered-digital-tools" TargetMode="External"/><Relationship Id="rId16" Type="http://schemas.openxmlformats.org/officeDocument/2006/relationships/hyperlink" Target="https://cignainternational.com/chsi" TargetMode="External"/><Relationship Id="rId17" Type="http://schemas.openxmlformats.org/officeDocument/2006/relationships/hyperlink" Target="https://upstox.com/news/business-news/latest-updates/star-union-life-quantum-street-ai-partner-to-launch-ai-led-investment-products/article-118564/?utm_source=chatgpt.com" TargetMode="External"/><Relationship Id="rId18" Type="http://schemas.openxmlformats.org/officeDocument/2006/relationships/hyperlink" Target="https://newsroom.fmglobal.com/releases/fm-expands-footprint-in-india-with-new-innovative-centre-in-bengaluru" TargetMode="External"/><Relationship Id="rId19" Type="http://schemas.openxmlformats.org/officeDocument/2006/relationships/hyperlink" Target="https://www.sahmcapital.com/news/content/a-look-at-first-american-financials-valuation-after-new-title-fraud-monitoring-service-launch-2026-01-21?utm_source=chatgpt.com" TargetMode="External"/><Relationship Id="rId20" Type="http://schemas.openxmlformats.org/officeDocument/2006/relationships/hyperlink" Target="https://www.prnewswire.com/news-releases/arthur-j-gallagher--co-acquires-first-actuarial-302629760.html?utm_source=chatgpt.com" TargetMode="External"/><Relationship Id="rId21" Type="http://schemas.openxmlformats.org/officeDocument/2006/relationships/hyperlink" Target="https://news.europawire.eu/hannover-re-unveils-dedicated-cyber-and-digital-business-unit-for-enhanced-reinsurance-expertise/eu-press-release/2024/03/26/10/53/52/133057/?utm.com" TargetMode="External"/><Relationship Id="rId22" Type="http://schemas.openxmlformats.org/officeDocument/2006/relationships/hyperlink" Target="https://in.investing.com/news/company-news/markel-partners-with-insurate-for-aidriven-workers-com-93CH-4865708?utm.com" TargetMode="External"/><Relationship Id="rId23" Type="http://schemas.openxmlformats.org/officeDocument/2006/relationships/hyperlink" Target="https://www.mercer.com/en-ae/about/newsroom/marsh-mclennan-and-its-businesses-will-brand-as-marsh/?utm_source=chatgpt.com" TargetMode="External"/><Relationship Id="rId24" Type="http://schemas.openxmlformats.org/officeDocument/2006/relationships/hyperlink" Target="https://www.mercer.com/en-ae/about/newsroom/marsh-mclennan-and-its-businesses-will-brand-as-marsh/?utm_source=chatgpt.com" TargetMode="External"/><Relationship Id="rId25" Type="http://schemas.openxmlformats.org/officeDocument/2006/relationships/hyperlink" Target="https://www.f1lasvegasgp.com/2025/10/massmutual-accelerates-brand-presence-with-sponsorship-of-the-formula-1-heineken-las-vegas-grand-prix-2025-as-the-official-wealth-management-partner/" TargetMode="External"/><Relationship Id="rId26" Type="http://schemas.openxmlformats.org/officeDocument/2006/relationships/hyperlink" Target="https://www.corporatereport.com/massmutual/2024/ar/governance/ttps:/www.corporatereport.com/massmutual/2024/ar/governance/" TargetMode="External"/><Relationship Id="rId27" Type="http://schemas.openxmlformats.org/officeDocument/2006/relationships/hyperlink" Target="https://thetimesofhindustan.com/metlife-accelerates-digital-transformation-with-new-global-capability-center/?utm.com" TargetMode="External"/><Relationship Id="rId28" Type="http://schemas.openxmlformats.org/officeDocument/2006/relationships/hyperlink" Target="https://www.metlifecareers.com/en_US/ml/in" TargetMode="External"/><Relationship Id="rId29" Type="http://schemas.openxmlformats.org/officeDocument/2006/relationships/hyperlink" Target="https://www.business-standard.com/amp/companies/interviews/india-to-soon-have-about-50-of-swiss-re-s-global-tech-talent-amit-kalra-125051100389_1.html?utm.com" TargetMode="External"/><Relationship Id="rId30" Type="http://schemas.openxmlformats.org/officeDocument/2006/relationships/hyperlink" Target="https://www.swissre.com/about-us/our-leadership.html" TargetMode="External"/><Relationship Id="rId31" Type="http://schemas.openxmlformats.org/officeDocument/2006/relationships/hyperlink" Target="https://www.insurancebusinessmag.com/us/news/mergers-acquisitions/the-standard-finalizes-allstate-voluntary-benefits-acquisition-530726.aspx?utm_source=chatgpt.com" TargetMode="External"/><Relationship Id="rId32" Type="http://schemas.openxmlformats.org/officeDocument/2006/relationships/hyperlink" Target="https://gcc.economictimes.indiatimes.com/news/the-standard-expands-global-footprint-with-new-office-and-mohua-sengupta-as-country-head-in-india/125379556" TargetMode="External"/><Relationship Id="rId33" Type="http://schemas.openxmlformats.org/officeDocument/2006/relationships/hyperlink" Target="https://hrtoday.in/gaurish-wagh-appointed-as-global-people-development-lead-india-at-mg-global-services-private-limited/" TargetMode="External"/><Relationship Id="rId34" Type="http://schemas.openxmlformats.org/officeDocument/2006/relationships/hyperlink" Target="https://www.thecompanycheck.com/company/mg-global-services-private-limited/U74140MH2002PTC137446" TargetMode="External"/><Relationship Id="rId35" Type="http://schemas.openxmlformats.org/officeDocument/2006/relationships/hyperlink" Target="https://www.dig-in.com/news/chubb-launches-ai-embedded-engine-trucordia-acquires-5-insurance-news?utm_source=chatgpt.com" TargetMode="External"/><Relationship Id="rId36" Type="http://schemas.openxmlformats.org/officeDocument/2006/relationships/hyperlink" Target="https://timesofindia.indiatimes.com/city/hyderabad/chubbs-tech-hub-expansion-hyderabad-leads-as-major-global-workforce-center/articleshow/115310608.cms" TargetMode="External"/><Relationship Id="rId37" Type="http://schemas.openxmlformats.org/officeDocument/2006/relationships/hyperlink" Target="https://yourstory.com/enterprise-story/2025/03/india-gcc-microcosm-guardian-life-insurance-shiney-prasad" TargetMode="External"/><Relationship Id="rId38" Type="http://schemas.openxmlformats.org/officeDocument/2006/relationships/hyperlink" Target="https://yourstory.com/enterprise-story/2025/03/india-gcc-microcosm-guardian-life-insurance-shiney-prasad" TargetMode="External"/><Relationship Id="rId39" Type="http://schemas.openxmlformats.org/officeDocument/2006/relationships/hyperlink" Target="https://www.greatplacetowork.in/great/company/tiaa-global-business-services-india-pvt-ltd" TargetMode="External"/><Relationship Id="rId40" Type="http://schemas.openxmlformats.org/officeDocument/2006/relationships/hyperlink" Target="https://careers.tiaa.org/global-capabilities" TargetMode="External"/><Relationship Id="rId41" Type="http://schemas.openxmlformats.org/officeDocument/2006/relationships/hyperlink" Target="https://www.sunlife.com/slgs/en/newsroom/press-releases/2026/sun-life-global-solutions-india-at-20/" TargetMode="External"/><Relationship Id="rId42" Type="http://schemas.openxmlformats.org/officeDocument/2006/relationships/hyperlink" Target="https://www.optum.com/en/about-us/news/page.hub5.ai-powered-digital-prior-authorization.html" TargetMode="External"/><Relationship Id="rId43" Type="http://schemas.openxmlformats.org/officeDocument/2006/relationships/hyperlink" Target="https://www.unitedhealthgroup.com/careers/in/work.html" TargetMode="External"/><Relationship Id="rId44" Type="http://schemas.openxmlformats.org/officeDocument/2006/relationships/hyperlink" Target="https://www.prudentialplc.com/en/about-us/our-leadership/" TargetMode="External"/><Relationship Id="rId45" Type="http://schemas.openxmlformats.org/officeDocument/2006/relationships/hyperlink" Target="https://www.prudentialplc.com/en/newsroom/company-news/2025/prudential-launches-global-services-hub-in-bengaluru-india/" TargetMode="External"/><Relationship Id="rId46" Type="http://schemas.openxmlformats.org/officeDocument/2006/relationships/hyperlink" Target="https://www.prudentialplc.com/en/newsroom/company-news/2025/prudential-launches-global-services-hub-in-bengaluru-india/" TargetMode="External"/><Relationship Id="rId47" Type="http://schemas.openxmlformats.org/officeDocument/2006/relationships/hyperlink" Target="https://www.linkedin.com/posts/principalglobalservices_we-are-proud-to-announce-that-principal-financial-activity-7249737828945850368-sWEF/" TargetMode="External"/><Relationship Id="rId48" Type="http://schemas.openxmlformats.org/officeDocument/2006/relationships/hyperlink" Target="https://www.principal.com/about-us/our-company/worldwide-locations" TargetMode="External"/><Relationship Id="rId49" Type="http://schemas.openxmlformats.org/officeDocument/2006/relationships/hyperlink" Target="https://news.nationwide.com/kevin-m-strong-named-new-n2g-ceo/Agnes%20Carey&#8209;Drace" TargetMode="External"/><Relationship Id="rId50" Type="http://schemas.openxmlformats.org/officeDocument/2006/relationships/hyperlink" Target="http://timesofindia.indiatimes.com/articleshow/123018438.cms?utm_source=contentofinterest&amp;utm_medium=text&amp;utm_campaign=cppst" TargetMode="External"/><Relationship Id="rId51" Type="http://schemas.openxmlformats.org/officeDocument/2006/relationships/hyperlink" Target="https://timesofindia.indiatimes.com/city/hyderabad/200-year-old-us-insurer-the-hartford-opens-first-india-global-tech-centre-in-hyderabad/articleshow/128727054.cms" TargetMode="External"/><Relationship Id="rId52" Type="http://schemas.openxmlformats.org/officeDocument/2006/relationships/hyperlink" Target="https://gcc.economictimes.indiatimes.com/news/workplace-transformation/nationwide-launches-first-international-global-capability-center-in-hyderabad/132263509" TargetMode="External"/><Relationship Id="rId53" Type="http://schemas.openxmlformats.org/officeDocument/2006/relationships/hyperlink" Target="https://in.linkedin.com/showcase/genworthindia/" TargetMode="External"/><Relationship Id="rId54" Type="http://schemas.openxmlformats.org/officeDocument/2006/relationships/hyperlink" Target="https://investor.genworth.com/company-information/corporate-leadership" TargetMode="External"/><Relationship Id="rId55" Type="http://schemas.openxmlformats.org/officeDocument/2006/relationships/hyperlink" Target="https://www.millenniumpost.in/business/foreign-reinsurers-can-repatriate-up-to-20-of-excess-assigned-capital-says-irdai-497062?utm.com" TargetMode="External"/><Relationship Id="rId56" Type="http://schemas.openxmlformats.org/officeDocument/2006/relationships/hyperlink" Target="https://asiainsurancepost.com/archives/75498" TargetMode="External"/><Relationship Id="rId57" Type="http://schemas.openxmlformats.org/officeDocument/2006/relationships/hyperlink" Target="https://firstindia.co.in/articles/gallagher-creates-indias-first-pandemic-insurance-using-parametric-triggers-launched-by-new-india-assurance-reinsured-by-munich-re?utm.com" TargetMode="External"/><Relationship Id="rId58" Type="http://schemas.openxmlformats.org/officeDocument/2006/relationships/hyperlink" Target="https://www.insurancebusinessmag.com/reinsurance/news/breaking-news/genai-adoption-accelerates-in-reinsurance-as-rga-outlines-quarterly-advancements-544036.aspx?utm.com" TargetMode="External"/><Relationship Id="rId59" Type="http://schemas.openxmlformats.org/officeDocument/2006/relationships/hyperlink" Target="https://www.insurancebusinessmag.com/reinsurance/news/breaking-news/scor-takes-lead-role-in-global-ai-infrastructure-facility-562322.aspx?utm_source=chatgpt.com" TargetMode="External"/><Relationship Id="rId60" Type="http://schemas.openxmlformats.org/officeDocument/2006/relationships/hyperlink" Target="https://www.business-standard.com/amp/companies/news/swiss-grc-targets-revenue-of-10-million-from-indian-market-in-fy25-124020601359_1.html?utm.com" TargetMode="External"/><Relationship Id="rId61" Type="http://schemas.openxmlformats.org/officeDocument/2006/relationships/hyperlink" Target="https://www.swissre.com/profile/Amitabha_Ray/ip_88cead" TargetMode="External"/><Relationship Id="rId62" Type="http://schemas.openxmlformats.org/officeDocument/2006/relationships/hyperlink" Target="https://asiainsurancepost.com/archives/59645?utm.com" TargetMode="External"/><Relationship Id="rId63" Type="http://schemas.openxmlformats.org/officeDocument/2006/relationships/hyperlink" Target="https://www.insurancebusinessmag.com/asia/news/breaking-news/axa-xl-builds-india-bench-with-strategic-appointments-535759.aspx?utm_source=chatgpt.com" TargetMode="External"/><Relationship Id="rId64" Type="http://schemas.openxmlformats.org/officeDocument/2006/relationships/hyperlink" Target="https://bfsi.economictimes.indiatimes.com/news/financial-services/wtws-india-global-delivery-centre-marks-successful-growth-and-expansion-through-strategic-global-transformation-program/113494332" TargetMode="External"/><Relationship Id="rId65" Type="http://schemas.openxmlformats.org/officeDocument/2006/relationships/hyperlink" Target="https://beinsure.com/ranking/top-global-re-insurance-brokers/?utm_source=chatgpt.com" TargetMode="External"/><Relationship Id="rId66" Type="http://schemas.openxmlformats.org/officeDocument/2006/relationships/hyperlink" Target="https://global.lockton.com/in/en/who-we-are" TargetMode="External"/><Relationship Id="rId67"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hyperlink" Target="https://www.centene.com/why-were-different/corporate-sustainability/empowering-health/innovation-thought-leadership.html" TargetMode="External"/><Relationship Id="rId2" Type="http://schemas.openxmlformats.org/officeDocument/2006/relationships/hyperlink" Target="https://humana.gcs-web.com/news-releases/news-release-details/humana-reports-first-quarter-2026-financial-results-affirms-full" TargetMode="External"/><Relationship Id="rId3" Type="http://schemas.openxmlformats.org/officeDocument/2006/relationships/hyperlink" Target="https://www.repairerdrivennews.com/2026/03/10/progressive-investors-hear-about-ai-strategies-successes/" TargetMode="External"/><Relationship Id="rId4" Type="http://schemas.openxmlformats.org/officeDocument/2006/relationships/hyperlink" Target="https://newsroom.statefarm.com/state-farm-advances-ai-vision-through-collaboration-with-openai/" TargetMode="External"/><Relationship Id="rId5" Type="http://schemas.openxmlformats.org/officeDocument/2006/relationships/hyperlink" Target="https://actuary.info/insights/berkshire-q1-2026-geico-abel-tech-rebuild" TargetMode="External"/><Relationship Id="rId6" Type="http://schemas.openxmlformats.org/officeDocument/2006/relationships/hyperlink" Target="https://www.tokiomarinehd.com/en/newsroom/release/" TargetMode="External"/><Relationship Id="rId7" Type="http://schemas.openxmlformats.org/officeDocument/2006/relationships/hyperlink" Target="https://investor.travelers.com/newsroom/press-releases/news-details/2026/Travelers-Advances-AI-Strategy-with-Award-Winning-Insurance-Specific-Large-Language-Model/default.aspx" TargetMode="External"/><Relationship Id="rId8" Type="http://schemas.openxmlformats.org/officeDocument/2006/relationships/hyperlink" Target="https://www.alleghany.com/about-alleghany/our-leadership/person-details/default.aspx?ItemId=fa1fcc76-76a8-4b11-8bd4-56387e91cee6" TargetMode="External"/><Relationship Id="rId9" Type="http://schemas.openxmlformats.org/officeDocument/2006/relationships/hyperlink" Target="https://newsroom.amfam.com/american-family-completes-main-street-america-insurance-bonds-renewal-rights-transaction/" TargetMode="External"/><Relationship Id="rId10" Type="http://schemas.openxmlformats.org/officeDocument/2006/relationships/hyperlink" Target="https://markets.financialcontent.com/wral/article/bizwire-2026-3-16-lincoln-financial-unveils-new-fixed-indexed-annuity-income-solutions-with-category-first-legacy-planning" TargetMode="External"/><Relationship Id="rId11" Type="http://schemas.openxmlformats.org/officeDocument/2006/relationships/hyperlink" Target="https://ir.oldrepublic.com/news/news-details/2026/OLD-REPUBLIC-FORMS-NEW-PROPERTY-INSURANCE-COMPANY/default.aspx" TargetMode="External"/><Relationship Id="rId12" Type="http://schemas.openxmlformats.org/officeDocument/2006/relationships/hyperlink" Target="https://finance.yahoo.com/markets/stocks/articles/faf-q1-deep-dive-commercial-081323035.html" TargetMode="External"/><Relationship Id="rId13" Type="http://schemas.openxmlformats.org/officeDocument/2006/relationships/hyperlink" Target="https://markets.financialcontent.com/dowtheoryletters/article/stockstory-2026-1-27-wrb-q4-deep-dive-management-focuses-on-technology-distribution-and-underwriting-discipline" TargetMode="External"/><Relationship Id="rId14" Type="http://schemas.openxmlformats.org/officeDocument/2006/relationships/hyperlink" Target="https://www.prnewswire.com/news-releases/thrivent-continues-major-growth-push-with-plans-to-add-600-more-financial-advisors-in-2026-302708534.html" TargetMode="External"/><Relationship Id="rId15" Type="http://schemas.openxmlformats.org/officeDocument/2006/relationships/hyperlink" Target="https://investors.corebridgefinancial.com/news/news-details/2026/Corebridge-Financial-and-Equitable-Holdings-Announce-Transformational-Merger/default.aspx" TargetMode="External"/><Relationship Id="rId16" Type="http://schemas.openxmlformats.org/officeDocument/2006/relationships/hyperlink" Target="https://news.northwesternmutual.com/2025-10-28-Northwestern-Mutual-Announces-Historic-9-2-Billion-Dividend-Payout-in-2026-A-Powerful-Demonstration-of-Companys-Enduring-Commitment-to-Policyowners" TargetMode="External"/><Relationship Id="rId17" Type="http://schemas.openxmlformats.org/officeDocument/2006/relationships/hyperlink" Target="https://ebs.publicnow.com/view/5292601E48DFC70E085A0BBD9D8B8899516B5420" TargetMode="External"/><Relationship Id="rId18" Type="http://schemas.openxmlformats.org/officeDocument/2006/relationships/hyperlink" Target="https://investors.cinfin.com/2026-06-19-Cincinnati-Financial-Corporation-Expands-Board-With-Appointment-of-Independent-Director" TargetMode="External"/><Relationship Id="rId19" Type="http://schemas.openxmlformats.org/officeDocument/2006/relationships/hyperlink" Target="https://investors.jackson.com/news/news-details/2026/Jackson-Introduces-Dow-Jones-Industrial-Average-Index-Option-Flexible-Premiums-Six-Year-Rate-Guarantee-in-Latest-Registered-Index-Linked-Annuity-Launch/default.aspx" TargetMode="External"/><Relationship Id="rId20" Type="http://schemas.openxmlformats.org/officeDocument/2006/relationships/hyperlink" Target="https://www.publicnow.com/view/BAD5E3E6229A69F9D68A4DF36BF2B3B8EB08F9F9" TargetMode="External"/><Relationship Id="rId21" Type="http://schemas.openxmlformats.org/officeDocument/2006/relationships/hyperlink" Target="https://www.pacificlife.com/press-releases/stories/pacific-life-polls-industry-leaders-in-2026-underwriting-outlook-survey.html" TargetMode="External"/><Relationship Id="rId22"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hyperlink" Target="mailto:Pratik.Shah@in.ey.com" TargetMode="External"/><Relationship Id="rId2" Type="http://schemas.openxmlformats.org/officeDocument/2006/relationships/hyperlink" Target="https://www.liciuk.com/" TargetMode="External"/><Relationship Id="rId3" Type="http://schemas.openxmlformats.org/officeDocument/2006/relationships/hyperlink" Target="mailto:Gaurav.Taneja@in.ey.com" TargetMode="External"/><Relationship Id="rId4" Type="http://schemas.openxmlformats.org/officeDocument/2006/relationships/hyperlink" Target="https://www.newindia.co.uk/solvency-financial-condition-reports/" TargetMode="External"/><Relationship Id="rId5" Type="http://schemas.openxmlformats.org/officeDocument/2006/relationships/hyperlink" Target="https://www.reinsurancene.ws/indias-gic-re-planning-to-launch-uk-based-subsidiary/" TargetMode="External"/><Relationship Id="rId6" Type="http://schemas.openxmlformats.org/officeDocument/2006/relationships/hyperlink" Target="mailto:Aman.Dutta@in.ey.com" TargetMode="External"/><Relationship Id="rId7" Type="http://schemas.openxmlformats.org/officeDocument/2006/relationships/hyperlink" Target="https://www.tcs.com/who-we-are/newsroom/press-release/tcs-strengthens-partnership-aviva-uk-enhance-life-pensions-customer-experience" TargetMode="External"/><Relationship Id="rId8" Type="http://schemas.openxmlformats.org/officeDocument/2006/relationships/hyperlink" Target="https://www.hcltech.com/sites/default/files/documents/resources/pdf-landing-page/files/2025/07/07/18-HCL-Insurance-BPO-Services-Limited.pdf" TargetMode="External"/><Relationship Id="rId9"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hyperlink" Target="https://thesharpdaily.com/the-sanlam-jubilee-deal/" TargetMode="External"/><Relationship Id="rId2" Type="http://schemas.openxmlformats.org/officeDocument/2006/relationships/hyperlink" Target="https://www.moonstone.co.za/old-mutual-earnings-rise-as-insurance-investments-and-africa-drive-results/" TargetMode="External"/><Relationship Id="rId3" Type="http://schemas.openxmlformats.org/officeDocument/2006/relationships/hyperlink" Target="https://neweralive.na/sanlamallianz-expands-insurance-and-financial-services-across-africa/" TargetMode="External"/><Relationship Id="rId4" Type="http://schemas.openxmlformats.org/officeDocument/2006/relationships/hyperlink" Target="https://www.sanlam.com/downloads/integrated-report-and-annual-financial-statements/2025/Sanlam-AFS-2025-spreads.pdf" TargetMode="External"/><Relationship Id="rId5" Type="http://schemas.openxmlformats.org/officeDocument/2006/relationships/hyperlink" Target="https://www.iol.co.za/business/2026-01-06-discovery-health-members-face-financial-shock-due-to-medical-aid-error" TargetMode="External"/><Relationship Id="rId6" Type="http://schemas.openxmlformats.org/officeDocument/2006/relationships/hyperlink" Target="https://www.listcorp.com/jse/mtm/momentum-metropolitan-holdings/news/operating-update-for-the-three-months-ended-30-september-2025-3279259.html" TargetMode="External"/><Relationship Id="rId7" Type="http://schemas.openxmlformats.org/officeDocument/2006/relationships/hyperlink" Target="https://www.santam.com/about-us/media-centre/investor-news/santam-delivers-strong-performance-for-2025-financial-year/" TargetMode="External"/><Relationship Id="rId8" Type="http://schemas.openxmlformats.org/officeDocument/2006/relationships/hyperlink" Target="https://africanfinancials.com/document/ke-lbty-2025-ab-00/" TargetMode="External"/><Relationship Id="rId9" Type="http://schemas.openxmlformats.org/officeDocument/2006/relationships/hyperlink" Target="https://dailyinvestor.com/finance/93584/south-africas-best-known-insurance-company-shooting-the-lights-out/" TargetMode="External"/><Relationship Id="rId10" Type="http://schemas.openxmlformats.org/officeDocument/2006/relationships/hyperlink" Target="https://www.munichre.com/en/company/media-relations/media-information-and-corporate-news/business-news/2025/business-news-2025-09-15.html" TargetMode="External"/><Relationship Id="rId11" Type="http://schemas.openxmlformats.org/officeDocument/2006/relationships/hyperlink" Target="https://www.businessinsurance.com/africa-res-profits-climb-20/" TargetMode="External"/><Relationship Id="rId12" Type="http://schemas.openxmlformats.org/officeDocument/2006/relationships/hyperlink" Target="https://www.africa-re.com/uploads/content/download_translation/download/e2594192-5ff9-4cd7-b60d-fcd713e723d5.pdf" TargetMode="External"/><Relationship Id="rId13" Type="http://schemas.openxmlformats.org/officeDocument/2006/relationships/hyperlink" Target="https://www.hannover-re.com/en/news/2026/hannover-re-increases-earnings-and-dividend-reinforces-sustained-profitability-significantly/" TargetMode="External"/><Relationship Id="rId14" Type="http://schemas.openxmlformats.org/officeDocument/2006/relationships/hyperlink" Target="https://assets.hannover-re.com/asset/533267266226/document_vm5644i6q91ol8khnekpbcrt3s/2025_GBKonzern_e.pdf?content-disposition=inline" TargetMode="External"/><Relationship Id="rId15" Type="http://schemas.openxmlformats.org/officeDocument/2006/relationships/hyperlink" Target="https://techcabal.com/2025/06/10/sanlam-and-allianz-merge-nigerian-operations/?utm.com" TargetMode="External"/><Relationship Id="rId16" Type="http://schemas.openxmlformats.org/officeDocument/2006/relationships/hyperlink" Target="https://www.allianz.com/en/investor_relations/results-reports/financial-statements.html" TargetMode="External"/><Relationship Id="rId17" Type="http://schemas.openxmlformats.org/officeDocument/2006/relationships/hyperlink" Target="https://www.moroccoworldnews.com/2026/03/282141/axa-makes-casablanca-hub-of-new-atlantic-africa-insurance-region/" TargetMode="External"/><Relationship Id="rId18" Type="http://schemas.openxmlformats.org/officeDocument/2006/relationships/hyperlink" Target="https://www.atlas-mag.net/en/articles/axa-2025-results" TargetMode="External"/><Relationship Id="rId19" Type="http://schemas.openxmlformats.org/officeDocument/2006/relationships/hyperlink" Target="https://www.ecofinagency.com/finance/1706-47306-morocco-s-wafa-assurance-launches-takeover-bid-for-egypt-s-delta-insurance?utm.com" TargetMode="External"/><Relationship Id="rId20" Type="http://schemas.openxmlformats.org/officeDocument/2006/relationships/hyperlink" Target="https://www.atlas-mag.net/en/articles/wafa-assurance-2025-results" TargetMode="External"/><Relationship Id="rId21" Type="http://schemas.openxmlformats.org/officeDocument/2006/relationships/hyperlink" Target="https://www.linkedin.com/posts/morocco-world-news_morocco-um6p-rma-activity-7449749364429737984-kOjk" TargetMode="External"/><Relationship Id="rId22" Type="http://schemas.openxmlformats.org/officeDocument/2006/relationships/hyperlink" Target="https://www.meinsurancereview.com/Magazine/ReadMagazineArticle?aid=60089" TargetMode="External"/><Relationship Id="rId23" Type="http://schemas.openxmlformats.org/officeDocument/2006/relationships/hyperlink" Target="https://www.atlas-mag.net/en/articles/ranking-moroccan-insurers-according-2024-turnover-0" TargetMode="External"/><Relationship Id="rId24" Type="http://schemas.openxmlformats.org/officeDocument/2006/relationships/hyperlink" Target="https://www.moroccoworldnews.com/2026/03/282609/sanlam-maroc-to-absorb-allianz-maroc-in-insurance-mega-merger/" TargetMode="External"/><Relationship Id="rId25" Type="http://schemas.openxmlformats.org/officeDocument/2006/relationships/hyperlink" Target="https://www.financialafrik.com/en/2026/02/12/sanlam-morocco-announces-an-increase-in-profit-and-a-decrease-in-revenue-in-2025/" TargetMode="External"/><Relationship Id="rId26" Type="http://schemas.openxmlformats.org/officeDocument/2006/relationships/hyperlink" Target="https://thegulfobserver.com/atlantasanad-assurance-launches-moroccos-first-ai-powered-insurance-assistant-assia/" TargetMode="External"/><Relationship Id="rId27" Type="http://schemas.openxmlformats.org/officeDocument/2006/relationships/hyperlink" Target="https://www.fanews.co.za/article/company-news-results/1/hollard/1301/hollard-international-deepens-its-africa-expansion-strategy-as-the-insurer-acquires-absa-s-life-insurance-businesses-in-mozambique-and-botswana/41584" TargetMode="External"/><Relationship Id="rId28" Type="http://schemas.openxmlformats.org/officeDocument/2006/relationships/hyperlink" Target="https://www.hollard.com.au/media/jxyfchit/hic-financial-statement-20250630.pdf" TargetMode="External"/><Relationship Id="rId29" Type="http://schemas.openxmlformats.org/officeDocument/2006/relationships/hyperlink" Target="https://www.metropolitan.co.za/press-releases/articles/ASK-AFRICA-Orange-Index-Awards/" TargetMode="External"/><Relationship Id="rId30" Type="http://schemas.openxmlformats.org/officeDocument/2006/relationships/hyperlink" Target="https://www.moroccoworldnews.com/2026/03/282141/axa-makes-casablanca-hub-of-new-atlantic-africa-insurance-region/" TargetMode="External"/><Relationship Id="rId31" Type="http://schemas.openxmlformats.org/officeDocument/2006/relationships/hyperlink" Target="https://www-axa-com.cdn.prismic.io/www-axa-com/ab1gEB5fn6DF3CqE_axa_urd2025_accessible_va.pdf" TargetMode="External"/><Relationship Id="rId32" Type="http://schemas.openxmlformats.org/officeDocument/2006/relationships/hyperlink" Target="https://www.businessinsurance.com/egypts-largest-insurers-posts-record-profit/" TargetMode="External"/><Relationship Id="rId33" Type="http://schemas.openxmlformats.org/officeDocument/2006/relationships/hyperlink" Target="https://www.businessinsurance.com/egypts-largest-insurers-posts-record-profit/" TargetMode="External"/><Relationship Id="rId34" Type="http://schemas.openxmlformats.org/officeDocument/2006/relationships/hyperlink" Target="https://www.archyde.com/moroccan-climate-insurance-success-story-mamdas-role-in-agricultural-risk-management/" TargetMode="External"/><Relationship Id="rId35" Type="http://schemas.openxmlformats.org/officeDocument/2006/relationships/hyperlink" Target="https://www.mamda-mcma.ma/qui-sommes-nous/chiffres-cles" TargetMode="External"/><Relationship Id="rId36" Type="http://schemas.openxmlformats.org/officeDocument/2006/relationships/hyperlink" Target="https://www.insurancebusinessmag.com/reinsurance/news/breaking-news/continental-reinsurance-restructures-with-new-holdings-and-nigeria-leaders-537209.aspx" TargetMode="External"/><Relationship Id="rId37" Type="http://schemas.openxmlformats.org/officeDocument/2006/relationships/hyperlink" Target="https://www.continental-re.com/wp-content/uploads/2025/07/CReFinStmts-31122024b.pdf" TargetMode="External"/><Relationship Id="rId38" Type="http://schemas.openxmlformats.org/officeDocument/2006/relationships/hyperlink" Target="https://www.graphic.com.gh/news/general-news/ghana-news-prudential-life-settles-ghc100-000-medical-bills.html" TargetMode="External"/><Relationship Id="rId39" Type="http://schemas.openxmlformats.org/officeDocument/2006/relationships/hyperlink" Target="https://clone.businessday.ng/cica-re-pushes-expansion-open-north-african-regional-office-soon/" TargetMode="External"/><Relationship Id="rId40" Type="http://schemas.openxmlformats.org/officeDocument/2006/relationships/hyperlink" Target="https://cica-re.com/-Rapports-Annuels-.html" TargetMode="External"/><Relationship Id="rId41" Type="http://schemas.openxmlformats.org/officeDocument/2006/relationships/hyperlink" Target="https://www.thefreelibrary.com/How+will+the+SanlamAllianz+merger+transform+Africa%27s+insurance...-a0823368203" TargetMode="External"/><Relationship Id="rId42" Type="http://schemas.openxmlformats.org/officeDocument/2006/relationships/hyperlink" Target="https://www.allianz.com/content/dam/onemarketing/azcom/Allianz_com/investor-relations/en/results-reports/annual-report/ar-2025/en-allianz-se-annual-report-2025.pdf" TargetMode="External"/><Relationship Id="rId43" Type="http://schemas.openxmlformats.org/officeDocument/2006/relationships/hyperlink" Target="https://www.financialafrik.com/en/2026/03/31/kenya-re-records-a-26-9-decline-in-net-profits-in-2025/" TargetMode="External"/><Relationship Id="rId44" Type="http://schemas.openxmlformats.org/officeDocument/2006/relationships/hyperlink" Target="https://www.nse.co.ke/wp-content/uploads/Kenya-Re-Insurance-Corporation-Ltd-Audited-Financial-Statements-for-the-Period-Ended-31-Dec-2025.pdf" TargetMode="External"/><Relationship Id="rId45"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hyperlink" Target="https://www.finanznachrichten.de/nachrichten-2026-01/67412889-admiral-group-plc-chief-financial-officer-transition-399.htm" TargetMode="External"/><Relationship Id="rId2" Type="http://schemas.openxmlformats.org/officeDocument/2006/relationships/hyperlink" Target="https://www.ageas.co.uk/press-releases/2025/ageas-uk-completes-acquisition-of-esure/" TargetMode="External"/><Relationship Id="rId3" Type="http://schemas.openxmlformats.org/officeDocument/2006/relationships/hyperlink" Target="https://www.allianz.co.uk/news-and-insight/news/allianz-accident-sickness-unemployment.html" TargetMode="External"/><Relationship Id="rId4" Type="http://schemas.openxmlformats.org/officeDocument/2006/relationships/hyperlink" Target="https://aig.gcs-web.com/news-releases/news-release-details/mcgill-and-partners-and-aig-launch-long-term-strategic?noback" TargetMode="External"/><Relationship Id="rId5" Type="http://schemas.openxmlformats.org/officeDocument/2006/relationships/hyperlink" Target="https://www.directlinegroup.co.uk/en/index.html" TargetMode="External"/><Relationship Id="rId6" Type="http://schemas.openxmlformats.org/officeDocument/2006/relationships/hyperlink" Target="https://insurance-edge.net/2026/03/25/axa-insurance-uk-will-unify-commercial-retail/" TargetMode="External"/><Relationship Id="rId7" Type="http://schemas.openxmlformats.org/officeDocument/2006/relationships/hyperlink" Target="https://www.insurancebusinessmag.com/uk/news/life-insurance/bupa-seals-fouryear-spire-deal-as-pmi-demand-surges-571445.aspx" TargetMode="External"/><Relationship Id="rId8" Type="http://schemas.openxmlformats.org/officeDocument/2006/relationships/hyperlink" Target="https://group.legalandgeneral.com/en/newsroom/press-releases/l-g-announces-collaboration-with-microsoft-to-drive-customer-focused-ai-transformation" TargetMode="External"/><Relationship Id="rId9" Type="http://schemas.openxmlformats.org/officeDocument/2006/relationships/hyperlink" Target="https://www.lv.com/about-us/news/sharing-our-2025-financial-results?_gl=1*o2jo2n*_up*MQ..*_ga*MTM4MDcyOTQ5MS4xNzc2MTQzODE3*_ga_3MD00281LR*czE3NzYxNDM4MTckbzEkZzAkdDE3NzYxNDM4MTckajYwJGwwJGgw" TargetMode="External"/><Relationship Id="rId10" Type="http://schemas.openxmlformats.org/officeDocument/2006/relationships/hyperlink" Target="https://www.businesswire.com/news/home/20260126340964/en/NFU-Mutual-to-Further-Improve-Customer-Service-by-Moving-to-Guidewire-Cloud-Platform" TargetMode="External"/><Relationship Id="rId11" Type="http://schemas.openxmlformats.org/officeDocument/2006/relationships/hyperlink" Target="https://www.londonstockexchange.com/news-article/PHNX/change-of-company-name/17474860" TargetMode="External"/><Relationship Id="rId12" Type="http://schemas.openxmlformats.org/officeDocument/2006/relationships/hyperlink" Target="https://uk.advfn.com/stock-market/london/prudential-PRU/share-news/Prudential-PLC-Appointment-of-Chair-Designate/97610507" TargetMode="External"/><Relationship Id="rId13" Type="http://schemas.openxmlformats.org/officeDocument/2006/relationships/hyperlink" Target="https://www.rsainsurance.co.uk/" TargetMode="External"/><Relationship Id="rId14" Type="http://schemas.openxmlformats.org/officeDocument/2006/relationships/hyperlink" Target="https://healthcareandprotection.com/zurich-launches-cancer-assessment-tool-from-further-for-group-risk-schemes/" TargetMode="External"/><Relationship Id="rId15" Type="http://schemas.openxmlformats.org/officeDocument/2006/relationships/hyperlink" Target="https://www.zurich.co.uk/media-centre/zurich-uk-reports-its-full-year-results-for-the-2024" TargetMode="External"/><Relationship Id="rId16" Type="http://schemas.openxmlformats.org/officeDocument/2006/relationships/hyperlink" Target="https://www.hiscoxgroup.com/news/press-releases/2026/16-02-26" TargetMode="External"/><Relationship Id="rId17" Type="http://schemas.openxmlformats.org/officeDocument/2006/relationships/hyperlink" Target="https://www.rsmuk.com/insights/tax-voice/hmrc-loses-vat-battle-of-hastings-for-the-second-time" TargetMode="External"/><Relationship Id="rId18" Type="http://schemas.openxmlformats.org/officeDocument/2006/relationships/hyperlink" Target="https://www.hastingsgroup.uk/news-announcements/hastings-group-reports-fourth-quarter-results-2025" TargetMode="External"/><Relationship Id="rId19" Type="http://schemas.openxmlformats.org/officeDocument/2006/relationships/hyperlink" Target="mailto:ablackmore@uk.ey.com" TargetMode="External"/><Relationship Id="rId20" Type="http://schemas.openxmlformats.org/officeDocument/2006/relationships/hyperlink" Target="https://www.ecclesiastical.com/media-centre/crack-down-on-fraudsters/" TargetMode="External"/><Relationship Id="rId21" Type="http://schemas.openxmlformats.org/officeDocument/2006/relationships/hyperlink" Target="mailto:ablackmore@uk.ey.com" TargetMode="External"/><Relationship Id="rId22" Type="http://schemas.openxmlformats.org/officeDocument/2006/relationships/hyperlink" Target="https://convexin.com/wp-content/uploads/2026/02/Press-release-Convexs-new-ownership-structure-receives-regulatory-approval-060226.pdf" TargetMode="External"/><Relationship Id="rId23" Type="http://schemas.openxmlformats.org/officeDocument/2006/relationships/hyperlink" Target="https://convexin.com/2026/02/20/record-profit-achieved-in-2025/" TargetMode="External"/><Relationship Id="rId24" Type="http://schemas.openxmlformats.org/officeDocument/2006/relationships/hyperlink" Target="https://corporate.tescoinsurance.com/tesco-insurance-names-new-ceo-following-separation-from-tesco-bank/" TargetMode="External"/><Relationship Id="rId25" Type="http://schemas.openxmlformats.org/officeDocument/2006/relationships/hyperlink" Target="https://www.markerstudygroup.com/media/news/markerstudy-group/markerstudy-welcomes-glen-ward-as-group-chief-financial-officer/" TargetMode="External"/><Relationship Id="rId26" Type="http://schemas.openxmlformats.org/officeDocument/2006/relationships/hyperlink" Target="https://financialpost.com/pmn/business-pmn/lloyds-phoenix-submit-initial-bids-for-aegons-uk-unit" TargetMode="External"/><Relationship Id="rId27" Type="http://schemas.openxmlformats.org/officeDocument/2006/relationships/hyperlink" Target="https://www.insurancejournal.com/news/international/2026/03/02/860121.htm" TargetMode="External"/><Relationship Id="rId28" Type="http://schemas.openxmlformats.org/officeDocument/2006/relationships/hyperlink" Target="https://www.aon.com/unitedkingdom/media-room/articles/aon-carl-nordling-uk-nordics-director" TargetMode="External"/><Relationship Id="rId29" Type="http://schemas.openxmlformats.org/officeDocument/2006/relationships/hyperlink" Target="https://www.captiveinsurancetimes.com/captiveinsurancenews/industryarticle.php?article_id=9966&amp;navigationaction=industrynews&amp;newssection=industry" TargetMode="External"/><Relationship Id="rId30" Type="http://schemas.openxmlformats.org/officeDocument/2006/relationships/hyperlink" Target="https://www.insuranceage.co.uk/insight/7958160/howden-diversifies-with-new-arm-on-back-of-acquisition" TargetMode="External"/><Relationship Id="rId31" Type="http://schemas.openxmlformats.org/officeDocument/2006/relationships/hyperlink" Target="https://www.howdengroupholdings.com/news/howden-announces-2024-full-year-results" TargetMode="External"/><Relationship Id="rId32" Type="http://schemas.openxmlformats.org/officeDocument/2006/relationships/hyperlink" Target="https://www.directlinegroup.co.uk/en/index.html" TargetMode="External"/><Relationship Id="rId33" Type="http://schemas.openxmlformats.org/officeDocument/2006/relationships/hyperlink" Target="https://www.aviva.com/newsroom/news-releases/2025/07/aviva-completes-acquisition-of-direct-line/" TargetMode="External"/><Relationship Id="rId34"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2890625" defaultRowHeight="15" zeroHeight="false" outlineLevelRow="0" outlineLevelCol="0"/>
  <cols>
    <col collapsed="false" customWidth="true" hidden="false" outlineLevel="0" max="1" min="1" style="0" width="7.13"/>
    <col collapsed="false" customWidth="true" hidden="false" outlineLevel="0" max="2" min="2" style="0" width="83.13"/>
    <col collapsed="false" customWidth="true" hidden="false" outlineLevel="0" max="3" min="3" style="0" width="21.5"/>
    <col collapsed="false" customWidth="true" hidden="false" outlineLevel="0" max="4" min="4" style="0" width="19.5"/>
    <col collapsed="false" customWidth="true" hidden="false" outlineLevel="0" max="5" min="5" style="0" width="40.13"/>
    <col collapsed="false" customWidth="true" hidden="false" outlineLevel="0" max="6" min="6" style="0" width="8.88"/>
    <col collapsed="false" customWidth="true" hidden="false" outlineLevel="0" max="7" min="7" style="0" width="20.13"/>
    <col collapsed="false" customWidth="true" hidden="true" outlineLevel="0" max="8" min="8" style="0" width="8.88"/>
    <col collapsed="false" customWidth="true" hidden="false" outlineLevel="0" max="26" min="9" style="0" width="8.88"/>
  </cols>
  <sheetData>
    <row r="1" customFormat="false" ht="12" hidden="false" customHeight="true" outlineLevel="0" collapsed="false">
      <c r="A1" s="1" t="s">
        <v>0</v>
      </c>
      <c r="B1" s="2"/>
      <c r="C1" s="2" t="s">
        <v>1</v>
      </c>
      <c r="D1" s="2"/>
      <c r="E1" s="2"/>
      <c r="F1" s="2"/>
      <c r="G1" s="2"/>
      <c r="H1" s="2"/>
      <c r="I1" s="2"/>
      <c r="J1" s="2"/>
      <c r="K1" s="2"/>
      <c r="L1" s="2"/>
      <c r="M1" s="2"/>
      <c r="N1" s="2"/>
      <c r="O1" s="2"/>
      <c r="P1" s="2"/>
      <c r="Q1" s="2"/>
      <c r="R1" s="2"/>
      <c r="S1" s="2"/>
      <c r="T1" s="2"/>
      <c r="U1" s="2"/>
      <c r="V1" s="2"/>
      <c r="W1" s="2"/>
      <c r="X1" s="2"/>
      <c r="Y1" s="2"/>
      <c r="Z1" s="2"/>
    </row>
    <row r="2" customFormat="false" ht="12" hidden="false" customHeight="true" outlineLevel="0" collapsed="false">
      <c r="A2" s="1" t="s">
        <v>2</v>
      </c>
      <c r="B2" s="3" t="s">
        <v>3</v>
      </c>
      <c r="C2" s="4" t="s">
        <v>4</v>
      </c>
      <c r="D2" s="5"/>
      <c r="E2" s="5"/>
      <c r="F2" s="5"/>
      <c r="G2" s="5"/>
      <c r="H2" s="5"/>
      <c r="I2" s="5"/>
      <c r="J2" s="5"/>
      <c r="K2" s="5"/>
      <c r="L2" s="5"/>
      <c r="M2" s="5"/>
      <c r="N2" s="5"/>
      <c r="O2" s="5"/>
      <c r="P2" s="5"/>
      <c r="Q2" s="5"/>
      <c r="R2" s="5"/>
      <c r="S2" s="5"/>
      <c r="T2" s="5"/>
      <c r="U2" s="5"/>
      <c r="V2" s="5"/>
      <c r="W2" s="5"/>
      <c r="X2" s="5"/>
      <c r="Y2" s="5"/>
      <c r="Z2" s="5"/>
    </row>
    <row r="3" customFormat="false" ht="12" hidden="false" customHeight="true" outlineLevel="0" collapsed="false">
      <c r="A3" s="6"/>
      <c r="B3" s="2"/>
      <c r="C3" s="2" t="s">
        <v>5</v>
      </c>
      <c r="D3" s="2"/>
      <c r="E3" s="2"/>
      <c r="F3" s="2"/>
      <c r="G3" s="2"/>
      <c r="H3" s="2"/>
      <c r="I3" s="2"/>
      <c r="J3" s="2"/>
      <c r="K3" s="2"/>
      <c r="L3" s="2"/>
      <c r="M3" s="2"/>
      <c r="N3" s="2"/>
      <c r="O3" s="2"/>
      <c r="P3" s="2"/>
      <c r="Q3" s="2"/>
      <c r="R3" s="2"/>
      <c r="S3" s="2"/>
      <c r="T3" s="2"/>
      <c r="U3" s="2"/>
      <c r="V3" s="2"/>
      <c r="W3" s="2"/>
      <c r="X3" s="2"/>
      <c r="Y3" s="2"/>
      <c r="Z3" s="2"/>
    </row>
    <row r="4" customFormat="false" ht="12" hidden="false" customHeight="true" outlineLevel="0" collapsed="false">
      <c r="A4" s="7" t="s">
        <v>6</v>
      </c>
      <c r="B4" s="8" t="s">
        <v>7</v>
      </c>
      <c r="C4" s="8" t="s">
        <v>8</v>
      </c>
      <c r="D4" s="8" t="s">
        <v>9</v>
      </c>
      <c r="E4" s="8" t="s">
        <v>10</v>
      </c>
      <c r="F4" s="8" t="s">
        <v>11</v>
      </c>
      <c r="G4" s="8" t="s">
        <v>12</v>
      </c>
      <c r="H4" s="8" t="s">
        <v>13</v>
      </c>
      <c r="I4" s="2"/>
      <c r="J4" s="2"/>
      <c r="K4" s="2"/>
      <c r="L4" s="2"/>
      <c r="M4" s="2"/>
      <c r="N4" s="2"/>
      <c r="O4" s="2"/>
      <c r="P4" s="2"/>
      <c r="Q4" s="2"/>
      <c r="R4" s="2"/>
      <c r="S4" s="2"/>
      <c r="T4" s="2"/>
      <c r="U4" s="2"/>
      <c r="V4" s="2"/>
      <c r="W4" s="2"/>
      <c r="X4" s="2"/>
      <c r="Y4" s="2"/>
      <c r="Z4" s="2"/>
    </row>
    <row r="5" customFormat="false" ht="12" hidden="false" customHeight="true" outlineLevel="0" collapsed="false">
      <c r="A5" s="9" t="n">
        <v>1</v>
      </c>
      <c r="B5" s="10" t="s">
        <v>14</v>
      </c>
      <c r="C5" s="10" t="s">
        <v>15</v>
      </c>
      <c r="D5" s="11" t="s">
        <v>16</v>
      </c>
      <c r="E5" s="11" t="s">
        <v>17</v>
      </c>
      <c r="F5" s="9" t="s">
        <v>17</v>
      </c>
      <c r="G5" s="12" t="n">
        <v>488848.92</v>
      </c>
      <c r="H5" s="11" t="n">
        <v>1</v>
      </c>
      <c r="I5" s="2"/>
      <c r="J5" s="2"/>
      <c r="K5" s="2"/>
      <c r="L5" s="2"/>
      <c r="M5" s="2"/>
      <c r="N5" s="2"/>
      <c r="O5" s="2"/>
      <c r="P5" s="2"/>
      <c r="Q5" s="2"/>
      <c r="R5" s="2"/>
      <c r="S5" s="2"/>
      <c r="T5" s="2"/>
      <c r="U5" s="2"/>
      <c r="V5" s="2"/>
      <c r="W5" s="2"/>
      <c r="X5" s="2"/>
      <c r="Y5" s="2"/>
      <c r="Z5" s="2"/>
    </row>
    <row r="6" customFormat="false" ht="12" hidden="false" customHeight="true" outlineLevel="0" collapsed="false">
      <c r="A6" s="9" t="n">
        <v>2</v>
      </c>
      <c r="B6" s="11" t="s">
        <v>18</v>
      </c>
      <c r="C6" s="11" t="s">
        <v>15</v>
      </c>
      <c r="D6" s="11" t="s">
        <v>16</v>
      </c>
      <c r="E6" s="11" t="s">
        <v>17</v>
      </c>
      <c r="F6" s="9" t="s">
        <v>17</v>
      </c>
      <c r="G6" s="12" t="n">
        <v>84984.63</v>
      </c>
      <c r="H6" s="11" t="n">
        <v>2</v>
      </c>
      <c r="I6" s="2"/>
      <c r="J6" s="2"/>
      <c r="K6" s="2"/>
      <c r="L6" s="2"/>
      <c r="M6" s="2"/>
      <c r="N6" s="2"/>
      <c r="O6" s="2"/>
      <c r="P6" s="2"/>
      <c r="Q6" s="2"/>
      <c r="R6" s="2"/>
      <c r="S6" s="2"/>
      <c r="T6" s="2"/>
      <c r="U6" s="2"/>
      <c r="V6" s="2"/>
      <c r="W6" s="2"/>
      <c r="X6" s="2"/>
      <c r="Y6" s="2"/>
      <c r="Z6" s="2"/>
    </row>
    <row r="7" customFormat="false" ht="12" hidden="false" customHeight="true" outlineLevel="0" collapsed="false">
      <c r="A7" s="9" t="n">
        <v>3</v>
      </c>
      <c r="B7" s="11" t="s">
        <v>19</v>
      </c>
      <c r="C7" s="11" t="s">
        <v>15</v>
      </c>
      <c r="D7" s="11" t="s">
        <v>16</v>
      </c>
      <c r="E7" s="11" t="s">
        <v>17</v>
      </c>
      <c r="F7" s="9" t="s">
        <v>17</v>
      </c>
      <c r="G7" s="12" t="n">
        <v>71044.91</v>
      </c>
      <c r="H7" s="11" t="n">
        <v>3</v>
      </c>
      <c r="I7" s="2"/>
      <c r="J7" s="2"/>
      <c r="K7" s="2"/>
      <c r="L7" s="2"/>
      <c r="M7" s="2"/>
      <c r="N7" s="2"/>
      <c r="O7" s="2"/>
      <c r="P7" s="2"/>
      <c r="Q7" s="2"/>
      <c r="R7" s="2"/>
      <c r="S7" s="2"/>
      <c r="T7" s="2"/>
      <c r="U7" s="2"/>
      <c r="V7" s="2"/>
      <c r="W7" s="2"/>
      <c r="X7" s="2"/>
      <c r="Y7" s="2"/>
      <c r="Z7" s="2"/>
    </row>
    <row r="8" customFormat="false" ht="12" hidden="false" customHeight="true" outlineLevel="0" collapsed="false">
      <c r="A8" s="9" t="n">
        <v>4</v>
      </c>
      <c r="B8" s="11" t="s">
        <v>20</v>
      </c>
      <c r="C8" s="11" t="s">
        <v>15</v>
      </c>
      <c r="D8" s="11" t="s">
        <v>16</v>
      </c>
      <c r="E8" s="11" t="s">
        <v>21</v>
      </c>
      <c r="F8" s="13" t="n">
        <v>0.22</v>
      </c>
      <c r="G8" s="12" t="n">
        <v>48950.71</v>
      </c>
      <c r="H8" s="11" t="n">
        <v>4</v>
      </c>
      <c r="I8" s="2"/>
      <c r="J8" s="2"/>
      <c r="K8" s="2"/>
      <c r="L8" s="2"/>
      <c r="M8" s="2"/>
      <c r="N8" s="2"/>
      <c r="O8" s="2"/>
      <c r="P8" s="2"/>
      <c r="Q8" s="2"/>
      <c r="R8" s="2"/>
      <c r="S8" s="2"/>
      <c r="T8" s="2"/>
      <c r="U8" s="2"/>
      <c r="V8" s="2"/>
      <c r="W8" s="2"/>
      <c r="X8" s="2"/>
      <c r="Y8" s="2"/>
      <c r="Z8" s="2"/>
    </row>
    <row r="9" customFormat="false" ht="12" hidden="false" customHeight="true" outlineLevel="0" collapsed="false">
      <c r="A9" s="9" t="n">
        <v>5</v>
      </c>
      <c r="B9" s="11" t="s">
        <v>22</v>
      </c>
      <c r="C9" s="11" t="s">
        <v>15</v>
      </c>
      <c r="D9" s="11" t="s">
        <v>23</v>
      </c>
      <c r="E9" s="11" t="s">
        <v>17</v>
      </c>
      <c r="F9" s="9" t="s">
        <v>17</v>
      </c>
      <c r="G9" s="12" t="n">
        <v>33223</v>
      </c>
      <c r="H9" s="11" t="n">
        <v>5</v>
      </c>
      <c r="I9" s="2"/>
      <c r="J9" s="2"/>
      <c r="K9" s="2"/>
      <c r="L9" s="2"/>
      <c r="M9" s="2"/>
      <c r="N9" s="2"/>
      <c r="O9" s="2"/>
      <c r="P9" s="2"/>
      <c r="Q9" s="2"/>
      <c r="R9" s="2"/>
      <c r="S9" s="2"/>
      <c r="T9" s="2"/>
      <c r="U9" s="2"/>
      <c r="V9" s="2"/>
      <c r="W9" s="2"/>
      <c r="X9" s="2"/>
      <c r="Y9" s="2"/>
      <c r="Z9" s="2"/>
    </row>
    <row r="10" customFormat="false" ht="12" hidden="false" customHeight="true" outlineLevel="0" collapsed="false">
      <c r="A10" s="9" t="n">
        <v>6</v>
      </c>
      <c r="B10" s="11" t="s">
        <v>24</v>
      </c>
      <c r="C10" s="11" t="s">
        <v>15</v>
      </c>
      <c r="D10" s="11" t="s">
        <v>16</v>
      </c>
      <c r="E10" s="11" t="s">
        <v>25</v>
      </c>
      <c r="F10" s="13" t="n">
        <v>0.49</v>
      </c>
      <c r="G10" s="12" t="n">
        <v>31483.6</v>
      </c>
      <c r="H10" s="11" t="n">
        <v>6</v>
      </c>
      <c r="I10" s="2"/>
      <c r="J10" s="2"/>
      <c r="K10" s="2"/>
      <c r="L10" s="2"/>
      <c r="M10" s="2"/>
      <c r="N10" s="2"/>
      <c r="O10" s="2"/>
      <c r="P10" s="2"/>
      <c r="Q10" s="2"/>
      <c r="R10" s="2"/>
      <c r="S10" s="2"/>
      <c r="T10" s="2"/>
      <c r="U10" s="2"/>
      <c r="V10" s="2"/>
      <c r="W10" s="2"/>
      <c r="X10" s="2"/>
      <c r="Y10" s="2"/>
      <c r="Z10" s="2"/>
    </row>
    <row r="11" customFormat="false" ht="12" hidden="false" customHeight="true" outlineLevel="0" collapsed="false">
      <c r="A11" s="9" t="n">
        <v>7</v>
      </c>
      <c r="B11" s="11" t="s">
        <v>26</v>
      </c>
      <c r="C11" s="11" t="s">
        <v>15</v>
      </c>
      <c r="D11" s="11" t="s">
        <v>27</v>
      </c>
      <c r="E11" s="11" t="s">
        <v>28</v>
      </c>
      <c r="F11" s="13" t="n">
        <v>0.26</v>
      </c>
      <c r="G11" s="12" t="n">
        <v>27160.06</v>
      </c>
      <c r="H11" s="11" t="n">
        <v>7</v>
      </c>
      <c r="I11" s="2"/>
      <c r="J11" s="2"/>
      <c r="K11" s="2"/>
      <c r="L11" s="2"/>
      <c r="M11" s="2"/>
      <c r="N11" s="2"/>
      <c r="O11" s="2"/>
      <c r="P11" s="2"/>
      <c r="Q11" s="2"/>
      <c r="R11" s="2"/>
      <c r="S11" s="2"/>
      <c r="T11" s="2"/>
      <c r="U11" s="2"/>
      <c r="V11" s="2"/>
      <c r="W11" s="2"/>
      <c r="X11" s="2"/>
      <c r="Y11" s="2"/>
      <c r="Z11" s="2"/>
    </row>
    <row r="12" customFormat="false" ht="12" hidden="false" customHeight="true" outlineLevel="0" collapsed="false">
      <c r="A12" s="9" t="n">
        <v>8</v>
      </c>
      <c r="B12" s="11" t="s">
        <v>29</v>
      </c>
      <c r="C12" s="11" t="s">
        <v>15</v>
      </c>
      <c r="D12" s="11" t="s">
        <v>16</v>
      </c>
      <c r="E12" s="11" t="s">
        <v>30</v>
      </c>
      <c r="F12" s="13" t="n">
        <v>0.49</v>
      </c>
      <c r="G12" s="12" t="n">
        <v>20638.77</v>
      </c>
      <c r="H12" s="11" t="n">
        <v>8</v>
      </c>
      <c r="I12" s="2"/>
      <c r="J12" s="2"/>
      <c r="K12" s="2"/>
      <c r="L12" s="2"/>
      <c r="M12" s="2"/>
      <c r="N12" s="2"/>
      <c r="O12" s="2"/>
      <c r="P12" s="2"/>
      <c r="Q12" s="2"/>
      <c r="R12" s="2"/>
      <c r="S12" s="2"/>
      <c r="T12" s="2"/>
      <c r="U12" s="2"/>
      <c r="V12" s="2"/>
      <c r="W12" s="2"/>
      <c r="X12" s="2"/>
      <c r="Y12" s="2"/>
      <c r="Z12" s="2"/>
    </row>
    <row r="13" customFormat="false" ht="12" hidden="false" customHeight="true" outlineLevel="0" collapsed="false">
      <c r="A13" s="9" t="n">
        <v>9</v>
      </c>
      <c r="B13" s="11" t="s">
        <v>31</v>
      </c>
      <c r="C13" s="11" t="s">
        <v>15</v>
      </c>
      <c r="D13" s="11" t="s">
        <v>16</v>
      </c>
      <c r="E13" s="11" t="s">
        <v>17</v>
      </c>
      <c r="F13" s="9" t="s">
        <v>17</v>
      </c>
      <c r="G13" s="12" t="n">
        <v>18375.67</v>
      </c>
      <c r="H13" s="11" t="n">
        <v>9</v>
      </c>
      <c r="I13" s="2"/>
      <c r="J13" s="2"/>
      <c r="K13" s="2"/>
      <c r="L13" s="2"/>
      <c r="M13" s="2"/>
      <c r="N13" s="2"/>
      <c r="O13" s="2"/>
      <c r="P13" s="2"/>
      <c r="Q13" s="2"/>
      <c r="R13" s="2"/>
      <c r="S13" s="2"/>
      <c r="T13" s="2"/>
      <c r="U13" s="2"/>
      <c r="V13" s="2"/>
      <c r="W13" s="2"/>
      <c r="X13" s="2"/>
      <c r="Y13" s="2"/>
      <c r="Z13" s="2"/>
    </row>
    <row r="14" customFormat="false" ht="12" hidden="false" customHeight="true" outlineLevel="0" collapsed="false">
      <c r="A14" s="9" t="n">
        <v>10</v>
      </c>
      <c r="B14" s="11" t="s">
        <v>32</v>
      </c>
      <c r="C14" s="11" t="s">
        <v>15</v>
      </c>
      <c r="D14" s="11" t="s">
        <v>33</v>
      </c>
      <c r="E14" s="11" t="s">
        <v>34</v>
      </c>
      <c r="F14" s="13" t="n">
        <v>0.5</v>
      </c>
      <c r="G14" s="12" t="n">
        <v>11752.39</v>
      </c>
      <c r="H14" s="11" t="n">
        <v>10</v>
      </c>
      <c r="I14" s="2"/>
      <c r="J14" s="2"/>
      <c r="K14" s="2"/>
      <c r="L14" s="2"/>
      <c r="M14" s="2"/>
      <c r="N14" s="2"/>
      <c r="O14" s="2"/>
      <c r="P14" s="2"/>
      <c r="Q14" s="2"/>
      <c r="R14" s="2"/>
      <c r="S14" s="2"/>
      <c r="T14" s="2"/>
      <c r="U14" s="2"/>
      <c r="V14" s="2"/>
      <c r="W14" s="2"/>
      <c r="X14" s="2"/>
      <c r="Y14" s="2"/>
      <c r="Z14" s="2"/>
    </row>
    <row r="15" customFormat="false" ht="12" hidden="false" customHeight="true" outlineLevel="0" collapsed="false">
      <c r="A15" s="9" t="n">
        <v>11</v>
      </c>
      <c r="B15" s="11" t="s">
        <v>35</v>
      </c>
      <c r="C15" s="11" t="s">
        <v>15</v>
      </c>
      <c r="D15" s="11" t="s">
        <v>16</v>
      </c>
      <c r="E15" s="11" t="s">
        <v>36</v>
      </c>
      <c r="F15" s="13" t="n">
        <v>0.47</v>
      </c>
      <c r="G15" s="12" t="n">
        <v>8260.38</v>
      </c>
      <c r="H15" s="11" t="n">
        <v>11</v>
      </c>
      <c r="I15" s="2"/>
      <c r="J15" s="2"/>
      <c r="K15" s="2"/>
      <c r="L15" s="2"/>
      <c r="M15" s="2"/>
      <c r="N15" s="2"/>
      <c r="O15" s="2"/>
      <c r="P15" s="2"/>
      <c r="Q15" s="2"/>
      <c r="R15" s="2"/>
      <c r="S15" s="2"/>
      <c r="T15" s="2"/>
      <c r="U15" s="2"/>
      <c r="V15" s="2"/>
      <c r="W15" s="2"/>
      <c r="X15" s="2"/>
      <c r="Y15" s="2"/>
      <c r="Z15" s="2"/>
    </row>
    <row r="16" customFormat="false" ht="12" hidden="false" customHeight="true" outlineLevel="0" collapsed="false">
      <c r="A16" s="9" t="n">
        <v>12</v>
      </c>
      <c r="B16" s="11" t="s">
        <v>37</v>
      </c>
      <c r="C16" s="11" t="s">
        <v>15</v>
      </c>
      <c r="D16" s="11" t="s">
        <v>38</v>
      </c>
      <c r="E16" s="11" t="s">
        <v>39</v>
      </c>
      <c r="F16" s="13" t="n">
        <v>0.26</v>
      </c>
      <c r="G16" s="12" t="n">
        <v>8027.46</v>
      </c>
      <c r="H16" s="11" t="n">
        <v>12</v>
      </c>
      <c r="I16" s="2"/>
      <c r="J16" s="2"/>
      <c r="K16" s="2"/>
      <c r="L16" s="2"/>
      <c r="M16" s="2"/>
      <c r="N16" s="2"/>
      <c r="O16" s="2"/>
      <c r="P16" s="2"/>
      <c r="Q16" s="2"/>
      <c r="R16" s="2"/>
      <c r="S16" s="2"/>
      <c r="T16" s="2"/>
      <c r="U16" s="2"/>
      <c r="V16" s="2"/>
      <c r="W16" s="2"/>
      <c r="X16" s="2"/>
      <c r="Y16" s="2"/>
      <c r="Z16" s="2"/>
    </row>
    <row r="17" customFormat="false" ht="12" hidden="false" customHeight="true" outlineLevel="0" collapsed="false">
      <c r="A17" s="9" t="n">
        <v>13</v>
      </c>
      <c r="B17" s="11" t="s">
        <v>40</v>
      </c>
      <c r="C17" s="11" t="s">
        <v>15</v>
      </c>
      <c r="D17" s="11" t="s">
        <v>16</v>
      </c>
      <c r="E17" s="11" t="s">
        <v>41</v>
      </c>
      <c r="F17" s="13" t="n">
        <v>0.26</v>
      </c>
      <c r="G17" s="12" t="n">
        <v>7218.1</v>
      </c>
      <c r="H17" s="11" t="n">
        <v>13</v>
      </c>
      <c r="I17" s="2"/>
      <c r="J17" s="2"/>
      <c r="K17" s="2"/>
      <c r="L17" s="2"/>
      <c r="M17" s="2"/>
      <c r="N17" s="2"/>
      <c r="O17" s="2"/>
      <c r="P17" s="2"/>
      <c r="Q17" s="2"/>
      <c r="R17" s="2"/>
      <c r="S17" s="2"/>
      <c r="T17" s="2"/>
      <c r="U17" s="2"/>
      <c r="V17" s="2"/>
      <c r="W17" s="2"/>
      <c r="X17" s="2"/>
      <c r="Y17" s="2"/>
      <c r="Z17" s="2"/>
    </row>
    <row r="18" customFormat="false" ht="12" hidden="false" customHeight="true" outlineLevel="0" collapsed="false">
      <c r="A18" s="9" t="n">
        <v>14</v>
      </c>
      <c r="B18" s="11" t="s">
        <v>42</v>
      </c>
      <c r="C18" s="11" t="s">
        <v>15</v>
      </c>
      <c r="D18" s="11" t="s">
        <v>16</v>
      </c>
      <c r="E18" s="11" t="s">
        <v>43</v>
      </c>
      <c r="F18" s="13" t="n">
        <v>0.49</v>
      </c>
      <c r="G18" s="12" t="n">
        <v>5710.68</v>
      </c>
      <c r="H18" s="11" t="n">
        <v>14</v>
      </c>
      <c r="I18" s="2"/>
      <c r="J18" s="2"/>
      <c r="K18" s="2"/>
      <c r="L18" s="2"/>
      <c r="M18" s="2"/>
      <c r="N18" s="2"/>
      <c r="O18" s="2"/>
      <c r="P18" s="2"/>
      <c r="Q18" s="2"/>
      <c r="R18" s="2"/>
      <c r="S18" s="2"/>
      <c r="T18" s="2"/>
      <c r="U18" s="2"/>
      <c r="V18" s="2"/>
      <c r="W18" s="2"/>
      <c r="X18" s="2"/>
      <c r="Y18" s="2"/>
      <c r="Z18" s="2"/>
    </row>
    <row r="19" customFormat="false" ht="12" hidden="false" customHeight="true" outlineLevel="0" collapsed="false">
      <c r="A19" s="9" t="n">
        <v>15</v>
      </c>
      <c r="B19" s="11" t="s">
        <v>44</v>
      </c>
      <c r="C19" s="11" t="s">
        <v>15</v>
      </c>
      <c r="D19" s="11" t="s">
        <v>45</v>
      </c>
      <c r="E19" s="11" t="s">
        <v>46</v>
      </c>
      <c r="F19" s="13" t="n">
        <v>0.23</v>
      </c>
      <c r="G19" s="12" t="n">
        <v>4216.42</v>
      </c>
      <c r="H19" s="11" t="n">
        <v>15</v>
      </c>
      <c r="I19" s="2"/>
      <c r="J19" s="2"/>
      <c r="K19" s="2"/>
      <c r="L19" s="2"/>
      <c r="M19" s="2"/>
      <c r="N19" s="2"/>
      <c r="O19" s="2"/>
      <c r="P19" s="2"/>
      <c r="Q19" s="2"/>
      <c r="R19" s="2"/>
      <c r="S19" s="2"/>
      <c r="T19" s="2"/>
      <c r="U19" s="2"/>
      <c r="V19" s="2"/>
      <c r="W19" s="2"/>
      <c r="X19" s="2"/>
      <c r="Y19" s="2"/>
      <c r="Z19" s="2"/>
    </row>
    <row r="20" customFormat="false" ht="12" hidden="false" customHeight="true" outlineLevel="0" collapsed="false">
      <c r="A20" s="9" t="n">
        <v>16</v>
      </c>
      <c r="B20" s="11" t="s">
        <v>47</v>
      </c>
      <c r="C20" s="11" t="s">
        <v>15</v>
      </c>
      <c r="D20" s="11" t="s">
        <v>16</v>
      </c>
      <c r="E20" s="11" t="s">
        <v>48</v>
      </c>
      <c r="F20" s="13" t="n">
        <v>0.49</v>
      </c>
      <c r="G20" s="12" t="n">
        <v>3072.74</v>
      </c>
      <c r="H20" s="11" t="n">
        <v>16</v>
      </c>
      <c r="I20" s="2"/>
      <c r="J20" s="2"/>
      <c r="K20" s="2"/>
      <c r="L20" s="2"/>
      <c r="M20" s="2"/>
      <c r="N20" s="2"/>
      <c r="O20" s="2"/>
      <c r="P20" s="2"/>
      <c r="Q20" s="2"/>
      <c r="R20" s="2"/>
      <c r="S20" s="2"/>
      <c r="T20" s="2"/>
      <c r="U20" s="2"/>
      <c r="V20" s="2"/>
      <c r="W20" s="2"/>
      <c r="X20" s="2"/>
      <c r="Y20" s="2"/>
      <c r="Z20" s="2"/>
    </row>
    <row r="21" customFormat="false" ht="12" hidden="false" customHeight="true" outlineLevel="0" collapsed="false">
      <c r="A21" s="9" t="n">
        <v>17</v>
      </c>
      <c r="B21" s="11" t="s">
        <v>49</v>
      </c>
      <c r="C21" s="11" t="s">
        <v>15</v>
      </c>
      <c r="D21" s="11" t="s">
        <v>16</v>
      </c>
      <c r="E21" s="11" t="s">
        <v>17</v>
      </c>
      <c r="F21" s="9" t="s">
        <v>17</v>
      </c>
      <c r="G21" s="12" t="n">
        <v>2979.95</v>
      </c>
      <c r="H21" s="11" t="n">
        <v>17</v>
      </c>
      <c r="I21" s="2"/>
      <c r="J21" s="2"/>
      <c r="K21" s="2"/>
      <c r="L21" s="2"/>
      <c r="M21" s="2"/>
      <c r="N21" s="2"/>
      <c r="O21" s="2"/>
      <c r="P21" s="2"/>
      <c r="Q21" s="2"/>
      <c r="R21" s="2"/>
      <c r="S21" s="2"/>
      <c r="T21" s="2"/>
      <c r="U21" s="2"/>
      <c r="V21" s="2"/>
      <c r="W21" s="2"/>
      <c r="X21" s="2"/>
      <c r="Y21" s="2"/>
      <c r="Z21" s="2"/>
    </row>
    <row r="22" customFormat="false" ht="12" hidden="false" customHeight="true" outlineLevel="0" collapsed="false">
      <c r="A22" s="9" t="n">
        <v>18</v>
      </c>
      <c r="B22" s="11" t="s">
        <v>50</v>
      </c>
      <c r="C22" s="11" t="s">
        <v>15</v>
      </c>
      <c r="D22" s="11" t="s">
        <v>16</v>
      </c>
      <c r="E22" s="11" t="s">
        <v>51</v>
      </c>
      <c r="F22" s="13" t="n">
        <v>0.74</v>
      </c>
      <c r="G22" s="12" t="n">
        <v>2510.85</v>
      </c>
      <c r="H22" s="11" t="n">
        <v>18</v>
      </c>
      <c r="I22" s="2"/>
      <c r="J22" s="2"/>
      <c r="K22" s="2"/>
      <c r="L22" s="2"/>
      <c r="M22" s="2"/>
      <c r="N22" s="2"/>
      <c r="O22" s="2"/>
      <c r="P22" s="2"/>
      <c r="Q22" s="2"/>
      <c r="R22" s="2"/>
      <c r="S22" s="2"/>
      <c r="T22" s="2"/>
      <c r="U22" s="2"/>
      <c r="V22" s="2"/>
      <c r="W22" s="2"/>
      <c r="X22" s="2"/>
      <c r="Y22" s="2"/>
      <c r="Z22" s="2"/>
    </row>
    <row r="23" customFormat="false" ht="12" hidden="false" customHeight="true" outlineLevel="0" collapsed="false">
      <c r="A23" s="9" t="n">
        <v>19</v>
      </c>
      <c r="B23" s="11" t="s">
        <v>52</v>
      </c>
      <c r="C23" s="11" t="s">
        <v>15</v>
      </c>
      <c r="D23" s="11" t="s">
        <v>16</v>
      </c>
      <c r="E23" s="11" t="s">
        <v>53</v>
      </c>
      <c r="F23" s="13" t="n">
        <v>0.2</v>
      </c>
      <c r="G23" s="12" t="n">
        <v>2092.99</v>
      </c>
      <c r="H23" s="11" t="n">
        <v>19</v>
      </c>
      <c r="I23" s="2"/>
      <c r="J23" s="2"/>
      <c r="K23" s="2"/>
      <c r="L23" s="2"/>
      <c r="M23" s="2"/>
      <c r="N23" s="2"/>
      <c r="O23" s="2"/>
      <c r="P23" s="2"/>
      <c r="Q23" s="2"/>
      <c r="R23" s="2"/>
      <c r="S23" s="2"/>
      <c r="T23" s="2"/>
      <c r="U23" s="2"/>
      <c r="V23" s="2"/>
      <c r="W23" s="2"/>
      <c r="X23" s="2"/>
      <c r="Y23" s="2"/>
      <c r="Z23" s="2"/>
    </row>
    <row r="24" customFormat="false" ht="12" hidden="false" customHeight="true" outlineLevel="0" collapsed="false">
      <c r="A24" s="9" t="n">
        <v>20</v>
      </c>
      <c r="B24" s="11" t="s">
        <v>54</v>
      </c>
      <c r="C24" s="11" t="s">
        <v>15</v>
      </c>
      <c r="D24" s="11" t="s">
        <v>38</v>
      </c>
      <c r="E24" s="11" t="s">
        <v>55</v>
      </c>
      <c r="F24" s="13" t="n">
        <v>0.49</v>
      </c>
      <c r="G24" s="12" t="n">
        <v>2074.43</v>
      </c>
      <c r="H24" s="11" t="n">
        <v>20</v>
      </c>
      <c r="I24" s="2"/>
      <c r="J24" s="2"/>
      <c r="K24" s="2"/>
      <c r="L24" s="2"/>
      <c r="M24" s="2"/>
      <c r="N24" s="2"/>
      <c r="O24" s="2"/>
      <c r="P24" s="2"/>
      <c r="Q24" s="2"/>
      <c r="R24" s="2"/>
      <c r="S24" s="2"/>
      <c r="T24" s="2"/>
      <c r="U24" s="2"/>
      <c r="V24" s="2"/>
      <c r="W24" s="2"/>
      <c r="X24" s="2"/>
      <c r="Y24" s="2"/>
      <c r="Z24" s="2"/>
    </row>
    <row r="25" customFormat="false" ht="12" hidden="false" customHeight="true" outlineLevel="0" collapsed="false">
      <c r="A25" s="9" t="n">
        <v>21</v>
      </c>
      <c r="B25" s="11" t="s">
        <v>56</v>
      </c>
      <c r="C25" s="11" t="s">
        <v>15</v>
      </c>
      <c r="D25" s="11" t="s">
        <v>33</v>
      </c>
      <c r="E25" s="11" t="s">
        <v>57</v>
      </c>
      <c r="F25" s="13" t="n">
        <v>0.74</v>
      </c>
      <c r="G25" s="12" t="n">
        <v>1929.5</v>
      </c>
      <c r="H25" s="11" t="n">
        <v>21</v>
      </c>
      <c r="I25" s="2"/>
      <c r="J25" s="2"/>
      <c r="K25" s="2"/>
      <c r="L25" s="2"/>
      <c r="M25" s="2"/>
      <c r="N25" s="2"/>
      <c r="O25" s="2"/>
      <c r="P25" s="2"/>
      <c r="Q25" s="2"/>
      <c r="R25" s="2"/>
      <c r="S25" s="2"/>
      <c r="T25" s="2"/>
      <c r="U25" s="2"/>
      <c r="V25" s="2"/>
      <c r="W25" s="2"/>
      <c r="X25" s="2"/>
      <c r="Y25" s="2"/>
      <c r="Z25" s="2"/>
    </row>
    <row r="26" customFormat="false" ht="12" hidden="false" customHeight="true" outlineLevel="0" collapsed="false">
      <c r="A26" s="9" t="n">
        <v>22</v>
      </c>
      <c r="B26" s="11" t="s">
        <v>58</v>
      </c>
      <c r="C26" s="11" t="s">
        <v>15</v>
      </c>
      <c r="D26" s="11" t="s">
        <v>38</v>
      </c>
      <c r="E26" s="11" t="s">
        <v>59</v>
      </c>
      <c r="F26" s="13" t="n">
        <v>0.74</v>
      </c>
      <c r="G26" s="12" t="n">
        <v>1306.77</v>
      </c>
      <c r="H26" s="11" t="n">
        <v>22</v>
      </c>
      <c r="I26" s="2"/>
      <c r="J26" s="2"/>
      <c r="K26" s="2"/>
      <c r="L26" s="2"/>
      <c r="M26" s="2"/>
      <c r="N26" s="2"/>
      <c r="O26" s="2"/>
      <c r="P26" s="2"/>
      <c r="Q26" s="2"/>
      <c r="R26" s="2"/>
      <c r="S26" s="2"/>
      <c r="T26" s="2"/>
      <c r="U26" s="2"/>
      <c r="V26" s="2"/>
      <c r="W26" s="2"/>
      <c r="X26" s="2"/>
      <c r="Y26" s="2"/>
      <c r="Z26" s="2"/>
    </row>
    <row r="27" customFormat="false" ht="12" hidden="false" customHeight="true" outlineLevel="0" collapsed="false">
      <c r="A27" s="9" t="n">
        <v>23</v>
      </c>
      <c r="B27" s="11" t="s">
        <v>60</v>
      </c>
      <c r="C27" s="11" t="s">
        <v>15</v>
      </c>
      <c r="D27" s="11" t="s">
        <v>27</v>
      </c>
      <c r="E27" s="11" t="s">
        <v>61</v>
      </c>
      <c r="F27" s="13" t="n">
        <v>1</v>
      </c>
      <c r="G27" s="12" t="n">
        <v>1069.41</v>
      </c>
      <c r="H27" s="11" t="n">
        <v>23</v>
      </c>
      <c r="I27" s="2"/>
      <c r="J27" s="2"/>
      <c r="K27" s="2"/>
      <c r="L27" s="2"/>
      <c r="M27" s="2"/>
      <c r="N27" s="2"/>
      <c r="O27" s="2"/>
      <c r="P27" s="2"/>
      <c r="Q27" s="2"/>
      <c r="R27" s="2"/>
      <c r="S27" s="2"/>
      <c r="T27" s="2"/>
      <c r="U27" s="2"/>
      <c r="V27" s="2"/>
      <c r="W27" s="2"/>
      <c r="X27" s="2"/>
      <c r="Y27" s="2"/>
      <c r="Z27" s="2"/>
    </row>
    <row r="28" customFormat="false" ht="12" hidden="false" customHeight="true" outlineLevel="0" collapsed="false">
      <c r="A28" s="9" t="n">
        <v>24</v>
      </c>
      <c r="B28" s="11" t="s">
        <v>62</v>
      </c>
      <c r="C28" s="11" t="s">
        <v>15</v>
      </c>
      <c r="D28" s="11" t="s">
        <v>16</v>
      </c>
      <c r="E28" s="11" t="s">
        <v>17</v>
      </c>
      <c r="F28" s="9" t="s">
        <v>17</v>
      </c>
      <c r="G28" s="12" t="n">
        <v>512.28</v>
      </c>
      <c r="H28" s="11" t="n">
        <v>24</v>
      </c>
      <c r="I28" s="2"/>
      <c r="J28" s="2"/>
      <c r="K28" s="2"/>
      <c r="L28" s="2"/>
      <c r="M28" s="2"/>
      <c r="N28" s="2"/>
      <c r="O28" s="2"/>
      <c r="P28" s="2"/>
      <c r="Q28" s="2"/>
      <c r="R28" s="2"/>
      <c r="S28" s="2"/>
      <c r="T28" s="2"/>
      <c r="U28" s="2"/>
      <c r="V28" s="2"/>
      <c r="W28" s="2"/>
      <c r="X28" s="2"/>
      <c r="Y28" s="2"/>
      <c r="Z28" s="2"/>
    </row>
    <row r="29" customFormat="false" ht="12" hidden="false" customHeight="true" outlineLevel="0" collapsed="false">
      <c r="A29" s="9" t="n">
        <v>25</v>
      </c>
      <c r="B29" s="11" t="s">
        <v>63</v>
      </c>
      <c r="C29" s="11" t="s">
        <v>15</v>
      </c>
      <c r="D29" s="11" t="s">
        <v>33</v>
      </c>
      <c r="E29" s="11" t="s">
        <v>17</v>
      </c>
      <c r="F29" s="9" t="s">
        <v>17</v>
      </c>
      <c r="G29" s="12" t="n">
        <v>64.05</v>
      </c>
      <c r="H29" s="11" t="n">
        <v>25</v>
      </c>
      <c r="I29" s="2"/>
      <c r="J29" s="2"/>
      <c r="K29" s="2"/>
      <c r="L29" s="2"/>
      <c r="M29" s="2"/>
      <c r="N29" s="2"/>
      <c r="O29" s="2"/>
      <c r="P29" s="2"/>
      <c r="Q29" s="2"/>
      <c r="R29" s="2"/>
      <c r="S29" s="2"/>
      <c r="T29" s="2"/>
      <c r="U29" s="2"/>
      <c r="V29" s="2"/>
      <c r="W29" s="2"/>
      <c r="X29" s="2"/>
      <c r="Y29" s="2"/>
      <c r="Z29" s="2"/>
    </row>
    <row r="30" customFormat="false" ht="12" hidden="false" customHeight="true" outlineLevel="0" collapsed="false">
      <c r="A30" s="9" t="n">
        <v>26</v>
      </c>
      <c r="B30" s="11" t="s">
        <v>64</v>
      </c>
      <c r="C30" s="11" t="s">
        <v>15</v>
      </c>
      <c r="D30" s="11" t="s">
        <v>65</v>
      </c>
      <c r="E30" s="11" t="s">
        <v>17</v>
      </c>
      <c r="F30" s="9" t="s">
        <v>17</v>
      </c>
      <c r="G30" s="11" t="s">
        <v>17</v>
      </c>
      <c r="H30" s="11" t="s">
        <v>66</v>
      </c>
      <c r="I30" s="2"/>
      <c r="J30" s="2"/>
      <c r="K30" s="2"/>
      <c r="L30" s="2"/>
      <c r="M30" s="2"/>
      <c r="N30" s="2"/>
      <c r="O30" s="2"/>
      <c r="P30" s="2"/>
      <c r="Q30" s="2"/>
      <c r="R30" s="2"/>
      <c r="S30" s="2"/>
      <c r="T30" s="2"/>
      <c r="U30" s="2"/>
      <c r="V30" s="2"/>
      <c r="W30" s="2"/>
      <c r="X30" s="2"/>
      <c r="Y30" s="2"/>
      <c r="Z30" s="2"/>
    </row>
    <row r="31" customFormat="false" ht="12" hidden="false" customHeight="true" outlineLevel="0" collapsed="false">
      <c r="A31" s="9" t="n">
        <v>27</v>
      </c>
      <c r="B31" s="11" t="s">
        <v>67</v>
      </c>
      <c r="C31" s="11" t="s">
        <v>68</v>
      </c>
      <c r="D31" s="11" t="s">
        <v>16</v>
      </c>
      <c r="E31" s="11" t="s">
        <v>17</v>
      </c>
      <c r="F31" s="9" t="s">
        <v>17</v>
      </c>
      <c r="G31" s="12" t="n">
        <v>38660.5</v>
      </c>
      <c r="H31" s="11" t="n">
        <v>1</v>
      </c>
      <c r="I31" s="2"/>
      <c r="J31" s="2"/>
      <c r="K31" s="2"/>
      <c r="L31" s="2"/>
      <c r="M31" s="2"/>
      <c r="N31" s="2"/>
      <c r="O31" s="2"/>
      <c r="P31" s="2"/>
      <c r="Q31" s="2"/>
      <c r="R31" s="2"/>
      <c r="S31" s="2"/>
      <c r="T31" s="2"/>
      <c r="U31" s="2"/>
      <c r="V31" s="2"/>
      <c r="W31" s="2"/>
      <c r="X31" s="2"/>
      <c r="Y31" s="2"/>
      <c r="Z31" s="2"/>
    </row>
    <row r="32" customFormat="false" ht="12" hidden="false" customHeight="true" outlineLevel="0" collapsed="false">
      <c r="A32" s="9" t="n">
        <v>28</v>
      </c>
      <c r="B32" s="11" t="s">
        <v>69</v>
      </c>
      <c r="C32" s="11" t="s">
        <v>68</v>
      </c>
      <c r="D32" s="11" t="s">
        <v>16</v>
      </c>
      <c r="E32" s="11" t="s">
        <v>17</v>
      </c>
      <c r="F32" s="9" t="s">
        <v>17</v>
      </c>
      <c r="G32" s="12" t="n">
        <v>26833.34</v>
      </c>
      <c r="H32" s="11" t="n">
        <v>2</v>
      </c>
      <c r="I32" s="2"/>
      <c r="J32" s="2"/>
      <c r="K32" s="2"/>
      <c r="L32" s="2"/>
      <c r="M32" s="2"/>
      <c r="N32" s="2"/>
      <c r="O32" s="2"/>
      <c r="P32" s="2"/>
      <c r="Q32" s="2"/>
      <c r="R32" s="2"/>
      <c r="S32" s="2"/>
      <c r="T32" s="2"/>
      <c r="U32" s="2"/>
      <c r="V32" s="2"/>
      <c r="W32" s="2"/>
      <c r="X32" s="2"/>
      <c r="Y32" s="2"/>
      <c r="Z32" s="2"/>
    </row>
    <row r="33" customFormat="false" ht="12" hidden="false" customHeight="true" outlineLevel="0" collapsed="false">
      <c r="A33" s="9" t="n">
        <v>29</v>
      </c>
      <c r="B33" s="11" t="s">
        <v>70</v>
      </c>
      <c r="C33" s="11" t="s">
        <v>68</v>
      </c>
      <c r="D33" s="11" t="s">
        <v>27</v>
      </c>
      <c r="E33" s="11" t="s">
        <v>28</v>
      </c>
      <c r="F33" s="13" t="n">
        <v>0.26</v>
      </c>
      <c r="G33" s="12" t="n">
        <v>21416.81</v>
      </c>
      <c r="H33" s="11" t="n">
        <v>3</v>
      </c>
      <c r="I33" s="2"/>
      <c r="J33" s="2"/>
      <c r="K33" s="2"/>
      <c r="L33" s="2"/>
      <c r="M33" s="2"/>
      <c r="N33" s="2"/>
      <c r="O33" s="2"/>
      <c r="P33" s="2"/>
      <c r="Q33" s="2"/>
      <c r="R33" s="2"/>
      <c r="S33" s="2"/>
      <c r="T33" s="2"/>
      <c r="U33" s="2"/>
      <c r="V33" s="2"/>
      <c r="W33" s="2"/>
      <c r="X33" s="2"/>
      <c r="Y33" s="2"/>
      <c r="Z33" s="2"/>
    </row>
    <row r="34" customFormat="false" ht="12" hidden="false" customHeight="true" outlineLevel="0" collapsed="false">
      <c r="A34" s="9" t="n">
        <v>30</v>
      </c>
      <c r="B34" s="11" t="s">
        <v>71</v>
      </c>
      <c r="C34" s="11" t="s">
        <v>68</v>
      </c>
      <c r="D34" s="11" t="s">
        <v>72</v>
      </c>
      <c r="E34" s="11" t="s">
        <v>17</v>
      </c>
      <c r="F34" s="9" t="s">
        <v>17</v>
      </c>
      <c r="G34" s="12" t="n">
        <v>20073.65</v>
      </c>
      <c r="H34" s="11" t="n">
        <v>4</v>
      </c>
      <c r="I34" s="2"/>
      <c r="J34" s="2"/>
      <c r="K34" s="2"/>
      <c r="L34" s="2"/>
      <c r="M34" s="2"/>
      <c r="N34" s="2"/>
      <c r="O34" s="2"/>
      <c r="P34" s="2"/>
      <c r="Q34" s="2"/>
      <c r="R34" s="2"/>
      <c r="S34" s="2"/>
      <c r="T34" s="2"/>
      <c r="U34" s="2"/>
      <c r="V34" s="2"/>
      <c r="W34" s="2"/>
      <c r="X34" s="2"/>
      <c r="Y34" s="2"/>
      <c r="Z34" s="2"/>
    </row>
    <row r="35" customFormat="false" ht="12" hidden="false" customHeight="true" outlineLevel="0" collapsed="false">
      <c r="A35" s="9" t="n">
        <v>31</v>
      </c>
      <c r="B35" s="11" t="s">
        <v>73</v>
      </c>
      <c r="C35" s="11" t="s">
        <v>68</v>
      </c>
      <c r="D35" s="11" t="s">
        <v>23</v>
      </c>
      <c r="E35" s="11" t="s">
        <v>17</v>
      </c>
      <c r="F35" s="9" t="s">
        <v>17</v>
      </c>
      <c r="G35" s="12" t="n">
        <v>19826.28</v>
      </c>
      <c r="H35" s="11" t="n">
        <v>5</v>
      </c>
      <c r="I35" s="2"/>
      <c r="J35" s="2"/>
      <c r="K35" s="2"/>
      <c r="L35" s="2"/>
      <c r="M35" s="2"/>
      <c r="N35" s="2"/>
      <c r="O35" s="2"/>
      <c r="P35" s="2"/>
      <c r="Q35" s="2"/>
      <c r="R35" s="2"/>
      <c r="S35" s="2"/>
      <c r="T35" s="2"/>
      <c r="U35" s="2"/>
      <c r="V35" s="2"/>
      <c r="W35" s="2"/>
      <c r="X35" s="2"/>
      <c r="Y35" s="2"/>
      <c r="Z35" s="2"/>
    </row>
    <row r="36" customFormat="false" ht="12" hidden="false" customHeight="true" outlineLevel="0" collapsed="false">
      <c r="A36" s="9" t="n">
        <v>32</v>
      </c>
      <c r="B36" s="11" t="s">
        <v>74</v>
      </c>
      <c r="C36" s="11" t="s">
        <v>68</v>
      </c>
      <c r="D36" s="11" t="s">
        <v>16</v>
      </c>
      <c r="E36" s="11" t="s">
        <v>75</v>
      </c>
      <c r="F36" s="13" t="n">
        <v>0.26</v>
      </c>
      <c r="G36" s="12" t="n">
        <v>17702.83</v>
      </c>
      <c r="H36" s="11" t="n">
        <v>6</v>
      </c>
      <c r="I36" s="2"/>
      <c r="J36" s="2"/>
      <c r="K36" s="2"/>
      <c r="L36" s="2"/>
      <c r="M36" s="2"/>
      <c r="N36" s="2"/>
      <c r="O36" s="2"/>
      <c r="P36" s="2"/>
      <c r="Q36" s="2"/>
      <c r="R36" s="2"/>
      <c r="S36" s="2"/>
      <c r="T36" s="2"/>
      <c r="U36" s="2"/>
      <c r="V36" s="2"/>
      <c r="W36" s="2"/>
      <c r="X36" s="2"/>
      <c r="Y36" s="2"/>
      <c r="Z36" s="2"/>
    </row>
    <row r="37" customFormat="false" ht="12" hidden="false" customHeight="true" outlineLevel="0" collapsed="false">
      <c r="A37" s="9" t="n">
        <v>33</v>
      </c>
      <c r="B37" s="11" t="s">
        <v>76</v>
      </c>
      <c r="C37" s="11" t="s">
        <v>68</v>
      </c>
      <c r="D37" s="11" t="s">
        <v>77</v>
      </c>
      <c r="E37" s="11" t="s">
        <v>17</v>
      </c>
      <c r="F37" s="9" t="s">
        <v>17</v>
      </c>
      <c r="G37" s="12" t="n">
        <v>16660.37</v>
      </c>
      <c r="H37" s="11" t="n">
        <v>7</v>
      </c>
      <c r="I37" s="2"/>
      <c r="J37" s="2"/>
      <c r="K37" s="2"/>
      <c r="L37" s="2"/>
      <c r="M37" s="2"/>
      <c r="N37" s="2"/>
      <c r="O37" s="2"/>
      <c r="P37" s="2"/>
      <c r="Q37" s="2"/>
      <c r="R37" s="2"/>
      <c r="S37" s="2"/>
      <c r="T37" s="2"/>
      <c r="U37" s="2"/>
      <c r="V37" s="2"/>
      <c r="W37" s="2"/>
      <c r="X37" s="2"/>
      <c r="Y37" s="2"/>
      <c r="Z37" s="2"/>
    </row>
    <row r="38" customFormat="false" ht="12" hidden="false" customHeight="true" outlineLevel="0" collapsed="false">
      <c r="A38" s="9" t="n">
        <v>34</v>
      </c>
      <c r="B38" s="11" t="s">
        <v>78</v>
      </c>
      <c r="C38" s="11" t="s">
        <v>68</v>
      </c>
      <c r="D38" s="11" t="s">
        <v>16</v>
      </c>
      <c r="E38" s="11" t="s">
        <v>79</v>
      </c>
      <c r="F38" s="13" t="n">
        <v>0.49</v>
      </c>
      <c r="G38" s="12" t="n">
        <v>15817.28</v>
      </c>
      <c r="H38" s="11" t="n">
        <v>8</v>
      </c>
      <c r="I38" s="2"/>
      <c r="J38" s="2"/>
      <c r="K38" s="2"/>
      <c r="L38" s="2"/>
      <c r="M38" s="2"/>
      <c r="N38" s="2"/>
      <c r="O38" s="2"/>
      <c r="P38" s="2"/>
      <c r="Q38" s="2"/>
      <c r="R38" s="2"/>
      <c r="S38" s="2"/>
      <c r="T38" s="2"/>
      <c r="U38" s="2"/>
      <c r="V38" s="2"/>
      <c r="W38" s="2"/>
      <c r="X38" s="2"/>
      <c r="Y38" s="2"/>
      <c r="Z38" s="2"/>
    </row>
    <row r="39" customFormat="false" ht="12" hidden="false" customHeight="true" outlineLevel="0" collapsed="false">
      <c r="A39" s="9" t="n">
        <v>35</v>
      </c>
      <c r="B39" s="11" t="s">
        <v>80</v>
      </c>
      <c r="C39" s="11" t="s">
        <v>68</v>
      </c>
      <c r="D39" s="11" t="s">
        <v>16</v>
      </c>
      <c r="E39" s="11" t="s">
        <v>17</v>
      </c>
      <c r="F39" s="9" t="s">
        <v>17</v>
      </c>
      <c r="G39" s="12" t="n">
        <v>13889.67</v>
      </c>
      <c r="H39" s="11" t="n">
        <v>9</v>
      </c>
      <c r="I39" s="2"/>
      <c r="J39" s="2"/>
      <c r="K39" s="2"/>
      <c r="L39" s="2"/>
      <c r="M39" s="2"/>
      <c r="N39" s="2"/>
      <c r="O39" s="2"/>
      <c r="P39" s="2"/>
      <c r="Q39" s="2"/>
      <c r="R39" s="2"/>
      <c r="S39" s="2"/>
      <c r="T39" s="2"/>
      <c r="U39" s="2"/>
      <c r="V39" s="2"/>
      <c r="W39" s="2"/>
      <c r="X39" s="2"/>
      <c r="Y39" s="2"/>
      <c r="Z39" s="2"/>
    </row>
    <row r="40" customFormat="false" ht="12" hidden="false" customHeight="true" outlineLevel="0" collapsed="false">
      <c r="A40" s="9" t="n">
        <v>36</v>
      </c>
      <c r="B40" s="11" t="s">
        <v>81</v>
      </c>
      <c r="C40" s="11" t="s">
        <v>68</v>
      </c>
      <c r="D40" s="11" t="s">
        <v>16</v>
      </c>
      <c r="E40" s="11" t="s">
        <v>17</v>
      </c>
      <c r="F40" s="9" t="s">
        <v>17</v>
      </c>
      <c r="G40" s="12" t="n">
        <v>12548.37</v>
      </c>
      <c r="H40" s="11" t="n">
        <v>10</v>
      </c>
      <c r="I40" s="2"/>
      <c r="J40" s="2"/>
      <c r="K40" s="2"/>
      <c r="L40" s="2"/>
      <c r="M40" s="2"/>
      <c r="N40" s="2"/>
      <c r="O40" s="2"/>
      <c r="P40" s="2"/>
      <c r="Q40" s="2"/>
      <c r="R40" s="2"/>
      <c r="S40" s="2"/>
      <c r="T40" s="2"/>
      <c r="U40" s="2"/>
      <c r="V40" s="2"/>
      <c r="W40" s="2"/>
      <c r="X40" s="2"/>
      <c r="Y40" s="2"/>
      <c r="Z40" s="2"/>
    </row>
    <row r="41" customFormat="false" ht="12" hidden="false" customHeight="true" outlineLevel="0" collapsed="false">
      <c r="A41" s="9" t="n">
        <v>37</v>
      </c>
      <c r="B41" s="11" t="s">
        <v>82</v>
      </c>
      <c r="C41" s="11" t="s">
        <v>68</v>
      </c>
      <c r="D41" s="11" t="s">
        <v>23</v>
      </c>
      <c r="E41" s="11" t="s">
        <v>17</v>
      </c>
      <c r="F41" s="9" t="s">
        <v>17</v>
      </c>
      <c r="G41" s="12" t="n">
        <v>9738.16</v>
      </c>
      <c r="H41" s="11" t="n">
        <v>11</v>
      </c>
      <c r="I41" s="2"/>
      <c r="J41" s="2"/>
      <c r="K41" s="2"/>
      <c r="L41" s="2"/>
      <c r="M41" s="2"/>
      <c r="N41" s="2"/>
      <c r="O41" s="2"/>
      <c r="P41" s="2"/>
      <c r="Q41" s="2"/>
      <c r="R41" s="2"/>
      <c r="S41" s="2"/>
      <c r="T41" s="2"/>
      <c r="U41" s="2"/>
      <c r="V41" s="2"/>
      <c r="W41" s="2"/>
      <c r="X41" s="2"/>
      <c r="Y41" s="2"/>
      <c r="Z41" s="2"/>
    </row>
    <row r="42" customFormat="false" ht="12" hidden="false" customHeight="true" outlineLevel="0" collapsed="false">
      <c r="A42" s="9" t="n">
        <v>38</v>
      </c>
      <c r="B42" s="11" t="s">
        <v>83</v>
      </c>
      <c r="C42" s="11" t="s">
        <v>68</v>
      </c>
      <c r="D42" s="11" t="s">
        <v>27</v>
      </c>
      <c r="E42" s="11" t="s">
        <v>17</v>
      </c>
      <c r="F42" s="9" t="s">
        <v>17</v>
      </c>
      <c r="G42" s="12" t="n">
        <v>8472.15</v>
      </c>
      <c r="H42" s="11" t="n">
        <v>12</v>
      </c>
      <c r="I42" s="2"/>
      <c r="J42" s="2"/>
      <c r="K42" s="2"/>
      <c r="L42" s="2"/>
      <c r="M42" s="2"/>
      <c r="N42" s="2"/>
      <c r="O42" s="2"/>
      <c r="P42" s="2"/>
      <c r="Q42" s="2"/>
      <c r="R42" s="2"/>
      <c r="S42" s="2"/>
      <c r="T42" s="2"/>
      <c r="U42" s="2"/>
      <c r="V42" s="2"/>
      <c r="W42" s="2"/>
      <c r="X42" s="2"/>
      <c r="Y42" s="2"/>
      <c r="Z42" s="2"/>
    </row>
    <row r="43" customFormat="false" ht="12" hidden="false" customHeight="true" outlineLevel="0" collapsed="false">
      <c r="A43" s="9" t="n">
        <v>39</v>
      </c>
      <c r="B43" s="11" t="s">
        <v>84</v>
      </c>
      <c r="C43" s="11" t="s">
        <v>68</v>
      </c>
      <c r="D43" s="11" t="s">
        <v>38</v>
      </c>
      <c r="E43" s="11" t="s">
        <v>85</v>
      </c>
      <c r="F43" s="13" t="n">
        <v>0.49</v>
      </c>
      <c r="G43" s="12" t="n">
        <v>8312.35</v>
      </c>
      <c r="H43" s="11" t="n">
        <v>13</v>
      </c>
      <c r="I43" s="2"/>
      <c r="J43" s="2"/>
      <c r="K43" s="2"/>
      <c r="L43" s="2"/>
      <c r="M43" s="2"/>
      <c r="N43" s="2"/>
      <c r="O43" s="2"/>
      <c r="P43" s="2"/>
      <c r="Q43" s="2"/>
      <c r="R43" s="2"/>
      <c r="S43" s="2"/>
      <c r="T43" s="2"/>
      <c r="U43" s="2"/>
      <c r="V43" s="2"/>
      <c r="W43" s="2"/>
      <c r="X43" s="2"/>
      <c r="Y43" s="2"/>
      <c r="Z43" s="2"/>
    </row>
    <row r="44" customFormat="false" ht="12" hidden="false" customHeight="true" outlineLevel="0" collapsed="false">
      <c r="A44" s="9" t="n">
        <v>40</v>
      </c>
      <c r="B44" s="11" t="s">
        <v>86</v>
      </c>
      <c r="C44" s="11" t="s">
        <v>68</v>
      </c>
      <c r="D44" s="11" t="s">
        <v>72</v>
      </c>
      <c r="E44" s="11" t="s">
        <v>17</v>
      </c>
      <c r="F44" s="9" t="s">
        <v>17</v>
      </c>
      <c r="G44" s="12" t="n">
        <v>8124.32</v>
      </c>
      <c r="H44" s="11" t="n">
        <v>14</v>
      </c>
      <c r="I44" s="2"/>
      <c r="J44" s="2"/>
      <c r="K44" s="2"/>
      <c r="L44" s="2"/>
      <c r="M44" s="2"/>
      <c r="N44" s="2"/>
      <c r="O44" s="2"/>
      <c r="P44" s="2"/>
      <c r="Q44" s="2"/>
      <c r="R44" s="2"/>
      <c r="S44" s="2"/>
      <c r="T44" s="2"/>
      <c r="U44" s="2"/>
      <c r="V44" s="2"/>
      <c r="W44" s="2"/>
      <c r="X44" s="2"/>
      <c r="Y44" s="2"/>
      <c r="Z44" s="2"/>
    </row>
    <row r="45" customFormat="false" ht="12" hidden="false" customHeight="true" outlineLevel="0" collapsed="false">
      <c r="A45" s="9" t="n">
        <v>41</v>
      </c>
      <c r="B45" s="11" t="s">
        <v>87</v>
      </c>
      <c r="C45" s="11" t="s">
        <v>68</v>
      </c>
      <c r="D45" s="11" t="s">
        <v>16</v>
      </c>
      <c r="E45" s="11" t="s">
        <v>51</v>
      </c>
      <c r="F45" s="13" t="n">
        <v>0.74</v>
      </c>
      <c r="G45" s="12" t="n">
        <v>5408.16</v>
      </c>
      <c r="H45" s="11" t="n">
        <v>15</v>
      </c>
      <c r="I45" s="2"/>
      <c r="J45" s="2"/>
      <c r="K45" s="2"/>
      <c r="L45" s="2"/>
      <c r="M45" s="2"/>
      <c r="N45" s="2"/>
      <c r="O45" s="2"/>
      <c r="P45" s="2"/>
      <c r="Q45" s="2"/>
      <c r="R45" s="2"/>
      <c r="S45" s="2"/>
      <c r="T45" s="2"/>
      <c r="U45" s="2"/>
      <c r="V45" s="2"/>
      <c r="W45" s="2"/>
      <c r="X45" s="2"/>
      <c r="Y45" s="2"/>
      <c r="Z45" s="2"/>
    </row>
    <row r="46" customFormat="false" ht="12" hidden="false" customHeight="true" outlineLevel="0" collapsed="false">
      <c r="A46" s="9" t="n">
        <v>42</v>
      </c>
      <c r="B46" s="11" t="s">
        <v>88</v>
      </c>
      <c r="C46" s="11" t="s">
        <v>68</v>
      </c>
      <c r="D46" s="11" t="s">
        <v>16</v>
      </c>
      <c r="E46" s="11" t="s">
        <v>89</v>
      </c>
      <c r="F46" s="13" t="n">
        <v>0.35</v>
      </c>
      <c r="G46" s="12" t="n">
        <v>5078.44</v>
      </c>
      <c r="H46" s="11" t="n">
        <v>16</v>
      </c>
      <c r="I46" s="2"/>
      <c r="J46" s="2"/>
      <c r="K46" s="2"/>
      <c r="L46" s="2"/>
      <c r="M46" s="2"/>
      <c r="N46" s="2"/>
      <c r="O46" s="2"/>
      <c r="P46" s="2"/>
      <c r="Q46" s="2"/>
      <c r="R46" s="2"/>
      <c r="S46" s="2"/>
      <c r="T46" s="2"/>
      <c r="U46" s="2"/>
      <c r="V46" s="2"/>
      <c r="W46" s="2"/>
      <c r="X46" s="2"/>
      <c r="Y46" s="2"/>
      <c r="Z46" s="2"/>
    </row>
    <row r="47" customFormat="false" ht="12" hidden="false" customHeight="true" outlineLevel="0" collapsed="false">
      <c r="A47" s="9" t="n">
        <v>43</v>
      </c>
      <c r="B47" s="11" t="s">
        <v>90</v>
      </c>
      <c r="C47" s="11" t="s">
        <v>68</v>
      </c>
      <c r="D47" s="11" t="s">
        <v>72</v>
      </c>
      <c r="E47" s="11" t="s">
        <v>91</v>
      </c>
      <c r="F47" s="13" t="n">
        <v>0.4</v>
      </c>
      <c r="G47" s="12" t="n">
        <v>3763.96</v>
      </c>
      <c r="H47" s="11" t="n">
        <v>17</v>
      </c>
      <c r="I47" s="2"/>
      <c r="J47" s="2"/>
      <c r="K47" s="2"/>
      <c r="L47" s="2"/>
      <c r="M47" s="2"/>
      <c r="N47" s="2"/>
      <c r="O47" s="2"/>
      <c r="P47" s="2"/>
      <c r="Q47" s="2"/>
      <c r="R47" s="2"/>
      <c r="S47" s="2"/>
      <c r="T47" s="2"/>
      <c r="U47" s="2"/>
      <c r="V47" s="2"/>
      <c r="W47" s="2"/>
      <c r="X47" s="2"/>
      <c r="Y47" s="2"/>
      <c r="Z47" s="2"/>
    </row>
    <row r="48" customFormat="false" ht="12" hidden="false" customHeight="true" outlineLevel="0" collapsed="false">
      <c r="A48" s="9" t="n">
        <v>44</v>
      </c>
      <c r="B48" s="11" t="s">
        <v>92</v>
      </c>
      <c r="C48" s="11" t="s">
        <v>68</v>
      </c>
      <c r="D48" s="11" t="s">
        <v>93</v>
      </c>
      <c r="E48" s="11" t="s">
        <v>94</v>
      </c>
      <c r="F48" s="13" t="n">
        <v>0.23</v>
      </c>
      <c r="G48" s="12" t="n">
        <v>3753.38</v>
      </c>
      <c r="H48" s="11" t="n">
        <v>18</v>
      </c>
      <c r="I48" s="2"/>
      <c r="J48" s="2"/>
      <c r="K48" s="2"/>
      <c r="L48" s="2"/>
      <c r="M48" s="2"/>
      <c r="N48" s="2"/>
      <c r="O48" s="2"/>
      <c r="P48" s="2"/>
      <c r="Q48" s="2"/>
      <c r="R48" s="2"/>
      <c r="S48" s="2"/>
      <c r="T48" s="2"/>
      <c r="U48" s="2"/>
      <c r="V48" s="2"/>
      <c r="W48" s="2"/>
      <c r="X48" s="2"/>
      <c r="Y48" s="2"/>
      <c r="Z48" s="2"/>
    </row>
    <row r="49" customFormat="false" ht="12" hidden="false" customHeight="true" outlineLevel="0" collapsed="false">
      <c r="A49" s="9" t="n">
        <v>45</v>
      </c>
      <c r="B49" s="11" t="s">
        <v>95</v>
      </c>
      <c r="C49" s="11" t="s">
        <v>68</v>
      </c>
      <c r="D49" s="11" t="s">
        <v>77</v>
      </c>
      <c r="E49" s="11" t="s">
        <v>17</v>
      </c>
      <c r="F49" s="9" t="s">
        <v>17</v>
      </c>
      <c r="G49" s="12" t="n">
        <v>3334.42</v>
      </c>
      <c r="H49" s="11" t="n">
        <v>19</v>
      </c>
      <c r="I49" s="2"/>
      <c r="J49" s="2"/>
      <c r="K49" s="2"/>
      <c r="L49" s="2"/>
      <c r="M49" s="2"/>
      <c r="N49" s="2"/>
      <c r="O49" s="2"/>
      <c r="P49" s="2"/>
      <c r="Q49" s="2"/>
      <c r="R49" s="2"/>
      <c r="S49" s="2"/>
      <c r="T49" s="2"/>
      <c r="U49" s="2"/>
      <c r="V49" s="2"/>
      <c r="W49" s="2"/>
      <c r="X49" s="2"/>
      <c r="Y49" s="2"/>
      <c r="Z49" s="2"/>
    </row>
    <row r="50" customFormat="false" ht="12" hidden="false" customHeight="true" outlineLevel="0" collapsed="false">
      <c r="A50" s="9" t="n">
        <v>46</v>
      </c>
      <c r="B50" s="11" t="s">
        <v>96</v>
      </c>
      <c r="C50" s="11" t="s">
        <v>68</v>
      </c>
      <c r="D50" s="11" t="s">
        <v>16</v>
      </c>
      <c r="E50" s="11" t="s">
        <v>97</v>
      </c>
      <c r="F50" s="13" t="n">
        <v>0.49</v>
      </c>
      <c r="G50" s="12" t="n">
        <v>2246.35</v>
      </c>
      <c r="H50" s="11" t="n">
        <v>20</v>
      </c>
      <c r="I50" s="2"/>
      <c r="J50" s="2"/>
      <c r="K50" s="2"/>
      <c r="L50" s="2"/>
      <c r="M50" s="2"/>
      <c r="N50" s="2"/>
      <c r="O50" s="2"/>
      <c r="P50" s="2"/>
      <c r="Q50" s="2"/>
      <c r="R50" s="2"/>
      <c r="S50" s="2"/>
      <c r="T50" s="2"/>
      <c r="U50" s="2"/>
      <c r="V50" s="2"/>
      <c r="W50" s="2"/>
      <c r="X50" s="2"/>
      <c r="Y50" s="2"/>
      <c r="Z50" s="2"/>
    </row>
    <row r="51" customFormat="false" ht="12" hidden="false" customHeight="true" outlineLevel="0" collapsed="false">
      <c r="A51" s="9" t="n">
        <v>47</v>
      </c>
      <c r="B51" s="11" t="s">
        <v>98</v>
      </c>
      <c r="C51" s="11" t="s">
        <v>68</v>
      </c>
      <c r="D51" s="11" t="s">
        <v>16</v>
      </c>
      <c r="E51" s="11" t="s">
        <v>17</v>
      </c>
      <c r="F51" s="9" t="s">
        <v>17</v>
      </c>
      <c r="G51" s="12" t="n">
        <v>2065</v>
      </c>
      <c r="H51" s="11" t="n">
        <v>21</v>
      </c>
      <c r="I51" s="2"/>
      <c r="J51" s="2"/>
      <c r="K51" s="2"/>
      <c r="L51" s="2"/>
      <c r="M51" s="2"/>
      <c r="N51" s="2"/>
      <c r="O51" s="2"/>
      <c r="P51" s="2"/>
      <c r="Q51" s="2"/>
      <c r="R51" s="2"/>
      <c r="S51" s="2"/>
      <c r="T51" s="2"/>
      <c r="U51" s="2"/>
      <c r="V51" s="2"/>
      <c r="W51" s="2"/>
      <c r="X51" s="2"/>
      <c r="Y51" s="2"/>
      <c r="Z51" s="2"/>
    </row>
    <row r="52" customFormat="false" ht="12" hidden="false" customHeight="true" outlineLevel="0" collapsed="false">
      <c r="A52" s="9" t="n">
        <v>48</v>
      </c>
      <c r="B52" s="11" t="s">
        <v>99</v>
      </c>
      <c r="C52" s="11" t="s">
        <v>68</v>
      </c>
      <c r="D52" s="11" t="s">
        <v>16</v>
      </c>
      <c r="E52" s="11" t="s">
        <v>100</v>
      </c>
      <c r="F52" s="13" t="n">
        <v>0.7</v>
      </c>
      <c r="G52" s="12" t="n">
        <v>1915.38</v>
      </c>
      <c r="H52" s="11" t="n">
        <v>22</v>
      </c>
      <c r="I52" s="2"/>
      <c r="J52" s="2"/>
      <c r="K52" s="2"/>
      <c r="L52" s="2"/>
      <c r="M52" s="2"/>
      <c r="N52" s="2"/>
      <c r="O52" s="2"/>
      <c r="P52" s="2"/>
      <c r="Q52" s="2"/>
      <c r="R52" s="2"/>
      <c r="S52" s="2"/>
      <c r="T52" s="2"/>
      <c r="U52" s="2"/>
      <c r="V52" s="2"/>
      <c r="W52" s="2"/>
      <c r="X52" s="2"/>
      <c r="Y52" s="2"/>
      <c r="Z52" s="2"/>
    </row>
    <row r="53" customFormat="false" ht="12" hidden="false" customHeight="true" outlineLevel="0" collapsed="false">
      <c r="A53" s="9" t="n">
        <v>49</v>
      </c>
      <c r="B53" s="11" t="s">
        <v>101</v>
      </c>
      <c r="C53" s="11" t="s">
        <v>68</v>
      </c>
      <c r="D53" s="11" t="s">
        <v>16</v>
      </c>
      <c r="E53" s="11" t="s">
        <v>17</v>
      </c>
      <c r="F53" s="9" t="s">
        <v>17</v>
      </c>
      <c r="G53" s="12" t="n">
        <v>1366.55</v>
      </c>
      <c r="H53" s="11" t="n">
        <v>23</v>
      </c>
      <c r="I53" s="2"/>
      <c r="J53" s="2"/>
      <c r="K53" s="2"/>
      <c r="L53" s="2"/>
      <c r="M53" s="2"/>
      <c r="N53" s="2"/>
      <c r="O53" s="2"/>
      <c r="P53" s="2"/>
      <c r="Q53" s="2"/>
      <c r="R53" s="2"/>
      <c r="S53" s="2"/>
      <c r="T53" s="2"/>
      <c r="U53" s="2"/>
      <c r="V53" s="2"/>
      <c r="W53" s="2"/>
      <c r="X53" s="2"/>
      <c r="Y53" s="2"/>
      <c r="Z53" s="2"/>
    </row>
    <row r="54" customFormat="false" ht="12" hidden="false" customHeight="true" outlineLevel="0" collapsed="false">
      <c r="A54" s="9" t="n">
        <v>50</v>
      </c>
      <c r="B54" s="11" t="s">
        <v>102</v>
      </c>
      <c r="C54" s="11" t="s">
        <v>68</v>
      </c>
      <c r="D54" s="11" t="s">
        <v>16</v>
      </c>
      <c r="E54" s="11" t="s">
        <v>17</v>
      </c>
      <c r="F54" s="9" t="s">
        <v>17</v>
      </c>
      <c r="G54" s="12" t="n">
        <v>992.29</v>
      </c>
      <c r="H54" s="11" t="n">
        <v>24</v>
      </c>
      <c r="I54" s="2"/>
      <c r="J54" s="2"/>
      <c r="K54" s="2"/>
      <c r="L54" s="2"/>
      <c r="M54" s="2"/>
      <c r="N54" s="2"/>
      <c r="O54" s="2"/>
      <c r="P54" s="2"/>
      <c r="Q54" s="2"/>
      <c r="R54" s="2"/>
      <c r="S54" s="2"/>
      <c r="T54" s="2"/>
      <c r="U54" s="2"/>
      <c r="V54" s="2"/>
      <c r="W54" s="2"/>
      <c r="X54" s="2"/>
      <c r="Y54" s="2"/>
      <c r="Z54" s="2"/>
    </row>
    <row r="55" customFormat="false" ht="12" hidden="false" customHeight="true" outlineLevel="0" collapsed="false">
      <c r="A55" s="9" t="n">
        <v>51</v>
      </c>
      <c r="B55" s="11" t="s">
        <v>103</v>
      </c>
      <c r="C55" s="11" t="s">
        <v>68</v>
      </c>
      <c r="D55" s="11" t="s">
        <v>45</v>
      </c>
      <c r="E55" s="11" t="s">
        <v>17</v>
      </c>
      <c r="F55" s="9" t="s">
        <v>17</v>
      </c>
      <c r="G55" s="12" t="n">
        <v>771.46</v>
      </c>
      <c r="H55" s="11" t="n">
        <v>25</v>
      </c>
      <c r="I55" s="2"/>
      <c r="J55" s="2"/>
      <c r="K55" s="2"/>
      <c r="L55" s="2"/>
      <c r="M55" s="2"/>
      <c r="N55" s="2"/>
      <c r="O55" s="2"/>
      <c r="P55" s="2"/>
      <c r="Q55" s="2"/>
      <c r="R55" s="2"/>
      <c r="S55" s="2"/>
      <c r="T55" s="2"/>
      <c r="U55" s="2"/>
      <c r="V55" s="2"/>
      <c r="W55" s="2"/>
      <c r="X55" s="2"/>
      <c r="Y55" s="2"/>
      <c r="Z55" s="2"/>
    </row>
    <row r="56" customFormat="false" ht="12" hidden="false" customHeight="true" outlineLevel="0" collapsed="false">
      <c r="A56" s="9" t="n">
        <v>52</v>
      </c>
      <c r="B56" s="11" t="s">
        <v>104</v>
      </c>
      <c r="C56" s="11" t="s">
        <v>68</v>
      </c>
      <c r="D56" s="11" t="s">
        <v>16</v>
      </c>
      <c r="E56" s="11" t="s">
        <v>105</v>
      </c>
      <c r="F56" s="13" t="n">
        <v>0.49</v>
      </c>
      <c r="G56" s="12" t="n">
        <v>353.22</v>
      </c>
      <c r="H56" s="11" t="n">
        <v>26</v>
      </c>
      <c r="I56" s="2"/>
      <c r="J56" s="2"/>
      <c r="K56" s="2"/>
      <c r="L56" s="2"/>
      <c r="M56" s="2"/>
      <c r="N56" s="2"/>
      <c r="O56" s="2"/>
      <c r="P56" s="2"/>
      <c r="Q56" s="2"/>
      <c r="R56" s="2"/>
      <c r="S56" s="2"/>
      <c r="T56" s="2"/>
      <c r="U56" s="2"/>
      <c r="V56" s="2"/>
      <c r="W56" s="2"/>
      <c r="X56" s="2"/>
      <c r="Y56" s="2"/>
      <c r="Z56" s="2"/>
    </row>
    <row r="57" customFormat="false" ht="12" hidden="false" customHeight="true" outlineLevel="0" collapsed="false">
      <c r="A57" s="9" t="n">
        <v>53</v>
      </c>
      <c r="B57" s="11" t="s">
        <v>106</v>
      </c>
      <c r="C57" s="11" t="s">
        <v>68</v>
      </c>
      <c r="D57" s="11" t="s">
        <v>33</v>
      </c>
      <c r="E57" s="11" t="s">
        <v>17</v>
      </c>
      <c r="F57" s="9" t="s">
        <v>17</v>
      </c>
      <c r="G57" s="12" t="n">
        <v>99.53</v>
      </c>
      <c r="H57" s="11" t="n">
        <v>27</v>
      </c>
      <c r="I57" s="2"/>
      <c r="J57" s="2"/>
      <c r="K57" s="2"/>
      <c r="L57" s="2"/>
      <c r="M57" s="2"/>
      <c r="N57" s="2"/>
      <c r="O57" s="2"/>
      <c r="P57" s="2"/>
      <c r="Q57" s="2"/>
      <c r="R57" s="2"/>
      <c r="S57" s="2"/>
      <c r="T57" s="2"/>
      <c r="U57" s="2"/>
      <c r="V57" s="2"/>
      <c r="W57" s="2"/>
      <c r="X57" s="2"/>
      <c r="Y57" s="2"/>
      <c r="Z57" s="2"/>
    </row>
    <row r="58" customFormat="false" ht="12" hidden="false" customHeight="true" outlineLevel="0" collapsed="false">
      <c r="A58" s="9" t="n">
        <v>54</v>
      </c>
      <c r="B58" s="11" t="s">
        <v>107</v>
      </c>
      <c r="C58" s="11" t="s">
        <v>108</v>
      </c>
      <c r="D58" s="11" t="s">
        <v>72</v>
      </c>
      <c r="E58" s="11" t="s">
        <v>17</v>
      </c>
      <c r="F58" s="9" t="s">
        <v>17</v>
      </c>
      <c r="G58" s="12" t="n">
        <v>16716.15</v>
      </c>
      <c r="H58" s="11" t="n">
        <v>1</v>
      </c>
      <c r="I58" s="2"/>
      <c r="J58" s="2"/>
      <c r="K58" s="2"/>
      <c r="L58" s="2"/>
      <c r="M58" s="2"/>
      <c r="N58" s="2"/>
      <c r="O58" s="2"/>
      <c r="P58" s="2"/>
      <c r="Q58" s="2"/>
      <c r="R58" s="2"/>
      <c r="S58" s="2"/>
      <c r="T58" s="2"/>
      <c r="U58" s="2"/>
      <c r="V58" s="2"/>
      <c r="W58" s="2"/>
      <c r="X58" s="2"/>
      <c r="Y58" s="2"/>
      <c r="Z58" s="2"/>
    </row>
    <row r="59" customFormat="false" ht="12" hidden="false" customHeight="true" outlineLevel="0" collapsed="false">
      <c r="A59" s="9" t="n">
        <v>55</v>
      </c>
      <c r="B59" s="11" t="s">
        <v>109</v>
      </c>
      <c r="C59" s="11" t="s">
        <v>108</v>
      </c>
      <c r="D59" s="11" t="s">
        <v>23</v>
      </c>
      <c r="E59" s="11" t="s">
        <v>17</v>
      </c>
      <c r="F59" s="9" t="s">
        <v>17</v>
      </c>
      <c r="G59" s="12" t="n">
        <v>8318.25</v>
      </c>
      <c r="H59" s="11" t="n">
        <v>2</v>
      </c>
      <c r="I59" s="2"/>
      <c r="J59" s="2"/>
      <c r="K59" s="2"/>
      <c r="L59" s="2"/>
      <c r="M59" s="2"/>
      <c r="N59" s="2"/>
      <c r="O59" s="2"/>
      <c r="P59" s="2"/>
      <c r="Q59" s="2"/>
      <c r="R59" s="2"/>
      <c r="S59" s="2"/>
      <c r="T59" s="2"/>
      <c r="U59" s="2"/>
      <c r="V59" s="2"/>
      <c r="W59" s="2"/>
      <c r="X59" s="2"/>
      <c r="Y59" s="2"/>
      <c r="Z59" s="2"/>
    </row>
    <row r="60" customFormat="false" ht="12" hidden="false" customHeight="true" outlineLevel="0" collapsed="false">
      <c r="A60" s="9" t="n">
        <v>56</v>
      </c>
      <c r="B60" s="11" t="s">
        <v>110</v>
      </c>
      <c r="C60" s="11" t="s">
        <v>108</v>
      </c>
      <c r="D60" s="11" t="s">
        <v>38</v>
      </c>
      <c r="E60" s="11" t="s">
        <v>17</v>
      </c>
      <c r="F60" s="9" t="s">
        <v>17</v>
      </c>
      <c r="G60" s="12" t="n">
        <v>6762.22</v>
      </c>
      <c r="H60" s="11" t="n">
        <v>3</v>
      </c>
      <c r="I60" s="2"/>
      <c r="J60" s="2"/>
      <c r="K60" s="2"/>
      <c r="L60" s="2"/>
      <c r="M60" s="2"/>
      <c r="N60" s="2"/>
      <c r="O60" s="2"/>
      <c r="P60" s="2"/>
      <c r="Q60" s="2"/>
      <c r="R60" s="2"/>
      <c r="S60" s="2"/>
      <c r="T60" s="2"/>
      <c r="U60" s="2"/>
      <c r="V60" s="2"/>
      <c r="W60" s="2"/>
      <c r="X60" s="2"/>
      <c r="Y60" s="2"/>
      <c r="Z60" s="2"/>
    </row>
    <row r="61" customFormat="false" ht="12" hidden="false" customHeight="true" outlineLevel="0" collapsed="false">
      <c r="A61" s="9" t="n">
        <v>57</v>
      </c>
      <c r="B61" s="11" t="s">
        <v>111</v>
      </c>
      <c r="C61" s="11" t="s">
        <v>108</v>
      </c>
      <c r="D61" s="11" t="s">
        <v>16</v>
      </c>
      <c r="E61" s="11" t="s">
        <v>112</v>
      </c>
      <c r="F61" s="13" t="n">
        <v>0.44</v>
      </c>
      <c r="G61" s="12" t="n">
        <v>4821.7</v>
      </c>
      <c r="H61" s="11" t="n">
        <v>4</v>
      </c>
      <c r="I61" s="2"/>
      <c r="J61" s="2"/>
      <c r="K61" s="2"/>
      <c r="L61" s="2"/>
      <c r="M61" s="2"/>
      <c r="N61" s="2"/>
      <c r="O61" s="2"/>
      <c r="P61" s="2"/>
      <c r="Q61" s="2"/>
      <c r="R61" s="2"/>
      <c r="S61" s="2"/>
      <c r="T61" s="2"/>
      <c r="U61" s="2"/>
      <c r="V61" s="2"/>
      <c r="W61" s="2"/>
      <c r="X61" s="2"/>
      <c r="Y61" s="2"/>
      <c r="Z61" s="2"/>
    </row>
    <row r="62" customFormat="false" ht="12" hidden="false" customHeight="true" outlineLevel="0" collapsed="false">
      <c r="A62" s="9" t="n">
        <v>58</v>
      </c>
      <c r="B62" s="11" t="s">
        <v>113</v>
      </c>
      <c r="C62" s="11" t="s">
        <v>108</v>
      </c>
      <c r="D62" s="11" t="s">
        <v>16</v>
      </c>
      <c r="E62" s="11" t="s">
        <v>114</v>
      </c>
      <c r="F62" s="13" t="n">
        <v>0.49</v>
      </c>
      <c r="G62" s="12" t="n">
        <v>1797.56</v>
      </c>
      <c r="H62" s="11" t="n">
        <v>5</v>
      </c>
      <c r="I62" s="2"/>
      <c r="J62" s="2"/>
      <c r="K62" s="2"/>
      <c r="L62" s="2"/>
      <c r="M62" s="2"/>
      <c r="N62" s="2"/>
      <c r="O62" s="2"/>
      <c r="P62" s="2"/>
      <c r="Q62" s="2"/>
      <c r="R62" s="2"/>
      <c r="S62" s="2"/>
      <c r="T62" s="2"/>
      <c r="U62" s="2"/>
      <c r="V62" s="2"/>
      <c r="W62" s="2"/>
      <c r="X62" s="2"/>
      <c r="Y62" s="2"/>
      <c r="Z62" s="2"/>
    </row>
    <row r="63" customFormat="false" ht="12" hidden="false" customHeight="true" outlineLevel="0" collapsed="false">
      <c r="A63" s="9" t="n">
        <v>59</v>
      </c>
      <c r="B63" s="11" t="s">
        <v>115</v>
      </c>
      <c r="C63" s="11" t="s">
        <v>108</v>
      </c>
      <c r="D63" s="11" t="s">
        <v>72</v>
      </c>
      <c r="E63" s="11" t="s">
        <v>17</v>
      </c>
      <c r="F63" s="9" t="s">
        <v>17</v>
      </c>
      <c r="G63" s="12" t="n">
        <v>16.94</v>
      </c>
      <c r="H63" s="11" t="n">
        <v>6</v>
      </c>
      <c r="I63" s="2"/>
      <c r="J63" s="2"/>
      <c r="K63" s="2"/>
      <c r="L63" s="2"/>
      <c r="M63" s="2"/>
      <c r="N63" s="2"/>
      <c r="O63" s="2"/>
      <c r="P63" s="2"/>
      <c r="Q63" s="2"/>
      <c r="R63" s="2"/>
      <c r="S63" s="2"/>
      <c r="T63" s="2"/>
      <c r="U63" s="2"/>
      <c r="V63" s="2"/>
      <c r="W63" s="2"/>
      <c r="X63" s="2"/>
      <c r="Y63" s="2"/>
      <c r="Z63" s="2"/>
    </row>
    <row r="64" customFormat="false" ht="12" hidden="false" customHeight="true" outlineLevel="0" collapsed="false">
      <c r="A64" s="9" t="n">
        <v>60</v>
      </c>
      <c r="B64" s="11" t="s">
        <v>116</v>
      </c>
      <c r="C64" s="11" t="s">
        <v>108</v>
      </c>
      <c r="D64" s="11" t="s">
        <v>33</v>
      </c>
      <c r="E64" s="11" t="s">
        <v>17</v>
      </c>
      <c r="F64" s="9" t="s">
        <v>17</v>
      </c>
      <c r="G64" s="12" t="n">
        <v>2.37</v>
      </c>
      <c r="H64" s="11" t="n">
        <v>7</v>
      </c>
      <c r="I64" s="2"/>
      <c r="J64" s="2"/>
      <c r="K64" s="2"/>
      <c r="L64" s="2"/>
      <c r="M64" s="2"/>
      <c r="N64" s="2"/>
      <c r="O64" s="2"/>
      <c r="P64" s="2"/>
      <c r="Q64" s="2"/>
      <c r="R64" s="2"/>
      <c r="S64" s="2"/>
      <c r="T64" s="2"/>
      <c r="U64" s="2"/>
      <c r="V64" s="2"/>
      <c r="W64" s="2"/>
      <c r="X64" s="2"/>
      <c r="Y64" s="2"/>
      <c r="Z64" s="2"/>
    </row>
    <row r="65" customFormat="false" ht="12" hidden="false" customHeight="true" outlineLevel="0" collapsed="false">
      <c r="A65" s="9" t="n">
        <v>61</v>
      </c>
      <c r="B65" s="11" t="s">
        <v>117</v>
      </c>
      <c r="C65" s="11" t="s">
        <v>118</v>
      </c>
      <c r="D65" s="11" t="s">
        <v>16</v>
      </c>
      <c r="E65" s="11" t="s">
        <v>17</v>
      </c>
      <c r="F65" s="9" t="s">
        <v>17</v>
      </c>
      <c r="G65" s="12" t="n">
        <v>36130.27</v>
      </c>
      <c r="H65" s="9" t="s">
        <v>17</v>
      </c>
      <c r="I65" s="2"/>
      <c r="J65" s="2"/>
      <c r="K65" s="2"/>
      <c r="L65" s="2"/>
      <c r="M65" s="2"/>
      <c r="N65" s="2"/>
      <c r="O65" s="2"/>
      <c r="P65" s="2"/>
      <c r="Q65" s="2"/>
      <c r="R65" s="2"/>
      <c r="S65" s="2"/>
      <c r="T65" s="2"/>
      <c r="U65" s="2"/>
      <c r="V65" s="2"/>
      <c r="W65" s="2"/>
      <c r="X65" s="2"/>
      <c r="Y65" s="2"/>
      <c r="Z65" s="2"/>
    </row>
    <row r="66" customFormat="false" ht="12" hidden="false" customHeight="true" outlineLevel="0" collapsed="false">
      <c r="A66" s="9" t="n">
        <v>62</v>
      </c>
      <c r="B66" s="11" t="s">
        <v>119</v>
      </c>
      <c r="C66" s="11" t="s">
        <v>120</v>
      </c>
      <c r="D66" s="11" t="s">
        <v>16</v>
      </c>
      <c r="E66" s="11" t="s">
        <v>17</v>
      </c>
      <c r="F66" s="9" t="s">
        <v>17</v>
      </c>
      <c r="G66" s="11" t="s">
        <v>17</v>
      </c>
      <c r="H66" s="9" t="s">
        <v>17</v>
      </c>
      <c r="I66" s="2"/>
      <c r="J66" s="2"/>
      <c r="K66" s="2"/>
      <c r="L66" s="2"/>
      <c r="M66" s="2"/>
      <c r="N66" s="2"/>
      <c r="O66" s="2"/>
      <c r="P66" s="2"/>
      <c r="Q66" s="2"/>
      <c r="R66" s="2"/>
      <c r="S66" s="2"/>
      <c r="T66" s="2"/>
      <c r="U66" s="2"/>
      <c r="V66" s="2"/>
      <c r="W66" s="2"/>
      <c r="X66" s="2"/>
      <c r="Y66" s="2"/>
      <c r="Z66" s="2"/>
    </row>
    <row r="67" customFormat="false" ht="12" hidden="false" customHeight="true" outlineLevel="0" collapsed="false">
      <c r="A67" s="9" t="n">
        <v>63</v>
      </c>
      <c r="B67" s="11" t="s">
        <v>121</v>
      </c>
      <c r="C67" s="11" t="s">
        <v>120</v>
      </c>
      <c r="D67" s="11" t="s">
        <v>16</v>
      </c>
      <c r="E67" s="11" t="s">
        <v>17</v>
      </c>
      <c r="F67" s="9" t="s">
        <v>17</v>
      </c>
      <c r="G67" s="11" t="s">
        <v>17</v>
      </c>
      <c r="H67" s="9" t="s">
        <v>17</v>
      </c>
      <c r="I67" s="2"/>
      <c r="J67" s="2"/>
      <c r="K67" s="2"/>
      <c r="L67" s="2"/>
      <c r="M67" s="2"/>
      <c r="N67" s="2"/>
      <c r="O67" s="2"/>
      <c r="P67" s="2"/>
      <c r="Q67" s="2"/>
      <c r="R67" s="2"/>
      <c r="S67" s="2"/>
      <c r="T67" s="2"/>
      <c r="U67" s="2"/>
      <c r="V67" s="2"/>
      <c r="W67" s="2"/>
      <c r="X67" s="2"/>
      <c r="Y67" s="2"/>
      <c r="Z67" s="2"/>
    </row>
    <row r="68" customFormat="false" ht="12" hidden="false" customHeight="true" outlineLevel="0" collapsed="false">
      <c r="A68" s="9" t="n">
        <v>64</v>
      </c>
      <c r="B68" s="11" t="s">
        <v>122</v>
      </c>
      <c r="C68" s="11" t="s">
        <v>120</v>
      </c>
      <c r="D68" s="11" t="s">
        <v>16</v>
      </c>
      <c r="E68" s="11" t="s">
        <v>17</v>
      </c>
      <c r="F68" s="9" t="s">
        <v>17</v>
      </c>
      <c r="G68" s="11" t="s">
        <v>17</v>
      </c>
      <c r="H68" s="9" t="s">
        <v>17</v>
      </c>
      <c r="I68" s="2"/>
      <c r="J68" s="2"/>
      <c r="K68" s="2"/>
      <c r="L68" s="2"/>
      <c r="M68" s="2"/>
      <c r="N68" s="2"/>
      <c r="O68" s="2"/>
      <c r="P68" s="2"/>
      <c r="Q68" s="2"/>
      <c r="R68" s="2"/>
      <c r="S68" s="2"/>
      <c r="T68" s="2"/>
      <c r="U68" s="2"/>
      <c r="V68" s="2"/>
      <c r="W68" s="2"/>
      <c r="X68" s="2"/>
      <c r="Y68" s="2"/>
      <c r="Z68" s="2"/>
    </row>
    <row r="69" customFormat="false" ht="12" hidden="false" customHeight="true" outlineLevel="0" collapsed="false">
      <c r="A69" s="9" t="n">
        <v>65</v>
      </c>
      <c r="B69" s="11" t="s">
        <v>123</v>
      </c>
      <c r="C69" s="11" t="s">
        <v>120</v>
      </c>
      <c r="D69" s="11" t="s">
        <v>16</v>
      </c>
      <c r="E69" s="11" t="s">
        <v>17</v>
      </c>
      <c r="F69" s="9" t="s">
        <v>17</v>
      </c>
      <c r="G69" s="11" t="s">
        <v>17</v>
      </c>
      <c r="H69" s="9" t="s">
        <v>17</v>
      </c>
      <c r="I69" s="2"/>
      <c r="J69" s="2"/>
      <c r="K69" s="2"/>
      <c r="L69" s="2"/>
      <c r="M69" s="2"/>
      <c r="N69" s="2"/>
      <c r="O69" s="2"/>
      <c r="P69" s="2"/>
      <c r="Q69" s="2"/>
      <c r="R69" s="2"/>
      <c r="S69" s="2"/>
      <c r="T69" s="2"/>
      <c r="U69" s="2"/>
      <c r="V69" s="2"/>
      <c r="W69" s="2"/>
      <c r="X69" s="2"/>
      <c r="Y69" s="2"/>
      <c r="Z69" s="2"/>
    </row>
    <row r="70" customFormat="false" ht="12" hidden="false" customHeight="true" outlineLevel="0" collapsed="false">
      <c r="A70" s="9" t="n">
        <v>66</v>
      </c>
      <c r="B70" s="11" t="s">
        <v>124</v>
      </c>
      <c r="C70" s="11" t="s">
        <v>120</v>
      </c>
      <c r="D70" s="11" t="s">
        <v>16</v>
      </c>
      <c r="E70" s="11" t="s">
        <v>17</v>
      </c>
      <c r="F70" s="9" t="s">
        <v>17</v>
      </c>
      <c r="G70" s="11" t="s">
        <v>17</v>
      </c>
      <c r="H70" s="9" t="s">
        <v>17</v>
      </c>
      <c r="I70" s="2"/>
      <c r="J70" s="2"/>
      <c r="K70" s="2"/>
      <c r="L70" s="2"/>
      <c r="M70" s="2"/>
      <c r="N70" s="2"/>
      <c r="O70" s="2"/>
      <c r="P70" s="2"/>
      <c r="Q70" s="2"/>
      <c r="R70" s="2"/>
      <c r="S70" s="2"/>
      <c r="T70" s="2"/>
      <c r="U70" s="2"/>
      <c r="V70" s="2"/>
      <c r="W70" s="2"/>
      <c r="X70" s="2"/>
      <c r="Y70" s="2"/>
      <c r="Z70" s="2"/>
    </row>
    <row r="71" customFormat="false" ht="12" hidden="false" customHeight="true" outlineLevel="0" collapsed="false">
      <c r="A71" s="9" t="n">
        <v>67</v>
      </c>
      <c r="B71" s="11" t="s">
        <v>125</v>
      </c>
      <c r="C71" s="11" t="s">
        <v>120</v>
      </c>
      <c r="D71" s="11" t="s">
        <v>16</v>
      </c>
      <c r="E71" s="11" t="s">
        <v>17</v>
      </c>
      <c r="F71" s="9" t="s">
        <v>17</v>
      </c>
      <c r="G71" s="11" t="s">
        <v>17</v>
      </c>
      <c r="H71" s="9" t="s">
        <v>17</v>
      </c>
      <c r="I71" s="2"/>
      <c r="J71" s="2"/>
      <c r="K71" s="2"/>
      <c r="L71" s="2"/>
      <c r="M71" s="2"/>
      <c r="N71" s="2"/>
      <c r="O71" s="2"/>
      <c r="P71" s="2"/>
      <c r="Q71" s="2"/>
      <c r="R71" s="2"/>
      <c r="S71" s="2"/>
      <c r="T71" s="2"/>
      <c r="U71" s="2"/>
      <c r="V71" s="2"/>
      <c r="W71" s="2"/>
      <c r="X71" s="2"/>
      <c r="Y71" s="2"/>
      <c r="Z71" s="2"/>
    </row>
    <row r="72" customFormat="false" ht="12" hidden="false" customHeight="true" outlineLevel="0" collapsed="false">
      <c r="A72" s="9" t="n">
        <v>68</v>
      </c>
      <c r="B72" s="11" t="s">
        <v>126</v>
      </c>
      <c r="C72" s="11" t="s">
        <v>120</v>
      </c>
      <c r="D72" s="11" t="s">
        <v>16</v>
      </c>
      <c r="E72" s="11" t="s">
        <v>17</v>
      </c>
      <c r="F72" s="9" t="s">
        <v>17</v>
      </c>
      <c r="G72" s="11" t="s">
        <v>17</v>
      </c>
      <c r="H72" s="9" t="s">
        <v>17</v>
      </c>
      <c r="I72" s="2"/>
      <c r="J72" s="2"/>
      <c r="K72" s="2"/>
      <c r="L72" s="2"/>
      <c r="M72" s="2"/>
      <c r="N72" s="2"/>
      <c r="O72" s="2"/>
      <c r="P72" s="2"/>
      <c r="Q72" s="2"/>
      <c r="R72" s="2"/>
      <c r="S72" s="2"/>
      <c r="T72" s="2"/>
      <c r="U72" s="2"/>
      <c r="V72" s="2"/>
      <c r="W72" s="2"/>
      <c r="X72" s="2"/>
      <c r="Y72" s="2"/>
      <c r="Z72" s="2"/>
    </row>
    <row r="73" customFormat="false" ht="12" hidden="false" customHeight="true" outlineLevel="0" collapsed="false">
      <c r="A73" s="9" t="n">
        <v>69</v>
      </c>
      <c r="B73" s="11" t="s">
        <v>127</v>
      </c>
      <c r="C73" s="11" t="s">
        <v>120</v>
      </c>
      <c r="D73" s="11" t="s">
        <v>16</v>
      </c>
      <c r="E73" s="11" t="s">
        <v>17</v>
      </c>
      <c r="F73" s="9" t="s">
        <v>17</v>
      </c>
      <c r="G73" s="11" t="s">
        <v>17</v>
      </c>
      <c r="H73" s="9" t="s">
        <v>17</v>
      </c>
      <c r="I73" s="2"/>
      <c r="J73" s="2"/>
      <c r="K73" s="2"/>
      <c r="L73" s="2"/>
      <c r="M73" s="2"/>
      <c r="N73" s="2"/>
      <c r="O73" s="2"/>
      <c r="P73" s="2"/>
      <c r="Q73" s="2"/>
      <c r="R73" s="2"/>
      <c r="S73" s="2"/>
      <c r="T73" s="2"/>
      <c r="U73" s="2"/>
      <c r="V73" s="2"/>
      <c r="W73" s="2"/>
      <c r="X73" s="2"/>
      <c r="Y73" s="2"/>
      <c r="Z73" s="2"/>
    </row>
    <row r="74" customFormat="false" ht="12" hidden="false" customHeight="true" outlineLevel="0" collapsed="false">
      <c r="A74" s="9" t="n">
        <v>70</v>
      </c>
      <c r="B74" s="11" t="s">
        <v>128</v>
      </c>
      <c r="C74" s="11" t="s">
        <v>120</v>
      </c>
      <c r="D74" s="11" t="s">
        <v>33</v>
      </c>
      <c r="E74" s="11" t="s">
        <v>17</v>
      </c>
      <c r="F74" s="9" t="s">
        <v>17</v>
      </c>
      <c r="G74" s="11" t="s">
        <v>17</v>
      </c>
      <c r="H74" s="9" t="s">
        <v>17</v>
      </c>
      <c r="I74" s="2"/>
      <c r="J74" s="2"/>
      <c r="K74" s="2"/>
      <c r="L74" s="2"/>
      <c r="M74" s="2"/>
      <c r="N74" s="2"/>
      <c r="O74" s="2"/>
      <c r="P74" s="2"/>
      <c r="Q74" s="2"/>
      <c r="R74" s="2"/>
      <c r="S74" s="2"/>
      <c r="T74" s="2"/>
      <c r="U74" s="2"/>
      <c r="V74" s="2"/>
      <c r="W74" s="2"/>
      <c r="X74" s="2"/>
      <c r="Y74" s="2"/>
      <c r="Z74" s="2"/>
    </row>
    <row r="75" customFormat="false" ht="12" hidden="false" customHeight="true" outlineLevel="0" collapsed="false">
      <c r="A75" s="9" t="n">
        <v>71</v>
      </c>
      <c r="B75" s="11" t="s">
        <v>129</v>
      </c>
      <c r="C75" s="11" t="s">
        <v>120</v>
      </c>
      <c r="D75" s="11" t="s">
        <v>16</v>
      </c>
      <c r="E75" s="11" t="s">
        <v>17</v>
      </c>
      <c r="F75" s="9" t="s">
        <v>17</v>
      </c>
      <c r="G75" s="11" t="s">
        <v>17</v>
      </c>
      <c r="H75" s="9" t="s">
        <v>17</v>
      </c>
      <c r="I75" s="2"/>
      <c r="J75" s="2"/>
      <c r="K75" s="2"/>
      <c r="L75" s="2"/>
      <c r="M75" s="2"/>
      <c r="N75" s="2"/>
      <c r="O75" s="2"/>
      <c r="P75" s="2"/>
      <c r="Q75" s="2"/>
      <c r="R75" s="2"/>
      <c r="S75" s="2"/>
      <c r="T75" s="2"/>
      <c r="U75" s="2"/>
      <c r="V75" s="2"/>
      <c r="W75" s="2"/>
      <c r="X75" s="2"/>
      <c r="Y75" s="2"/>
      <c r="Z75" s="2"/>
    </row>
    <row r="76" customFormat="false" ht="12" hidden="false" customHeight="true" outlineLevel="0" collapsed="false">
      <c r="A76" s="9" t="n">
        <v>72</v>
      </c>
      <c r="B76" s="11" t="s">
        <v>130</v>
      </c>
      <c r="C76" s="11" t="s">
        <v>120</v>
      </c>
      <c r="D76" s="11" t="s">
        <v>16</v>
      </c>
      <c r="E76" s="11" t="s">
        <v>17</v>
      </c>
      <c r="F76" s="9" t="s">
        <v>17</v>
      </c>
      <c r="G76" s="11" t="s">
        <v>17</v>
      </c>
      <c r="H76" s="9" t="s">
        <v>17</v>
      </c>
      <c r="I76" s="2"/>
      <c r="J76" s="2"/>
      <c r="K76" s="2"/>
      <c r="L76" s="2"/>
      <c r="M76" s="2"/>
      <c r="N76" s="2"/>
      <c r="O76" s="2"/>
      <c r="P76" s="2"/>
      <c r="Q76" s="2"/>
      <c r="R76" s="2"/>
      <c r="S76" s="2"/>
      <c r="T76" s="2"/>
      <c r="U76" s="2"/>
      <c r="V76" s="2"/>
      <c r="W76" s="2"/>
      <c r="X76" s="2"/>
      <c r="Y76" s="2"/>
      <c r="Z76" s="2"/>
    </row>
    <row r="77" customFormat="false" ht="12" hidden="false" customHeight="true" outlineLevel="0" collapsed="false">
      <c r="A77" s="14" t="n">
        <v>73</v>
      </c>
      <c r="B77" s="15" t="s">
        <v>131</v>
      </c>
      <c r="C77" s="15" t="s">
        <v>120</v>
      </c>
      <c r="D77" s="15" t="s">
        <v>16</v>
      </c>
      <c r="E77" s="15" t="s">
        <v>17</v>
      </c>
      <c r="F77" s="14" t="s">
        <v>17</v>
      </c>
      <c r="G77" s="15" t="s">
        <v>17</v>
      </c>
      <c r="H77" s="14" t="s">
        <v>17</v>
      </c>
      <c r="I77" s="2"/>
      <c r="J77" s="2"/>
      <c r="K77" s="2"/>
      <c r="L77" s="2"/>
      <c r="M77" s="2"/>
      <c r="N77" s="2"/>
      <c r="O77" s="2"/>
      <c r="P77" s="2"/>
      <c r="Q77" s="2"/>
      <c r="R77" s="2"/>
      <c r="S77" s="2"/>
      <c r="T77" s="2"/>
      <c r="U77" s="2"/>
      <c r="V77" s="2"/>
      <c r="W77" s="2"/>
      <c r="X77" s="2"/>
      <c r="Y77" s="2"/>
      <c r="Z77" s="2"/>
    </row>
    <row r="78" customFormat="false" ht="12" hidden="false" customHeight="true" outlineLevel="0" collapsed="false">
      <c r="A78" s="6"/>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2" hidden="false" customHeight="true" outlineLevel="0" collapsed="false">
      <c r="A79" s="6"/>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2" hidden="false" customHeight="true" outlineLevel="0" collapsed="false">
      <c r="A80" s="6"/>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2" hidden="false" customHeight="true" outlineLevel="0" collapsed="false">
      <c r="A81" s="6"/>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2" hidden="false" customHeight="true" outlineLevel="0" collapsed="false">
      <c r="A82" s="6"/>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2" hidden="false" customHeight="true" outlineLevel="0" collapsed="false">
      <c r="A83" s="6"/>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2" hidden="false" customHeight="true" outlineLevel="0" collapsed="false">
      <c r="A84" s="6"/>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2" hidden="false" customHeight="true" outlineLevel="0" collapsed="false">
      <c r="A85" s="6"/>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2" hidden="false" customHeight="true" outlineLevel="0" collapsed="false">
      <c r="A86" s="6"/>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2" hidden="false" customHeight="true" outlineLevel="0" collapsed="false">
      <c r="A87" s="6"/>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2" hidden="false" customHeight="true" outlineLevel="0" collapsed="false">
      <c r="A88" s="6"/>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2" hidden="false" customHeight="true" outlineLevel="0" collapsed="false">
      <c r="A89" s="6"/>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2" hidden="false" customHeight="true" outlineLevel="0" collapsed="false">
      <c r="A90" s="6"/>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2" hidden="false" customHeight="true" outlineLevel="0" collapsed="false">
      <c r="A91" s="6"/>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2" hidden="false" customHeight="true" outlineLevel="0" collapsed="false">
      <c r="A92" s="6"/>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2" hidden="false" customHeight="true" outlineLevel="0" collapsed="false">
      <c r="A93" s="6"/>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2" hidden="false" customHeight="true" outlineLevel="0" collapsed="false">
      <c r="A94" s="6"/>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2" hidden="false" customHeight="true" outlineLevel="0" collapsed="false">
      <c r="A95" s="6"/>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2" hidden="false" customHeight="true" outlineLevel="0" collapsed="false">
      <c r="A96" s="6"/>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2" hidden="false" customHeight="true" outlineLevel="0" collapsed="false">
      <c r="A97" s="6"/>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2" hidden="false" customHeight="true" outlineLevel="0" collapsed="false">
      <c r="A98" s="6"/>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2" hidden="false" customHeight="true" outlineLevel="0" collapsed="false">
      <c r="A99" s="6"/>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2" hidden="false" customHeight="true" outlineLevel="0" collapsed="false">
      <c r="A100" s="6"/>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2" hidden="false" customHeight="true" outlineLevel="0" collapsed="false">
      <c r="A101" s="6"/>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2" hidden="false" customHeight="true" outlineLevel="0" collapsed="false">
      <c r="A102" s="6"/>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2" hidden="false" customHeight="true" outlineLevel="0" collapsed="false">
      <c r="A103" s="6"/>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2" hidden="false" customHeight="true" outlineLevel="0" collapsed="false">
      <c r="A104" s="6"/>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2" hidden="false" customHeight="true" outlineLevel="0" collapsed="false">
      <c r="A105" s="6"/>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2" hidden="false" customHeight="true" outlineLevel="0" collapsed="false">
      <c r="A106" s="6"/>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2" hidden="false" customHeight="true" outlineLevel="0" collapsed="false">
      <c r="A107" s="6"/>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2" hidden="false" customHeight="true" outlineLevel="0" collapsed="false">
      <c r="A108" s="6"/>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2" hidden="false" customHeight="true" outlineLevel="0" collapsed="false">
      <c r="A109" s="6"/>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2" hidden="false" customHeight="true" outlineLevel="0" collapsed="false">
      <c r="A110" s="6"/>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2" hidden="false" customHeight="true" outlineLevel="0" collapsed="false">
      <c r="A111" s="6"/>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2" hidden="false" customHeight="true" outlineLevel="0" collapsed="false">
      <c r="A112" s="6"/>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2" hidden="false" customHeight="true" outlineLevel="0" collapsed="false">
      <c r="A113" s="6"/>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2" hidden="false" customHeight="true" outlineLevel="0" collapsed="false">
      <c r="A114" s="6"/>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2" hidden="false" customHeight="true" outlineLevel="0" collapsed="false">
      <c r="A115" s="6"/>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2" hidden="false" customHeight="true" outlineLevel="0" collapsed="false">
      <c r="A116" s="6"/>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2" hidden="false" customHeight="true" outlineLevel="0" collapsed="false">
      <c r="A117" s="6"/>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2" hidden="false" customHeight="true" outlineLevel="0" collapsed="false">
      <c r="A118" s="6"/>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2" hidden="false" customHeight="true" outlineLevel="0" collapsed="false">
      <c r="A119" s="6"/>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2" hidden="false" customHeight="true" outlineLevel="0" collapsed="false">
      <c r="A120" s="6"/>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2" hidden="false" customHeight="true" outlineLevel="0" collapsed="false">
      <c r="A121" s="6"/>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2" hidden="false" customHeight="true" outlineLevel="0" collapsed="false">
      <c r="A122" s="6"/>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2" hidden="false" customHeight="true" outlineLevel="0" collapsed="false">
      <c r="A123" s="6"/>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2" hidden="false" customHeight="true" outlineLevel="0" collapsed="false">
      <c r="A124" s="6"/>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2" hidden="false" customHeight="true" outlineLevel="0" collapsed="false">
      <c r="A125" s="6"/>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2" hidden="false" customHeight="true" outlineLevel="0" collapsed="false">
      <c r="A126" s="6"/>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2" hidden="false" customHeight="true" outlineLevel="0" collapsed="false">
      <c r="A127" s="6"/>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2" hidden="false" customHeight="true" outlineLevel="0" collapsed="false">
      <c r="A128" s="6"/>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2" hidden="false" customHeight="true" outlineLevel="0" collapsed="false">
      <c r="A129" s="6"/>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2" hidden="false" customHeight="true" outlineLevel="0" collapsed="false">
      <c r="A130" s="6"/>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2" hidden="false" customHeight="true" outlineLevel="0" collapsed="false">
      <c r="A131" s="6"/>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2" hidden="false" customHeight="true" outlineLevel="0" collapsed="false">
      <c r="A132" s="6"/>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2" hidden="false" customHeight="true" outlineLevel="0" collapsed="false">
      <c r="A133" s="6"/>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2" hidden="false" customHeight="true" outlineLevel="0" collapsed="false">
      <c r="A134" s="6"/>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2" hidden="false" customHeight="true" outlineLevel="0" collapsed="false">
      <c r="A135" s="6"/>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2" hidden="false" customHeight="true" outlineLevel="0" collapsed="false">
      <c r="A136" s="6"/>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2" hidden="false" customHeight="true" outlineLevel="0" collapsed="false">
      <c r="A137" s="6"/>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2" hidden="false" customHeight="true" outlineLevel="0" collapsed="false">
      <c r="A138" s="6"/>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2" hidden="false" customHeight="true" outlineLevel="0" collapsed="false">
      <c r="A139" s="6"/>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2" hidden="false" customHeight="true" outlineLevel="0" collapsed="false">
      <c r="A140" s="6"/>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2" hidden="false" customHeight="true" outlineLevel="0" collapsed="false">
      <c r="A141" s="6"/>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2" hidden="false" customHeight="true" outlineLevel="0" collapsed="false">
      <c r="A142" s="6"/>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2" hidden="false" customHeight="true" outlineLevel="0" collapsed="false">
      <c r="A143" s="6"/>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2" hidden="false" customHeight="true" outlineLevel="0" collapsed="false">
      <c r="A144" s="6"/>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2" hidden="false" customHeight="true" outlineLevel="0" collapsed="false">
      <c r="A145" s="6"/>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2" hidden="false" customHeight="true" outlineLevel="0" collapsed="false">
      <c r="A146" s="6"/>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2" hidden="false" customHeight="true" outlineLevel="0" collapsed="false">
      <c r="A147" s="6"/>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2" hidden="false" customHeight="true" outlineLevel="0" collapsed="false">
      <c r="A148" s="6"/>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2" hidden="false" customHeight="true" outlineLevel="0" collapsed="false">
      <c r="A149" s="6"/>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2" hidden="false" customHeight="true" outlineLevel="0" collapsed="false">
      <c r="A150" s="6"/>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2" hidden="false" customHeight="true" outlineLevel="0" collapsed="false">
      <c r="A151" s="6"/>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2" hidden="false" customHeight="true" outlineLevel="0" collapsed="false">
      <c r="A152" s="6"/>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2" hidden="false" customHeight="true" outlineLevel="0" collapsed="false">
      <c r="A153" s="6"/>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2" hidden="false" customHeight="true" outlineLevel="0" collapsed="false">
      <c r="A154" s="6"/>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2" hidden="false" customHeight="true" outlineLevel="0" collapsed="false">
      <c r="A155" s="6"/>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2" hidden="false" customHeight="true" outlineLevel="0" collapsed="false">
      <c r="A156" s="6"/>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2" hidden="false" customHeight="true" outlineLevel="0" collapsed="false">
      <c r="A157" s="6"/>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2" hidden="false" customHeight="true" outlineLevel="0" collapsed="false">
      <c r="A158" s="6"/>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2" hidden="false" customHeight="true" outlineLevel="0" collapsed="false">
      <c r="A159" s="6"/>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2" hidden="false" customHeight="true" outlineLevel="0" collapsed="false">
      <c r="A160" s="6"/>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2" hidden="false" customHeight="true" outlineLevel="0" collapsed="false">
      <c r="A161" s="6"/>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2" hidden="false" customHeight="true" outlineLevel="0" collapsed="false">
      <c r="A162" s="6"/>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2" hidden="false" customHeight="true" outlineLevel="0" collapsed="false">
      <c r="A163" s="6"/>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2" hidden="false" customHeight="true" outlineLevel="0" collapsed="false">
      <c r="A164" s="6"/>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2" hidden="false" customHeight="true" outlineLevel="0" collapsed="false">
      <c r="A165" s="6"/>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2" hidden="false" customHeight="true" outlineLevel="0" collapsed="false">
      <c r="A166" s="6"/>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2" hidden="false" customHeight="true" outlineLevel="0" collapsed="false">
      <c r="A167" s="6"/>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2" hidden="false" customHeight="true" outlineLevel="0" collapsed="false">
      <c r="A168" s="6"/>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2" hidden="false" customHeight="true" outlineLevel="0" collapsed="false">
      <c r="A169" s="6"/>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2" hidden="false" customHeight="true" outlineLevel="0" collapsed="false">
      <c r="A170" s="6"/>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2" hidden="false" customHeight="true" outlineLevel="0" collapsed="false">
      <c r="A171" s="6"/>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2" hidden="false" customHeight="true" outlineLevel="0" collapsed="false">
      <c r="A172" s="6"/>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2" hidden="false" customHeight="true" outlineLevel="0" collapsed="false">
      <c r="A173" s="6"/>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2" hidden="false" customHeight="true" outlineLevel="0" collapsed="false">
      <c r="A174" s="6"/>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2" hidden="false" customHeight="true" outlineLevel="0" collapsed="false">
      <c r="A175" s="6"/>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2" hidden="false" customHeight="true" outlineLevel="0" collapsed="false">
      <c r="A176" s="6"/>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2" hidden="false" customHeight="true" outlineLevel="0" collapsed="false">
      <c r="A177" s="6"/>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2" hidden="false" customHeight="true" outlineLevel="0" collapsed="false">
      <c r="A178" s="6"/>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2" hidden="false" customHeight="true" outlineLevel="0" collapsed="false">
      <c r="A179" s="6"/>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2" hidden="false" customHeight="true" outlineLevel="0" collapsed="false">
      <c r="A180" s="6"/>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2" hidden="false" customHeight="true" outlineLevel="0" collapsed="false">
      <c r="A181" s="6"/>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2" hidden="false" customHeight="true" outlineLevel="0" collapsed="false">
      <c r="A182" s="6"/>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2" hidden="false" customHeight="true" outlineLevel="0" collapsed="false">
      <c r="A183" s="6"/>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2" hidden="false" customHeight="true" outlineLevel="0" collapsed="false">
      <c r="A184" s="6"/>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2" hidden="false" customHeight="true" outlineLevel="0" collapsed="false">
      <c r="A185" s="6"/>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2" hidden="false" customHeight="true" outlineLevel="0" collapsed="false">
      <c r="A186" s="6"/>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2" hidden="false" customHeight="true" outlineLevel="0" collapsed="false">
      <c r="A187" s="6"/>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2" hidden="false" customHeight="true" outlineLevel="0" collapsed="false">
      <c r="A188" s="6"/>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2" hidden="false" customHeight="true" outlineLevel="0" collapsed="false">
      <c r="A189" s="6"/>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2" hidden="false" customHeight="true" outlineLevel="0" collapsed="false">
      <c r="A190" s="6"/>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2" hidden="false" customHeight="true" outlineLevel="0" collapsed="false">
      <c r="A191" s="6"/>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2" hidden="false" customHeight="true" outlineLevel="0" collapsed="false">
      <c r="A192" s="6"/>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2" hidden="false" customHeight="true" outlineLevel="0" collapsed="false">
      <c r="A193" s="6"/>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2" hidden="false" customHeight="true" outlineLevel="0" collapsed="false">
      <c r="A194" s="6"/>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2" hidden="false" customHeight="true" outlineLevel="0" collapsed="false">
      <c r="A195" s="6"/>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2" hidden="false" customHeight="true" outlineLevel="0" collapsed="false">
      <c r="A196" s="6"/>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2" hidden="false" customHeight="true" outlineLevel="0" collapsed="false">
      <c r="A197" s="6"/>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2" hidden="false" customHeight="true" outlineLevel="0" collapsed="false">
      <c r="A198" s="6"/>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2" hidden="false" customHeight="true" outlineLevel="0" collapsed="false">
      <c r="A199" s="6"/>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2" hidden="false" customHeight="true" outlineLevel="0" collapsed="false">
      <c r="A200" s="6"/>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2" hidden="false" customHeight="true" outlineLevel="0" collapsed="false">
      <c r="A201" s="6"/>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2" hidden="false" customHeight="true" outlineLevel="0" collapsed="false">
      <c r="A202" s="6"/>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2" hidden="false" customHeight="true" outlineLevel="0" collapsed="false">
      <c r="A203" s="6"/>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2" hidden="false" customHeight="true" outlineLevel="0" collapsed="false">
      <c r="A204" s="6"/>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2" hidden="false" customHeight="true" outlineLevel="0" collapsed="false">
      <c r="A205" s="6"/>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2" hidden="false" customHeight="true" outlineLevel="0" collapsed="false">
      <c r="A206" s="6"/>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2" hidden="false" customHeight="true" outlineLevel="0" collapsed="false">
      <c r="A207" s="6"/>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2" hidden="false" customHeight="true" outlineLevel="0" collapsed="false">
      <c r="A208" s="6"/>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2" hidden="false" customHeight="true" outlineLevel="0" collapsed="false">
      <c r="A209" s="6"/>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2" hidden="false" customHeight="true" outlineLevel="0" collapsed="false">
      <c r="A210" s="6"/>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2" hidden="false" customHeight="true" outlineLevel="0" collapsed="false">
      <c r="A211" s="6"/>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2" hidden="false" customHeight="true" outlineLevel="0" collapsed="false">
      <c r="A212" s="6"/>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2" hidden="false" customHeight="true" outlineLevel="0" collapsed="false">
      <c r="A213" s="6"/>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2" hidden="false" customHeight="true" outlineLevel="0" collapsed="false">
      <c r="A214" s="6"/>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2" hidden="false" customHeight="true" outlineLevel="0" collapsed="false">
      <c r="A215" s="6"/>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2" hidden="false" customHeight="true" outlineLevel="0" collapsed="false">
      <c r="A216" s="6"/>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2" hidden="false" customHeight="true" outlineLevel="0" collapsed="false">
      <c r="A217" s="6"/>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2" hidden="false" customHeight="true" outlineLevel="0" collapsed="false">
      <c r="A218" s="6"/>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2" hidden="false" customHeight="true" outlineLevel="0" collapsed="false">
      <c r="A219" s="6"/>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2" hidden="false" customHeight="true" outlineLevel="0" collapsed="false">
      <c r="A220" s="6"/>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2" hidden="false" customHeight="true" outlineLevel="0" collapsed="false">
      <c r="A221" s="6"/>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2" hidden="false" customHeight="true" outlineLevel="0" collapsed="false">
      <c r="A222" s="6"/>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2" hidden="false" customHeight="true" outlineLevel="0" collapsed="false">
      <c r="A223" s="6"/>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2" hidden="false" customHeight="true" outlineLevel="0" collapsed="false">
      <c r="A224" s="6"/>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2" hidden="false" customHeight="true" outlineLevel="0" collapsed="false">
      <c r="A225" s="6"/>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2" hidden="false" customHeight="true" outlineLevel="0" collapsed="false">
      <c r="A226" s="6"/>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2" hidden="false" customHeight="true" outlineLevel="0" collapsed="false">
      <c r="A227" s="6"/>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2" hidden="false" customHeight="true" outlineLevel="0" collapsed="false">
      <c r="A228" s="6"/>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2" hidden="false" customHeight="true" outlineLevel="0" collapsed="false">
      <c r="A229" s="6"/>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2" hidden="false" customHeight="true" outlineLevel="0" collapsed="false">
      <c r="A230" s="6"/>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2" hidden="false" customHeight="true" outlineLevel="0" collapsed="false">
      <c r="A231" s="6"/>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2" hidden="false" customHeight="true" outlineLevel="0" collapsed="false">
      <c r="A232" s="6"/>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2" hidden="false" customHeight="true" outlineLevel="0" collapsed="false">
      <c r="A233" s="6"/>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2" hidden="false" customHeight="true" outlineLevel="0" collapsed="false">
      <c r="A234" s="6"/>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2" hidden="false" customHeight="true" outlineLevel="0" collapsed="false">
      <c r="A235" s="6"/>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2" hidden="false" customHeight="true" outlineLevel="0" collapsed="false">
      <c r="A236" s="6"/>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2" hidden="false" customHeight="true" outlineLevel="0" collapsed="false">
      <c r="A237" s="6"/>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2" hidden="false" customHeight="true" outlineLevel="0" collapsed="false">
      <c r="A238" s="6"/>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2" hidden="false" customHeight="true" outlineLevel="0" collapsed="false">
      <c r="A239" s="6"/>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2" hidden="false" customHeight="true" outlineLevel="0" collapsed="false">
      <c r="A240" s="6"/>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2" hidden="false" customHeight="true" outlineLevel="0" collapsed="false">
      <c r="A241" s="6"/>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2" hidden="false" customHeight="true" outlineLevel="0" collapsed="false">
      <c r="A242" s="6"/>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2" hidden="false" customHeight="true" outlineLevel="0" collapsed="false">
      <c r="A243" s="6"/>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2" hidden="false" customHeight="true" outlineLevel="0" collapsed="false">
      <c r="A244" s="6"/>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2" hidden="false" customHeight="true" outlineLevel="0" collapsed="false">
      <c r="A245" s="6"/>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2" hidden="false" customHeight="true" outlineLevel="0" collapsed="false">
      <c r="A246" s="6"/>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2" hidden="false" customHeight="true" outlineLevel="0" collapsed="false">
      <c r="A247" s="6"/>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2" hidden="false" customHeight="true" outlineLevel="0" collapsed="false">
      <c r="A248" s="6"/>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2" hidden="false" customHeight="true" outlineLevel="0" collapsed="false">
      <c r="A249" s="6"/>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2" hidden="false" customHeight="true" outlineLevel="0" collapsed="false">
      <c r="A250" s="6"/>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2" hidden="false" customHeight="true" outlineLevel="0" collapsed="false">
      <c r="A251" s="6"/>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2" hidden="false" customHeight="true" outlineLevel="0" collapsed="false">
      <c r="A252" s="6"/>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2" hidden="false" customHeight="true" outlineLevel="0" collapsed="false">
      <c r="A253" s="6"/>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2" hidden="false" customHeight="true" outlineLevel="0" collapsed="false">
      <c r="A254" s="6"/>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2" hidden="false" customHeight="true" outlineLevel="0" collapsed="false">
      <c r="A255" s="6"/>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2" hidden="false" customHeight="true" outlineLevel="0" collapsed="false">
      <c r="A256" s="6"/>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2" hidden="false" customHeight="true" outlineLevel="0" collapsed="false">
      <c r="A257" s="6"/>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2" hidden="false" customHeight="true" outlineLevel="0" collapsed="false">
      <c r="A258" s="6"/>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2" hidden="false" customHeight="true" outlineLevel="0" collapsed="false">
      <c r="A259" s="6"/>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2" hidden="false" customHeight="true" outlineLevel="0" collapsed="false">
      <c r="A260" s="6"/>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2" hidden="false" customHeight="true" outlineLevel="0" collapsed="false">
      <c r="A261" s="6"/>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2" hidden="false" customHeight="true" outlineLevel="0" collapsed="false">
      <c r="A262" s="6"/>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2" hidden="false" customHeight="true" outlineLevel="0" collapsed="false">
      <c r="A263" s="6"/>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2" hidden="false" customHeight="true" outlineLevel="0" collapsed="false">
      <c r="A264" s="6"/>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2" hidden="false" customHeight="true" outlineLevel="0" collapsed="false">
      <c r="A265" s="6"/>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2" hidden="false" customHeight="true" outlineLevel="0" collapsed="false">
      <c r="A266" s="6"/>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2" hidden="false" customHeight="true" outlineLevel="0" collapsed="false">
      <c r="A267" s="6"/>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2" hidden="false" customHeight="true" outlineLevel="0" collapsed="false">
      <c r="A268" s="6"/>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2" hidden="false" customHeight="true" outlineLevel="0" collapsed="false">
      <c r="A269" s="6"/>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2" hidden="false" customHeight="true" outlineLevel="0" collapsed="false">
      <c r="A270" s="6"/>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2" hidden="false" customHeight="true" outlineLevel="0" collapsed="false">
      <c r="A271" s="6"/>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2" hidden="false" customHeight="true" outlineLevel="0" collapsed="false">
      <c r="A272" s="6"/>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2" hidden="false" customHeight="true" outlineLevel="0" collapsed="false">
      <c r="A273" s="6"/>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2" hidden="false" customHeight="true" outlineLevel="0" collapsed="false">
      <c r="A274" s="6"/>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2" hidden="false" customHeight="true" outlineLevel="0" collapsed="false">
      <c r="A275" s="6"/>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2" hidden="false" customHeight="true" outlineLevel="0" collapsed="false">
      <c r="A276" s="6"/>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2" hidden="false" customHeight="true" outlineLevel="0" collapsed="false">
      <c r="A277" s="6"/>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2" hidden="false" customHeight="true" outlineLevel="0" collapsed="false">
      <c r="A278" s="6"/>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2" hidden="false" customHeight="true" outlineLevel="0" collapsed="false">
      <c r="A279" s="6"/>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2" hidden="false" customHeight="true" outlineLevel="0" collapsed="false">
      <c r="A280" s="6"/>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2" hidden="false" customHeight="true" outlineLevel="0" collapsed="false">
      <c r="A281" s="6"/>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2" hidden="false" customHeight="true" outlineLevel="0" collapsed="false">
      <c r="A282" s="6"/>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2" hidden="false" customHeight="true" outlineLevel="0" collapsed="false">
      <c r="A283" s="6"/>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2" hidden="false" customHeight="true" outlineLevel="0" collapsed="false">
      <c r="A284" s="6"/>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2" hidden="false" customHeight="true" outlineLevel="0" collapsed="false">
      <c r="A285" s="6"/>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2" hidden="false" customHeight="true" outlineLevel="0" collapsed="false">
      <c r="A286" s="6"/>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2" hidden="false" customHeight="true" outlineLevel="0" collapsed="false">
      <c r="A287" s="6"/>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2" hidden="false" customHeight="true" outlineLevel="0" collapsed="false">
      <c r="A288" s="6"/>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2" hidden="false" customHeight="true" outlineLevel="0" collapsed="false">
      <c r="A289" s="6"/>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2" hidden="false" customHeight="true" outlineLevel="0" collapsed="false">
      <c r="A290" s="6"/>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2" hidden="false" customHeight="true" outlineLevel="0" collapsed="false">
      <c r="A291" s="6"/>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2" hidden="false" customHeight="true" outlineLevel="0" collapsed="false">
      <c r="A292" s="6"/>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2" hidden="false" customHeight="true" outlineLevel="0" collapsed="false">
      <c r="A293" s="6"/>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2" hidden="false" customHeight="true" outlineLevel="0" collapsed="false">
      <c r="A294" s="6"/>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2" hidden="false" customHeight="true" outlineLevel="0" collapsed="false">
      <c r="A295" s="6"/>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2" hidden="false" customHeight="true" outlineLevel="0" collapsed="false">
      <c r="A296" s="6"/>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2" hidden="false" customHeight="true" outlineLevel="0" collapsed="false">
      <c r="A297" s="6"/>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2" hidden="false" customHeight="true" outlineLevel="0" collapsed="false">
      <c r="A298" s="6"/>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2" hidden="false" customHeight="true" outlineLevel="0" collapsed="false">
      <c r="A299" s="6"/>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2" hidden="false" customHeight="true" outlineLevel="0" collapsed="false">
      <c r="A300" s="6"/>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2" hidden="false" customHeight="true" outlineLevel="0" collapsed="false">
      <c r="A301" s="6"/>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2" hidden="false" customHeight="true" outlineLevel="0" collapsed="false">
      <c r="A302" s="6"/>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2" hidden="false" customHeight="true" outlineLevel="0" collapsed="false">
      <c r="A303" s="6"/>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2" hidden="false" customHeight="true" outlineLevel="0" collapsed="false">
      <c r="A304" s="6"/>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2" hidden="false" customHeight="true" outlineLevel="0" collapsed="false">
      <c r="A305" s="6"/>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2" hidden="false" customHeight="true" outlineLevel="0" collapsed="false">
      <c r="A306" s="6"/>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2" hidden="false" customHeight="true" outlineLevel="0" collapsed="false">
      <c r="A307" s="6"/>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2" hidden="false" customHeight="true" outlineLevel="0" collapsed="false">
      <c r="A308" s="6"/>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2" hidden="false" customHeight="true" outlineLevel="0" collapsed="false">
      <c r="A309" s="6"/>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2" hidden="false" customHeight="true" outlineLevel="0" collapsed="false">
      <c r="A310" s="6"/>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2" hidden="false" customHeight="true" outlineLevel="0" collapsed="false">
      <c r="A311" s="6"/>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2" hidden="false" customHeight="true" outlineLevel="0" collapsed="false">
      <c r="A312" s="6"/>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2" hidden="false" customHeight="true" outlineLevel="0" collapsed="false">
      <c r="A313" s="6"/>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2" hidden="false" customHeight="true" outlineLevel="0" collapsed="false">
      <c r="A314" s="6"/>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2" hidden="false" customHeight="true" outlineLevel="0" collapsed="false">
      <c r="A315" s="6"/>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2" hidden="false" customHeight="true" outlineLevel="0" collapsed="false">
      <c r="A316" s="6"/>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2" hidden="false" customHeight="true" outlineLevel="0" collapsed="false">
      <c r="A317" s="6"/>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2" hidden="false" customHeight="true" outlineLevel="0" collapsed="false">
      <c r="A318" s="6"/>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2" hidden="false" customHeight="true" outlineLevel="0" collapsed="false">
      <c r="A319" s="6"/>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2" hidden="false" customHeight="true" outlineLevel="0" collapsed="false">
      <c r="A320" s="6"/>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2" hidden="false" customHeight="true" outlineLevel="0" collapsed="false">
      <c r="A321" s="6"/>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2" hidden="false" customHeight="true" outlineLevel="0" collapsed="false">
      <c r="A322" s="6"/>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2" hidden="false" customHeight="true" outlineLevel="0" collapsed="false">
      <c r="A323" s="6"/>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2" hidden="false" customHeight="true" outlineLevel="0" collapsed="false">
      <c r="A324" s="6"/>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2" hidden="false" customHeight="true" outlineLevel="0" collapsed="false">
      <c r="A325" s="6"/>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2" hidden="false" customHeight="true" outlineLevel="0" collapsed="false">
      <c r="A326" s="6"/>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2" hidden="false" customHeight="true" outlineLevel="0" collapsed="false">
      <c r="A327" s="6"/>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2" hidden="false" customHeight="true" outlineLevel="0" collapsed="false">
      <c r="A328" s="6"/>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2" hidden="false" customHeight="true" outlineLevel="0" collapsed="false">
      <c r="A329" s="6"/>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2" hidden="false" customHeight="true" outlineLevel="0" collapsed="false">
      <c r="A330" s="6"/>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2" hidden="false" customHeight="true" outlineLevel="0" collapsed="false">
      <c r="A331" s="6"/>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2" hidden="false" customHeight="true" outlineLevel="0" collapsed="false">
      <c r="A332" s="6"/>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2" hidden="false" customHeight="true" outlineLevel="0" collapsed="false">
      <c r="A333" s="6"/>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2" hidden="false" customHeight="true" outlineLevel="0" collapsed="false">
      <c r="A334" s="6"/>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2" hidden="false" customHeight="true" outlineLevel="0" collapsed="false">
      <c r="A335" s="6"/>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2" hidden="false" customHeight="true" outlineLevel="0" collapsed="false">
      <c r="A336" s="6"/>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2" hidden="false" customHeight="true" outlineLevel="0" collapsed="false">
      <c r="A337" s="6"/>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2" hidden="false" customHeight="true" outlineLevel="0" collapsed="false">
      <c r="A338" s="6"/>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2" hidden="false" customHeight="true" outlineLevel="0" collapsed="false">
      <c r="A339" s="6"/>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2" hidden="false" customHeight="true" outlineLevel="0" collapsed="false">
      <c r="A340" s="6"/>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2" hidden="false" customHeight="true" outlineLevel="0" collapsed="false">
      <c r="A341" s="6"/>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2" hidden="false" customHeight="true" outlineLevel="0" collapsed="false">
      <c r="A342" s="6"/>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2" hidden="false" customHeight="true" outlineLevel="0" collapsed="false">
      <c r="A343" s="6"/>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2" hidden="false" customHeight="true" outlineLevel="0" collapsed="false">
      <c r="A344" s="6"/>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2" hidden="false" customHeight="true" outlineLevel="0" collapsed="false">
      <c r="A345" s="6"/>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2" hidden="false" customHeight="true" outlineLevel="0" collapsed="false">
      <c r="A346" s="6"/>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2" hidden="false" customHeight="true" outlineLevel="0" collapsed="false">
      <c r="A347" s="6"/>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2" hidden="false" customHeight="true" outlineLevel="0" collapsed="false">
      <c r="A348" s="6"/>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2" hidden="false" customHeight="true" outlineLevel="0" collapsed="false">
      <c r="A349" s="6"/>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2" hidden="false" customHeight="true" outlineLevel="0" collapsed="false">
      <c r="A350" s="6"/>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2" hidden="false" customHeight="true" outlineLevel="0" collapsed="false">
      <c r="A351" s="6"/>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2" hidden="false" customHeight="true" outlineLevel="0" collapsed="false">
      <c r="A352" s="6"/>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2" hidden="false" customHeight="true" outlineLevel="0" collapsed="false">
      <c r="A353" s="6"/>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2" hidden="false" customHeight="true" outlineLevel="0" collapsed="false">
      <c r="A354" s="6"/>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2" hidden="false" customHeight="true" outlineLevel="0" collapsed="false">
      <c r="A355" s="6"/>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2" hidden="false" customHeight="true" outlineLevel="0" collapsed="false">
      <c r="A356" s="6"/>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2" hidden="false" customHeight="true" outlineLevel="0" collapsed="false">
      <c r="A357" s="6"/>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2" hidden="false" customHeight="true" outlineLevel="0" collapsed="false">
      <c r="A358" s="6"/>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2" hidden="false" customHeight="true" outlineLevel="0" collapsed="false">
      <c r="A359" s="6"/>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2" hidden="false" customHeight="true" outlineLevel="0" collapsed="false">
      <c r="A360" s="6"/>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2" hidden="false" customHeight="true" outlineLevel="0" collapsed="false">
      <c r="A361" s="6"/>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2" hidden="false" customHeight="true" outlineLevel="0" collapsed="false">
      <c r="A362" s="6"/>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2" hidden="false" customHeight="true" outlineLevel="0" collapsed="false">
      <c r="A363" s="6"/>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2" hidden="false" customHeight="true" outlineLevel="0" collapsed="false">
      <c r="A364" s="6"/>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2" hidden="false" customHeight="true" outlineLevel="0" collapsed="false">
      <c r="A365" s="6"/>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2" hidden="false" customHeight="true" outlineLevel="0" collapsed="false">
      <c r="A366" s="6"/>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2" hidden="false" customHeight="true" outlineLevel="0" collapsed="false">
      <c r="A367" s="6"/>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2" hidden="false" customHeight="true" outlineLevel="0" collapsed="false">
      <c r="A368" s="6"/>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2" hidden="false" customHeight="true" outlineLevel="0" collapsed="false">
      <c r="A369" s="6"/>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2" hidden="false" customHeight="true" outlineLevel="0" collapsed="false">
      <c r="A370" s="6"/>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2" hidden="false" customHeight="true" outlineLevel="0" collapsed="false">
      <c r="A371" s="6"/>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2" hidden="false" customHeight="true" outlineLevel="0" collapsed="false">
      <c r="A372" s="6"/>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2" hidden="false" customHeight="true" outlineLevel="0" collapsed="false">
      <c r="A373" s="6"/>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2" hidden="false" customHeight="true" outlineLevel="0" collapsed="false">
      <c r="A374" s="6"/>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2" hidden="false" customHeight="true" outlineLevel="0" collapsed="false">
      <c r="A375" s="6"/>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2" hidden="false" customHeight="true" outlineLevel="0" collapsed="false">
      <c r="A376" s="6"/>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2" hidden="false" customHeight="true" outlineLevel="0" collapsed="false">
      <c r="A377" s="6"/>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2" hidden="false" customHeight="true" outlineLevel="0" collapsed="false">
      <c r="A378" s="6"/>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2" hidden="false" customHeight="true" outlineLevel="0" collapsed="false">
      <c r="A379" s="6"/>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2" hidden="false" customHeight="true" outlineLevel="0" collapsed="false">
      <c r="A380" s="6"/>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2" hidden="false" customHeight="true" outlineLevel="0" collapsed="false">
      <c r="A381" s="6"/>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2" hidden="false" customHeight="true" outlineLevel="0" collapsed="false">
      <c r="A382" s="6"/>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2" hidden="false" customHeight="true" outlineLevel="0" collapsed="false">
      <c r="A383" s="6"/>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2" hidden="false" customHeight="true" outlineLevel="0" collapsed="false">
      <c r="A384" s="6"/>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2" hidden="false" customHeight="true" outlineLevel="0" collapsed="false">
      <c r="A385" s="6"/>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2" hidden="false" customHeight="true" outlineLevel="0" collapsed="false">
      <c r="A386" s="6"/>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2" hidden="false" customHeight="true" outlineLevel="0" collapsed="false">
      <c r="A387" s="6"/>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2" hidden="false" customHeight="true" outlineLevel="0" collapsed="false">
      <c r="A388" s="6"/>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2" hidden="false" customHeight="true" outlineLevel="0" collapsed="false">
      <c r="A389" s="6"/>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2" hidden="false" customHeight="true" outlineLevel="0" collapsed="false">
      <c r="A390" s="6"/>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2" hidden="false" customHeight="true" outlineLevel="0" collapsed="false">
      <c r="A391" s="6"/>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2" hidden="false" customHeight="true" outlineLevel="0" collapsed="false">
      <c r="A392" s="6"/>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2" hidden="false" customHeight="true" outlineLevel="0" collapsed="false">
      <c r="A393" s="6"/>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2" hidden="false" customHeight="true" outlineLevel="0" collapsed="false">
      <c r="A394" s="6"/>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2" hidden="false" customHeight="true" outlineLevel="0" collapsed="false">
      <c r="A395" s="6"/>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2" hidden="false" customHeight="true" outlineLevel="0" collapsed="false">
      <c r="A396" s="6"/>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2" hidden="false" customHeight="true" outlineLevel="0" collapsed="false">
      <c r="A397" s="6"/>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2" hidden="false" customHeight="true" outlineLevel="0" collapsed="false">
      <c r="A398" s="6"/>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2" hidden="false" customHeight="true" outlineLevel="0" collapsed="false">
      <c r="A399" s="6"/>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2" hidden="false" customHeight="true" outlineLevel="0" collapsed="false">
      <c r="A400" s="6"/>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2" hidden="false" customHeight="true" outlineLevel="0" collapsed="false">
      <c r="A401" s="6"/>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2" hidden="false" customHeight="true" outlineLevel="0" collapsed="false">
      <c r="A402" s="6"/>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2" hidden="false" customHeight="true" outlineLevel="0" collapsed="false">
      <c r="A403" s="6"/>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2" hidden="false" customHeight="true" outlineLevel="0" collapsed="false">
      <c r="A404" s="6"/>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2" hidden="false" customHeight="true" outlineLevel="0" collapsed="false">
      <c r="A405" s="6"/>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2" hidden="false" customHeight="true" outlineLevel="0" collapsed="false">
      <c r="A406" s="6"/>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2" hidden="false" customHeight="true" outlineLevel="0" collapsed="false">
      <c r="A407" s="6"/>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2" hidden="false" customHeight="true" outlineLevel="0" collapsed="false">
      <c r="A408" s="6"/>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2" hidden="false" customHeight="true" outlineLevel="0" collapsed="false">
      <c r="A409" s="6"/>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2" hidden="false" customHeight="true" outlineLevel="0" collapsed="false">
      <c r="A410" s="6"/>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2" hidden="false" customHeight="true" outlineLevel="0" collapsed="false">
      <c r="A411" s="6"/>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2" hidden="false" customHeight="true" outlineLevel="0" collapsed="false">
      <c r="A412" s="6"/>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2" hidden="false" customHeight="true" outlineLevel="0" collapsed="false">
      <c r="A413" s="6"/>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2" hidden="false" customHeight="true" outlineLevel="0" collapsed="false">
      <c r="A414" s="6"/>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2" hidden="false" customHeight="true" outlineLevel="0" collapsed="false">
      <c r="A415" s="6"/>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2" hidden="false" customHeight="true" outlineLevel="0" collapsed="false">
      <c r="A416" s="6"/>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2" hidden="false" customHeight="true" outlineLevel="0" collapsed="false">
      <c r="A417" s="6"/>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2" hidden="false" customHeight="true" outlineLevel="0" collapsed="false">
      <c r="A418" s="6"/>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2" hidden="false" customHeight="true" outlineLevel="0" collapsed="false">
      <c r="A419" s="6"/>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2" hidden="false" customHeight="true" outlineLevel="0" collapsed="false">
      <c r="A420" s="6"/>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2" hidden="false" customHeight="true" outlineLevel="0" collapsed="false">
      <c r="A421" s="6"/>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2" hidden="false" customHeight="true" outlineLevel="0" collapsed="false">
      <c r="A422" s="6"/>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2" hidden="false" customHeight="true" outlineLevel="0" collapsed="false">
      <c r="A423" s="6"/>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2" hidden="false" customHeight="true" outlineLevel="0" collapsed="false">
      <c r="A424" s="6"/>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2" hidden="false" customHeight="true" outlineLevel="0" collapsed="false">
      <c r="A425" s="6"/>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2" hidden="false" customHeight="true" outlineLevel="0" collapsed="false">
      <c r="A426" s="6"/>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2" hidden="false" customHeight="true" outlineLevel="0" collapsed="false">
      <c r="A427" s="6"/>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2" hidden="false" customHeight="true" outlineLevel="0" collapsed="false">
      <c r="A428" s="6"/>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2" hidden="false" customHeight="true" outlineLevel="0" collapsed="false">
      <c r="A429" s="6"/>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2" hidden="false" customHeight="true" outlineLevel="0" collapsed="false">
      <c r="A430" s="6"/>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2" hidden="false" customHeight="true" outlineLevel="0" collapsed="false">
      <c r="A431" s="6"/>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2" hidden="false" customHeight="true" outlineLevel="0" collapsed="false">
      <c r="A432" s="6"/>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2" hidden="false" customHeight="true" outlineLevel="0" collapsed="false">
      <c r="A433" s="6"/>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2" hidden="false" customHeight="true" outlineLevel="0" collapsed="false">
      <c r="A434" s="6"/>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2" hidden="false" customHeight="true" outlineLevel="0" collapsed="false">
      <c r="A435" s="6"/>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2" hidden="false" customHeight="true" outlineLevel="0" collapsed="false">
      <c r="A436" s="6"/>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2" hidden="false" customHeight="true" outlineLevel="0" collapsed="false">
      <c r="A437" s="6"/>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2" hidden="false" customHeight="true" outlineLevel="0" collapsed="false">
      <c r="A438" s="6"/>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2" hidden="false" customHeight="true" outlineLevel="0" collapsed="false">
      <c r="A439" s="6"/>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2" hidden="false" customHeight="true" outlineLevel="0" collapsed="false">
      <c r="A440" s="6"/>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2" hidden="false" customHeight="true" outlineLevel="0" collapsed="false">
      <c r="A441" s="6"/>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2" hidden="false" customHeight="true" outlineLevel="0" collapsed="false">
      <c r="A442" s="6"/>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2" hidden="false" customHeight="true" outlineLevel="0" collapsed="false">
      <c r="A443" s="6"/>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2" hidden="false" customHeight="true" outlineLevel="0" collapsed="false">
      <c r="A444" s="6"/>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2" hidden="false" customHeight="true" outlineLevel="0" collapsed="false">
      <c r="A445" s="6"/>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2" hidden="false" customHeight="true" outlineLevel="0" collapsed="false">
      <c r="A446" s="6"/>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2" hidden="false" customHeight="true" outlineLevel="0" collapsed="false">
      <c r="A447" s="6"/>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2" hidden="false" customHeight="true" outlineLevel="0" collapsed="false">
      <c r="A448" s="6"/>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2" hidden="false" customHeight="true" outlineLevel="0" collapsed="false">
      <c r="A449" s="6"/>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2" hidden="false" customHeight="true" outlineLevel="0" collapsed="false">
      <c r="A450" s="6"/>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2" hidden="false" customHeight="true" outlineLevel="0" collapsed="false">
      <c r="A451" s="6"/>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2" hidden="false" customHeight="true" outlineLevel="0" collapsed="false">
      <c r="A452" s="6"/>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2" hidden="false" customHeight="true" outlineLevel="0" collapsed="false">
      <c r="A453" s="6"/>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2" hidden="false" customHeight="true" outlineLevel="0" collapsed="false">
      <c r="A454" s="6"/>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2" hidden="false" customHeight="true" outlineLevel="0" collapsed="false">
      <c r="A455" s="6"/>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2" hidden="false" customHeight="true" outlineLevel="0" collapsed="false">
      <c r="A456" s="6"/>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2" hidden="false" customHeight="true" outlineLevel="0" collapsed="false">
      <c r="A457" s="6"/>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2" hidden="false" customHeight="true" outlineLevel="0" collapsed="false">
      <c r="A458" s="6"/>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2" hidden="false" customHeight="true" outlineLevel="0" collapsed="false">
      <c r="A459" s="6"/>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2" hidden="false" customHeight="true" outlineLevel="0" collapsed="false">
      <c r="A460" s="6"/>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2" hidden="false" customHeight="true" outlineLevel="0" collapsed="false">
      <c r="A461" s="6"/>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2" hidden="false" customHeight="true" outlineLevel="0" collapsed="false">
      <c r="A462" s="6"/>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2" hidden="false" customHeight="true" outlineLevel="0" collapsed="false">
      <c r="A463" s="6"/>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2" hidden="false" customHeight="true" outlineLevel="0" collapsed="false">
      <c r="A464" s="6"/>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2" hidden="false" customHeight="true" outlineLevel="0" collapsed="false">
      <c r="A465" s="6"/>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2" hidden="false" customHeight="true" outlineLevel="0" collapsed="false">
      <c r="A466" s="6"/>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2" hidden="false" customHeight="true" outlineLevel="0" collapsed="false">
      <c r="A467" s="6"/>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2" hidden="false" customHeight="true" outlineLevel="0" collapsed="false">
      <c r="A468" s="6"/>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2" hidden="false" customHeight="true" outlineLevel="0" collapsed="false">
      <c r="A469" s="6"/>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2" hidden="false" customHeight="true" outlineLevel="0" collapsed="false">
      <c r="A470" s="6"/>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2" hidden="false" customHeight="true" outlineLevel="0" collapsed="false">
      <c r="A471" s="6"/>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2" hidden="false" customHeight="true" outlineLevel="0" collapsed="false">
      <c r="A472" s="6"/>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2" hidden="false" customHeight="true" outlineLevel="0" collapsed="false">
      <c r="A473" s="6"/>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2" hidden="false" customHeight="true" outlineLevel="0" collapsed="false">
      <c r="A474" s="6"/>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2" hidden="false" customHeight="true" outlineLevel="0" collapsed="false">
      <c r="A475" s="6"/>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2" hidden="false" customHeight="true" outlineLevel="0" collapsed="false">
      <c r="A476" s="6"/>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2" hidden="false" customHeight="true" outlineLevel="0" collapsed="false">
      <c r="A477" s="6"/>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2" hidden="false" customHeight="true" outlineLevel="0" collapsed="false">
      <c r="A478" s="6"/>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2" hidden="false" customHeight="true" outlineLevel="0" collapsed="false">
      <c r="A479" s="6"/>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2" hidden="false" customHeight="true" outlineLevel="0" collapsed="false">
      <c r="A480" s="6"/>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2" hidden="false" customHeight="true" outlineLevel="0" collapsed="false">
      <c r="A481" s="6"/>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2" hidden="false" customHeight="true" outlineLevel="0" collapsed="false">
      <c r="A482" s="6"/>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2" hidden="false" customHeight="true" outlineLevel="0" collapsed="false">
      <c r="A483" s="6"/>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2" hidden="false" customHeight="true" outlineLevel="0" collapsed="false">
      <c r="A484" s="6"/>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2" hidden="false" customHeight="true" outlineLevel="0" collapsed="false">
      <c r="A485" s="6"/>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2" hidden="false" customHeight="true" outlineLevel="0" collapsed="false">
      <c r="A486" s="6"/>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2" hidden="false" customHeight="true" outlineLevel="0" collapsed="false">
      <c r="A487" s="6"/>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2" hidden="false" customHeight="true" outlineLevel="0" collapsed="false">
      <c r="A488" s="6"/>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2" hidden="false" customHeight="true" outlineLevel="0" collapsed="false">
      <c r="A489" s="6"/>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2" hidden="false" customHeight="true" outlineLevel="0" collapsed="false">
      <c r="A490" s="6"/>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2" hidden="false" customHeight="true" outlineLevel="0" collapsed="false">
      <c r="A491" s="6"/>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2" hidden="false" customHeight="true" outlineLevel="0" collapsed="false">
      <c r="A492" s="6"/>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2" hidden="false" customHeight="true" outlineLevel="0" collapsed="false">
      <c r="A493" s="6"/>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2" hidden="false" customHeight="true" outlineLevel="0" collapsed="false">
      <c r="A494" s="6"/>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2" hidden="false" customHeight="true" outlineLevel="0" collapsed="false">
      <c r="A495" s="6"/>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2" hidden="false" customHeight="true" outlineLevel="0" collapsed="false">
      <c r="A496" s="6"/>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2" hidden="false" customHeight="true" outlineLevel="0" collapsed="false">
      <c r="A497" s="6"/>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2" hidden="false" customHeight="true" outlineLevel="0" collapsed="false">
      <c r="A498" s="6"/>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2" hidden="false" customHeight="true" outlineLevel="0" collapsed="false">
      <c r="A499" s="6"/>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2" hidden="false" customHeight="true" outlineLevel="0" collapsed="false">
      <c r="A500" s="6"/>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2" hidden="false" customHeight="true" outlineLevel="0" collapsed="false">
      <c r="A501" s="6"/>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2" hidden="false" customHeight="true" outlineLevel="0" collapsed="false">
      <c r="A502" s="6"/>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2" hidden="false" customHeight="true" outlineLevel="0" collapsed="false">
      <c r="A503" s="6"/>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2" hidden="false" customHeight="true" outlineLevel="0" collapsed="false">
      <c r="A504" s="6"/>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2" hidden="false" customHeight="true" outlineLevel="0" collapsed="false">
      <c r="A505" s="6"/>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2" hidden="false" customHeight="true" outlineLevel="0" collapsed="false">
      <c r="A506" s="6"/>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2" hidden="false" customHeight="true" outlineLevel="0" collapsed="false">
      <c r="A507" s="6"/>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2" hidden="false" customHeight="true" outlineLevel="0" collapsed="false">
      <c r="A508" s="6"/>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2" hidden="false" customHeight="true" outlineLevel="0" collapsed="false">
      <c r="A509" s="6"/>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2" hidden="false" customHeight="true" outlineLevel="0" collapsed="false">
      <c r="A510" s="6"/>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2" hidden="false" customHeight="true" outlineLevel="0" collapsed="false">
      <c r="A511" s="6"/>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2" hidden="false" customHeight="true" outlineLevel="0" collapsed="false">
      <c r="A512" s="6"/>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2" hidden="false" customHeight="true" outlineLevel="0" collapsed="false">
      <c r="A513" s="6"/>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2" hidden="false" customHeight="true" outlineLevel="0" collapsed="false">
      <c r="A514" s="6"/>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2" hidden="false" customHeight="true" outlineLevel="0" collapsed="false">
      <c r="A515" s="6"/>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2" hidden="false" customHeight="true" outlineLevel="0" collapsed="false">
      <c r="A516" s="6"/>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2" hidden="false" customHeight="true" outlineLevel="0" collapsed="false">
      <c r="A517" s="6"/>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2" hidden="false" customHeight="true" outlineLevel="0" collapsed="false">
      <c r="A518" s="6"/>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2" hidden="false" customHeight="true" outlineLevel="0" collapsed="false">
      <c r="A519" s="6"/>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2" hidden="false" customHeight="true" outlineLevel="0" collapsed="false">
      <c r="A520" s="6"/>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2" hidden="false" customHeight="true" outlineLevel="0" collapsed="false">
      <c r="A521" s="6"/>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2" hidden="false" customHeight="true" outlineLevel="0" collapsed="false">
      <c r="A522" s="6"/>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2" hidden="false" customHeight="true" outlineLevel="0" collapsed="false">
      <c r="A523" s="6"/>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2" hidden="false" customHeight="true" outlineLevel="0" collapsed="false">
      <c r="A524" s="6"/>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2" hidden="false" customHeight="true" outlineLevel="0" collapsed="false">
      <c r="A525" s="6"/>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2" hidden="false" customHeight="true" outlineLevel="0" collapsed="false">
      <c r="A526" s="6"/>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2" hidden="false" customHeight="true" outlineLevel="0" collapsed="false">
      <c r="A527" s="6"/>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2" hidden="false" customHeight="true" outlineLevel="0" collapsed="false">
      <c r="A528" s="6"/>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2" hidden="false" customHeight="true" outlineLevel="0" collapsed="false">
      <c r="A529" s="6"/>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2" hidden="false" customHeight="true" outlineLevel="0" collapsed="false">
      <c r="A530" s="6"/>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2" hidden="false" customHeight="true" outlineLevel="0" collapsed="false">
      <c r="A531" s="6"/>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2" hidden="false" customHeight="true" outlineLevel="0" collapsed="false">
      <c r="A532" s="6"/>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2" hidden="false" customHeight="true" outlineLevel="0" collapsed="false">
      <c r="A533" s="6"/>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2" hidden="false" customHeight="true" outlineLevel="0" collapsed="false">
      <c r="A534" s="6"/>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2" hidden="false" customHeight="true" outlineLevel="0" collapsed="false">
      <c r="A535" s="6"/>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2" hidden="false" customHeight="true" outlineLevel="0" collapsed="false">
      <c r="A536" s="6"/>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2" hidden="false" customHeight="true" outlineLevel="0" collapsed="false">
      <c r="A537" s="6"/>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2" hidden="false" customHeight="true" outlineLevel="0" collapsed="false">
      <c r="A538" s="6"/>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2" hidden="false" customHeight="true" outlineLevel="0" collapsed="false">
      <c r="A539" s="6"/>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2" hidden="false" customHeight="true" outlineLevel="0" collapsed="false">
      <c r="A540" s="6"/>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2" hidden="false" customHeight="true" outlineLevel="0" collapsed="false">
      <c r="A541" s="6"/>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2" hidden="false" customHeight="true" outlineLevel="0" collapsed="false">
      <c r="A542" s="6"/>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2" hidden="false" customHeight="true" outlineLevel="0" collapsed="false">
      <c r="A543" s="6"/>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2" hidden="false" customHeight="true" outlineLevel="0" collapsed="false">
      <c r="A544" s="6"/>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2" hidden="false" customHeight="true" outlineLevel="0" collapsed="false">
      <c r="A545" s="6"/>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2" hidden="false" customHeight="true" outlineLevel="0" collapsed="false">
      <c r="A546" s="6"/>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2" hidden="false" customHeight="true" outlineLevel="0" collapsed="false">
      <c r="A547" s="6"/>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2" hidden="false" customHeight="true" outlineLevel="0" collapsed="false">
      <c r="A548" s="6"/>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2" hidden="false" customHeight="true" outlineLevel="0" collapsed="false">
      <c r="A549" s="6"/>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2" hidden="false" customHeight="true" outlineLevel="0" collapsed="false">
      <c r="A550" s="6"/>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2" hidden="false" customHeight="true" outlineLevel="0" collapsed="false">
      <c r="A551" s="6"/>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2" hidden="false" customHeight="true" outlineLevel="0" collapsed="false">
      <c r="A552" s="6"/>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2" hidden="false" customHeight="true" outlineLevel="0" collapsed="false">
      <c r="A553" s="6"/>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2" hidden="false" customHeight="true" outlineLevel="0" collapsed="false">
      <c r="A554" s="6"/>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2" hidden="false" customHeight="true" outlineLevel="0" collapsed="false">
      <c r="A555" s="6"/>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2" hidden="false" customHeight="true" outlineLevel="0" collapsed="false">
      <c r="A556" s="6"/>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2" hidden="false" customHeight="true" outlineLevel="0" collapsed="false">
      <c r="A557" s="6"/>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2" hidden="false" customHeight="true" outlineLevel="0" collapsed="false">
      <c r="A558" s="6"/>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2" hidden="false" customHeight="true" outlineLevel="0" collapsed="false">
      <c r="A559" s="6"/>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2" hidden="false" customHeight="true" outlineLevel="0" collapsed="false">
      <c r="A560" s="6"/>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2" hidden="false" customHeight="true" outlineLevel="0" collapsed="false">
      <c r="A561" s="6"/>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2" hidden="false" customHeight="true" outlineLevel="0" collapsed="false">
      <c r="A562" s="6"/>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2" hidden="false" customHeight="true" outlineLevel="0" collapsed="false">
      <c r="A563" s="6"/>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2" hidden="false" customHeight="true" outlineLevel="0" collapsed="false">
      <c r="A564" s="6"/>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2" hidden="false" customHeight="true" outlineLevel="0" collapsed="false">
      <c r="A565" s="6"/>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2" hidden="false" customHeight="true" outlineLevel="0" collapsed="false">
      <c r="A566" s="6"/>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2" hidden="false" customHeight="true" outlineLevel="0" collapsed="false">
      <c r="A567" s="6"/>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2" hidden="false" customHeight="true" outlineLevel="0" collapsed="false">
      <c r="A568" s="6"/>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2" hidden="false" customHeight="true" outlineLevel="0" collapsed="false">
      <c r="A569" s="6"/>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2" hidden="false" customHeight="true" outlineLevel="0" collapsed="false">
      <c r="A570" s="6"/>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2" hidden="false" customHeight="true" outlineLevel="0" collapsed="false">
      <c r="A571" s="6"/>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2" hidden="false" customHeight="true" outlineLevel="0" collapsed="false">
      <c r="A572" s="6"/>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2" hidden="false" customHeight="true" outlineLevel="0" collapsed="false">
      <c r="A573" s="6"/>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2" hidden="false" customHeight="true" outlineLevel="0" collapsed="false">
      <c r="A574" s="6"/>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2" hidden="false" customHeight="true" outlineLevel="0" collapsed="false">
      <c r="A575" s="6"/>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2" hidden="false" customHeight="true" outlineLevel="0" collapsed="false">
      <c r="A576" s="6"/>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2" hidden="false" customHeight="true" outlineLevel="0" collapsed="false">
      <c r="A577" s="6"/>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2" hidden="false" customHeight="true" outlineLevel="0" collapsed="false">
      <c r="A578" s="6"/>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2" hidden="false" customHeight="true" outlineLevel="0" collapsed="false">
      <c r="A579" s="6"/>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2" hidden="false" customHeight="true" outlineLevel="0" collapsed="false">
      <c r="A580" s="6"/>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2" hidden="false" customHeight="true" outlineLevel="0" collapsed="false">
      <c r="A581" s="6"/>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2" hidden="false" customHeight="true" outlineLevel="0" collapsed="false">
      <c r="A582" s="6"/>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2" hidden="false" customHeight="true" outlineLevel="0" collapsed="false">
      <c r="A583" s="6"/>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2" hidden="false" customHeight="true" outlineLevel="0" collapsed="false">
      <c r="A584" s="6"/>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2" hidden="false" customHeight="true" outlineLevel="0" collapsed="false">
      <c r="A585" s="6"/>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2" hidden="false" customHeight="true" outlineLevel="0" collapsed="false">
      <c r="A586" s="6"/>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2" hidden="false" customHeight="true" outlineLevel="0" collapsed="false">
      <c r="A587" s="6"/>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2" hidden="false" customHeight="true" outlineLevel="0" collapsed="false">
      <c r="A588" s="6"/>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2" hidden="false" customHeight="true" outlineLevel="0" collapsed="false">
      <c r="A589" s="6"/>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2" hidden="false" customHeight="true" outlineLevel="0" collapsed="false">
      <c r="A590" s="6"/>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2" hidden="false" customHeight="true" outlineLevel="0" collapsed="false">
      <c r="A591" s="6"/>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2" hidden="false" customHeight="true" outlineLevel="0" collapsed="false">
      <c r="A592" s="6"/>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2" hidden="false" customHeight="true" outlineLevel="0" collapsed="false">
      <c r="A593" s="6"/>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2" hidden="false" customHeight="true" outlineLevel="0" collapsed="false">
      <c r="A594" s="6"/>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2" hidden="false" customHeight="true" outlineLevel="0" collapsed="false">
      <c r="A595" s="6"/>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2" hidden="false" customHeight="true" outlineLevel="0" collapsed="false">
      <c r="A596" s="6"/>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2" hidden="false" customHeight="true" outlineLevel="0" collapsed="false">
      <c r="A597" s="6"/>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2" hidden="false" customHeight="true" outlineLevel="0" collapsed="false">
      <c r="A598" s="6"/>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2" hidden="false" customHeight="true" outlineLevel="0" collapsed="false">
      <c r="A599" s="6"/>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2" hidden="false" customHeight="true" outlineLevel="0" collapsed="false">
      <c r="A600" s="6"/>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2" hidden="false" customHeight="true" outlineLevel="0" collapsed="false">
      <c r="A601" s="6"/>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2" hidden="false" customHeight="true" outlineLevel="0" collapsed="false">
      <c r="A602" s="6"/>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2" hidden="false" customHeight="true" outlineLevel="0" collapsed="false">
      <c r="A603" s="6"/>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2" hidden="false" customHeight="true" outlineLevel="0" collapsed="false">
      <c r="A604" s="6"/>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2" hidden="false" customHeight="true" outlineLevel="0" collapsed="false">
      <c r="A605" s="6"/>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2" hidden="false" customHeight="true" outlineLevel="0" collapsed="false">
      <c r="A606" s="6"/>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2" hidden="false" customHeight="true" outlineLevel="0" collapsed="false">
      <c r="A607" s="6"/>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2" hidden="false" customHeight="true" outlineLevel="0" collapsed="false">
      <c r="A608" s="6"/>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2" hidden="false" customHeight="true" outlineLevel="0" collapsed="false">
      <c r="A609" s="6"/>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2" hidden="false" customHeight="true" outlineLevel="0" collapsed="false">
      <c r="A610" s="6"/>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2" hidden="false" customHeight="true" outlineLevel="0" collapsed="false">
      <c r="A611" s="6"/>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2" hidden="false" customHeight="true" outlineLevel="0" collapsed="false">
      <c r="A612" s="6"/>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2" hidden="false" customHeight="true" outlineLevel="0" collapsed="false">
      <c r="A613" s="6"/>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2" hidden="false" customHeight="true" outlineLevel="0" collapsed="false">
      <c r="A614" s="6"/>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2" hidden="false" customHeight="true" outlineLevel="0" collapsed="false">
      <c r="A615" s="6"/>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2" hidden="false" customHeight="true" outlineLevel="0" collapsed="false">
      <c r="A616" s="6"/>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2" hidden="false" customHeight="true" outlineLevel="0" collapsed="false">
      <c r="A617" s="6"/>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2" hidden="false" customHeight="true" outlineLevel="0" collapsed="false">
      <c r="A618" s="6"/>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2" hidden="false" customHeight="true" outlineLevel="0" collapsed="false">
      <c r="A619" s="6"/>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2" hidden="false" customHeight="true" outlineLevel="0" collapsed="false">
      <c r="A620" s="6"/>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2" hidden="false" customHeight="true" outlineLevel="0" collapsed="false">
      <c r="A621" s="6"/>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2" hidden="false" customHeight="true" outlineLevel="0" collapsed="false">
      <c r="A622" s="6"/>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2" hidden="false" customHeight="true" outlineLevel="0" collapsed="false">
      <c r="A623" s="6"/>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2" hidden="false" customHeight="true" outlineLevel="0" collapsed="false">
      <c r="A624" s="6"/>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2" hidden="false" customHeight="true" outlineLevel="0" collapsed="false">
      <c r="A625" s="6"/>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2" hidden="false" customHeight="true" outlineLevel="0" collapsed="false">
      <c r="A626" s="6"/>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2" hidden="false" customHeight="true" outlineLevel="0" collapsed="false">
      <c r="A627" s="6"/>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2" hidden="false" customHeight="true" outlineLevel="0" collapsed="false">
      <c r="A628" s="6"/>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2" hidden="false" customHeight="true" outlineLevel="0" collapsed="false">
      <c r="A629" s="6"/>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2" hidden="false" customHeight="true" outlineLevel="0" collapsed="false">
      <c r="A630" s="6"/>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2" hidden="false" customHeight="true" outlineLevel="0" collapsed="false">
      <c r="A631" s="6"/>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2" hidden="false" customHeight="true" outlineLevel="0" collapsed="false">
      <c r="A632" s="6"/>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2" hidden="false" customHeight="true" outlineLevel="0" collapsed="false">
      <c r="A633" s="6"/>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2" hidden="false" customHeight="true" outlineLevel="0" collapsed="false">
      <c r="A634" s="6"/>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2" hidden="false" customHeight="true" outlineLevel="0" collapsed="false">
      <c r="A635" s="6"/>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2" hidden="false" customHeight="true" outlineLevel="0" collapsed="false">
      <c r="A636" s="6"/>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2" hidden="false" customHeight="true" outlineLevel="0" collapsed="false">
      <c r="A637" s="6"/>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2" hidden="false" customHeight="true" outlineLevel="0" collapsed="false">
      <c r="A638" s="6"/>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2" hidden="false" customHeight="true" outlineLevel="0" collapsed="false">
      <c r="A639" s="6"/>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2" hidden="false" customHeight="true" outlineLevel="0" collapsed="false">
      <c r="A640" s="6"/>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2" hidden="false" customHeight="true" outlineLevel="0" collapsed="false">
      <c r="A641" s="6"/>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2" hidden="false" customHeight="true" outlineLevel="0" collapsed="false">
      <c r="A642" s="6"/>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2" hidden="false" customHeight="true" outlineLevel="0" collapsed="false">
      <c r="A643" s="6"/>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2" hidden="false" customHeight="true" outlineLevel="0" collapsed="false">
      <c r="A644" s="6"/>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2" hidden="false" customHeight="true" outlineLevel="0" collapsed="false">
      <c r="A645" s="6"/>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2" hidden="false" customHeight="true" outlineLevel="0" collapsed="false">
      <c r="A646" s="6"/>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2" hidden="false" customHeight="true" outlineLevel="0" collapsed="false">
      <c r="A647" s="6"/>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2" hidden="false" customHeight="true" outlineLevel="0" collapsed="false">
      <c r="A648" s="6"/>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2" hidden="false" customHeight="true" outlineLevel="0" collapsed="false">
      <c r="A649" s="6"/>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2" hidden="false" customHeight="true" outlineLevel="0" collapsed="false">
      <c r="A650" s="6"/>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2" hidden="false" customHeight="true" outlineLevel="0" collapsed="false">
      <c r="A651" s="6"/>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2" hidden="false" customHeight="true" outlineLevel="0" collapsed="false">
      <c r="A652" s="6"/>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2" hidden="false" customHeight="true" outlineLevel="0" collapsed="false">
      <c r="A653" s="6"/>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2" hidden="false" customHeight="true" outlineLevel="0" collapsed="false">
      <c r="A654" s="6"/>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2" hidden="false" customHeight="true" outlineLevel="0" collapsed="false">
      <c r="A655" s="6"/>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2" hidden="false" customHeight="true" outlineLevel="0" collapsed="false">
      <c r="A656" s="6"/>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2" hidden="false" customHeight="true" outlineLevel="0" collapsed="false">
      <c r="A657" s="6"/>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2" hidden="false" customHeight="true" outlineLevel="0" collapsed="false">
      <c r="A658" s="6"/>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2" hidden="false" customHeight="true" outlineLevel="0" collapsed="false">
      <c r="A659" s="6"/>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2" hidden="false" customHeight="true" outlineLevel="0" collapsed="false">
      <c r="A660" s="6"/>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2" hidden="false" customHeight="true" outlineLevel="0" collapsed="false">
      <c r="A661" s="6"/>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2" hidden="false" customHeight="true" outlineLevel="0" collapsed="false">
      <c r="A662" s="6"/>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2" hidden="false" customHeight="true" outlineLevel="0" collapsed="false">
      <c r="A663" s="6"/>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2" hidden="false" customHeight="true" outlineLevel="0" collapsed="false">
      <c r="A664" s="6"/>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2" hidden="false" customHeight="true" outlineLevel="0" collapsed="false">
      <c r="A665" s="6"/>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2" hidden="false" customHeight="true" outlineLevel="0" collapsed="false">
      <c r="A666" s="6"/>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2" hidden="false" customHeight="true" outlineLevel="0" collapsed="false">
      <c r="A667" s="6"/>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2" hidden="false" customHeight="true" outlineLevel="0" collapsed="false">
      <c r="A668" s="6"/>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2" hidden="false" customHeight="true" outlineLevel="0" collapsed="false">
      <c r="A669" s="6"/>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2" hidden="false" customHeight="true" outlineLevel="0" collapsed="false">
      <c r="A670" s="6"/>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2" hidden="false" customHeight="true" outlineLevel="0" collapsed="false">
      <c r="A671" s="6"/>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2" hidden="false" customHeight="true" outlineLevel="0" collapsed="false">
      <c r="A672" s="6"/>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2" hidden="false" customHeight="true" outlineLevel="0" collapsed="false">
      <c r="A673" s="6"/>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2" hidden="false" customHeight="true" outlineLevel="0" collapsed="false">
      <c r="A674" s="6"/>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2" hidden="false" customHeight="true" outlineLevel="0" collapsed="false">
      <c r="A675" s="6"/>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2" hidden="false" customHeight="true" outlineLevel="0" collapsed="false">
      <c r="A676" s="6"/>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2" hidden="false" customHeight="true" outlineLevel="0" collapsed="false">
      <c r="A677" s="6"/>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2" hidden="false" customHeight="true" outlineLevel="0" collapsed="false">
      <c r="A678" s="6"/>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2" hidden="false" customHeight="true" outlineLevel="0" collapsed="false">
      <c r="A679" s="6"/>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2" hidden="false" customHeight="true" outlineLevel="0" collapsed="false">
      <c r="A680" s="6"/>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2" hidden="false" customHeight="true" outlineLevel="0" collapsed="false">
      <c r="A681" s="6"/>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2" hidden="false" customHeight="true" outlineLevel="0" collapsed="false">
      <c r="A682" s="6"/>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2" hidden="false" customHeight="true" outlineLevel="0" collapsed="false">
      <c r="A683" s="6"/>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2" hidden="false" customHeight="true" outlineLevel="0" collapsed="false">
      <c r="A684" s="6"/>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2" hidden="false" customHeight="true" outlineLevel="0" collapsed="false">
      <c r="A685" s="6"/>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2" hidden="false" customHeight="true" outlineLevel="0" collapsed="false">
      <c r="A686" s="6"/>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2" hidden="false" customHeight="true" outlineLevel="0" collapsed="false">
      <c r="A687" s="6"/>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2" hidden="false" customHeight="true" outlineLevel="0" collapsed="false">
      <c r="A688" s="6"/>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2" hidden="false" customHeight="true" outlineLevel="0" collapsed="false">
      <c r="A689" s="6"/>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2" hidden="false" customHeight="true" outlineLevel="0" collapsed="false">
      <c r="A690" s="6"/>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2" hidden="false" customHeight="true" outlineLevel="0" collapsed="false">
      <c r="A691" s="6"/>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2" hidden="false" customHeight="true" outlineLevel="0" collapsed="false">
      <c r="A692" s="6"/>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2" hidden="false" customHeight="true" outlineLevel="0" collapsed="false">
      <c r="A693" s="6"/>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2" hidden="false" customHeight="true" outlineLevel="0" collapsed="false">
      <c r="A694" s="6"/>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2" hidden="false" customHeight="true" outlineLevel="0" collapsed="false">
      <c r="A695" s="6"/>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2" hidden="false" customHeight="true" outlineLevel="0" collapsed="false">
      <c r="A696" s="6"/>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2" hidden="false" customHeight="true" outlineLevel="0" collapsed="false">
      <c r="A697" s="6"/>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2" hidden="false" customHeight="true" outlineLevel="0" collapsed="false">
      <c r="A698" s="6"/>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2" hidden="false" customHeight="true" outlineLevel="0" collapsed="false">
      <c r="A699" s="6"/>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2" hidden="false" customHeight="true" outlineLevel="0" collapsed="false">
      <c r="A700" s="6"/>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2" hidden="false" customHeight="true" outlineLevel="0" collapsed="false">
      <c r="A701" s="6"/>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2" hidden="false" customHeight="true" outlineLevel="0" collapsed="false">
      <c r="A702" s="6"/>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2" hidden="false" customHeight="true" outlineLevel="0" collapsed="false">
      <c r="A703" s="6"/>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2" hidden="false" customHeight="true" outlineLevel="0" collapsed="false">
      <c r="A704" s="6"/>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2" hidden="false" customHeight="true" outlineLevel="0" collapsed="false">
      <c r="A705" s="6"/>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2" hidden="false" customHeight="true" outlineLevel="0" collapsed="false">
      <c r="A706" s="6"/>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2" hidden="false" customHeight="true" outlineLevel="0" collapsed="false">
      <c r="A707" s="6"/>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2" hidden="false" customHeight="true" outlineLevel="0" collapsed="false">
      <c r="A708" s="6"/>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2" hidden="false" customHeight="true" outlineLevel="0" collapsed="false">
      <c r="A709" s="6"/>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2" hidden="false" customHeight="true" outlineLevel="0" collapsed="false">
      <c r="A710" s="6"/>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2" hidden="false" customHeight="true" outlineLevel="0" collapsed="false">
      <c r="A711" s="6"/>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2" hidden="false" customHeight="true" outlineLevel="0" collapsed="false">
      <c r="A712" s="6"/>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2" hidden="false" customHeight="true" outlineLevel="0" collapsed="false">
      <c r="A713" s="6"/>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2" hidden="false" customHeight="true" outlineLevel="0" collapsed="false">
      <c r="A714" s="6"/>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2" hidden="false" customHeight="true" outlineLevel="0" collapsed="false">
      <c r="A715" s="6"/>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2" hidden="false" customHeight="true" outlineLevel="0" collapsed="false">
      <c r="A716" s="6"/>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2" hidden="false" customHeight="true" outlineLevel="0" collapsed="false">
      <c r="A717" s="6"/>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2" hidden="false" customHeight="true" outlineLevel="0" collapsed="false">
      <c r="A718" s="6"/>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2" hidden="false" customHeight="true" outlineLevel="0" collapsed="false">
      <c r="A719" s="6"/>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2" hidden="false" customHeight="true" outlineLevel="0" collapsed="false">
      <c r="A720" s="6"/>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2" hidden="false" customHeight="true" outlineLevel="0" collapsed="false">
      <c r="A721" s="6"/>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2" hidden="false" customHeight="true" outlineLevel="0" collapsed="false">
      <c r="A722" s="6"/>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2" hidden="false" customHeight="true" outlineLevel="0" collapsed="false">
      <c r="A723" s="6"/>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2" hidden="false" customHeight="true" outlineLevel="0" collapsed="false">
      <c r="A724" s="6"/>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2" hidden="false" customHeight="true" outlineLevel="0" collapsed="false">
      <c r="A725" s="6"/>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2" hidden="false" customHeight="true" outlineLevel="0" collapsed="false">
      <c r="A726" s="6"/>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2" hidden="false" customHeight="true" outlineLevel="0" collapsed="false">
      <c r="A727" s="6"/>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2" hidden="false" customHeight="true" outlineLevel="0" collapsed="false">
      <c r="A728" s="6"/>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2" hidden="false" customHeight="true" outlineLevel="0" collapsed="false">
      <c r="A729" s="6"/>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2" hidden="false" customHeight="true" outlineLevel="0" collapsed="false">
      <c r="A730" s="6"/>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2" hidden="false" customHeight="true" outlineLevel="0" collapsed="false">
      <c r="A731" s="6"/>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2" hidden="false" customHeight="true" outlineLevel="0" collapsed="false">
      <c r="A732" s="6"/>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2" hidden="false" customHeight="true" outlineLevel="0" collapsed="false">
      <c r="A733" s="6"/>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2" hidden="false" customHeight="true" outlineLevel="0" collapsed="false">
      <c r="A734" s="6"/>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2" hidden="false" customHeight="true" outlineLevel="0" collapsed="false">
      <c r="A735" s="6"/>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2" hidden="false" customHeight="true" outlineLevel="0" collapsed="false">
      <c r="A736" s="6"/>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2" hidden="false" customHeight="true" outlineLevel="0" collapsed="false">
      <c r="A737" s="6"/>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2" hidden="false" customHeight="true" outlineLevel="0" collapsed="false">
      <c r="A738" s="6"/>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2" hidden="false" customHeight="true" outlineLevel="0" collapsed="false">
      <c r="A739" s="6"/>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2" hidden="false" customHeight="true" outlineLevel="0" collapsed="false">
      <c r="A740" s="6"/>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2" hidden="false" customHeight="true" outlineLevel="0" collapsed="false">
      <c r="A741" s="6"/>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2" hidden="false" customHeight="true" outlineLevel="0" collapsed="false">
      <c r="A742" s="6"/>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2" hidden="false" customHeight="true" outlineLevel="0" collapsed="false">
      <c r="A743" s="6"/>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2" hidden="false" customHeight="true" outlineLevel="0" collapsed="false">
      <c r="A744" s="6"/>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2" hidden="false" customHeight="true" outlineLevel="0" collapsed="false">
      <c r="A745" s="6"/>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2" hidden="false" customHeight="true" outlineLevel="0" collapsed="false">
      <c r="A746" s="6"/>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2" hidden="false" customHeight="true" outlineLevel="0" collapsed="false">
      <c r="A747" s="6"/>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2" hidden="false" customHeight="true" outlineLevel="0" collapsed="false">
      <c r="A748" s="6"/>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2" hidden="false" customHeight="true" outlineLevel="0" collapsed="false">
      <c r="A749" s="6"/>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2" hidden="false" customHeight="true" outlineLevel="0" collapsed="false">
      <c r="A750" s="6"/>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2" hidden="false" customHeight="true" outlineLevel="0" collapsed="false">
      <c r="A751" s="6"/>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2" hidden="false" customHeight="true" outlineLevel="0" collapsed="false">
      <c r="A752" s="6"/>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2" hidden="false" customHeight="true" outlineLevel="0" collapsed="false">
      <c r="A753" s="6"/>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2" hidden="false" customHeight="true" outlineLevel="0" collapsed="false">
      <c r="A754" s="6"/>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2" hidden="false" customHeight="true" outlineLevel="0" collapsed="false">
      <c r="A755" s="6"/>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2" hidden="false" customHeight="true" outlineLevel="0" collapsed="false">
      <c r="A756" s="6"/>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2" hidden="false" customHeight="true" outlineLevel="0" collapsed="false">
      <c r="A757" s="6"/>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2" hidden="false" customHeight="true" outlineLevel="0" collapsed="false">
      <c r="A758" s="6"/>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2" hidden="false" customHeight="true" outlineLevel="0" collapsed="false">
      <c r="A759" s="6"/>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2" hidden="false" customHeight="true" outlineLevel="0" collapsed="false">
      <c r="A760" s="6"/>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2" hidden="false" customHeight="true" outlineLevel="0" collapsed="false">
      <c r="A761" s="6"/>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2" hidden="false" customHeight="true" outlineLevel="0" collapsed="false">
      <c r="A762" s="6"/>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2" hidden="false" customHeight="true" outlineLevel="0" collapsed="false">
      <c r="A763" s="6"/>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2" hidden="false" customHeight="true" outlineLevel="0" collapsed="false">
      <c r="A764" s="6"/>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2" hidden="false" customHeight="true" outlineLevel="0" collapsed="false">
      <c r="A765" s="6"/>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2" hidden="false" customHeight="true" outlineLevel="0" collapsed="false">
      <c r="A766" s="6"/>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2" hidden="false" customHeight="true" outlineLevel="0" collapsed="false">
      <c r="A767" s="6"/>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2" hidden="false" customHeight="true" outlineLevel="0" collapsed="false">
      <c r="A768" s="6"/>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2" hidden="false" customHeight="true" outlineLevel="0" collapsed="false">
      <c r="A769" s="6"/>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2" hidden="false" customHeight="true" outlineLevel="0" collapsed="false">
      <c r="A770" s="6"/>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2" hidden="false" customHeight="true" outlineLevel="0" collapsed="false">
      <c r="A771" s="6"/>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2" hidden="false" customHeight="true" outlineLevel="0" collapsed="false">
      <c r="A772" s="6"/>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2" hidden="false" customHeight="true" outlineLevel="0" collapsed="false">
      <c r="A773" s="6"/>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2" hidden="false" customHeight="true" outlineLevel="0" collapsed="false">
      <c r="A774" s="6"/>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2" hidden="false" customHeight="true" outlineLevel="0" collapsed="false">
      <c r="A775" s="6"/>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2" hidden="false" customHeight="true" outlineLevel="0" collapsed="false">
      <c r="A776" s="6"/>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2" hidden="false" customHeight="true" outlineLevel="0" collapsed="false">
      <c r="A777" s="6"/>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2" hidden="false" customHeight="true" outlineLevel="0" collapsed="false">
      <c r="A778" s="6"/>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2" hidden="false" customHeight="true" outlineLevel="0" collapsed="false">
      <c r="A779" s="6"/>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2" hidden="false" customHeight="true" outlineLevel="0" collapsed="false">
      <c r="A780" s="6"/>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2" hidden="false" customHeight="true" outlineLevel="0" collapsed="false">
      <c r="A781" s="6"/>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2" hidden="false" customHeight="true" outlineLevel="0" collapsed="false">
      <c r="A782" s="6"/>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2" hidden="false" customHeight="true" outlineLevel="0" collapsed="false">
      <c r="A783" s="6"/>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2" hidden="false" customHeight="true" outlineLevel="0" collapsed="false">
      <c r="A784" s="6"/>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2" hidden="false" customHeight="true" outlineLevel="0" collapsed="false">
      <c r="A785" s="6"/>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2" hidden="false" customHeight="true" outlineLevel="0" collapsed="false">
      <c r="A786" s="6"/>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2" hidden="false" customHeight="true" outlineLevel="0" collapsed="false">
      <c r="A787" s="6"/>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2" hidden="false" customHeight="true" outlineLevel="0" collapsed="false">
      <c r="A788" s="6"/>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2" hidden="false" customHeight="true" outlineLevel="0" collapsed="false">
      <c r="A789" s="6"/>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2" hidden="false" customHeight="true" outlineLevel="0" collapsed="false">
      <c r="A790" s="6"/>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2" hidden="false" customHeight="true" outlineLevel="0" collapsed="false">
      <c r="A791" s="6"/>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2" hidden="false" customHeight="true" outlineLevel="0" collapsed="false">
      <c r="A792" s="6"/>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2" hidden="false" customHeight="true" outlineLevel="0" collapsed="false">
      <c r="A793" s="6"/>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2" hidden="false" customHeight="true" outlineLevel="0" collapsed="false">
      <c r="A794" s="6"/>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2" hidden="false" customHeight="true" outlineLevel="0" collapsed="false">
      <c r="A795" s="6"/>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2" hidden="false" customHeight="true" outlineLevel="0" collapsed="false">
      <c r="A796" s="6"/>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2" hidden="false" customHeight="true" outlineLevel="0" collapsed="false">
      <c r="A797" s="6"/>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2" hidden="false" customHeight="true" outlineLevel="0" collapsed="false">
      <c r="A798" s="6"/>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2" hidden="false" customHeight="true" outlineLevel="0" collapsed="false">
      <c r="A799" s="6"/>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2" hidden="false" customHeight="true" outlineLevel="0" collapsed="false">
      <c r="A800" s="6"/>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2" hidden="false" customHeight="true" outlineLevel="0" collapsed="false">
      <c r="A801" s="6"/>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2" hidden="false" customHeight="true" outlineLevel="0" collapsed="false">
      <c r="A802" s="6"/>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2" hidden="false" customHeight="true" outlineLevel="0" collapsed="false">
      <c r="A803" s="6"/>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2" hidden="false" customHeight="true" outlineLevel="0" collapsed="false">
      <c r="A804" s="6"/>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2" hidden="false" customHeight="true" outlineLevel="0" collapsed="false">
      <c r="A805" s="6"/>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2" hidden="false" customHeight="true" outlineLevel="0" collapsed="false">
      <c r="A806" s="6"/>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2" hidden="false" customHeight="true" outlineLevel="0" collapsed="false">
      <c r="A807" s="6"/>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2" hidden="false" customHeight="true" outlineLevel="0" collapsed="false">
      <c r="A808" s="6"/>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2" hidden="false" customHeight="true" outlineLevel="0" collapsed="false">
      <c r="A809" s="6"/>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2" hidden="false" customHeight="true" outlineLevel="0" collapsed="false">
      <c r="A810" s="6"/>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2" hidden="false" customHeight="true" outlineLevel="0" collapsed="false">
      <c r="A811" s="6"/>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2" hidden="false" customHeight="true" outlineLevel="0" collapsed="false">
      <c r="A812" s="6"/>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2" hidden="false" customHeight="true" outlineLevel="0" collapsed="false">
      <c r="A813" s="6"/>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2" hidden="false" customHeight="true" outlineLevel="0" collapsed="false">
      <c r="A814" s="6"/>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2" hidden="false" customHeight="true" outlineLevel="0" collapsed="false">
      <c r="A815" s="6"/>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2" hidden="false" customHeight="true" outlineLevel="0" collapsed="false">
      <c r="A816" s="6"/>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2" hidden="false" customHeight="true" outlineLevel="0" collapsed="false">
      <c r="A817" s="6"/>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2" hidden="false" customHeight="true" outlineLevel="0" collapsed="false">
      <c r="A818" s="6"/>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2" hidden="false" customHeight="true" outlineLevel="0" collapsed="false">
      <c r="A819" s="6"/>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2" hidden="false" customHeight="true" outlineLevel="0" collapsed="false">
      <c r="A820" s="6"/>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2" hidden="false" customHeight="true" outlineLevel="0" collapsed="false">
      <c r="A821" s="6"/>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2" hidden="false" customHeight="true" outlineLevel="0" collapsed="false">
      <c r="A822" s="6"/>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2" hidden="false" customHeight="true" outlineLevel="0" collapsed="false">
      <c r="A823" s="6"/>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2" hidden="false" customHeight="true" outlineLevel="0" collapsed="false">
      <c r="A824" s="6"/>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2" hidden="false" customHeight="true" outlineLevel="0" collapsed="false">
      <c r="A825" s="6"/>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2" hidden="false" customHeight="true" outlineLevel="0" collapsed="false">
      <c r="A826" s="6"/>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2" hidden="false" customHeight="true" outlineLevel="0" collapsed="false">
      <c r="A827" s="6"/>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2" hidden="false" customHeight="true" outlineLevel="0" collapsed="false">
      <c r="A828" s="6"/>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2" hidden="false" customHeight="true" outlineLevel="0" collapsed="false">
      <c r="A829" s="6"/>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2" hidden="false" customHeight="true" outlineLevel="0" collapsed="false">
      <c r="A830" s="6"/>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2" hidden="false" customHeight="true" outlineLevel="0" collapsed="false">
      <c r="A831" s="6"/>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2" hidden="false" customHeight="true" outlineLevel="0" collapsed="false">
      <c r="A832" s="6"/>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2" hidden="false" customHeight="true" outlineLevel="0" collapsed="false">
      <c r="A833" s="6"/>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2" hidden="false" customHeight="true" outlineLevel="0" collapsed="false">
      <c r="A834" s="6"/>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2" hidden="false" customHeight="true" outlineLevel="0" collapsed="false">
      <c r="A835" s="6"/>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2" hidden="false" customHeight="true" outlineLevel="0" collapsed="false">
      <c r="A836" s="6"/>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2" hidden="false" customHeight="true" outlineLevel="0" collapsed="false">
      <c r="A837" s="6"/>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2" hidden="false" customHeight="true" outlineLevel="0" collapsed="false">
      <c r="A838" s="6"/>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2" hidden="false" customHeight="true" outlineLevel="0" collapsed="false">
      <c r="A839" s="6"/>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2" hidden="false" customHeight="true" outlineLevel="0" collapsed="false">
      <c r="A840" s="6"/>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2" hidden="false" customHeight="true" outlineLevel="0" collapsed="false">
      <c r="A841" s="6"/>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2" hidden="false" customHeight="true" outlineLevel="0" collapsed="false">
      <c r="A842" s="6"/>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2" hidden="false" customHeight="true" outlineLevel="0" collapsed="false">
      <c r="A843" s="6"/>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2" hidden="false" customHeight="true" outlineLevel="0" collapsed="false">
      <c r="A844" s="6"/>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2" hidden="false" customHeight="true" outlineLevel="0" collapsed="false">
      <c r="A845" s="6"/>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2" hidden="false" customHeight="true" outlineLevel="0" collapsed="false">
      <c r="A846" s="6"/>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2" hidden="false" customHeight="true" outlineLevel="0" collapsed="false">
      <c r="A847" s="6"/>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2" hidden="false" customHeight="true" outlineLevel="0" collapsed="false">
      <c r="A848" s="6"/>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2" hidden="false" customHeight="true" outlineLevel="0" collapsed="false">
      <c r="A849" s="6"/>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2" hidden="false" customHeight="true" outlineLevel="0" collapsed="false">
      <c r="A850" s="6"/>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2" hidden="false" customHeight="true" outlineLevel="0" collapsed="false">
      <c r="A851" s="6"/>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2" hidden="false" customHeight="true" outlineLevel="0" collapsed="false">
      <c r="A852" s="6"/>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2" hidden="false" customHeight="true" outlineLevel="0" collapsed="false">
      <c r="A853" s="6"/>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2" hidden="false" customHeight="true" outlineLevel="0" collapsed="false">
      <c r="A854" s="6"/>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2" hidden="false" customHeight="true" outlineLevel="0" collapsed="false">
      <c r="A855" s="6"/>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2" hidden="false" customHeight="true" outlineLevel="0" collapsed="false">
      <c r="A856" s="6"/>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2" hidden="false" customHeight="true" outlineLevel="0" collapsed="false">
      <c r="A857" s="6"/>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2" hidden="false" customHeight="true" outlineLevel="0" collapsed="false">
      <c r="A858" s="6"/>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2" hidden="false" customHeight="true" outlineLevel="0" collapsed="false">
      <c r="A859" s="6"/>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2" hidden="false" customHeight="true" outlineLevel="0" collapsed="false">
      <c r="A860" s="6"/>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2" hidden="false" customHeight="true" outlineLevel="0" collapsed="false">
      <c r="A861" s="6"/>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2" hidden="false" customHeight="true" outlineLevel="0" collapsed="false">
      <c r="A862" s="6"/>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2" hidden="false" customHeight="true" outlineLevel="0" collapsed="false">
      <c r="A863" s="6"/>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2" hidden="false" customHeight="true" outlineLevel="0" collapsed="false">
      <c r="A864" s="6"/>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2" hidden="false" customHeight="true" outlineLevel="0" collapsed="false">
      <c r="A865" s="6"/>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2" hidden="false" customHeight="true" outlineLevel="0" collapsed="false">
      <c r="A866" s="6"/>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2" hidden="false" customHeight="true" outlineLevel="0" collapsed="false">
      <c r="A867" s="6"/>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2" hidden="false" customHeight="true" outlineLevel="0" collapsed="false">
      <c r="A868" s="6"/>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2" hidden="false" customHeight="true" outlineLevel="0" collapsed="false">
      <c r="A869" s="6"/>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2" hidden="false" customHeight="true" outlineLevel="0" collapsed="false">
      <c r="A870" s="6"/>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2" hidden="false" customHeight="true" outlineLevel="0" collapsed="false">
      <c r="A871" s="6"/>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2" hidden="false" customHeight="true" outlineLevel="0" collapsed="false">
      <c r="A872" s="6"/>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2" hidden="false" customHeight="true" outlineLevel="0" collapsed="false">
      <c r="A873" s="6"/>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2" hidden="false" customHeight="true" outlineLevel="0" collapsed="false">
      <c r="A874" s="6"/>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2" hidden="false" customHeight="true" outlineLevel="0" collapsed="false">
      <c r="A875" s="6"/>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2" hidden="false" customHeight="true" outlineLevel="0" collapsed="false">
      <c r="A876" s="6"/>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2" hidden="false" customHeight="true" outlineLevel="0" collapsed="false">
      <c r="A877" s="6"/>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2" hidden="false" customHeight="true" outlineLevel="0" collapsed="false">
      <c r="A878" s="6"/>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2" hidden="false" customHeight="true" outlineLevel="0" collapsed="false">
      <c r="A879" s="6"/>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2" hidden="false" customHeight="true" outlineLevel="0" collapsed="false">
      <c r="A880" s="6"/>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2" hidden="false" customHeight="true" outlineLevel="0" collapsed="false">
      <c r="A881" s="6"/>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2" hidden="false" customHeight="true" outlineLevel="0" collapsed="false">
      <c r="A882" s="6"/>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2" hidden="false" customHeight="true" outlineLevel="0" collapsed="false">
      <c r="A883" s="6"/>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2" hidden="false" customHeight="true" outlineLevel="0" collapsed="false">
      <c r="A884" s="6"/>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2" hidden="false" customHeight="true" outlineLevel="0" collapsed="false">
      <c r="A885" s="6"/>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2" hidden="false" customHeight="true" outlineLevel="0" collapsed="false">
      <c r="A886" s="6"/>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2" hidden="false" customHeight="true" outlineLevel="0" collapsed="false">
      <c r="A887" s="6"/>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2" hidden="false" customHeight="true" outlineLevel="0" collapsed="false">
      <c r="A888" s="6"/>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2" hidden="false" customHeight="true" outlineLevel="0" collapsed="false">
      <c r="A889" s="6"/>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2" hidden="false" customHeight="true" outlineLevel="0" collapsed="false">
      <c r="A890" s="6"/>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2" hidden="false" customHeight="true" outlineLevel="0" collapsed="false">
      <c r="A891" s="6"/>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2" hidden="false" customHeight="true" outlineLevel="0" collapsed="false">
      <c r="A892" s="6"/>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2" hidden="false" customHeight="true" outlineLevel="0" collapsed="false">
      <c r="A893" s="6"/>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2" hidden="false" customHeight="true" outlineLevel="0" collapsed="false">
      <c r="A894" s="6"/>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2" hidden="false" customHeight="true" outlineLevel="0" collapsed="false">
      <c r="A895" s="6"/>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2" hidden="false" customHeight="true" outlineLevel="0" collapsed="false">
      <c r="A896" s="6"/>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2" hidden="false" customHeight="true" outlineLevel="0" collapsed="false">
      <c r="A897" s="6"/>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2" hidden="false" customHeight="true" outlineLevel="0" collapsed="false">
      <c r="A898" s="6"/>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2" hidden="false" customHeight="true" outlineLevel="0" collapsed="false">
      <c r="A899" s="6"/>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2" hidden="false" customHeight="true" outlineLevel="0" collapsed="false">
      <c r="A900" s="6"/>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2" hidden="false" customHeight="true" outlineLevel="0" collapsed="false">
      <c r="A901" s="6"/>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2" hidden="false" customHeight="true" outlineLevel="0" collapsed="false">
      <c r="A902" s="6"/>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2" hidden="false" customHeight="true" outlineLevel="0" collapsed="false">
      <c r="A903" s="6"/>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2" hidden="false" customHeight="true" outlineLevel="0" collapsed="false">
      <c r="A904" s="6"/>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2" hidden="false" customHeight="true" outlineLevel="0" collapsed="false">
      <c r="A905" s="6"/>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2" hidden="false" customHeight="true" outlineLevel="0" collapsed="false">
      <c r="A906" s="6"/>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2" hidden="false" customHeight="true" outlineLevel="0" collapsed="false">
      <c r="A907" s="6"/>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2" hidden="false" customHeight="true" outlineLevel="0" collapsed="false">
      <c r="A908" s="6"/>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2" hidden="false" customHeight="true" outlineLevel="0" collapsed="false">
      <c r="A909" s="6"/>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2" hidden="false" customHeight="true" outlineLevel="0" collapsed="false">
      <c r="A910" s="6"/>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2" hidden="false" customHeight="true" outlineLevel="0" collapsed="false">
      <c r="A911" s="6"/>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2" hidden="false" customHeight="true" outlineLevel="0" collapsed="false">
      <c r="A912" s="6"/>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2" hidden="false" customHeight="true" outlineLevel="0" collapsed="false">
      <c r="A913" s="6"/>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2" hidden="false" customHeight="true" outlineLevel="0" collapsed="false">
      <c r="A914" s="6"/>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2" hidden="false" customHeight="true" outlineLevel="0" collapsed="false">
      <c r="A915" s="6"/>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2" hidden="false" customHeight="true" outlineLevel="0" collapsed="false">
      <c r="A916" s="6"/>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2" hidden="false" customHeight="true" outlineLevel="0" collapsed="false">
      <c r="A917" s="6"/>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2" hidden="false" customHeight="true" outlineLevel="0" collapsed="false">
      <c r="A918" s="6"/>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2" hidden="false" customHeight="true" outlineLevel="0" collapsed="false">
      <c r="A919" s="6"/>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2" hidden="false" customHeight="true" outlineLevel="0" collapsed="false">
      <c r="A920" s="6"/>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2" hidden="false" customHeight="true" outlineLevel="0" collapsed="false">
      <c r="A921" s="6"/>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2" hidden="false" customHeight="true" outlineLevel="0" collapsed="false">
      <c r="A922" s="6"/>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2" hidden="false" customHeight="true" outlineLevel="0" collapsed="false">
      <c r="A923" s="6"/>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2" hidden="false" customHeight="true" outlineLevel="0" collapsed="false">
      <c r="A924" s="6"/>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2" hidden="false" customHeight="true" outlineLevel="0" collapsed="false">
      <c r="A925" s="6"/>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2" hidden="false" customHeight="true" outlineLevel="0" collapsed="false">
      <c r="A926" s="6"/>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2" hidden="false" customHeight="true" outlineLevel="0" collapsed="false">
      <c r="A927" s="6"/>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2" hidden="false" customHeight="true" outlineLevel="0" collapsed="false">
      <c r="A928" s="6"/>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2" hidden="false" customHeight="true" outlineLevel="0" collapsed="false">
      <c r="A929" s="6"/>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2" hidden="false" customHeight="true" outlineLevel="0" collapsed="false">
      <c r="A930" s="6"/>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2" hidden="false" customHeight="true" outlineLevel="0" collapsed="false">
      <c r="A931" s="6"/>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2" hidden="false" customHeight="true" outlineLevel="0" collapsed="false">
      <c r="A932" s="6"/>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2" hidden="false" customHeight="true" outlineLevel="0" collapsed="false">
      <c r="A933" s="6"/>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2" hidden="false" customHeight="true" outlineLevel="0" collapsed="false">
      <c r="A934" s="6"/>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2" hidden="false" customHeight="true" outlineLevel="0" collapsed="false">
      <c r="A935" s="6"/>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2" hidden="false" customHeight="true" outlineLevel="0" collapsed="false">
      <c r="A936" s="6"/>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2" hidden="false" customHeight="true" outlineLevel="0" collapsed="false">
      <c r="A937" s="6"/>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2" hidden="false" customHeight="true" outlineLevel="0" collapsed="false">
      <c r="A938" s="6"/>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2" hidden="false" customHeight="true" outlineLevel="0" collapsed="false">
      <c r="A939" s="6"/>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2" hidden="false" customHeight="true" outlineLevel="0" collapsed="false">
      <c r="A940" s="6"/>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2" hidden="false" customHeight="true" outlineLevel="0" collapsed="false">
      <c r="A941" s="6"/>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2" hidden="false" customHeight="true" outlineLevel="0" collapsed="false">
      <c r="A942" s="6"/>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2" hidden="false" customHeight="true" outlineLevel="0" collapsed="false">
      <c r="A943" s="6"/>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2" hidden="false" customHeight="true" outlineLevel="0" collapsed="false">
      <c r="A944" s="6"/>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2" hidden="false" customHeight="true" outlineLevel="0" collapsed="false">
      <c r="A945" s="6"/>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2" hidden="false" customHeight="true" outlineLevel="0" collapsed="false">
      <c r="A946" s="6"/>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2" hidden="false" customHeight="true" outlineLevel="0" collapsed="false">
      <c r="A947" s="6"/>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2" hidden="false" customHeight="true" outlineLevel="0" collapsed="false">
      <c r="A948" s="6"/>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2" hidden="false" customHeight="true" outlineLevel="0" collapsed="false">
      <c r="A949" s="6"/>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2" hidden="false" customHeight="true" outlineLevel="0" collapsed="false">
      <c r="A950" s="6"/>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2" hidden="false" customHeight="true" outlineLevel="0" collapsed="false">
      <c r="A951" s="6"/>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2" hidden="false" customHeight="true" outlineLevel="0" collapsed="false">
      <c r="A952" s="6"/>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2" hidden="false" customHeight="true" outlineLevel="0" collapsed="false">
      <c r="A953" s="6"/>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2" hidden="false" customHeight="true" outlineLevel="0" collapsed="false">
      <c r="A954" s="6"/>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2" hidden="false" customHeight="true" outlineLevel="0" collapsed="false">
      <c r="A955" s="6"/>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2" hidden="false" customHeight="true" outlineLevel="0" collapsed="false">
      <c r="A956" s="6"/>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2" hidden="false" customHeight="true" outlineLevel="0" collapsed="false">
      <c r="A957" s="6"/>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2" hidden="false" customHeight="true" outlineLevel="0" collapsed="false">
      <c r="A958" s="6"/>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2" hidden="false" customHeight="true" outlineLevel="0" collapsed="false">
      <c r="A959" s="6"/>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2" hidden="false" customHeight="true" outlineLevel="0" collapsed="false">
      <c r="A960" s="6"/>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2" hidden="false" customHeight="true" outlineLevel="0" collapsed="false">
      <c r="A961" s="6"/>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2" hidden="false" customHeight="true" outlineLevel="0" collapsed="false">
      <c r="A962" s="6"/>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2" hidden="false" customHeight="true" outlineLevel="0" collapsed="false">
      <c r="A963" s="6"/>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2" hidden="false" customHeight="true" outlineLevel="0" collapsed="false">
      <c r="A964" s="6"/>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2" hidden="false" customHeight="true" outlineLevel="0" collapsed="false">
      <c r="A965" s="6"/>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2" hidden="false" customHeight="true" outlineLevel="0" collapsed="false">
      <c r="A966" s="6"/>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2" hidden="false" customHeight="true" outlineLevel="0" collapsed="false">
      <c r="A967" s="6"/>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2" hidden="false" customHeight="true" outlineLevel="0" collapsed="false">
      <c r="A968" s="6"/>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2" hidden="false" customHeight="true" outlineLevel="0" collapsed="false">
      <c r="A969" s="6"/>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2" hidden="false" customHeight="true" outlineLevel="0" collapsed="false">
      <c r="A970" s="6"/>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2" hidden="false" customHeight="true" outlineLevel="0" collapsed="false">
      <c r="A971" s="6"/>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2" hidden="false" customHeight="true" outlineLevel="0" collapsed="false">
      <c r="A972" s="6"/>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2" hidden="false" customHeight="true" outlineLevel="0" collapsed="false">
      <c r="A973" s="6"/>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2" hidden="false" customHeight="true" outlineLevel="0" collapsed="false">
      <c r="A974" s="6"/>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2" hidden="false" customHeight="true" outlineLevel="0" collapsed="false">
      <c r="A975" s="6"/>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2" hidden="false" customHeight="true" outlineLevel="0" collapsed="false">
      <c r="A976" s="6"/>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2" hidden="false" customHeight="true" outlineLevel="0" collapsed="false">
      <c r="A977" s="6"/>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2" hidden="false" customHeight="true" outlineLevel="0" collapsed="false">
      <c r="A978" s="6"/>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2" hidden="false" customHeight="true" outlineLevel="0" collapsed="false">
      <c r="A979" s="6"/>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2" hidden="false" customHeight="true" outlineLevel="0" collapsed="false">
      <c r="A980" s="6"/>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2" hidden="false" customHeight="true" outlineLevel="0" collapsed="false">
      <c r="A981" s="6"/>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2" hidden="false" customHeight="true" outlineLevel="0" collapsed="false">
      <c r="A982" s="6"/>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2" hidden="false" customHeight="true" outlineLevel="0" collapsed="false">
      <c r="A983" s="6"/>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2" hidden="false" customHeight="true" outlineLevel="0" collapsed="false">
      <c r="A984" s="6"/>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2" hidden="false" customHeight="true" outlineLevel="0" collapsed="false">
      <c r="A985" s="6"/>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2" hidden="false" customHeight="true" outlineLevel="0" collapsed="false">
      <c r="A986" s="6"/>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2" hidden="false" customHeight="true" outlineLevel="0" collapsed="false">
      <c r="A987" s="6"/>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2" hidden="false" customHeight="true" outlineLevel="0" collapsed="false">
      <c r="A988" s="6"/>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2" hidden="false" customHeight="true" outlineLevel="0" collapsed="false">
      <c r="A989" s="6"/>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2" hidden="false" customHeight="true" outlineLevel="0" collapsed="false">
      <c r="A990" s="6"/>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2" hidden="false" customHeight="true" outlineLevel="0" collapsed="false">
      <c r="A991" s="6"/>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2" hidden="false" customHeight="true" outlineLevel="0" collapsed="false">
      <c r="A992" s="6"/>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2" hidden="false" customHeight="true" outlineLevel="0" collapsed="false">
      <c r="A993" s="6"/>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2" hidden="false" customHeight="true" outlineLevel="0" collapsed="false">
      <c r="A994" s="6"/>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2" hidden="false" customHeight="true" outlineLevel="0" collapsed="false">
      <c r="A995" s="6"/>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2" hidden="false" customHeight="true" outlineLevel="0" collapsed="false">
      <c r="A996" s="6"/>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2" hidden="false" customHeight="true" outlineLevel="0" collapsed="false">
      <c r="A997" s="6"/>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2" hidden="false" customHeight="true" outlineLevel="0" collapsed="false">
      <c r="A998" s="6"/>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2" hidden="false" customHeight="true" outlineLevel="0" collapsed="false">
      <c r="A999" s="6"/>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2" hidden="false" customHeight="true" outlineLevel="0" collapsed="false">
      <c r="A1000" s="6"/>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4:H77"/>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1" min="1" style="0" width="9.13"/>
    <col collapsed="false" customWidth="true" hidden="false" outlineLevel="0" max="2" min="2" style="0" width="59.88"/>
    <col collapsed="false" customWidth="true" hidden="false" outlineLevel="0" max="3" min="3" style="0" width="7.5"/>
    <col collapsed="false" customWidth="true" hidden="false" outlineLevel="0" max="4" min="4" style="0" width="127.5"/>
    <col collapsed="false" customWidth="true" hidden="false" outlineLevel="0" max="26" min="5" style="0" width="8.63"/>
  </cols>
  <sheetData>
    <row r="1" customFormat="false" ht="14.25" hidden="false" customHeight="true" outlineLevel="0" collapsed="false">
      <c r="A1" s="6" t="s">
        <v>132</v>
      </c>
      <c r="B1" s="2" t="s">
        <v>133</v>
      </c>
      <c r="C1" s="2" t="s">
        <v>134</v>
      </c>
      <c r="D1" s="2" t="s">
        <v>135</v>
      </c>
    </row>
    <row r="2" customFormat="false" ht="14.25" hidden="false" customHeight="true" outlineLevel="0" collapsed="false">
      <c r="A2" s="6" t="n">
        <v>1</v>
      </c>
      <c r="B2" s="2" t="s">
        <v>136</v>
      </c>
      <c r="C2" s="2" t="s">
        <v>137</v>
      </c>
      <c r="D2" s="16" t="s">
        <v>138</v>
      </c>
    </row>
    <row r="3" customFormat="false" ht="14.25" hidden="false" customHeight="true" outlineLevel="0" collapsed="false">
      <c r="A3" s="6" t="n">
        <v>2</v>
      </c>
      <c r="B3" s="2" t="s">
        <v>139</v>
      </c>
      <c r="C3" s="2" t="s">
        <v>140</v>
      </c>
      <c r="D3" s="16" t="s">
        <v>141</v>
      </c>
    </row>
    <row r="4" customFormat="false" ht="14.25" hidden="false" customHeight="true" outlineLevel="0" collapsed="false">
      <c r="A4" s="6" t="n">
        <v>3</v>
      </c>
      <c r="B4" s="2" t="s">
        <v>142</v>
      </c>
      <c r="C4" s="2" t="s">
        <v>143</v>
      </c>
      <c r="D4" s="16" t="s">
        <v>144</v>
      </c>
    </row>
    <row r="5" customFormat="false" ht="14.25" hidden="false" customHeight="true" outlineLevel="0" collapsed="false">
      <c r="A5" s="6" t="n">
        <v>4</v>
      </c>
      <c r="B5" s="2" t="s">
        <v>145</v>
      </c>
      <c r="C5" s="2" t="s">
        <v>146</v>
      </c>
      <c r="D5" s="16" t="s">
        <v>147</v>
      </c>
    </row>
    <row r="6" customFormat="false" ht="14.25" hidden="false" customHeight="true" outlineLevel="0" collapsed="false">
      <c r="A6" s="6" t="n">
        <v>5</v>
      </c>
      <c r="B6" s="2" t="s">
        <v>148</v>
      </c>
      <c r="C6" s="17" t="s">
        <v>149</v>
      </c>
      <c r="D6" s="16" t="s">
        <v>150</v>
      </c>
    </row>
    <row r="7" customFormat="false" ht="14.25" hidden="false" customHeight="true" outlineLevel="0" collapsed="false">
      <c r="A7" s="6" t="n">
        <v>6</v>
      </c>
      <c r="B7" s="2" t="s">
        <v>151</v>
      </c>
      <c r="C7" s="2" t="s">
        <v>152</v>
      </c>
      <c r="D7" s="16" t="s">
        <v>153</v>
      </c>
    </row>
    <row r="8" customFormat="false" ht="14.25" hidden="false" customHeight="true" outlineLevel="0" collapsed="false">
      <c r="A8" s="6" t="n">
        <v>7</v>
      </c>
      <c r="B8" s="2" t="s">
        <v>154</v>
      </c>
      <c r="C8" s="2" t="s">
        <v>155</v>
      </c>
      <c r="D8" s="16" t="s">
        <v>156</v>
      </c>
    </row>
    <row r="9" customFormat="false" ht="14.25" hidden="false" customHeight="true" outlineLevel="0" collapsed="false">
      <c r="A9" s="6" t="n">
        <v>8</v>
      </c>
      <c r="B9" s="2" t="s">
        <v>157</v>
      </c>
      <c r="C9" s="2" t="s">
        <v>158</v>
      </c>
      <c r="D9" s="16" t="s">
        <v>159</v>
      </c>
    </row>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hyperlinks>
    <hyperlink ref="D2" r:id="rId1" display="https://www.business-standard.com/finance/insurance/irdai-fraud-risk-framework-insurers-reinsurers-cybersecurity-2026-125101200278_1.html"/>
    <hyperlink ref="D3" r:id="rId2" display="https://www.business-standard.com/finance/insurance/ahpi-insurers-discuss-common-empanelment-faster-claims-patient-care-125100901184_1.html"/>
    <hyperlink ref="D4" r:id="rId3" display="https://www.business-standard.com/finance/insurance/irdai-deepak-sood-rethink-distribution-framework-for-universal-insurance-125100801321_1.html"/>
    <hyperlink ref="D5" r:id="rId4" display="https://insuranceasia.com/insurance/news/lic-partners-rbl-bank-expand-bancassurance-reach"/>
    <hyperlink ref="D6" r:id="rId5" display="https://www.business-standard.com/finance/insurance/govt-considers-introducing-nationwide-climate-linked-insurance-scheme-125100600912_1.html"/>
    <hyperlink ref="D7" r:id="rId6" display="https://www.business-standard.com/finance/insurance/life-cos-to-approach-irdai-to-pass-on-impact-of-itc-removal-on-distributor-125092800459_1.html"/>
    <hyperlink ref="D8" r:id="rId7" display="https://www.business-standard.com/finance/insurance/bima-sugam-to-launch-with-2-3-products-and-e-kyc-module-by-year-end-125092600954_1.html"/>
    <hyperlink ref="D9" r:id="rId8" display="https://www.business-standard.com/finance/insurance/irdai-chairman-ajay-seth-launches-bima-sugam-india-federation-website-125091701252_1.html"/>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2.62890625" defaultRowHeight="15" zeroHeight="false" outlineLevelRow="0" outlineLevelCol="0"/>
  <cols>
    <col collapsed="false" customWidth="true" hidden="false" outlineLevel="0" max="1" min="1" style="0" width="6.5"/>
    <col collapsed="false" customWidth="true" hidden="false" outlineLevel="0" max="2" min="2" style="0" width="43.5"/>
    <col collapsed="false" customWidth="true" hidden="false" outlineLevel="0" max="3" min="3" style="0" width="17.88"/>
    <col collapsed="false" customWidth="true" hidden="false" outlineLevel="0" max="4" min="4" style="0" width="24.88"/>
    <col collapsed="false" customWidth="true" hidden="false" outlineLevel="0" max="5" min="5" style="0" width="22.88"/>
    <col collapsed="false" customWidth="true" hidden="false" outlineLevel="0" max="6" min="6" style="0" width="29.12"/>
    <col collapsed="false" customWidth="true" hidden="false" outlineLevel="0" max="7" min="7" style="0" width="14.88"/>
    <col collapsed="false" customWidth="true" hidden="false" outlineLevel="0" max="8" min="8" style="0" width="15.88"/>
    <col collapsed="false" customWidth="true" hidden="false" outlineLevel="0" max="9" min="9" style="0" width="29.88"/>
    <col collapsed="false" customWidth="true" hidden="true" outlineLevel="0" max="10" min="10" style="0" width="17.5"/>
    <col collapsed="false" customWidth="true" hidden="false" outlineLevel="0" max="11" min="11" style="0" width="53.5"/>
    <col collapsed="false" customWidth="true" hidden="false" outlineLevel="0" max="12" min="12" style="0" width="42.5"/>
    <col collapsed="false" customWidth="true" hidden="false" outlineLevel="0" max="13" min="13" style="0" width="20.13"/>
    <col collapsed="false" customWidth="true" hidden="false" outlineLevel="0" max="26" min="14" style="0" width="8.88"/>
  </cols>
  <sheetData>
    <row r="1" customFormat="false" ht="12" hidden="false" customHeight="true" outlineLevel="0" collapsed="false">
      <c r="A1" s="18" t="s">
        <v>160</v>
      </c>
      <c r="B1" s="19"/>
      <c r="C1" s="19"/>
      <c r="D1" s="20" t="s">
        <v>161</v>
      </c>
      <c r="E1" s="2"/>
      <c r="F1" s="2"/>
      <c r="G1" s="2"/>
      <c r="H1" s="2"/>
      <c r="I1" s="2"/>
      <c r="J1" s="2"/>
      <c r="K1" s="2"/>
      <c r="L1" s="19"/>
      <c r="M1" s="19"/>
      <c r="N1" s="2"/>
      <c r="O1" s="2"/>
      <c r="P1" s="2"/>
      <c r="Q1" s="2"/>
      <c r="R1" s="2"/>
      <c r="S1" s="2"/>
      <c r="T1" s="2"/>
      <c r="U1" s="2"/>
      <c r="V1" s="2"/>
      <c r="W1" s="2"/>
      <c r="X1" s="2"/>
      <c r="Y1" s="2"/>
      <c r="Z1" s="2"/>
    </row>
    <row r="2" customFormat="false" ht="12" hidden="false" customHeight="true" outlineLevel="0" collapsed="false">
      <c r="A2" s="18" t="s">
        <v>162</v>
      </c>
      <c r="B2" s="19"/>
      <c r="C2" s="19"/>
      <c r="D2" s="2"/>
      <c r="E2" s="2"/>
      <c r="F2" s="2"/>
      <c r="G2" s="2"/>
      <c r="H2" s="2"/>
      <c r="I2" s="2"/>
      <c r="J2" s="2"/>
      <c r="K2" s="2"/>
      <c r="L2" s="19"/>
      <c r="M2" s="19"/>
      <c r="N2" s="2"/>
      <c r="O2" s="2"/>
      <c r="P2" s="2"/>
      <c r="Q2" s="2"/>
      <c r="R2" s="2"/>
      <c r="S2" s="2"/>
      <c r="T2" s="2"/>
      <c r="U2" s="2"/>
      <c r="V2" s="2"/>
      <c r="W2" s="2"/>
      <c r="X2" s="2"/>
      <c r="Y2" s="2"/>
      <c r="Z2" s="2"/>
    </row>
    <row r="3" customFormat="false" ht="12" hidden="false" customHeight="true" outlineLevel="0" collapsed="false">
      <c r="A3" s="2"/>
      <c r="B3" s="19"/>
      <c r="C3" s="19"/>
      <c r="D3" s="2"/>
      <c r="E3" s="2"/>
      <c r="F3" s="2"/>
      <c r="G3" s="2"/>
      <c r="H3" s="2"/>
      <c r="I3" s="2"/>
      <c r="J3" s="2"/>
      <c r="K3" s="2"/>
      <c r="L3" s="19"/>
      <c r="M3" s="19"/>
      <c r="N3" s="2"/>
      <c r="O3" s="2"/>
      <c r="P3" s="2"/>
      <c r="Q3" s="2"/>
      <c r="R3" s="2"/>
      <c r="S3" s="2"/>
      <c r="T3" s="2"/>
      <c r="U3" s="2"/>
      <c r="V3" s="2"/>
      <c r="W3" s="2"/>
      <c r="X3" s="2"/>
      <c r="Y3" s="2"/>
      <c r="Z3" s="2"/>
    </row>
    <row r="4" customFormat="false" ht="12" hidden="false" customHeight="true" outlineLevel="0" collapsed="false">
      <c r="A4" s="21" t="s">
        <v>6</v>
      </c>
      <c r="B4" s="22" t="s">
        <v>7</v>
      </c>
      <c r="C4" s="8" t="s">
        <v>9</v>
      </c>
      <c r="D4" s="21" t="s">
        <v>163</v>
      </c>
      <c r="E4" s="21" t="s">
        <v>164</v>
      </c>
      <c r="F4" s="21" t="s">
        <v>165</v>
      </c>
      <c r="G4" s="21" t="s">
        <v>166</v>
      </c>
      <c r="H4" s="21" t="s">
        <v>167</v>
      </c>
      <c r="I4" s="21" t="s">
        <v>168</v>
      </c>
      <c r="J4" s="21" t="s">
        <v>169</v>
      </c>
      <c r="K4" s="21" t="s">
        <v>170</v>
      </c>
      <c r="L4" s="22" t="s">
        <v>171</v>
      </c>
      <c r="M4" s="8" t="s">
        <v>12</v>
      </c>
      <c r="N4" s="2"/>
      <c r="O4" s="2"/>
      <c r="P4" s="2"/>
      <c r="Q4" s="2"/>
      <c r="R4" s="2"/>
      <c r="S4" s="2"/>
      <c r="T4" s="2"/>
      <c r="U4" s="2"/>
      <c r="V4" s="2"/>
      <c r="W4" s="2"/>
      <c r="X4" s="2"/>
      <c r="Y4" s="2"/>
      <c r="Z4" s="2"/>
    </row>
    <row r="5" customFormat="false" ht="12" hidden="false" customHeight="true" outlineLevel="0" collapsed="false">
      <c r="A5" s="23" t="n">
        <v>1</v>
      </c>
      <c r="B5" s="24" t="s">
        <v>67</v>
      </c>
      <c r="C5" s="24" t="s">
        <v>16</v>
      </c>
      <c r="D5" s="25" t="s">
        <v>172</v>
      </c>
      <c r="E5" s="25" t="s">
        <v>173</v>
      </c>
      <c r="F5" s="25" t="s">
        <v>174</v>
      </c>
      <c r="G5" s="25" t="s">
        <v>175</v>
      </c>
      <c r="H5" s="25" t="s">
        <v>176</v>
      </c>
      <c r="I5" s="25" t="s">
        <v>177</v>
      </c>
      <c r="J5" s="25"/>
      <c r="K5" s="24" t="s">
        <v>178</v>
      </c>
      <c r="L5" s="26" t="s">
        <v>179</v>
      </c>
      <c r="M5" s="27" t="n">
        <v>38660.5</v>
      </c>
      <c r="N5" s="2"/>
      <c r="O5" s="2"/>
      <c r="P5" s="2"/>
      <c r="Q5" s="2"/>
      <c r="R5" s="2"/>
      <c r="S5" s="2"/>
      <c r="T5" s="2"/>
      <c r="U5" s="2"/>
      <c r="V5" s="2"/>
      <c r="W5" s="2"/>
      <c r="X5" s="2"/>
      <c r="Y5" s="2"/>
      <c r="Z5" s="2"/>
    </row>
    <row r="6" customFormat="false" ht="12" hidden="false" customHeight="true" outlineLevel="0" collapsed="false">
      <c r="A6" s="23" t="n">
        <v>2</v>
      </c>
      <c r="B6" s="24" t="s">
        <v>69</v>
      </c>
      <c r="C6" s="24" t="s">
        <v>16</v>
      </c>
      <c r="D6" s="25" t="s">
        <v>180</v>
      </c>
      <c r="E6" s="25" t="s">
        <v>181</v>
      </c>
      <c r="F6" s="25" t="s">
        <v>182</v>
      </c>
      <c r="G6" s="25" t="s">
        <v>175</v>
      </c>
      <c r="H6" s="25" t="s">
        <v>183</v>
      </c>
      <c r="I6" s="24" t="s">
        <v>184</v>
      </c>
      <c r="J6" s="25"/>
      <c r="K6" s="25" t="s">
        <v>185</v>
      </c>
      <c r="L6" s="28" t="s">
        <v>186</v>
      </c>
      <c r="M6" s="27" t="n">
        <v>26833.34</v>
      </c>
      <c r="N6" s="2"/>
      <c r="O6" s="2"/>
      <c r="P6" s="2"/>
      <c r="Q6" s="2"/>
      <c r="R6" s="2"/>
      <c r="S6" s="2"/>
      <c r="T6" s="2"/>
      <c r="U6" s="2"/>
      <c r="V6" s="2"/>
      <c r="W6" s="2"/>
      <c r="X6" s="2"/>
      <c r="Y6" s="2"/>
      <c r="Z6" s="2"/>
    </row>
    <row r="7" customFormat="false" ht="12" hidden="false" customHeight="true" outlineLevel="0" collapsed="false">
      <c r="A7" s="23" t="n">
        <v>3</v>
      </c>
      <c r="B7" s="24" t="s">
        <v>70</v>
      </c>
      <c r="C7" s="24" t="s">
        <v>27</v>
      </c>
      <c r="D7" s="25" t="s">
        <v>187</v>
      </c>
      <c r="E7" s="25" t="s">
        <v>188</v>
      </c>
      <c r="F7" s="25" t="s">
        <v>189</v>
      </c>
      <c r="G7" s="25" t="s">
        <v>190</v>
      </c>
      <c r="H7" s="25" t="s">
        <v>191</v>
      </c>
      <c r="I7" s="24" t="s">
        <v>192</v>
      </c>
      <c r="J7" s="25"/>
      <c r="K7" s="25"/>
      <c r="L7" s="29"/>
      <c r="M7" s="27" t="n">
        <v>21416.81</v>
      </c>
      <c r="N7" s="2"/>
      <c r="O7" s="2"/>
      <c r="P7" s="2"/>
      <c r="Q7" s="2"/>
      <c r="R7" s="2"/>
      <c r="S7" s="2"/>
      <c r="T7" s="2"/>
      <c r="U7" s="2"/>
      <c r="V7" s="2"/>
      <c r="W7" s="2"/>
      <c r="X7" s="2"/>
      <c r="Y7" s="2"/>
      <c r="Z7" s="2"/>
    </row>
    <row r="8" customFormat="false" ht="12" hidden="false" customHeight="true" outlineLevel="0" collapsed="false">
      <c r="A8" s="23" t="n">
        <v>4</v>
      </c>
      <c r="B8" s="24" t="s">
        <v>71</v>
      </c>
      <c r="C8" s="24" t="s">
        <v>72</v>
      </c>
      <c r="D8" s="25" t="s">
        <v>193</v>
      </c>
      <c r="E8" s="25" t="s">
        <v>194</v>
      </c>
      <c r="F8" s="25" t="s">
        <v>195</v>
      </c>
      <c r="G8" s="25" t="s">
        <v>175</v>
      </c>
      <c r="H8" s="25" t="s">
        <v>176</v>
      </c>
      <c r="I8" s="25" t="s">
        <v>177</v>
      </c>
      <c r="J8" s="25"/>
      <c r="K8" s="25"/>
      <c r="L8" s="29"/>
      <c r="M8" s="27" t="n">
        <v>20073.65</v>
      </c>
      <c r="N8" s="2"/>
      <c r="O8" s="2"/>
      <c r="P8" s="2"/>
      <c r="Q8" s="2"/>
      <c r="R8" s="2"/>
      <c r="S8" s="2"/>
      <c r="T8" s="2"/>
      <c r="U8" s="2"/>
      <c r="V8" s="2"/>
      <c r="W8" s="2"/>
      <c r="X8" s="2"/>
      <c r="Y8" s="2"/>
      <c r="Z8" s="2"/>
    </row>
    <row r="9" customFormat="false" ht="12" hidden="false" customHeight="true" outlineLevel="0" collapsed="false">
      <c r="A9" s="23" t="n">
        <v>5</v>
      </c>
      <c r="B9" s="24" t="s">
        <v>73</v>
      </c>
      <c r="C9" s="24" t="s">
        <v>23</v>
      </c>
      <c r="D9" s="25" t="s">
        <v>196</v>
      </c>
      <c r="E9" s="25" t="s">
        <v>197</v>
      </c>
      <c r="F9" s="25" t="s">
        <v>198</v>
      </c>
      <c r="G9" s="25" t="s">
        <v>175</v>
      </c>
      <c r="H9" s="25" t="s">
        <v>176</v>
      </c>
      <c r="I9" s="25" t="s">
        <v>177</v>
      </c>
      <c r="J9" s="25"/>
      <c r="K9" s="25"/>
      <c r="L9" s="29"/>
      <c r="M9" s="27" t="n">
        <v>19826.28</v>
      </c>
      <c r="N9" s="2"/>
      <c r="O9" s="2"/>
      <c r="P9" s="2"/>
      <c r="Q9" s="2"/>
      <c r="R9" s="2"/>
      <c r="S9" s="2"/>
      <c r="T9" s="2"/>
      <c r="U9" s="2"/>
      <c r="V9" s="2"/>
      <c r="W9" s="2"/>
      <c r="X9" s="2"/>
      <c r="Y9" s="2"/>
      <c r="Z9" s="2"/>
    </row>
    <row r="10" customFormat="false" ht="12" hidden="false" customHeight="true" outlineLevel="0" collapsed="false">
      <c r="A10" s="23" t="n">
        <v>6</v>
      </c>
      <c r="B10" s="24" t="s">
        <v>74</v>
      </c>
      <c r="C10" s="24" t="s">
        <v>16</v>
      </c>
      <c r="D10" s="25" t="s">
        <v>199</v>
      </c>
      <c r="E10" s="25" t="s">
        <v>200</v>
      </c>
      <c r="F10" s="25" t="s">
        <v>201</v>
      </c>
      <c r="G10" s="25" t="s">
        <v>202</v>
      </c>
      <c r="H10" s="25" t="s">
        <v>203</v>
      </c>
      <c r="I10" s="24" t="s">
        <v>184</v>
      </c>
      <c r="J10" s="25"/>
      <c r="K10" s="24" t="s">
        <v>204</v>
      </c>
      <c r="L10" s="28" t="s">
        <v>205</v>
      </c>
      <c r="M10" s="27" t="n">
        <v>17702.83</v>
      </c>
      <c r="N10" s="2"/>
      <c r="O10" s="2"/>
      <c r="P10" s="2"/>
      <c r="Q10" s="2"/>
      <c r="R10" s="2"/>
      <c r="S10" s="2"/>
      <c r="T10" s="2"/>
      <c r="U10" s="2"/>
      <c r="V10" s="2"/>
      <c r="W10" s="2"/>
      <c r="X10" s="2"/>
      <c r="Y10" s="2"/>
      <c r="Z10" s="2"/>
    </row>
    <row r="11" customFormat="false" ht="12" hidden="false" customHeight="true" outlineLevel="0" collapsed="false">
      <c r="A11" s="23" t="n">
        <v>7</v>
      </c>
      <c r="B11" s="30" t="s">
        <v>107</v>
      </c>
      <c r="C11" s="24" t="s">
        <v>72</v>
      </c>
      <c r="D11" s="25" t="s">
        <v>206</v>
      </c>
      <c r="E11" s="25" t="s">
        <v>207</v>
      </c>
      <c r="F11" s="25" t="s">
        <v>208</v>
      </c>
      <c r="G11" s="25" t="s">
        <v>175</v>
      </c>
      <c r="H11" s="25"/>
      <c r="I11" s="25" t="s">
        <v>177</v>
      </c>
      <c r="J11" s="25"/>
      <c r="K11" s="24" t="s">
        <v>209</v>
      </c>
      <c r="L11" s="28" t="s">
        <v>210</v>
      </c>
      <c r="M11" s="27" t="n">
        <v>16716.15</v>
      </c>
      <c r="N11" s="2"/>
      <c r="O11" s="2"/>
      <c r="P11" s="2"/>
      <c r="Q11" s="2"/>
      <c r="R11" s="2"/>
      <c r="S11" s="2"/>
      <c r="T11" s="2"/>
      <c r="U11" s="2"/>
      <c r="V11" s="2"/>
      <c r="W11" s="2"/>
      <c r="X11" s="2"/>
      <c r="Y11" s="2"/>
      <c r="Z11" s="2"/>
    </row>
    <row r="12" customFormat="false" ht="12" hidden="false" customHeight="true" outlineLevel="0" collapsed="false">
      <c r="A12" s="23" t="n">
        <v>8</v>
      </c>
      <c r="B12" s="24" t="s">
        <v>76</v>
      </c>
      <c r="C12" s="24" t="s">
        <v>77</v>
      </c>
      <c r="D12" s="25" t="s">
        <v>211</v>
      </c>
      <c r="E12" s="25" t="s">
        <v>212</v>
      </c>
      <c r="F12" s="25" t="s">
        <v>213</v>
      </c>
      <c r="G12" s="25" t="s">
        <v>175</v>
      </c>
      <c r="H12" s="25" t="s">
        <v>176</v>
      </c>
      <c r="I12" s="25" t="s">
        <v>177</v>
      </c>
      <c r="J12" s="25"/>
      <c r="K12" s="25"/>
      <c r="L12" s="29"/>
      <c r="M12" s="27" t="n">
        <v>16660.37</v>
      </c>
      <c r="N12" s="2"/>
      <c r="O12" s="2"/>
      <c r="P12" s="2"/>
      <c r="Q12" s="2"/>
      <c r="R12" s="2"/>
      <c r="S12" s="2"/>
      <c r="T12" s="2"/>
      <c r="U12" s="2"/>
      <c r="V12" s="2"/>
      <c r="W12" s="2"/>
      <c r="X12" s="2"/>
      <c r="Y12" s="2"/>
      <c r="Z12" s="2"/>
    </row>
    <row r="13" customFormat="false" ht="12" hidden="false" customHeight="true" outlineLevel="0" collapsed="false">
      <c r="A13" s="23" t="n">
        <v>9</v>
      </c>
      <c r="B13" s="24" t="s">
        <v>78</v>
      </c>
      <c r="C13" s="24" t="s">
        <v>16</v>
      </c>
      <c r="D13" s="25" t="s">
        <v>214</v>
      </c>
      <c r="E13" s="25" t="s">
        <v>215</v>
      </c>
      <c r="F13" s="25" t="s">
        <v>216</v>
      </c>
      <c r="G13" s="25" t="s">
        <v>175</v>
      </c>
      <c r="H13" s="25" t="s">
        <v>217</v>
      </c>
      <c r="I13" s="24" t="s">
        <v>184</v>
      </c>
      <c r="J13" s="25"/>
      <c r="K13" s="25"/>
      <c r="L13" s="29"/>
      <c r="M13" s="27" t="n">
        <v>15817.28</v>
      </c>
      <c r="N13" s="2"/>
      <c r="O13" s="2"/>
      <c r="P13" s="2"/>
      <c r="Q13" s="2"/>
      <c r="R13" s="2"/>
      <c r="S13" s="2"/>
      <c r="T13" s="2"/>
      <c r="U13" s="2"/>
      <c r="V13" s="2"/>
      <c r="W13" s="2"/>
      <c r="X13" s="2"/>
      <c r="Y13" s="2"/>
      <c r="Z13" s="2"/>
    </row>
    <row r="14" customFormat="false" ht="12" hidden="false" customHeight="true" outlineLevel="0" collapsed="false">
      <c r="A14" s="23" t="n">
        <v>10</v>
      </c>
      <c r="B14" s="24" t="s">
        <v>80</v>
      </c>
      <c r="C14" s="24" t="s">
        <v>16</v>
      </c>
      <c r="D14" s="25" t="s">
        <v>218</v>
      </c>
      <c r="E14" s="25" t="s">
        <v>219</v>
      </c>
      <c r="F14" s="25" t="s">
        <v>220</v>
      </c>
      <c r="G14" s="25" t="s">
        <v>175</v>
      </c>
      <c r="H14" s="25" t="s">
        <v>221</v>
      </c>
      <c r="I14" s="24" t="s">
        <v>184</v>
      </c>
      <c r="J14" s="25"/>
      <c r="K14" s="24" t="s">
        <v>222</v>
      </c>
      <c r="L14" s="28" t="s">
        <v>223</v>
      </c>
      <c r="M14" s="27" t="n">
        <v>13889.67</v>
      </c>
      <c r="N14" s="2"/>
      <c r="O14" s="2"/>
      <c r="P14" s="2"/>
      <c r="Q14" s="2"/>
      <c r="R14" s="2"/>
      <c r="S14" s="2"/>
      <c r="T14" s="2"/>
      <c r="U14" s="2"/>
      <c r="V14" s="2"/>
      <c r="W14" s="2"/>
      <c r="X14" s="2"/>
      <c r="Y14" s="2"/>
      <c r="Z14" s="2"/>
    </row>
    <row r="15" customFormat="false" ht="12" hidden="false" customHeight="true" outlineLevel="0" collapsed="false">
      <c r="A15" s="23" t="n">
        <v>11</v>
      </c>
      <c r="B15" s="24" t="s">
        <v>81</v>
      </c>
      <c r="C15" s="24" t="s">
        <v>16</v>
      </c>
      <c r="D15" s="25" t="s">
        <v>224</v>
      </c>
      <c r="E15" s="25" t="s">
        <v>225</v>
      </c>
      <c r="F15" s="25" t="s">
        <v>226</v>
      </c>
      <c r="G15" s="25" t="s">
        <v>175</v>
      </c>
      <c r="H15" s="25"/>
      <c r="I15" s="25" t="s">
        <v>177</v>
      </c>
      <c r="J15" s="25"/>
      <c r="K15" s="24" t="s">
        <v>227</v>
      </c>
      <c r="L15" s="29"/>
      <c r="M15" s="27" t="n">
        <v>12548.37</v>
      </c>
      <c r="N15" s="2"/>
      <c r="O15" s="2"/>
      <c r="P15" s="2"/>
      <c r="Q15" s="2"/>
      <c r="R15" s="2"/>
      <c r="S15" s="2"/>
      <c r="T15" s="2"/>
      <c r="U15" s="2"/>
      <c r="V15" s="2"/>
      <c r="W15" s="2"/>
      <c r="X15" s="2"/>
      <c r="Y15" s="2"/>
      <c r="Z15" s="2"/>
    </row>
    <row r="16" customFormat="false" ht="12" hidden="false" customHeight="true" outlineLevel="0" collapsed="false">
      <c r="A16" s="23" t="n">
        <v>12</v>
      </c>
      <c r="B16" s="24" t="s">
        <v>82</v>
      </c>
      <c r="C16" s="24" t="s">
        <v>23</v>
      </c>
      <c r="D16" s="25" t="s">
        <v>228</v>
      </c>
      <c r="E16" s="25" t="s">
        <v>229</v>
      </c>
      <c r="F16" s="25" t="s">
        <v>230</v>
      </c>
      <c r="G16" s="25" t="s">
        <v>175</v>
      </c>
      <c r="H16" s="25" t="s">
        <v>231</v>
      </c>
      <c r="I16" s="25" t="s">
        <v>177</v>
      </c>
      <c r="J16" s="25"/>
      <c r="K16" s="25"/>
      <c r="L16" s="29"/>
      <c r="M16" s="27" t="n">
        <v>9738.16</v>
      </c>
      <c r="N16" s="2"/>
      <c r="O16" s="2"/>
      <c r="P16" s="2"/>
      <c r="Q16" s="2"/>
      <c r="R16" s="2"/>
      <c r="S16" s="2"/>
      <c r="T16" s="2"/>
      <c r="U16" s="2"/>
      <c r="V16" s="2"/>
      <c r="W16" s="2"/>
      <c r="X16" s="2"/>
      <c r="Y16" s="2"/>
      <c r="Z16" s="2"/>
    </row>
    <row r="17" customFormat="false" ht="12" hidden="false" customHeight="true" outlineLevel="0" collapsed="false">
      <c r="A17" s="23" t="n">
        <v>13</v>
      </c>
      <c r="B17" s="24" t="s">
        <v>83</v>
      </c>
      <c r="C17" s="24" t="s">
        <v>27</v>
      </c>
      <c r="D17" s="25" t="s">
        <v>232</v>
      </c>
      <c r="E17" s="25" t="s">
        <v>233</v>
      </c>
      <c r="F17" s="25" t="s">
        <v>234</v>
      </c>
      <c r="G17" s="25" t="s">
        <v>175</v>
      </c>
      <c r="H17" s="25" t="s">
        <v>235</v>
      </c>
      <c r="I17" s="24" t="s">
        <v>184</v>
      </c>
      <c r="J17" s="25"/>
      <c r="K17" s="25"/>
      <c r="L17" s="29"/>
      <c r="M17" s="27" t="n">
        <v>8472.15</v>
      </c>
      <c r="N17" s="2"/>
      <c r="O17" s="2"/>
      <c r="P17" s="2"/>
      <c r="Q17" s="2"/>
      <c r="R17" s="2"/>
      <c r="S17" s="2"/>
      <c r="T17" s="2"/>
      <c r="U17" s="2"/>
      <c r="V17" s="2"/>
      <c r="W17" s="2"/>
      <c r="X17" s="2"/>
      <c r="Y17" s="2"/>
      <c r="Z17" s="2"/>
    </row>
    <row r="18" customFormat="false" ht="12" hidden="false" customHeight="true" outlineLevel="0" collapsed="false">
      <c r="A18" s="23" t="n">
        <v>14</v>
      </c>
      <c r="B18" s="30" t="s">
        <v>109</v>
      </c>
      <c r="C18" s="24" t="s">
        <v>23</v>
      </c>
      <c r="D18" s="25" t="s">
        <v>236</v>
      </c>
      <c r="E18" s="25" t="s">
        <v>237</v>
      </c>
      <c r="F18" s="25" t="s">
        <v>238</v>
      </c>
      <c r="G18" s="25" t="s">
        <v>175</v>
      </c>
      <c r="H18" s="25"/>
      <c r="I18" s="25" t="s">
        <v>177</v>
      </c>
      <c r="J18" s="25"/>
      <c r="K18" s="24" t="s">
        <v>209</v>
      </c>
      <c r="L18" s="28" t="s">
        <v>210</v>
      </c>
      <c r="M18" s="27" t="n">
        <v>8318.25</v>
      </c>
      <c r="N18" s="2"/>
      <c r="O18" s="2"/>
      <c r="P18" s="2"/>
      <c r="Q18" s="2"/>
      <c r="R18" s="2"/>
      <c r="S18" s="2"/>
      <c r="T18" s="2"/>
      <c r="U18" s="2"/>
      <c r="V18" s="2"/>
      <c r="W18" s="2"/>
      <c r="X18" s="2"/>
      <c r="Y18" s="2"/>
      <c r="Z18" s="2"/>
    </row>
    <row r="19" customFormat="false" ht="12" hidden="false" customHeight="true" outlineLevel="0" collapsed="false">
      <c r="A19" s="23" t="n">
        <v>15</v>
      </c>
      <c r="B19" s="24" t="s">
        <v>84</v>
      </c>
      <c r="C19" s="24" t="s">
        <v>38</v>
      </c>
      <c r="D19" s="25" t="s">
        <v>239</v>
      </c>
      <c r="E19" s="25" t="s">
        <v>240</v>
      </c>
      <c r="F19" s="25" t="s">
        <v>241</v>
      </c>
      <c r="G19" s="25" t="s">
        <v>175</v>
      </c>
      <c r="H19" s="25" t="s">
        <v>242</v>
      </c>
      <c r="I19" s="25" t="s">
        <v>177</v>
      </c>
      <c r="J19" s="25"/>
      <c r="K19" s="25" t="s">
        <v>243</v>
      </c>
      <c r="L19" s="28" t="s">
        <v>244</v>
      </c>
      <c r="M19" s="27" t="n">
        <v>8312.35</v>
      </c>
      <c r="N19" s="2"/>
      <c r="O19" s="2"/>
      <c r="P19" s="2"/>
      <c r="Q19" s="2"/>
      <c r="R19" s="2"/>
      <c r="S19" s="2"/>
      <c r="T19" s="2"/>
      <c r="U19" s="2"/>
      <c r="V19" s="2"/>
      <c r="W19" s="2"/>
      <c r="X19" s="2"/>
      <c r="Y19" s="2"/>
      <c r="Z19" s="2"/>
    </row>
    <row r="20" customFormat="false" ht="12" hidden="false" customHeight="true" outlineLevel="0" collapsed="false">
      <c r="A20" s="23" t="n">
        <v>16</v>
      </c>
      <c r="B20" s="24" t="s">
        <v>86</v>
      </c>
      <c r="C20" s="24" t="s">
        <v>72</v>
      </c>
      <c r="D20" s="25" t="s">
        <v>245</v>
      </c>
      <c r="E20" s="25" t="s">
        <v>246</v>
      </c>
      <c r="F20" s="25" t="s">
        <v>247</v>
      </c>
      <c r="G20" s="25" t="s">
        <v>175</v>
      </c>
      <c r="H20" s="25" t="s">
        <v>248</v>
      </c>
      <c r="I20" s="25" t="s">
        <v>177</v>
      </c>
      <c r="J20" s="25"/>
      <c r="K20" s="24" t="s">
        <v>249</v>
      </c>
      <c r="L20" s="28" t="s">
        <v>250</v>
      </c>
      <c r="M20" s="27" t="n">
        <v>8124.32</v>
      </c>
      <c r="N20" s="2"/>
      <c r="O20" s="2"/>
      <c r="P20" s="2"/>
      <c r="Q20" s="2"/>
      <c r="R20" s="2"/>
      <c r="S20" s="2"/>
      <c r="T20" s="2"/>
      <c r="U20" s="2"/>
      <c r="V20" s="2"/>
      <c r="W20" s="2"/>
      <c r="X20" s="2"/>
      <c r="Y20" s="2"/>
      <c r="Z20" s="2"/>
    </row>
    <row r="21" customFormat="false" ht="12" hidden="false" customHeight="true" outlineLevel="0" collapsed="false">
      <c r="A21" s="23" t="n">
        <v>17</v>
      </c>
      <c r="B21" s="30" t="s">
        <v>110</v>
      </c>
      <c r="C21" s="24" t="s">
        <v>38</v>
      </c>
      <c r="D21" s="25" t="s">
        <v>251</v>
      </c>
      <c r="E21" s="25" t="s">
        <v>252</v>
      </c>
      <c r="F21" s="25" t="s">
        <v>253</v>
      </c>
      <c r="G21" s="25" t="s">
        <v>190</v>
      </c>
      <c r="H21" s="25" t="s">
        <v>254</v>
      </c>
      <c r="I21" s="24" t="s">
        <v>192</v>
      </c>
      <c r="J21" s="25"/>
      <c r="K21" s="24" t="s">
        <v>209</v>
      </c>
      <c r="L21" s="28" t="s">
        <v>210</v>
      </c>
      <c r="M21" s="27" t="n">
        <v>6762.22</v>
      </c>
      <c r="N21" s="2"/>
      <c r="O21" s="2"/>
      <c r="P21" s="2"/>
      <c r="Q21" s="2"/>
      <c r="R21" s="2"/>
      <c r="S21" s="2"/>
      <c r="T21" s="2"/>
      <c r="U21" s="2"/>
      <c r="V21" s="2"/>
      <c r="W21" s="2"/>
      <c r="X21" s="2"/>
      <c r="Y21" s="2"/>
      <c r="Z21" s="2"/>
    </row>
    <row r="22" customFormat="false" ht="12" hidden="false" customHeight="true" outlineLevel="0" collapsed="false">
      <c r="A22" s="23" t="n">
        <v>18</v>
      </c>
      <c r="B22" s="24" t="s">
        <v>87</v>
      </c>
      <c r="C22" s="24" t="s">
        <v>16</v>
      </c>
      <c r="D22" s="25" t="s">
        <v>255</v>
      </c>
      <c r="E22" s="25" t="s">
        <v>256</v>
      </c>
      <c r="F22" s="25" t="s">
        <v>257</v>
      </c>
      <c r="G22" s="25" t="s">
        <v>175</v>
      </c>
      <c r="H22" s="24" t="s">
        <v>258</v>
      </c>
      <c r="I22" s="24" t="s">
        <v>184</v>
      </c>
      <c r="J22" s="25"/>
      <c r="K22" s="25"/>
      <c r="L22" s="29"/>
      <c r="M22" s="27" t="n">
        <v>5408.16</v>
      </c>
      <c r="N22" s="2"/>
      <c r="O22" s="2"/>
      <c r="P22" s="2"/>
      <c r="Q22" s="2"/>
      <c r="R22" s="2"/>
      <c r="S22" s="2"/>
      <c r="T22" s="2"/>
      <c r="U22" s="2"/>
      <c r="V22" s="2"/>
      <c r="W22" s="2"/>
      <c r="X22" s="2"/>
      <c r="Y22" s="2"/>
      <c r="Z22" s="2"/>
    </row>
    <row r="23" customFormat="false" ht="12" hidden="false" customHeight="true" outlineLevel="0" collapsed="false">
      <c r="A23" s="23" t="n">
        <v>19</v>
      </c>
      <c r="B23" s="24" t="s">
        <v>88</v>
      </c>
      <c r="C23" s="24" t="s">
        <v>16</v>
      </c>
      <c r="D23" s="25" t="s">
        <v>259</v>
      </c>
      <c r="E23" s="25" t="s">
        <v>260</v>
      </c>
      <c r="F23" s="25" t="s">
        <v>261</v>
      </c>
      <c r="G23" s="25" t="s">
        <v>175</v>
      </c>
      <c r="H23" s="25"/>
      <c r="I23" s="25" t="s">
        <v>177</v>
      </c>
      <c r="J23" s="25"/>
      <c r="K23" s="25" t="s">
        <v>262</v>
      </c>
      <c r="L23" s="28" t="s">
        <v>263</v>
      </c>
      <c r="M23" s="27" t="n">
        <v>5078.44</v>
      </c>
      <c r="N23" s="2"/>
      <c r="O23" s="2"/>
      <c r="P23" s="2"/>
      <c r="Q23" s="2"/>
      <c r="R23" s="2"/>
      <c r="S23" s="2"/>
      <c r="T23" s="2"/>
      <c r="U23" s="2"/>
      <c r="V23" s="2"/>
      <c r="W23" s="2"/>
      <c r="X23" s="2"/>
      <c r="Y23" s="2"/>
      <c r="Z23" s="2"/>
    </row>
    <row r="24" customFormat="false" ht="12" hidden="false" customHeight="true" outlineLevel="0" collapsed="false">
      <c r="A24" s="23" t="n">
        <v>20</v>
      </c>
      <c r="B24" s="30" t="s">
        <v>111</v>
      </c>
      <c r="C24" s="24" t="s">
        <v>16</v>
      </c>
      <c r="D24" s="25" t="s">
        <v>264</v>
      </c>
      <c r="E24" s="25" t="s">
        <v>265</v>
      </c>
      <c r="F24" s="25" t="s">
        <v>266</v>
      </c>
      <c r="G24" s="25" t="s">
        <v>175</v>
      </c>
      <c r="H24" s="25" t="s">
        <v>267</v>
      </c>
      <c r="I24" s="25" t="s">
        <v>177</v>
      </c>
      <c r="J24" s="25"/>
      <c r="K24" s="25" t="s">
        <v>268</v>
      </c>
      <c r="L24" s="28" t="s">
        <v>269</v>
      </c>
      <c r="M24" s="27" t="n">
        <v>4821.7</v>
      </c>
      <c r="N24" s="2"/>
      <c r="O24" s="2"/>
      <c r="P24" s="2"/>
      <c r="Q24" s="2"/>
      <c r="R24" s="2"/>
      <c r="S24" s="2"/>
      <c r="T24" s="2"/>
      <c r="U24" s="2"/>
      <c r="V24" s="2"/>
      <c r="W24" s="2"/>
      <c r="X24" s="2"/>
      <c r="Y24" s="2"/>
      <c r="Z24" s="2"/>
    </row>
    <row r="25" customFormat="false" ht="12" hidden="false" customHeight="true" outlineLevel="0" collapsed="false">
      <c r="A25" s="23" t="n">
        <v>21</v>
      </c>
      <c r="B25" s="24" t="s">
        <v>90</v>
      </c>
      <c r="C25" s="24" t="s">
        <v>72</v>
      </c>
      <c r="D25" s="24" t="s">
        <v>270</v>
      </c>
      <c r="E25" s="25" t="s">
        <v>271</v>
      </c>
      <c r="F25" s="25" t="s">
        <v>272</v>
      </c>
      <c r="G25" s="25" t="s">
        <v>175</v>
      </c>
      <c r="H25" s="25" t="s">
        <v>273</v>
      </c>
      <c r="I25" s="25" t="s">
        <v>177</v>
      </c>
      <c r="J25" s="25"/>
      <c r="K25" s="25" t="s">
        <v>274</v>
      </c>
      <c r="L25" s="28" t="s">
        <v>275</v>
      </c>
      <c r="M25" s="27" t="n">
        <v>3763.96</v>
      </c>
      <c r="N25" s="2"/>
      <c r="O25" s="2"/>
      <c r="P25" s="2"/>
      <c r="Q25" s="2"/>
      <c r="R25" s="2"/>
      <c r="S25" s="2"/>
      <c r="T25" s="2"/>
      <c r="U25" s="2"/>
      <c r="V25" s="2"/>
      <c r="W25" s="2"/>
      <c r="X25" s="2"/>
      <c r="Y25" s="2"/>
      <c r="Z25" s="2"/>
    </row>
    <row r="26" customFormat="false" ht="12" hidden="false" customHeight="true" outlineLevel="0" collapsed="false">
      <c r="A26" s="23" t="n">
        <v>22</v>
      </c>
      <c r="B26" s="24" t="s">
        <v>92</v>
      </c>
      <c r="C26" s="24" t="s">
        <v>93</v>
      </c>
      <c r="D26" s="25" t="s">
        <v>276</v>
      </c>
      <c r="E26" s="25" t="s">
        <v>277</v>
      </c>
      <c r="F26" s="25" t="s">
        <v>278</v>
      </c>
      <c r="G26" s="25" t="s">
        <v>175</v>
      </c>
      <c r="H26" s="25" t="s">
        <v>279</v>
      </c>
      <c r="I26" s="24" t="s">
        <v>184</v>
      </c>
      <c r="J26" s="25"/>
      <c r="K26" s="25"/>
      <c r="L26" s="28"/>
      <c r="M26" s="27" t="n">
        <v>3753.38</v>
      </c>
      <c r="N26" s="2"/>
      <c r="O26" s="2"/>
      <c r="P26" s="2"/>
      <c r="Q26" s="2"/>
      <c r="R26" s="2"/>
      <c r="S26" s="2"/>
      <c r="T26" s="2"/>
      <c r="U26" s="2"/>
      <c r="V26" s="2"/>
      <c r="W26" s="2"/>
      <c r="X26" s="2"/>
      <c r="Y26" s="2"/>
      <c r="Z26" s="2"/>
    </row>
    <row r="27" customFormat="false" ht="12" hidden="false" customHeight="true" outlineLevel="0" collapsed="false">
      <c r="A27" s="23" t="n">
        <v>23</v>
      </c>
      <c r="B27" s="24" t="s">
        <v>95</v>
      </c>
      <c r="C27" s="24" t="s">
        <v>77</v>
      </c>
      <c r="D27" s="25" t="s">
        <v>280</v>
      </c>
      <c r="E27" s="25" t="s">
        <v>281</v>
      </c>
      <c r="F27" s="25" t="s">
        <v>282</v>
      </c>
      <c r="G27" s="25" t="s">
        <v>175</v>
      </c>
      <c r="H27" s="25" t="s">
        <v>283</v>
      </c>
      <c r="I27" s="24" t="s">
        <v>184</v>
      </c>
      <c r="J27" s="25"/>
      <c r="K27" s="24" t="s">
        <v>284</v>
      </c>
      <c r="L27" s="28" t="s">
        <v>285</v>
      </c>
      <c r="M27" s="27" t="n">
        <v>3635</v>
      </c>
      <c r="N27" s="2"/>
      <c r="O27" s="2"/>
      <c r="P27" s="2"/>
      <c r="Q27" s="2"/>
      <c r="R27" s="2"/>
      <c r="S27" s="2"/>
      <c r="T27" s="2"/>
      <c r="U27" s="2"/>
      <c r="V27" s="2"/>
      <c r="W27" s="2"/>
      <c r="X27" s="2"/>
      <c r="Y27" s="2"/>
      <c r="Z27" s="2"/>
    </row>
    <row r="28" customFormat="false" ht="12" hidden="false" customHeight="true" outlineLevel="0" collapsed="false">
      <c r="A28" s="23" t="n">
        <v>24</v>
      </c>
      <c r="B28" s="24" t="s">
        <v>96</v>
      </c>
      <c r="C28" s="24" t="s">
        <v>16</v>
      </c>
      <c r="D28" s="25" t="s">
        <v>280</v>
      </c>
      <c r="E28" s="25" t="s">
        <v>286</v>
      </c>
      <c r="F28" s="25" t="s">
        <v>287</v>
      </c>
      <c r="G28" s="25" t="s">
        <v>202</v>
      </c>
      <c r="H28" s="25" t="s">
        <v>288</v>
      </c>
      <c r="I28" s="24" t="s">
        <v>289</v>
      </c>
      <c r="J28" s="25"/>
      <c r="K28" s="25"/>
      <c r="L28" s="28"/>
      <c r="M28" s="27" t="n">
        <v>2246.35</v>
      </c>
      <c r="N28" s="2"/>
      <c r="O28" s="2"/>
      <c r="P28" s="2"/>
      <c r="Q28" s="2"/>
      <c r="R28" s="2"/>
      <c r="S28" s="2"/>
      <c r="T28" s="2"/>
      <c r="U28" s="2"/>
      <c r="V28" s="2"/>
      <c r="W28" s="2"/>
      <c r="X28" s="2"/>
      <c r="Y28" s="2"/>
      <c r="Z28" s="2"/>
    </row>
    <row r="29" customFormat="false" ht="12" hidden="false" customHeight="true" outlineLevel="0" collapsed="false">
      <c r="A29" s="23" t="n">
        <v>25</v>
      </c>
      <c r="B29" s="24" t="s">
        <v>98</v>
      </c>
      <c r="C29" s="24" t="s">
        <v>16</v>
      </c>
      <c r="D29" s="25" t="s">
        <v>290</v>
      </c>
      <c r="E29" s="25" t="s">
        <v>291</v>
      </c>
      <c r="F29" s="25" t="s">
        <v>292</v>
      </c>
      <c r="G29" s="25" t="s">
        <v>175</v>
      </c>
      <c r="H29" s="25" t="s">
        <v>293</v>
      </c>
      <c r="I29" s="25" t="s">
        <v>177</v>
      </c>
      <c r="J29" s="25"/>
      <c r="K29" s="25"/>
      <c r="L29" s="28"/>
      <c r="M29" s="27" t="n">
        <v>2065</v>
      </c>
      <c r="N29" s="2"/>
      <c r="O29" s="2"/>
      <c r="P29" s="2"/>
      <c r="Q29" s="2"/>
      <c r="R29" s="2"/>
      <c r="S29" s="2"/>
      <c r="T29" s="2"/>
      <c r="U29" s="2"/>
      <c r="V29" s="2"/>
      <c r="W29" s="2"/>
      <c r="X29" s="2"/>
      <c r="Y29" s="2"/>
      <c r="Z29" s="2"/>
    </row>
    <row r="30" customFormat="false" ht="12" hidden="false" customHeight="true" outlineLevel="0" collapsed="false">
      <c r="A30" s="23" t="n">
        <v>26</v>
      </c>
      <c r="B30" s="24" t="s">
        <v>99</v>
      </c>
      <c r="C30" s="24" t="s">
        <v>16</v>
      </c>
      <c r="D30" s="25" t="s">
        <v>294</v>
      </c>
      <c r="E30" s="25" t="s">
        <v>295</v>
      </c>
      <c r="F30" s="25" t="s">
        <v>296</v>
      </c>
      <c r="G30" s="25" t="s">
        <v>202</v>
      </c>
      <c r="H30" s="25" t="s">
        <v>297</v>
      </c>
      <c r="I30" s="24" t="s">
        <v>289</v>
      </c>
      <c r="J30" s="25"/>
      <c r="K30" s="25"/>
      <c r="L30" s="28"/>
      <c r="M30" s="27" t="n">
        <v>1915.38</v>
      </c>
      <c r="N30" s="2"/>
      <c r="O30" s="2"/>
      <c r="P30" s="2"/>
      <c r="Q30" s="2"/>
      <c r="R30" s="2"/>
      <c r="S30" s="2"/>
      <c r="T30" s="2"/>
      <c r="U30" s="2"/>
      <c r="V30" s="2"/>
      <c r="W30" s="2"/>
      <c r="X30" s="2"/>
      <c r="Y30" s="2"/>
      <c r="Z30" s="2"/>
    </row>
    <row r="31" customFormat="false" ht="12" hidden="false" customHeight="true" outlineLevel="0" collapsed="false">
      <c r="A31" s="23" t="n">
        <v>27</v>
      </c>
      <c r="B31" s="24" t="s">
        <v>101</v>
      </c>
      <c r="C31" s="24" t="s">
        <v>16</v>
      </c>
      <c r="D31" s="25" t="s">
        <v>298</v>
      </c>
      <c r="E31" s="25" t="s">
        <v>299</v>
      </c>
      <c r="F31" s="25" t="s">
        <v>300</v>
      </c>
      <c r="G31" s="25" t="s">
        <v>175</v>
      </c>
      <c r="H31" s="25"/>
      <c r="I31" s="25" t="s">
        <v>177</v>
      </c>
      <c r="J31" s="25"/>
      <c r="K31" s="25"/>
      <c r="L31" s="28"/>
      <c r="M31" s="27" t="n">
        <v>1366.55</v>
      </c>
      <c r="N31" s="2"/>
      <c r="O31" s="2"/>
      <c r="P31" s="2"/>
      <c r="Q31" s="2"/>
      <c r="R31" s="2"/>
      <c r="S31" s="2"/>
      <c r="T31" s="2"/>
      <c r="U31" s="2"/>
      <c r="V31" s="2"/>
      <c r="W31" s="2"/>
      <c r="X31" s="2"/>
      <c r="Y31" s="2"/>
      <c r="Z31" s="2"/>
    </row>
    <row r="32" customFormat="false" ht="12" hidden="false" customHeight="true" outlineLevel="0" collapsed="false">
      <c r="A32" s="23" t="n">
        <v>28</v>
      </c>
      <c r="B32" s="24" t="s">
        <v>102</v>
      </c>
      <c r="C32" s="24" t="s">
        <v>16</v>
      </c>
      <c r="D32" s="25" t="s">
        <v>301</v>
      </c>
      <c r="E32" s="25" t="s">
        <v>302</v>
      </c>
      <c r="F32" s="25" t="s">
        <v>303</v>
      </c>
      <c r="G32" s="25" t="s">
        <v>175</v>
      </c>
      <c r="H32" s="25" t="s">
        <v>304</v>
      </c>
      <c r="I32" s="25" t="s">
        <v>177</v>
      </c>
      <c r="J32" s="25"/>
      <c r="K32" s="25"/>
      <c r="L32" s="28"/>
      <c r="M32" s="27" t="n">
        <v>992.29</v>
      </c>
      <c r="N32" s="2"/>
      <c r="O32" s="2"/>
      <c r="P32" s="2"/>
      <c r="Q32" s="2"/>
      <c r="R32" s="2"/>
      <c r="S32" s="2"/>
      <c r="T32" s="2"/>
      <c r="U32" s="2"/>
      <c r="V32" s="2"/>
      <c r="W32" s="2"/>
      <c r="X32" s="2"/>
      <c r="Y32" s="2"/>
      <c r="Z32" s="2"/>
    </row>
    <row r="33" customFormat="false" ht="12" hidden="false" customHeight="true" outlineLevel="0" collapsed="false">
      <c r="A33" s="23" t="n">
        <v>29</v>
      </c>
      <c r="B33" s="24" t="s">
        <v>103</v>
      </c>
      <c r="C33" s="24" t="s">
        <v>45</v>
      </c>
      <c r="D33" s="24" t="s">
        <v>305</v>
      </c>
      <c r="E33" s="25" t="s">
        <v>306</v>
      </c>
      <c r="F33" s="25" t="s">
        <v>307</v>
      </c>
      <c r="G33" s="25" t="s">
        <v>175</v>
      </c>
      <c r="H33" s="25"/>
      <c r="I33" s="25" t="s">
        <v>177</v>
      </c>
      <c r="J33" s="25"/>
      <c r="K33" s="25" t="s">
        <v>308</v>
      </c>
      <c r="L33" s="28" t="s">
        <v>309</v>
      </c>
      <c r="M33" s="27" t="n">
        <v>771.46</v>
      </c>
      <c r="N33" s="2"/>
      <c r="O33" s="2"/>
      <c r="P33" s="2"/>
      <c r="Q33" s="2"/>
      <c r="R33" s="2"/>
      <c r="S33" s="2"/>
      <c r="T33" s="2"/>
      <c r="U33" s="2"/>
      <c r="V33" s="2"/>
      <c r="W33" s="2"/>
      <c r="X33" s="2"/>
      <c r="Y33" s="2"/>
      <c r="Z33" s="2"/>
    </row>
    <row r="34" customFormat="false" ht="12" hidden="false" customHeight="true" outlineLevel="0" collapsed="false">
      <c r="A34" s="23" t="n">
        <v>30</v>
      </c>
      <c r="B34" s="24" t="s">
        <v>104</v>
      </c>
      <c r="C34" s="24" t="s">
        <v>16</v>
      </c>
      <c r="D34" s="25" t="s">
        <v>310</v>
      </c>
      <c r="E34" s="25" t="s">
        <v>311</v>
      </c>
      <c r="F34" s="25" t="s">
        <v>312</v>
      </c>
      <c r="G34" s="25" t="s">
        <v>175</v>
      </c>
      <c r="H34" s="25" t="s">
        <v>313</v>
      </c>
      <c r="I34" s="24" t="s">
        <v>289</v>
      </c>
      <c r="J34" s="25"/>
      <c r="K34" s="25" t="s">
        <v>314</v>
      </c>
      <c r="L34" s="28" t="s">
        <v>315</v>
      </c>
      <c r="M34" s="27" t="n">
        <v>353.22</v>
      </c>
      <c r="N34" s="2"/>
      <c r="O34" s="2"/>
      <c r="P34" s="2"/>
      <c r="Q34" s="2"/>
      <c r="R34" s="2"/>
      <c r="S34" s="2"/>
      <c r="T34" s="2"/>
      <c r="U34" s="2"/>
      <c r="V34" s="2"/>
      <c r="W34" s="2"/>
      <c r="X34" s="2"/>
      <c r="Y34" s="2"/>
      <c r="Z34" s="2"/>
    </row>
    <row r="35" customFormat="false" ht="12" hidden="false" customHeight="true" outlineLevel="0" collapsed="false">
      <c r="A35" s="23" t="n">
        <v>31</v>
      </c>
      <c r="B35" s="24" t="s">
        <v>106</v>
      </c>
      <c r="C35" s="24" t="s">
        <v>33</v>
      </c>
      <c r="D35" s="25" t="s">
        <v>316</v>
      </c>
      <c r="E35" s="25" t="s">
        <v>317</v>
      </c>
      <c r="F35" s="25" t="s">
        <v>318</v>
      </c>
      <c r="G35" s="25" t="s">
        <v>175</v>
      </c>
      <c r="H35" s="25"/>
      <c r="I35" s="25" t="s">
        <v>177</v>
      </c>
      <c r="J35" s="25"/>
      <c r="K35" s="25"/>
      <c r="L35" s="28"/>
      <c r="M35" s="27" t="n">
        <v>99.53</v>
      </c>
      <c r="N35" s="2"/>
      <c r="O35" s="2"/>
      <c r="P35" s="2"/>
      <c r="Q35" s="2"/>
      <c r="R35" s="2"/>
      <c r="S35" s="2"/>
      <c r="T35" s="2"/>
      <c r="U35" s="2"/>
      <c r="V35" s="2"/>
      <c r="W35" s="2"/>
      <c r="X35" s="2"/>
      <c r="Y35" s="2"/>
      <c r="Z35" s="2"/>
    </row>
    <row r="36" customFormat="false" ht="12" hidden="false" customHeight="true" outlineLevel="0" collapsed="false">
      <c r="A36" s="23" t="n">
        <v>32</v>
      </c>
      <c r="B36" s="30" t="s">
        <v>113</v>
      </c>
      <c r="C36" s="24" t="s">
        <v>16</v>
      </c>
      <c r="D36" s="25" t="s">
        <v>319</v>
      </c>
      <c r="E36" s="25" t="s">
        <v>320</v>
      </c>
      <c r="F36" s="25" t="s">
        <v>321</v>
      </c>
      <c r="G36" s="25" t="s">
        <v>175</v>
      </c>
      <c r="H36" s="25" t="s">
        <v>322</v>
      </c>
      <c r="I36" s="24" t="s">
        <v>184</v>
      </c>
      <c r="J36" s="25"/>
      <c r="K36" s="25"/>
      <c r="L36" s="28"/>
      <c r="M36" s="27" t="n">
        <v>1797.56</v>
      </c>
      <c r="N36" s="2"/>
      <c r="O36" s="2"/>
      <c r="P36" s="2"/>
      <c r="Q36" s="2"/>
      <c r="R36" s="2"/>
      <c r="S36" s="2"/>
      <c r="T36" s="2"/>
      <c r="U36" s="2"/>
      <c r="V36" s="2"/>
      <c r="W36" s="2"/>
      <c r="X36" s="2"/>
      <c r="Y36" s="2"/>
      <c r="Z36" s="2"/>
    </row>
    <row r="37" customFormat="false" ht="12" hidden="false" customHeight="true" outlineLevel="0" collapsed="false">
      <c r="A37" s="23" t="n">
        <v>33</v>
      </c>
      <c r="B37" s="30" t="s">
        <v>115</v>
      </c>
      <c r="C37" s="24" t="s">
        <v>72</v>
      </c>
      <c r="D37" s="25" t="s">
        <v>323</v>
      </c>
      <c r="E37" s="25" t="s">
        <v>324</v>
      </c>
      <c r="F37" s="25" t="s">
        <v>325</v>
      </c>
      <c r="G37" s="25"/>
      <c r="H37" s="25"/>
      <c r="I37" s="25"/>
      <c r="J37" s="25"/>
      <c r="K37" s="25"/>
      <c r="L37" s="28"/>
      <c r="M37" s="27" t="n">
        <v>16.94</v>
      </c>
      <c r="N37" s="2"/>
      <c r="O37" s="2"/>
      <c r="P37" s="2"/>
      <c r="Q37" s="2"/>
      <c r="R37" s="2"/>
      <c r="S37" s="2"/>
      <c r="T37" s="2"/>
      <c r="U37" s="2"/>
      <c r="V37" s="2"/>
      <c r="W37" s="2"/>
      <c r="X37" s="2"/>
      <c r="Y37" s="2"/>
      <c r="Z37" s="2"/>
    </row>
    <row r="38" customFormat="false" ht="12" hidden="false" customHeight="true" outlineLevel="0" collapsed="false">
      <c r="A38" s="31" t="n">
        <v>34</v>
      </c>
      <c r="B38" s="32" t="s">
        <v>116</v>
      </c>
      <c r="C38" s="33" t="s">
        <v>33</v>
      </c>
      <c r="D38" s="34" t="s">
        <v>326</v>
      </c>
      <c r="E38" s="34" t="s">
        <v>327</v>
      </c>
      <c r="F38" s="34" t="s">
        <v>328</v>
      </c>
      <c r="G38" s="34" t="s">
        <v>175</v>
      </c>
      <c r="H38" s="34"/>
      <c r="I38" s="34" t="s">
        <v>177</v>
      </c>
      <c r="J38" s="34"/>
      <c r="K38" s="34"/>
      <c r="L38" s="35"/>
      <c r="M38" s="36" t="n">
        <v>2.37</v>
      </c>
      <c r="N38" s="2"/>
      <c r="O38" s="2"/>
      <c r="P38" s="2"/>
      <c r="Q38" s="2"/>
      <c r="R38" s="2"/>
      <c r="S38" s="2"/>
      <c r="T38" s="2"/>
      <c r="U38" s="2"/>
      <c r="V38" s="2"/>
      <c r="W38" s="2"/>
      <c r="X38" s="2"/>
      <c r="Y38" s="2"/>
      <c r="Z38" s="2"/>
    </row>
    <row r="39" customFormat="false" ht="12" hidden="false" customHeight="true" outlineLevel="0" collapsed="false">
      <c r="A39" s="2"/>
      <c r="B39" s="19"/>
      <c r="C39" s="19"/>
      <c r="D39" s="2"/>
      <c r="E39" s="2"/>
      <c r="F39" s="2"/>
      <c r="G39" s="2"/>
      <c r="H39" s="2"/>
      <c r="I39" s="2"/>
      <c r="J39" s="2"/>
      <c r="K39" s="2"/>
      <c r="L39" s="19"/>
      <c r="M39" s="19"/>
      <c r="N39" s="2"/>
      <c r="O39" s="2"/>
      <c r="P39" s="2"/>
      <c r="Q39" s="2"/>
      <c r="R39" s="2"/>
      <c r="S39" s="2"/>
      <c r="T39" s="2"/>
      <c r="U39" s="2"/>
      <c r="V39" s="2"/>
      <c r="W39" s="2"/>
      <c r="X39" s="2"/>
      <c r="Y39" s="2"/>
      <c r="Z39" s="2"/>
    </row>
    <row r="40" customFormat="false" ht="12" hidden="false" customHeight="true" outlineLevel="0" collapsed="false">
      <c r="A40" s="2"/>
      <c r="B40" s="19"/>
      <c r="C40" s="19"/>
      <c r="D40" s="2"/>
      <c r="E40" s="2"/>
      <c r="F40" s="2"/>
      <c r="G40" s="2"/>
      <c r="H40" s="2"/>
      <c r="I40" s="2"/>
      <c r="J40" s="2"/>
      <c r="K40" s="2"/>
      <c r="L40" s="19"/>
      <c r="M40" s="19"/>
      <c r="N40" s="2"/>
      <c r="O40" s="2"/>
      <c r="P40" s="2"/>
      <c r="Q40" s="2"/>
      <c r="R40" s="2"/>
      <c r="S40" s="2"/>
      <c r="T40" s="2"/>
      <c r="U40" s="2"/>
      <c r="V40" s="2"/>
      <c r="W40" s="2"/>
      <c r="X40" s="2"/>
      <c r="Y40" s="2"/>
      <c r="Z40" s="2"/>
    </row>
    <row r="41" customFormat="false" ht="12" hidden="false" customHeight="true" outlineLevel="0" collapsed="false">
      <c r="A41" s="2"/>
      <c r="B41" s="19"/>
      <c r="C41" s="19"/>
      <c r="D41" s="2"/>
      <c r="E41" s="2"/>
      <c r="F41" s="2"/>
      <c r="G41" s="2"/>
      <c r="H41" s="2"/>
      <c r="I41" s="2"/>
      <c r="J41" s="2"/>
      <c r="K41" s="2"/>
      <c r="L41" s="19"/>
      <c r="M41" s="19"/>
      <c r="N41" s="2"/>
      <c r="O41" s="2"/>
      <c r="P41" s="2"/>
      <c r="Q41" s="2"/>
      <c r="R41" s="2"/>
      <c r="S41" s="2"/>
      <c r="T41" s="2"/>
      <c r="U41" s="2"/>
      <c r="V41" s="2"/>
      <c r="W41" s="2"/>
      <c r="X41" s="2"/>
      <c r="Y41" s="2"/>
      <c r="Z41" s="2"/>
    </row>
    <row r="42" customFormat="false" ht="12" hidden="false" customHeight="true" outlineLevel="0" collapsed="false">
      <c r="A42" s="2"/>
      <c r="B42" s="19"/>
      <c r="C42" s="19"/>
      <c r="D42" s="2"/>
      <c r="E42" s="2"/>
      <c r="F42" s="2"/>
      <c r="G42" s="2"/>
      <c r="H42" s="2"/>
      <c r="I42" s="2"/>
      <c r="J42" s="2"/>
      <c r="K42" s="2"/>
      <c r="L42" s="19"/>
      <c r="M42" s="19"/>
      <c r="N42" s="2"/>
      <c r="O42" s="2"/>
      <c r="P42" s="2"/>
      <c r="Q42" s="2"/>
      <c r="R42" s="2"/>
      <c r="S42" s="2"/>
      <c r="T42" s="2"/>
      <c r="U42" s="2"/>
      <c r="V42" s="2"/>
      <c r="W42" s="2"/>
      <c r="X42" s="2"/>
      <c r="Y42" s="2"/>
      <c r="Z42" s="2"/>
    </row>
    <row r="43" customFormat="false" ht="12" hidden="false" customHeight="true" outlineLevel="0" collapsed="false">
      <c r="A43" s="2"/>
      <c r="B43" s="19"/>
      <c r="C43" s="19"/>
      <c r="D43" s="2"/>
      <c r="E43" s="2"/>
      <c r="F43" s="2"/>
      <c r="G43" s="2"/>
      <c r="H43" s="2"/>
      <c r="I43" s="2"/>
      <c r="J43" s="2"/>
      <c r="K43" s="2"/>
      <c r="L43" s="19"/>
      <c r="M43" s="19"/>
      <c r="N43" s="2"/>
      <c r="O43" s="2"/>
      <c r="P43" s="2"/>
      <c r="Q43" s="2"/>
      <c r="R43" s="2"/>
      <c r="S43" s="2"/>
      <c r="T43" s="2"/>
      <c r="U43" s="2"/>
      <c r="V43" s="2"/>
      <c r="W43" s="2"/>
      <c r="X43" s="2"/>
      <c r="Y43" s="2"/>
      <c r="Z43" s="2"/>
    </row>
    <row r="44" customFormat="false" ht="12" hidden="false" customHeight="true" outlineLevel="0" collapsed="false">
      <c r="A44" s="2"/>
      <c r="B44" s="19"/>
      <c r="C44" s="19"/>
      <c r="D44" s="2"/>
      <c r="E44" s="2"/>
      <c r="F44" s="2"/>
      <c r="G44" s="2"/>
      <c r="H44" s="2"/>
      <c r="I44" s="2"/>
      <c r="J44" s="2"/>
      <c r="K44" s="2"/>
      <c r="L44" s="19"/>
      <c r="M44" s="19"/>
      <c r="N44" s="2"/>
      <c r="O44" s="2"/>
      <c r="P44" s="2"/>
      <c r="Q44" s="2"/>
      <c r="R44" s="2"/>
      <c r="S44" s="2"/>
      <c r="T44" s="2"/>
      <c r="U44" s="2"/>
      <c r="V44" s="2"/>
      <c r="W44" s="2"/>
      <c r="X44" s="2"/>
      <c r="Y44" s="2"/>
      <c r="Z44" s="2"/>
    </row>
    <row r="45" customFormat="false" ht="12" hidden="false" customHeight="true" outlineLevel="0" collapsed="false">
      <c r="A45" s="2"/>
      <c r="B45" s="19"/>
      <c r="C45" s="19"/>
      <c r="D45" s="2"/>
      <c r="E45" s="2"/>
      <c r="F45" s="2"/>
      <c r="G45" s="2"/>
      <c r="H45" s="2"/>
      <c r="I45" s="2"/>
      <c r="J45" s="2"/>
      <c r="K45" s="2"/>
      <c r="L45" s="19"/>
      <c r="M45" s="19"/>
      <c r="N45" s="2"/>
      <c r="O45" s="2"/>
      <c r="P45" s="2"/>
      <c r="Q45" s="2"/>
      <c r="R45" s="2"/>
      <c r="S45" s="2"/>
      <c r="T45" s="2"/>
      <c r="U45" s="2"/>
      <c r="V45" s="2"/>
      <c r="W45" s="2"/>
      <c r="X45" s="2"/>
      <c r="Y45" s="2"/>
      <c r="Z45" s="2"/>
    </row>
    <row r="46" customFormat="false" ht="12" hidden="false" customHeight="true" outlineLevel="0" collapsed="false">
      <c r="A46" s="2"/>
      <c r="B46" s="19"/>
      <c r="C46" s="19"/>
      <c r="D46" s="2"/>
      <c r="E46" s="2"/>
      <c r="F46" s="2"/>
      <c r="G46" s="2"/>
      <c r="H46" s="2"/>
      <c r="I46" s="2"/>
      <c r="J46" s="2"/>
      <c r="K46" s="2"/>
      <c r="L46" s="19"/>
      <c r="M46" s="19"/>
      <c r="N46" s="2"/>
      <c r="O46" s="2"/>
      <c r="P46" s="2"/>
      <c r="Q46" s="2"/>
      <c r="R46" s="2"/>
      <c r="S46" s="2"/>
      <c r="T46" s="2"/>
      <c r="U46" s="2"/>
      <c r="V46" s="2"/>
      <c r="W46" s="2"/>
      <c r="X46" s="2"/>
      <c r="Y46" s="2"/>
      <c r="Z46" s="2"/>
    </row>
    <row r="47" customFormat="false" ht="12" hidden="false" customHeight="true" outlineLevel="0" collapsed="false">
      <c r="A47" s="2"/>
      <c r="B47" s="19"/>
      <c r="C47" s="19"/>
      <c r="D47" s="2"/>
      <c r="E47" s="2"/>
      <c r="F47" s="2"/>
      <c r="G47" s="2"/>
      <c r="H47" s="2"/>
      <c r="I47" s="2"/>
      <c r="J47" s="2"/>
      <c r="K47" s="2"/>
      <c r="L47" s="19"/>
      <c r="M47" s="19"/>
      <c r="N47" s="2"/>
      <c r="O47" s="2"/>
      <c r="P47" s="2"/>
      <c r="Q47" s="2"/>
      <c r="R47" s="2"/>
      <c r="S47" s="2"/>
      <c r="T47" s="2"/>
      <c r="U47" s="2"/>
      <c r="V47" s="2"/>
      <c r="W47" s="2"/>
      <c r="X47" s="2"/>
      <c r="Y47" s="2"/>
      <c r="Z47" s="2"/>
    </row>
    <row r="48" customFormat="false" ht="12" hidden="false" customHeight="true" outlineLevel="0" collapsed="false">
      <c r="A48" s="2"/>
      <c r="B48" s="19"/>
      <c r="C48" s="19"/>
      <c r="D48" s="2"/>
      <c r="E48" s="2"/>
      <c r="F48" s="2"/>
      <c r="G48" s="2"/>
      <c r="H48" s="2"/>
      <c r="I48" s="2"/>
      <c r="J48" s="2"/>
      <c r="K48" s="2"/>
      <c r="L48" s="19"/>
      <c r="M48" s="19"/>
      <c r="N48" s="2"/>
      <c r="O48" s="2"/>
      <c r="P48" s="2"/>
      <c r="Q48" s="2"/>
      <c r="R48" s="2"/>
      <c r="S48" s="2"/>
      <c r="T48" s="2"/>
      <c r="U48" s="2"/>
      <c r="V48" s="2"/>
      <c r="W48" s="2"/>
      <c r="X48" s="2"/>
      <c r="Y48" s="2"/>
      <c r="Z48" s="2"/>
    </row>
    <row r="49" customFormat="false" ht="12" hidden="false" customHeight="true" outlineLevel="0" collapsed="false">
      <c r="A49" s="2"/>
      <c r="B49" s="19"/>
      <c r="C49" s="19"/>
      <c r="D49" s="2"/>
      <c r="E49" s="2"/>
      <c r="F49" s="2"/>
      <c r="G49" s="2"/>
      <c r="H49" s="2"/>
      <c r="I49" s="2"/>
      <c r="J49" s="2"/>
      <c r="K49" s="2"/>
      <c r="L49" s="19"/>
      <c r="M49" s="19"/>
      <c r="N49" s="2"/>
      <c r="O49" s="2"/>
      <c r="P49" s="2"/>
      <c r="Q49" s="2"/>
      <c r="R49" s="2"/>
      <c r="S49" s="2"/>
      <c r="T49" s="2"/>
      <c r="U49" s="2"/>
      <c r="V49" s="2"/>
      <c r="W49" s="2"/>
      <c r="X49" s="2"/>
      <c r="Y49" s="2"/>
      <c r="Z49" s="2"/>
    </row>
    <row r="50" customFormat="false" ht="12" hidden="false" customHeight="true" outlineLevel="0" collapsed="false">
      <c r="A50" s="2"/>
      <c r="B50" s="19"/>
      <c r="C50" s="19"/>
      <c r="D50" s="2"/>
      <c r="E50" s="2"/>
      <c r="F50" s="2"/>
      <c r="G50" s="2"/>
      <c r="H50" s="2"/>
      <c r="I50" s="2"/>
      <c r="J50" s="2"/>
      <c r="K50" s="2"/>
      <c r="L50" s="19"/>
      <c r="M50" s="19"/>
      <c r="N50" s="2"/>
      <c r="O50" s="2"/>
      <c r="P50" s="2"/>
      <c r="Q50" s="2"/>
      <c r="R50" s="2"/>
      <c r="S50" s="2"/>
      <c r="T50" s="2"/>
      <c r="U50" s="2"/>
      <c r="V50" s="2"/>
      <c r="W50" s="2"/>
      <c r="X50" s="2"/>
      <c r="Y50" s="2"/>
      <c r="Z50" s="2"/>
    </row>
    <row r="51" customFormat="false" ht="12" hidden="false" customHeight="true" outlineLevel="0" collapsed="false">
      <c r="A51" s="2"/>
      <c r="B51" s="19"/>
      <c r="C51" s="19"/>
      <c r="D51" s="2"/>
      <c r="E51" s="2"/>
      <c r="F51" s="2"/>
      <c r="G51" s="2"/>
      <c r="H51" s="2"/>
      <c r="I51" s="2"/>
      <c r="J51" s="2"/>
      <c r="K51" s="2"/>
      <c r="L51" s="19"/>
      <c r="M51" s="19"/>
      <c r="N51" s="2"/>
      <c r="O51" s="2"/>
      <c r="P51" s="2"/>
      <c r="Q51" s="2"/>
      <c r="R51" s="2"/>
      <c r="S51" s="2"/>
      <c r="T51" s="2"/>
      <c r="U51" s="2"/>
      <c r="V51" s="2"/>
      <c r="W51" s="2"/>
      <c r="X51" s="2"/>
      <c r="Y51" s="2"/>
      <c r="Z51" s="2"/>
    </row>
    <row r="52" customFormat="false" ht="12" hidden="false" customHeight="true" outlineLevel="0" collapsed="false">
      <c r="A52" s="2"/>
      <c r="B52" s="19"/>
      <c r="C52" s="19"/>
      <c r="D52" s="2"/>
      <c r="E52" s="2"/>
      <c r="F52" s="2"/>
      <c r="G52" s="2"/>
      <c r="H52" s="2"/>
      <c r="I52" s="2"/>
      <c r="J52" s="2"/>
      <c r="K52" s="2"/>
      <c r="L52" s="19"/>
      <c r="M52" s="19"/>
      <c r="N52" s="2"/>
      <c r="O52" s="2"/>
      <c r="P52" s="2"/>
      <c r="Q52" s="2"/>
      <c r="R52" s="2"/>
      <c r="S52" s="2"/>
      <c r="T52" s="2"/>
      <c r="U52" s="2"/>
      <c r="V52" s="2"/>
      <c r="W52" s="2"/>
      <c r="X52" s="2"/>
      <c r="Y52" s="2"/>
      <c r="Z52" s="2"/>
    </row>
    <row r="53" customFormat="false" ht="12" hidden="false" customHeight="true" outlineLevel="0" collapsed="false">
      <c r="A53" s="2"/>
      <c r="B53" s="19"/>
      <c r="C53" s="19"/>
      <c r="D53" s="2"/>
      <c r="E53" s="2"/>
      <c r="F53" s="2"/>
      <c r="G53" s="2"/>
      <c r="H53" s="2"/>
      <c r="I53" s="2"/>
      <c r="J53" s="2"/>
      <c r="K53" s="2"/>
      <c r="L53" s="19"/>
      <c r="M53" s="19"/>
      <c r="N53" s="2"/>
      <c r="O53" s="2"/>
      <c r="P53" s="2"/>
      <c r="Q53" s="2"/>
      <c r="R53" s="2"/>
      <c r="S53" s="2"/>
      <c r="T53" s="2"/>
      <c r="U53" s="2"/>
      <c r="V53" s="2"/>
      <c r="W53" s="2"/>
      <c r="X53" s="2"/>
      <c r="Y53" s="2"/>
      <c r="Z53" s="2"/>
    </row>
    <row r="54" customFormat="false" ht="12" hidden="false" customHeight="true" outlineLevel="0" collapsed="false">
      <c r="A54" s="2"/>
      <c r="B54" s="19"/>
      <c r="C54" s="19"/>
      <c r="D54" s="2"/>
      <c r="E54" s="2"/>
      <c r="F54" s="2"/>
      <c r="G54" s="2"/>
      <c r="H54" s="2"/>
      <c r="I54" s="2"/>
      <c r="J54" s="2"/>
      <c r="K54" s="2"/>
      <c r="L54" s="19"/>
      <c r="M54" s="19"/>
      <c r="N54" s="2"/>
      <c r="O54" s="2"/>
      <c r="P54" s="2"/>
      <c r="Q54" s="2"/>
      <c r="R54" s="2"/>
      <c r="S54" s="2"/>
      <c r="T54" s="2"/>
      <c r="U54" s="2"/>
      <c r="V54" s="2"/>
      <c r="W54" s="2"/>
      <c r="X54" s="2"/>
      <c r="Y54" s="2"/>
      <c r="Z54" s="2"/>
    </row>
    <row r="55" customFormat="false" ht="12" hidden="false" customHeight="true" outlineLevel="0" collapsed="false">
      <c r="A55" s="2"/>
      <c r="B55" s="19"/>
      <c r="C55" s="19"/>
      <c r="D55" s="2"/>
      <c r="E55" s="2"/>
      <c r="F55" s="2"/>
      <c r="G55" s="2"/>
      <c r="H55" s="2"/>
      <c r="I55" s="2"/>
      <c r="J55" s="2"/>
      <c r="K55" s="2"/>
      <c r="L55" s="19"/>
      <c r="M55" s="19"/>
      <c r="N55" s="2"/>
      <c r="O55" s="2"/>
      <c r="P55" s="2"/>
      <c r="Q55" s="2"/>
      <c r="R55" s="2"/>
      <c r="S55" s="2"/>
      <c r="T55" s="2"/>
      <c r="U55" s="2"/>
      <c r="V55" s="2"/>
      <c r="W55" s="2"/>
      <c r="X55" s="2"/>
      <c r="Y55" s="2"/>
      <c r="Z55" s="2"/>
    </row>
    <row r="56" customFormat="false" ht="12" hidden="false" customHeight="true" outlineLevel="0" collapsed="false">
      <c r="A56" s="2"/>
      <c r="B56" s="19"/>
      <c r="C56" s="19"/>
      <c r="D56" s="2"/>
      <c r="E56" s="2"/>
      <c r="F56" s="2"/>
      <c r="G56" s="2"/>
      <c r="H56" s="2"/>
      <c r="I56" s="2"/>
      <c r="J56" s="2"/>
      <c r="K56" s="2"/>
      <c r="L56" s="19"/>
      <c r="M56" s="19"/>
      <c r="N56" s="2"/>
      <c r="O56" s="2"/>
      <c r="P56" s="2"/>
      <c r="Q56" s="2"/>
      <c r="R56" s="2"/>
      <c r="S56" s="2"/>
      <c r="T56" s="2"/>
      <c r="U56" s="2"/>
      <c r="V56" s="2"/>
      <c r="W56" s="2"/>
      <c r="X56" s="2"/>
      <c r="Y56" s="2"/>
      <c r="Z56" s="2"/>
    </row>
    <row r="57" customFormat="false" ht="12" hidden="false" customHeight="true" outlineLevel="0" collapsed="false">
      <c r="A57" s="2"/>
      <c r="B57" s="19"/>
      <c r="C57" s="19"/>
      <c r="D57" s="2"/>
      <c r="E57" s="2"/>
      <c r="F57" s="2"/>
      <c r="G57" s="2"/>
      <c r="H57" s="2"/>
      <c r="I57" s="2"/>
      <c r="J57" s="2"/>
      <c r="K57" s="2"/>
      <c r="L57" s="19"/>
      <c r="M57" s="19"/>
      <c r="N57" s="2"/>
      <c r="O57" s="2"/>
      <c r="P57" s="2"/>
      <c r="Q57" s="2"/>
      <c r="R57" s="2"/>
      <c r="S57" s="2"/>
      <c r="T57" s="2"/>
      <c r="U57" s="2"/>
      <c r="V57" s="2"/>
      <c r="W57" s="2"/>
      <c r="X57" s="2"/>
      <c r="Y57" s="2"/>
      <c r="Z57" s="2"/>
    </row>
    <row r="58" customFormat="false" ht="12" hidden="false" customHeight="true" outlineLevel="0" collapsed="false">
      <c r="A58" s="2"/>
      <c r="B58" s="19"/>
      <c r="C58" s="19"/>
      <c r="D58" s="2"/>
      <c r="E58" s="2"/>
      <c r="F58" s="2"/>
      <c r="G58" s="2"/>
      <c r="H58" s="2"/>
      <c r="I58" s="2"/>
      <c r="J58" s="2"/>
      <c r="K58" s="2"/>
      <c r="L58" s="19"/>
      <c r="M58" s="19"/>
      <c r="N58" s="2"/>
      <c r="O58" s="2"/>
      <c r="P58" s="2"/>
      <c r="Q58" s="2"/>
      <c r="R58" s="2"/>
      <c r="S58" s="2"/>
      <c r="T58" s="2"/>
      <c r="U58" s="2"/>
      <c r="V58" s="2"/>
      <c r="W58" s="2"/>
      <c r="X58" s="2"/>
      <c r="Y58" s="2"/>
      <c r="Z58" s="2"/>
    </row>
    <row r="59" customFormat="false" ht="12" hidden="false" customHeight="true" outlineLevel="0" collapsed="false">
      <c r="A59" s="2"/>
      <c r="B59" s="19"/>
      <c r="C59" s="19"/>
      <c r="D59" s="2"/>
      <c r="E59" s="2"/>
      <c r="F59" s="2"/>
      <c r="G59" s="2"/>
      <c r="H59" s="2"/>
      <c r="I59" s="2"/>
      <c r="J59" s="2"/>
      <c r="K59" s="2"/>
      <c r="L59" s="19"/>
      <c r="M59" s="19"/>
      <c r="N59" s="2"/>
      <c r="O59" s="2"/>
      <c r="P59" s="2"/>
      <c r="Q59" s="2"/>
      <c r="R59" s="2"/>
      <c r="S59" s="2"/>
      <c r="T59" s="2"/>
      <c r="U59" s="2"/>
      <c r="V59" s="2"/>
      <c r="W59" s="2"/>
      <c r="X59" s="2"/>
      <c r="Y59" s="2"/>
      <c r="Z59" s="2"/>
    </row>
    <row r="60" customFormat="false" ht="12" hidden="false" customHeight="true" outlineLevel="0" collapsed="false">
      <c r="A60" s="2"/>
      <c r="B60" s="19"/>
      <c r="C60" s="19"/>
      <c r="D60" s="2"/>
      <c r="E60" s="2"/>
      <c r="F60" s="2"/>
      <c r="G60" s="2"/>
      <c r="H60" s="2"/>
      <c r="I60" s="2"/>
      <c r="J60" s="2"/>
      <c r="K60" s="2"/>
      <c r="L60" s="19"/>
      <c r="M60" s="19"/>
      <c r="N60" s="2"/>
      <c r="O60" s="2"/>
      <c r="P60" s="2"/>
      <c r="Q60" s="2"/>
      <c r="R60" s="2"/>
      <c r="S60" s="2"/>
      <c r="T60" s="2"/>
      <c r="U60" s="2"/>
      <c r="V60" s="2"/>
      <c r="W60" s="2"/>
      <c r="X60" s="2"/>
      <c r="Y60" s="2"/>
      <c r="Z60" s="2"/>
    </row>
    <row r="61" customFormat="false" ht="12" hidden="false" customHeight="true" outlineLevel="0" collapsed="false">
      <c r="A61" s="2"/>
      <c r="B61" s="19"/>
      <c r="C61" s="19"/>
      <c r="D61" s="2"/>
      <c r="E61" s="2"/>
      <c r="F61" s="2"/>
      <c r="G61" s="2"/>
      <c r="H61" s="2"/>
      <c r="I61" s="2"/>
      <c r="J61" s="2"/>
      <c r="K61" s="2"/>
      <c r="L61" s="19"/>
      <c r="M61" s="19"/>
      <c r="N61" s="2"/>
      <c r="O61" s="2"/>
      <c r="P61" s="2"/>
      <c r="Q61" s="2"/>
      <c r="R61" s="2"/>
      <c r="S61" s="2"/>
      <c r="T61" s="2"/>
      <c r="U61" s="2"/>
      <c r="V61" s="2"/>
      <c r="W61" s="2"/>
      <c r="X61" s="2"/>
      <c r="Y61" s="2"/>
      <c r="Z61" s="2"/>
    </row>
    <row r="62" customFormat="false" ht="12" hidden="false" customHeight="true" outlineLevel="0" collapsed="false">
      <c r="A62" s="2"/>
      <c r="B62" s="19"/>
      <c r="C62" s="19"/>
      <c r="D62" s="2"/>
      <c r="E62" s="2"/>
      <c r="F62" s="2"/>
      <c r="G62" s="2"/>
      <c r="H62" s="2"/>
      <c r="I62" s="2"/>
      <c r="J62" s="2"/>
      <c r="K62" s="2"/>
      <c r="L62" s="19"/>
      <c r="M62" s="19"/>
      <c r="N62" s="2"/>
      <c r="O62" s="2"/>
      <c r="P62" s="2"/>
      <c r="Q62" s="2"/>
      <c r="R62" s="2"/>
      <c r="S62" s="2"/>
      <c r="T62" s="2"/>
      <c r="U62" s="2"/>
      <c r="V62" s="2"/>
      <c r="W62" s="2"/>
      <c r="X62" s="2"/>
      <c r="Y62" s="2"/>
      <c r="Z62" s="2"/>
    </row>
    <row r="63" customFormat="false" ht="12" hidden="false" customHeight="true" outlineLevel="0" collapsed="false">
      <c r="A63" s="2"/>
      <c r="B63" s="19"/>
      <c r="C63" s="19"/>
      <c r="D63" s="2"/>
      <c r="E63" s="2"/>
      <c r="F63" s="2"/>
      <c r="G63" s="2"/>
      <c r="H63" s="2"/>
      <c r="I63" s="2"/>
      <c r="J63" s="2"/>
      <c r="K63" s="2"/>
      <c r="L63" s="19"/>
      <c r="M63" s="19"/>
      <c r="N63" s="2"/>
      <c r="O63" s="2"/>
      <c r="P63" s="2"/>
      <c r="Q63" s="2"/>
      <c r="R63" s="2"/>
      <c r="S63" s="2"/>
      <c r="T63" s="2"/>
      <c r="U63" s="2"/>
      <c r="V63" s="2"/>
      <c r="W63" s="2"/>
      <c r="X63" s="2"/>
      <c r="Y63" s="2"/>
      <c r="Z63" s="2"/>
    </row>
    <row r="64" customFormat="false" ht="12" hidden="false" customHeight="true" outlineLevel="0" collapsed="false">
      <c r="A64" s="2"/>
      <c r="B64" s="19"/>
      <c r="C64" s="19"/>
      <c r="D64" s="2"/>
      <c r="E64" s="2"/>
      <c r="F64" s="2"/>
      <c r="G64" s="2"/>
      <c r="H64" s="2"/>
      <c r="I64" s="2"/>
      <c r="J64" s="2"/>
      <c r="K64" s="2"/>
      <c r="L64" s="19"/>
      <c r="M64" s="19"/>
      <c r="N64" s="2"/>
      <c r="O64" s="2"/>
      <c r="P64" s="2"/>
      <c r="Q64" s="2"/>
      <c r="R64" s="2"/>
      <c r="S64" s="2"/>
      <c r="T64" s="2"/>
      <c r="U64" s="2"/>
      <c r="V64" s="2"/>
      <c r="W64" s="2"/>
      <c r="X64" s="2"/>
      <c r="Y64" s="2"/>
      <c r="Z64" s="2"/>
    </row>
    <row r="65" customFormat="false" ht="12" hidden="false" customHeight="true" outlineLevel="0" collapsed="false">
      <c r="A65" s="2"/>
      <c r="B65" s="19"/>
      <c r="C65" s="19"/>
      <c r="D65" s="2"/>
      <c r="E65" s="2"/>
      <c r="F65" s="2"/>
      <c r="G65" s="2"/>
      <c r="H65" s="2"/>
      <c r="I65" s="2"/>
      <c r="J65" s="2"/>
      <c r="K65" s="2"/>
      <c r="L65" s="19"/>
      <c r="M65" s="19"/>
      <c r="N65" s="2"/>
      <c r="O65" s="2"/>
      <c r="P65" s="2"/>
      <c r="Q65" s="2"/>
      <c r="R65" s="2"/>
      <c r="S65" s="2"/>
      <c r="T65" s="2"/>
      <c r="U65" s="2"/>
      <c r="V65" s="2"/>
      <c r="W65" s="2"/>
      <c r="X65" s="2"/>
      <c r="Y65" s="2"/>
      <c r="Z65" s="2"/>
    </row>
    <row r="66" customFormat="false" ht="12" hidden="false" customHeight="true" outlineLevel="0" collapsed="false">
      <c r="A66" s="2"/>
      <c r="B66" s="19"/>
      <c r="C66" s="19"/>
      <c r="D66" s="2"/>
      <c r="E66" s="2"/>
      <c r="F66" s="2"/>
      <c r="G66" s="2"/>
      <c r="H66" s="2"/>
      <c r="I66" s="2"/>
      <c r="J66" s="2"/>
      <c r="K66" s="2"/>
      <c r="L66" s="19"/>
      <c r="M66" s="19"/>
      <c r="N66" s="2"/>
      <c r="O66" s="2"/>
      <c r="P66" s="2"/>
      <c r="Q66" s="2"/>
      <c r="R66" s="2"/>
      <c r="S66" s="2"/>
      <c r="T66" s="2"/>
      <c r="U66" s="2"/>
      <c r="V66" s="2"/>
      <c r="W66" s="2"/>
      <c r="X66" s="2"/>
      <c r="Y66" s="2"/>
      <c r="Z66" s="2"/>
    </row>
    <row r="67" customFormat="false" ht="12" hidden="false" customHeight="true" outlineLevel="0" collapsed="false">
      <c r="A67" s="2"/>
      <c r="B67" s="19"/>
      <c r="C67" s="19"/>
      <c r="D67" s="2"/>
      <c r="E67" s="2"/>
      <c r="F67" s="2"/>
      <c r="G67" s="2"/>
      <c r="H67" s="2"/>
      <c r="I67" s="2"/>
      <c r="J67" s="2"/>
      <c r="K67" s="2"/>
      <c r="L67" s="19"/>
      <c r="M67" s="19"/>
      <c r="N67" s="2"/>
      <c r="O67" s="2"/>
      <c r="P67" s="2"/>
      <c r="Q67" s="2"/>
      <c r="R67" s="2"/>
      <c r="S67" s="2"/>
      <c r="T67" s="2"/>
      <c r="U67" s="2"/>
      <c r="V67" s="2"/>
      <c r="W67" s="2"/>
      <c r="X67" s="2"/>
      <c r="Y67" s="2"/>
      <c r="Z67" s="2"/>
    </row>
    <row r="68" customFormat="false" ht="12" hidden="false" customHeight="true" outlineLevel="0" collapsed="false">
      <c r="A68" s="2"/>
      <c r="B68" s="19"/>
      <c r="C68" s="19"/>
      <c r="D68" s="2"/>
      <c r="E68" s="2"/>
      <c r="F68" s="2"/>
      <c r="G68" s="2"/>
      <c r="H68" s="2"/>
      <c r="I68" s="2"/>
      <c r="J68" s="2"/>
      <c r="K68" s="2"/>
      <c r="L68" s="19"/>
      <c r="M68" s="19"/>
      <c r="N68" s="2"/>
      <c r="O68" s="2"/>
      <c r="P68" s="2"/>
      <c r="Q68" s="2"/>
      <c r="R68" s="2"/>
      <c r="S68" s="2"/>
      <c r="T68" s="2"/>
      <c r="U68" s="2"/>
      <c r="V68" s="2"/>
      <c r="W68" s="2"/>
      <c r="X68" s="2"/>
      <c r="Y68" s="2"/>
      <c r="Z68" s="2"/>
    </row>
    <row r="69" customFormat="false" ht="12" hidden="false" customHeight="true" outlineLevel="0" collapsed="false">
      <c r="A69" s="2"/>
      <c r="B69" s="19"/>
      <c r="C69" s="19"/>
      <c r="D69" s="2"/>
      <c r="E69" s="2"/>
      <c r="F69" s="2"/>
      <c r="G69" s="2"/>
      <c r="H69" s="2"/>
      <c r="I69" s="2"/>
      <c r="J69" s="2"/>
      <c r="K69" s="2"/>
      <c r="L69" s="19"/>
      <c r="M69" s="19"/>
      <c r="N69" s="2"/>
      <c r="O69" s="2"/>
      <c r="P69" s="2"/>
      <c r="Q69" s="2"/>
      <c r="R69" s="2"/>
      <c r="S69" s="2"/>
      <c r="T69" s="2"/>
      <c r="U69" s="2"/>
      <c r="V69" s="2"/>
      <c r="W69" s="2"/>
      <c r="X69" s="2"/>
      <c r="Y69" s="2"/>
      <c r="Z69" s="2"/>
    </row>
    <row r="70" customFormat="false" ht="12" hidden="false" customHeight="true" outlineLevel="0" collapsed="false">
      <c r="A70" s="2"/>
      <c r="B70" s="19"/>
      <c r="C70" s="19"/>
      <c r="D70" s="2"/>
      <c r="E70" s="2"/>
      <c r="F70" s="2"/>
      <c r="G70" s="2"/>
      <c r="H70" s="2"/>
      <c r="I70" s="2"/>
      <c r="J70" s="2"/>
      <c r="K70" s="2"/>
      <c r="L70" s="19"/>
      <c r="M70" s="19"/>
      <c r="N70" s="2"/>
      <c r="O70" s="2"/>
      <c r="P70" s="2"/>
      <c r="Q70" s="2"/>
      <c r="R70" s="2"/>
      <c r="S70" s="2"/>
      <c r="T70" s="2"/>
      <c r="U70" s="2"/>
      <c r="V70" s="2"/>
      <c r="W70" s="2"/>
      <c r="X70" s="2"/>
      <c r="Y70" s="2"/>
      <c r="Z70" s="2"/>
    </row>
    <row r="71" customFormat="false" ht="12" hidden="false" customHeight="true" outlineLevel="0" collapsed="false">
      <c r="A71" s="2"/>
      <c r="B71" s="19"/>
      <c r="C71" s="19"/>
      <c r="D71" s="2"/>
      <c r="E71" s="2"/>
      <c r="F71" s="2"/>
      <c r="G71" s="2"/>
      <c r="H71" s="2"/>
      <c r="I71" s="2"/>
      <c r="J71" s="2"/>
      <c r="K71" s="2"/>
      <c r="L71" s="19"/>
      <c r="M71" s="19"/>
      <c r="N71" s="2"/>
      <c r="O71" s="2"/>
      <c r="P71" s="2"/>
      <c r="Q71" s="2"/>
      <c r="R71" s="2"/>
      <c r="S71" s="2"/>
      <c r="T71" s="2"/>
      <c r="U71" s="2"/>
      <c r="V71" s="2"/>
      <c r="W71" s="2"/>
      <c r="X71" s="2"/>
      <c r="Y71" s="2"/>
      <c r="Z71" s="2"/>
    </row>
    <row r="72" customFormat="false" ht="12" hidden="false" customHeight="true" outlineLevel="0" collapsed="false">
      <c r="A72" s="2"/>
      <c r="B72" s="19"/>
      <c r="C72" s="19"/>
      <c r="D72" s="2"/>
      <c r="E72" s="2"/>
      <c r="F72" s="2"/>
      <c r="G72" s="2"/>
      <c r="H72" s="2"/>
      <c r="I72" s="2"/>
      <c r="J72" s="2"/>
      <c r="K72" s="2"/>
      <c r="L72" s="19"/>
      <c r="M72" s="19"/>
      <c r="N72" s="2"/>
      <c r="O72" s="2"/>
      <c r="P72" s="2"/>
      <c r="Q72" s="2"/>
      <c r="R72" s="2"/>
      <c r="S72" s="2"/>
      <c r="T72" s="2"/>
      <c r="U72" s="2"/>
      <c r="V72" s="2"/>
      <c r="W72" s="2"/>
      <c r="X72" s="2"/>
      <c r="Y72" s="2"/>
      <c r="Z72" s="2"/>
    </row>
    <row r="73" customFormat="false" ht="12" hidden="false" customHeight="true" outlineLevel="0" collapsed="false">
      <c r="A73" s="2"/>
      <c r="B73" s="19"/>
      <c r="C73" s="19"/>
      <c r="D73" s="2"/>
      <c r="E73" s="2"/>
      <c r="F73" s="2"/>
      <c r="G73" s="2"/>
      <c r="H73" s="2"/>
      <c r="I73" s="2"/>
      <c r="J73" s="2"/>
      <c r="K73" s="2"/>
      <c r="L73" s="19"/>
      <c r="M73" s="19"/>
      <c r="N73" s="2"/>
      <c r="O73" s="2"/>
      <c r="P73" s="2"/>
      <c r="Q73" s="2"/>
      <c r="R73" s="2"/>
      <c r="S73" s="2"/>
      <c r="T73" s="2"/>
      <c r="U73" s="2"/>
      <c r="V73" s="2"/>
      <c r="W73" s="2"/>
      <c r="X73" s="2"/>
      <c r="Y73" s="2"/>
      <c r="Z73" s="2"/>
    </row>
    <row r="74" customFormat="false" ht="12" hidden="false" customHeight="true" outlineLevel="0" collapsed="false">
      <c r="A74" s="2"/>
      <c r="B74" s="19"/>
      <c r="C74" s="19"/>
      <c r="D74" s="2"/>
      <c r="E74" s="2"/>
      <c r="F74" s="2"/>
      <c r="G74" s="2"/>
      <c r="H74" s="2"/>
      <c r="I74" s="2"/>
      <c r="J74" s="2"/>
      <c r="K74" s="2"/>
      <c r="L74" s="19"/>
      <c r="M74" s="19"/>
      <c r="N74" s="2"/>
      <c r="O74" s="2"/>
      <c r="P74" s="2"/>
      <c r="Q74" s="2"/>
      <c r="R74" s="2"/>
      <c r="S74" s="2"/>
      <c r="T74" s="2"/>
      <c r="U74" s="2"/>
      <c r="V74" s="2"/>
      <c r="W74" s="2"/>
      <c r="X74" s="2"/>
      <c r="Y74" s="2"/>
      <c r="Z74" s="2"/>
    </row>
    <row r="75" customFormat="false" ht="12" hidden="false" customHeight="true" outlineLevel="0" collapsed="false">
      <c r="A75" s="2"/>
      <c r="B75" s="19"/>
      <c r="C75" s="19"/>
      <c r="D75" s="2"/>
      <c r="E75" s="2"/>
      <c r="F75" s="2"/>
      <c r="G75" s="2"/>
      <c r="H75" s="2"/>
      <c r="I75" s="2"/>
      <c r="J75" s="2"/>
      <c r="K75" s="2"/>
      <c r="L75" s="19"/>
      <c r="M75" s="19"/>
      <c r="N75" s="2"/>
      <c r="O75" s="2"/>
      <c r="P75" s="2"/>
      <c r="Q75" s="2"/>
      <c r="R75" s="2"/>
      <c r="S75" s="2"/>
      <c r="T75" s="2"/>
      <c r="U75" s="2"/>
      <c r="V75" s="2"/>
      <c r="W75" s="2"/>
      <c r="X75" s="2"/>
      <c r="Y75" s="2"/>
      <c r="Z75" s="2"/>
    </row>
    <row r="76" customFormat="false" ht="12" hidden="false" customHeight="true" outlineLevel="0" collapsed="false">
      <c r="A76" s="2"/>
      <c r="B76" s="19"/>
      <c r="C76" s="19"/>
      <c r="D76" s="2"/>
      <c r="E76" s="2"/>
      <c r="F76" s="2"/>
      <c r="G76" s="2"/>
      <c r="H76" s="2"/>
      <c r="I76" s="2"/>
      <c r="J76" s="2"/>
      <c r="K76" s="2"/>
      <c r="L76" s="19"/>
      <c r="M76" s="19"/>
      <c r="N76" s="2"/>
      <c r="O76" s="2"/>
      <c r="P76" s="2"/>
      <c r="Q76" s="2"/>
      <c r="R76" s="2"/>
      <c r="S76" s="2"/>
      <c r="T76" s="2"/>
      <c r="U76" s="2"/>
      <c r="V76" s="2"/>
      <c r="W76" s="2"/>
      <c r="X76" s="2"/>
      <c r="Y76" s="2"/>
      <c r="Z76" s="2"/>
    </row>
    <row r="77" customFormat="false" ht="12" hidden="false" customHeight="true" outlineLevel="0" collapsed="false">
      <c r="A77" s="2"/>
      <c r="B77" s="19"/>
      <c r="C77" s="19"/>
      <c r="D77" s="2"/>
      <c r="E77" s="2"/>
      <c r="F77" s="2"/>
      <c r="G77" s="2"/>
      <c r="H77" s="2"/>
      <c r="I77" s="2"/>
      <c r="J77" s="2"/>
      <c r="K77" s="2"/>
      <c r="L77" s="19"/>
      <c r="M77" s="19"/>
      <c r="N77" s="2"/>
      <c r="O77" s="2"/>
      <c r="P77" s="2"/>
      <c r="Q77" s="2"/>
      <c r="R77" s="2"/>
      <c r="S77" s="2"/>
      <c r="T77" s="2"/>
      <c r="U77" s="2"/>
      <c r="V77" s="2"/>
      <c r="W77" s="2"/>
      <c r="X77" s="2"/>
      <c r="Y77" s="2"/>
      <c r="Z77" s="2"/>
    </row>
    <row r="78" customFormat="false" ht="12" hidden="false" customHeight="true" outlineLevel="0" collapsed="false">
      <c r="A78" s="2"/>
      <c r="B78" s="19"/>
      <c r="C78" s="19"/>
      <c r="D78" s="2"/>
      <c r="E78" s="2"/>
      <c r="F78" s="2"/>
      <c r="G78" s="2"/>
      <c r="H78" s="2"/>
      <c r="I78" s="2"/>
      <c r="J78" s="2"/>
      <c r="K78" s="2"/>
      <c r="L78" s="19"/>
      <c r="M78" s="19"/>
      <c r="N78" s="2"/>
      <c r="O78" s="2"/>
      <c r="P78" s="2"/>
      <c r="Q78" s="2"/>
      <c r="R78" s="2"/>
      <c r="S78" s="2"/>
      <c r="T78" s="2"/>
      <c r="U78" s="2"/>
      <c r="V78" s="2"/>
      <c r="W78" s="2"/>
      <c r="X78" s="2"/>
      <c r="Y78" s="2"/>
      <c r="Z78" s="2"/>
    </row>
    <row r="79" customFormat="false" ht="12" hidden="false" customHeight="true" outlineLevel="0" collapsed="false">
      <c r="A79" s="2"/>
      <c r="B79" s="19"/>
      <c r="C79" s="19"/>
      <c r="D79" s="2"/>
      <c r="E79" s="2"/>
      <c r="F79" s="2"/>
      <c r="G79" s="2"/>
      <c r="H79" s="2"/>
      <c r="I79" s="2"/>
      <c r="J79" s="2"/>
      <c r="K79" s="2"/>
      <c r="L79" s="19"/>
      <c r="M79" s="19"/>
      <c r="N79" s="2"/>
      <c r="O79" s="2"/>
      <c r="P79" s="2"/>
      <c r="Q79" s="2"/>
      <c r="R79" s="2"/>
      <c r="S79" s="2"/>
      <c r="T79" s="2"/>
      <c r="U79" s="2"/>
      <c r="V79" s="2"/>
      <c r="W79" s="2"/>
      <c r="X79" s="2"/>
      <c r="Y79" s="2"/>
      <c r="Z79" s="2"/>
    </row>
    <row r="80" customFormat="false" ht="12" hidden="false" customHeight="true" outlineLevel="0" collapsed="false">
      <c r="A80" s="2"/>
      <c r="B80" s="19"/>
      <c r="C80" s="19"/>
      <c r="D80" s="2"/>
      <c r="E80" s="2"/>
      <c r="F80" s="2"/>
      <c r="G80" s="2"/>
      <c r="H80" s="2"/>
      <c r="I80" s="2"/>
      <c r="J80" s="2"/>
      <c r="K80" s="2"/>
      <c r="L80" s="19"/>
      <c r="M80" s="19"/>
      <c r="N80" s="2"/>
      <c r="O80" s="2"/>
      <c r="P80" s="2"/>
      <c r="Q80" s="2"/>
      <c r="R80" s="2"/>
      <c r="S80" s="2"/>
      <c r="T80" s="2"/>
      <c r="U80" s="2"/>
      <c r="V80" s="2"/>
      <c r="W80" s="2"/>
      <c r="X80" s="2"/>
      <c r="Y80" s="2"/>
      <c r="Z80" s="2"/>
    </row>
    <row r="81" customFormat="false" ht="12" hidden="false" customHeight="true" outlineLevel="0" collapsed="false">
      <c r="A81" s="2"/>
      <c r="B81" s="19"/>
      <c r="C81" s="19"/>
      <c r="D81" s="2"/>
      <c r="E81" s="2"/>
      <c r="F81" s="2"/>
      <c r="G81" s="2"/>
      <c r="H81" s="2"/>
      <c r="I81" s="2"/>
      <c r="J81" s="2"/>
      <c r="K81" s="2"/>
      <c r="L81" s="19"/>
      <c r="M81" s="19"/>
      <c r="N81" s="2"/>
      <c r="O81" s="2"/>
      <c r="P81" s="2"/>
      <c r="Q81" s="2"/>
      <c r="R81" s="2"/>
      <c r="S81" s="2"/>
      <c r="T81" s="2"/>
      <c r="U81" s="2"/>
      <c r="V81" s="2"/>
      <c r="W81" s="2"/>
      <c r="X81" s="2"/>
      <c r="Y81" s="2"/>
      <c r="Z81" s="2"/>
    </row>
    <row r="82" customFormat="false" ht="12" hidden="false" customHeight="true" outlineLevel="0" collapsed="false">
      <c r="A82" s="2"/>
      <c r="B82" s="19"/>
      <c r="C82" s="19"/>
      <c r="D82" s="2"/>
      <c r="E82" s="2"/>
      <c r="F82" s="2"/>
      <c r="G82" s="2"/>
      <c r="H82" s="2"/>
      <c r="I82" s="2"/>
      <c r="J82" s="2"/>
      <c r="K82" s="2"/>
      <c r="L82" s="19"/>
      <c r="M82" s="19"/>
      <c r="N82" s="2"/>
      <c r="O82" s="2"/>
      <c r="P82" s="2"/>
      <c r="Q82" s="2"/>
      <c r="R82" s="2"/>
      <c r="S82" s="2"/>
      <c r="T82" s="2"/>
      <c r="U82" s="2"/>
      <c r="V82" s="2"/>
      <c r="W82" s="2"/>
      <c r="X82" s="2"/>
      <c r="Y82" s="2"/>
      <c r="Z82" s="2"/>
    </row>
    <row r="83" customFormat="false" ht="12" hidden="false" customHeight="true" outlineLevel="0" collapsed="false">
      <c r="A83" s="2"/>
      <c r="B83" s="19"/>
      <c r="C83" s="19"/>
      <c r="D83" s="2"/>
      <c r="E83" s="2"/>
      <c r="F83" s="2"/>
      <c r="G83" s="2"/>
      <c r="H83" s="2"/>
      <c r="I83" s="2"/>
      <c r="J83" s="2"/>
      <c r="K83" s="2"/>
      <c r="L83" s="19"/>
      <c r="M83" s="19"/>
      <c r="N83" s="2"/>
      <c r="O83" s="2"/>
      <c r="P83" s="2"/>
      <c r="Q83" s="2"/>
      <c r="R83" s="2"/>
      <c r="S83" s="2"/>
      <c r="T83" s="2"/>
      <c r="U83" s="2"/>
      <c r="V83" s="2"/>
      <c r="W83" s="2"/>
      <c r="X83" s="2"/>
      <c r="Y83" s="2"/>
      <c r="Z83" s="2"/>
    </row>
    <row r="84" customFormat="false" ht="12" hidden="false" customHeight="true" outlineLevel="0" collapsed="false">
      <c r="A84" s="2"/>
      <c r="B84" s="19"/>
      <c r="C84" s="19"/>
      <c r="D84" s="2"/>
      <c r="E84" s="2"/>
      <c r="F84" s="2"/>
      <c r="G84" s="2"/>
      <c r="H84" s="2"/>
      <c r="I84" s="2"/>
      <c r="J84" s="2"/>
      <c r="K84" s="2"/>
      <c r="L84" s="19"/>
      <c r="M84" s="19"/>
      <c r="N84" s="2"/>
      <c r="O84" s="2"/>
      <c r="P84" s="2"/>
      <c r="Q84" s="2"/>
      <c r="R84" s="2"/>
      <c r="S84" s="2"/>
      <c r="T84" s="2"/>
      <c r="U84" s="2"/>
      <c r="V84" s="2"/>
      <c r="W84" s="2"/>
      <c r="X84" s="2"/>
      <c r="Y84" s="2"/>
      <c r="Z84" s="2"/>
    </row>
    <row r="85" customFormat="false" ht="12" hidden="false" customHeight="true" outlineLevel="0" collapsed="false">
      <c r="A85" s="2"/>
      <c r="B85" s="19"/>
      <c r="C85" s="19"/>
      <c r="D85" s="2"/>
      <c r="E85" s="2"/>
      <c r="F85" s="2"/>
      <c r="G85" s="2"/>
      <c r="H85" s="2"/>
      <c r="I85" s="2"/>
      <c r="J85" s="2"/>
      <c r="K85" s="2"/>
      <c r="L85" s="19"/>
      <c r="M85" s="19"/>
      <c r="N85" s="2"/>
      <c r="O85" s="2"/>
      <c r="P85" s="2"/>
      <c r="Q85" s="2"/>
      <c r="R85" s="2"/>
      <c r="S85" s="2"/>
      <c r="T85" s="2"/>
      <c r="U85" s="2"/>
      <c r="V85" s="2"/>
      <c r="W85" s="2"/>
      <c r="X85" s="2"/>
      <c r="Y85" s="2"/>
      <c r="Z85" s="2"/>
    </row>
    <row r="86" customFormat="false" ht="12" hidden="false" customHeight="true" outlineLevel="0" collapsed="false">
      <c r="A86" s="2"/>
      <c r="B86" s="19"/>
      <c r="C86" s="19"/>
      <c r="D86" s="2"/>
      <c r="E86" s="2"/>
      <c r="F86" s="2"/>
      <c r="G86" s="2"/>
      <c r="H86" s="2"/>
      <c r="I86" s="2"/>
      <c r="J86" s="2"/>
      <c r="K86" s="2"/>
      <c r="L86" s="19"/>
      <c r="M86" s="19"/>
      <c r="N86" s="2"/>
      <c r="O86" s="2"/>
      <c r="P86" s="2"/>
      <c r="Q86" s="2"/>
      <c r="R86" s="2"/>
      <c r="S86" s="2"/>
      <c r="T86" s="2"/>
      <c r="U86" s="2"/>
      <c r="V86" s="2"/>
      <c r="W86" s="2"/>
      <c r="X86" s="2"/>
      <c r="Y86" s="2"/>
      <c r="Z86" s="2"/>
    </row>
    <row r="87" customFormat="false" ht="12" hidden="false" customHeight="true" outlineLevel="0" collapsed="false">
      <c r="A87" s="2"/>
      <c r="B87" s="19"/>
      <c r="C87" s="19"/>
      <c r="D87" s="2"/>
      <c r="E87" s="2"/>
      <c r="F87" s="2"/>
      <c r="G87" s="2"/>
      <c r="H87" s="2"/>
      <c r="I87" s="2"/>
      <c r="J87" s="2"/>
      <c r="K87" s="2"/>
      <c r="L87" s="19"/>
      <c r="M87" s="19"/>
      <c r="N87" s="2"/>
      <c r="O87" s="2"/>
      <c r="P87" s="2"/>
      <c r="Q87" s="2"/>
      <c r="R87" s="2"/>
      <c r="S87" s="2"/>
      <c r="T87" s="2"/>
      <c r="U87" s="2"/>
      <c r="V87" s="2"/>
      <c r="W87" s="2"/>
      <c r="X87" s="2"/>
      <c r="Y87" s="2"/>
      <c r="Z87" s="2"/>
    </row>
    <row r="88" customFormat="false" ht="12" hidden="false" customHeight="true" outlineLevel="0" collapsed="false">
      <c r="A88" s="2"/>
      <c r="B88" s="19"/>
      <c r="C88" s="19"/>
      <c r="D88" s="2"/>
      <c r="E88" s="2"/>
      <c r="F88" s="2"/>
      <c r="G88" s="2"/>
      <c r="H88" s="2"/>
      <c r="I88" s="2"/>
      <c r="J88" s="2"/>
      <c r="K88" s="2"/>
      <c r="L88" s="19"/>
      <c r="M88" s="19"/>
      <c r="N88" s="2"/>
      <c r="O88" s="2"/>
      <c r="P88" s="2"/>
      <c r="Q88" s="2"/>
      <c r="R88" s="2"/>
      <c r="S88" s="2"/>
      <c r="T88" s="2"/>
      <c r="U88" s="2"/>
      <c r="V88" s="2"/>
      <c r="W88" s="2"/>
      <c r="X88" s="2"/>
      <c r="Y88" s="2"/>
      <c r="Z88" s="2"/>
    </row>
    <row r="89" customFormat="false" ht="12" hidden="false" customHeight="true" outlineLevel="0" collapsed="false">
      <c r="A89" s="2"/>
      <c r="B89" s="19"/>
      <c r="C89" s="19"/>
      <c r="D89" s="2"/>
      <c r="E89" s="2"/>
      <c r="F89" s="2"/>
      <c r="G89" s="2"/>
      <c r="H89" s="2"/>
      <c r="I89" s="2"/>
      <c r="J89" s="2"/>
      <c r="K89" s="2"/>
      <c r="L89" s="19"/>
      <c r="M89" s="19"/>
      <c r="N89" s="2"/>
      <c r="O89" s="2"/>
      <c r="P89" s="2"/>
      <c r="Q89" s="2"/>
      <c r="R89" s="2"/>
      <c r="S89" s="2"/>
      <c r="T89" s="2"/>
      <c r="U89" s="2"/>
      <c r="V89" s="2"/>
      <c r="W89" s="2"/>
      <c r="X89" s="2"/>
      <c r="Y89" s="2"/>
      <c r="Z89" s="2"/>
    </row>
    <row r="90" customFormat="false" ht="12" hidden="false" customHeight="true" outlineLevel="0" collapsed="false">
      <c r="A90" s="2"/>
      <c r="B90" s="19"/>
      <c r="C90" s="19"/>
      <c r="D90" s="2"/>
      <c r="E90" s="2"/>
      <c r="F90" s="2"/>
      <c r="G90" s="2"/>
      <c r="H90" s="2"/>
      <c r="I90" s="2"/>
      <c r="J90" s="2"/>
      <c r="K90" s="2"/>
      <c r="L90" s="19"/>
      <c r="M90" s="19"/>
      <c r="N90" s="2"/>
      <c r="O90" s="2"/>
      <c r="P90" s="2"/>
      <c r="Q90" s="2"/>
      <c r="R90" s="2"/>
      <c r="S90" s="2"/>
      <c r="T90" s="2"/>
      <c r="U90" s="2"/>
      <c r="V90" s="2"/>
      <c r="W90" s="2"/>
      <c r="X90" s="2"/>
      <c r="Y90" s="2"/>
      <c r="Z90" s="2"/>
    </row>
    <row r="91" customFormat="false" ht="12" hidden="false" customHeight="true" outlineLevel="0" collapsed="false">
      <c r="A91" s="2"/>
      <c r="B91" s="19"/>
      <c r="C91" s="19"/>
      <c r="D91" s="2"/>
      <c r="E91" s="2"/>
      <c r="F91" s="2"/>
      <c r="G91" s="2"/>
      <c r="H91" s="2"/>
      <c r="I91" s="2"/>
      <c r="J91" s="2"/>
      <c r="K91" s="2"/>
      <c r="L91" s="19"/>
      <c r="M91" s="19"/>
      <c r="N91" s="2"/>
      <c r="O91" s="2"/>
      <c r="P91" s="2"/>
      <c r="Q91" s="2"/>
      <c r="R91" s="2"/>
      <c r="S91" s="2"/>
      <c r="T91" s="2"/>
      <c r="U91" s="2"/>
      <c r="V91" s="2"/>
      <c r="W91" s="2"/>
      <c r="X91" s="2"/>
      <c r="Y91" s="2"/>
      <c r="Z91" s="2"/>
    </row>
    <row r="92" customFormat="false" ht="12" hidden="false" customHeight="true" outlineLevel="0" collapsed="false">
      <c r="A92" s="2"/>
      <c r="B92" s="19"/>
      <c r="C92" s="19"/>
      <c r="D92" s="2"/>
      <c r="E92" s="2"/>
      <c r="F92" s="2"/>
      <c r="G92" s="2"/>
      <c r="H92" s="2"/>
      <c r="I92" s="2"/>
      <c r="J92" s="2"/>
      <c r="K92" s="2"/>
      <c r="L92" s="19"/>
      <c r="M92" s="19"/>
      <c r="N92" s="2"/>
      <c r="O92" s="2"/>
      <c r="P92" s="2"/>
      <c r="Q92" s="2"/>
      <c r="R92" s="2"/>
      <c r="S92" s="2"/>
      <c r="T92" s="2"/>
      <c r="U92" s="2"/>
      <c r="V92" s="2"/>
      <c r="W92" s="2"/>
      <c r="X92" s="2"/>
      <c r="Y92" s="2"/>
      <c r="Z92" s="2"/>
    </row>
    <row r="93" customFormat="false" ht="12" hidden="false" customHeight="true" outlineLevel="0" collapsed="false">
      <c r="A93" s="2"/>
      <c r="B93" s="19"/>
      <c r="C93" s="19"/>
      <c r="D93" s="2"/>
      <c r="E93" s="2"/>
      <c r="F93" s="2"/>
      <c r="G93" s="2"/>
      <c r="H93" s="2"/>
      <c r="I93" s="2"/>
      <c r="J93" s="2"/>
      <c r="K93" s="2"/>
      <c r="L93" s="19"/>
      <c r="M93" s="19"/>
      <c r="N93" s="2"/>
      <c r="O93" s="2"/>
      <c r="P93" s="2"/>
      <c r="Q93" s="2"/>
      <c r="R93" s="2"/>
      <c r="S93" s="2"/>
      <c r="T93" s="2"/>
      <c r="U93" s="2"/>
      <c r="V93" s="2"/>
      <c r="W93" s="2"/>
      <c r="X93" s="2"/>
      <c r="Y93" s="2"/>
      <c r="Z93" s="2"/>
    </row>
    <row r="94" customFormat="false" ht="12" hidden="false" customHeight="true" outlineLevel="0" collapsed="false">
      <c r="A94" s="2"/>
      <c r="B94" s="19"/>
      <c r="C94" s="19"/>
      <c r="D94" s="2"/>
      <c r="E94" s="2"/>
      <c r="F94" s="2"/>
      <c r="G94" s="2"/>
      <c r="H94" s="2"/>
      <c r="I94" s="2"/>
      <c r="J94" s="2"/>
      <c r="K94" s="2"/>
      <c r="L94" s="19"/>
      <c r="M94" s="19"/>
      <c r="N94" s="2"/>
      <c r="O94" s="2"/>
      <c r="P94" s="2"/>
      <c r="Q94" s="2"/>
      <c r="R94" s="2"/>
      <c r="S94" s="2"/>
      <c r="T94" s="2"/>
      <c r="U94" s="2"/>
      <c r="V94" s="2"/>
      <c r="W94" s="2"/>
      <c r="X94" s="2"/>
      <c r="Y94" s="2"/>
      <c r="Z94" s="2"/>
    </row>
    <row r="95" customFormat="false" ht="12" hidden="false" customHeight="true" outlineLevel="0" collapsed="false">
      <c r="A95" s="2"/>
      <c r="B95" s="19"/>
      <c r="C95" s="19"/>
      <c r="D95" s="2"/>
      <c r="E95" s="2"/>
      <c r="F95" s="2"/>
      <c r="G95" s="2"/>
      <c r="H95" s="2"/>
      <c r="I95" s="2"/>
      <c r="J95" s="2"/>
      <c r="K95" s="2"/>
      <c r="L95" s="19"/>
      <c r="M95" s="19"/>
      <c r="N95" s="2"/>
      <c r="O95" s="2"/>
      <c r="P95" s="2"/>
      <c r="Q95" s="2"/>
      <c r="R95" s="2"/>
      <c r="S95" s="2"/>
      <c r="T95" s="2"/>
      <c r="U95" s="2"/>
      <c r="V95" s="2"/>
      <c r="W95" s="2"/>
      <c r="X95" s="2"/>
      <c r="Y95" s="2"/>
      <c r="Z95" s="2"/>
    </row>
    <row r="96" customFormat="false" ht="12" hidden="false" customHeight="true" outlineLevel="0" collapsed="false">
      <c r="A96" s="2"/>
      <c r="B96" s="19"/>
      <c r="C96" s="19"/>
      <c r="D96" s="2"/>
      <c r="E96" s="2"/>
      <c r="F96" s="2"/>
      <c r="G96" s="2"/>
      <c r="H96" s="2"/>
      <c r="I96" s="2"/>
      <c r="J96" s="2"/>
      <c r="K96" s="2"/>
      <c r="L96" s="19"/>
      <c r="M96" s="19"/>
      <c r="N96" s="2"/>
      <c r="O96" s="2"/>
      <c r="P96" s="2"/>
      <c r="Q96" s="2"/>
      <c r="R96" s="2"/>
      <c r="S96" s="2"/>
      <c r="T96" s="2"/>
      <c r="U96" s="2"/>
      <c r="V96" s="2"/>
      <c r="W96" s="2"/>
      <c r="X96" s="2"/>
      <c r="Y96" s="2"/>
      <c r="Z96" s="2"/>
    </row>
    <row r="97" customFormat="false" ht="12" hidden="false" customHeight="true" outlineLevel="0" collapsed="false">
      <c r="A97" s="2"/>
      <c r="B97" s="19"/>
      <c r="C97" s="19"/>
      <c r="D97" s="2"/>
      <c r="E97" s="2"/>
      <c r="F97" s="2"/>
      <c r="G97" s="2"/>
      <c r="H97" s="2"/>
      <c r="I97" s="2"/>
      <c r="J97" s="2"/>
      <c r="K97" s="2"/>
      <c r="L97" s="19"/>
      <c r="M97" s="19"/>
      <c r="N97" s="2"/>
      <c r="O97" s="2"/>
      <c r="P97" s="2"/>
      <c r="Q97" s="2"/>
      <c r="R97" s="2"/>
      <c r="S97" s="2"/>
      <c r="T97" s="2"/>
      <c r="U97" s="2"/>
      <c r="V97" s="2"/>
      <c r="W97" s="2"/>
      <c r="X97" s="2"/>
      <c r="Y97" s="2"/>
      <c r="Z97" s="2"/>
    </row>
    <row r="98" customFormat="false" ht="12" hidden="false" customHeight="true" outlineLevel="0" collapsed="false">
      <c r="A98" s="2"/>
      <c r="B98" s="19"/>
      <c r="C98" s="19"/>
      <c r="D98" s="2"/>
      <c r="E98" s="2"/>
      <c r="F98" s="2"/>
      <c r="G98" s="2"/>
      <c r="H98" s="2"/>
      <c r="I98" s="2"/>
      <c r="J98" s="2"/>
      <c r="K98" s="2"/>
      <c r="L98" s="19"/>
      <c r="M98" s="19"/>
      <c r="N98" s="2"/>
      <c r="O98" s="2"/>
      <c r="P98" s="2"/>
      <c r="Q98" s="2"/>
      <c r="R98" s="2"/>
      <c r="S98" s="2"/>
      <c r="T98" s="2"/>
      <c r="U98" s="2"/>
      <c r="V98" s="2"/>
      <c r="W98" s="2"/>
      <c r="X98" s="2"/>
      <c r="Y98" s="2"/>
      <c r="Z98" s="2"/>
    </row>
    <row r="99" customFormat="false" ht="12" hidden="false" customHeight="true" outlineLevel="0" collapsed="false">
      <c r="A99" s="2"/>
      <c r="B99" s="19"/>
      <c r="C99" s="19"/>
      <c r="D99" s="2"/>
      <c r="E99" s="2"/>
      <c r="F99" s="2"/>
      <c r="G99" s="2"/>
      <c r="H99" s="2"/>
      <c r="I99" s="2"/>
      <c r="J99" s="2"/>
      <c r="K99" s="2"/>
      <c r="L99" s="19"/>
      <c r="M99" s="19"/>
      <c r="N99" s="2"/>
      <c r="O99" s="2"/>
      <c r="P99" s="2"/>
      <c r="Q99" s="2"/>
      <c r="R99" s="2"/>
      <c r="S99" s="2"/>
      <c r="T99" s="2"/>
      <c r="U99" s="2"/>
      <c r="V99" s="2"/>
      <c r="W99" s="2"/>
      <c r="X99" s="2"/>
      <c r="Y99" s="2"/>
      <c r="Z99" s="2"/>
    </row>
    <row r="100" customFormat="false" ht="12" hidden="false" customHeight="true" outlineLevel="0" collapsed="false">
      <c r="A100" s="2"/>
      <c r="B100" s="19"/>
      <c r="C100" s="19"/>
      <c r="D100" s="2"/>
      <c r="E100" s="2"/>
      <c r="F100" s="2"/>
      <c r="G100" s="2"/>
      <c r="H100" s="2"/>
      <c r="I100" s="2"/>
      <c r="J100" s="2"/>
      <c r="K100" s="2"/>
      <c r="L100" s="19"/>
      <c r="M100" s="19"/>
      <c r="N100" s="2"/>
      <c r="O100" s="2"/>
      <c r="P100" s="2"/>
      <c r="Q100" s="2"/>
      <c r="R100" s="2"/>
      <c r="S100" s="2"/>
      <c r="T100" s="2"/>
      <c r="U100" s="2"/>
      <c r="V100" s="2"/>
      <c r="W100" s="2"/>
      <c r="X100" s="2"/>
      <c r="Y100" s="2"/>
      <c r="Z100" s="2"/>
    </row>
    <row r="101" customFormat="false" ht="12" hidden="false" customHeight="true" outlineLevel="0" collapsed="false">
      <c r="A101" s="2"/>
      <c r="B101" s="19"/>
      <c r="C101" s="19"/>
      <c r="D101" s="2"/>
      <c r="E101" s="2"/>
      <c r="F101" s="2"/>
      <c r="G101" s="2"/>
      <c r="H101" s="2"/>
      <c r="I101" s="2"/>
      <c r="J101" s="2"/>
      <c r="K101" s="2"/>
      <c r="L101" s="19"/>
      <c r="M101" s="19"/>
      <c r="N101" s="2"/>
      <c r="O101" s="2"/>
      <c r="P101" s="2"/>
      <c r="Q101" s="2"/>
      <c r="R101" s="2"/>
      <c r="S101" s="2"/>
      <c r="T101" s="2"/>
      <c r="U101" s="2"/>
      <c r="V101" s="2"/>
      <c r="W101" s="2"/>
      <c r="X101" s="2"/>
      <c r="Y101" s="2"/>
      <c r="Z101" s="2"/>
    </row>
    <row r="102" customFormat="false" ht="12" hidden="false" customHeight="true" outlineLevel="0" collapsed="false">
      <c r="A102" s="2"/>
      <c r="B102" s="19"/>
      <c r="C102" s="19"/>
      <c r="D102" s="2"/>
      <c r="E102" s="2"/>
      <c r="F102" s="2"/>
      <c r="G102" s="2"/>
      <c r="H102" s="2"/>
      <c r="I102" s="2"/>
      <c r="J102" s="2"/>
      <c r="K102" s="2"/>
      <c r="L102" s="19"/>
      <c r="M102" s="19"/>
      <c r="N102" s="2"/>
      <c r="O102" s="2"/>
      <c r="P102" s="2"/>
      <c r="Q102" s="2"/>
      <c r="R102" s="2"/>
      <c r="S102" s="2"/>
      <c r="T102" s="2"/>
      <c r="U102" s="2"/>
      <c r="V102" s="2"/>
      <c r="W102" s="2"/>
      <c r="X102" s="2"/>
      <c r="Y102" s="2"/>
      <c r="Z102" s="2"/>
    </row>
    <row r="103" customFormat="false" ht="12" hidden="false" customHeight="true" outlineLevel="0" collapsed="false">
      <c r="A103" s="2"/>
      <c r="B103" s="19"/>
      <c r="C103" s="19"/>
      <c r="D103" s="2"/>
      <c r="E103" s="2"/>
      <c r="F103" s="2"/>
      <c r="G103" s="2"/>
      <c r="H103" s="2"/>
      <c r="I103" s="2"/>
      <c r="J103" s="2"/>
      <c r="K103" s="2"/>
      <c r="L103" s="19"/>
      <c r="M103" s="19"/>
      <c r="N103" s="2"/>
      <c r="O103" s="2"/>
      <c r="P103" s="2"/>
      <c r="Q103" s="2"/>
      <c r="R103" s="2"/>
      <c r="S103" s="2"/>
      <c r="T103" s="2"/>
      <c r="U103" s="2"/>
      <c r="V103" s="2"/>
      <c r="W103" s="2"/>
      <c r="X103" s="2"/>
      <c r="Y103" s="2"/>
      <c r="Z103" s="2"/>
    </row>
    <row r="104" customFormat="false" ht="12" hidden="false" customHeight="true" outlineLevel="0" collapsed="false">
      <c r="A104" s="2"/>
      <c r="B104" s="19"/>
      <c r="C104" s="19"/>
      <c r="D104" s="2"/>
      <c r="E104" s="2"/>
      <c r="F104" s="2"/>
      <c r="G104" s="2"/>
      <c r="H104" s="2"/>
      <c r="I104" s="2"/>
      <c r="J104" s="2"/>
      <c r="K104" s="2"/>
      <c r="L104" s="19"/>
      <c r="M104" s="19"/>
      <c r="N104" s="2"/>
      <c r="O104" s="2"/>
      <c r="P104" s="2"/>
      <c r="Q104" s="2"/>
      <c r="R104" s="2"/>
      <c r="S104" s="2"/>
      <c r="T104" s="2"/>
      <c r="U104" s="2"/>
      <c r="V104" s="2"/>
      <c r="W104" s="2"/>
      <c r="X104" s="2"/>
      <c r="Y104" s="2"/>
      <c r="Z104" s="2"/>
    </row>
    <row r="105" customFormat="false" ht="12" hidden="false" customHeight="true" outlineLevel="0" collapsed="false">
      <c r="A105" s="2"/>
      <c r="B105" s="19"/>
      <c r="C105" s="19"/>
      <c r="D105" s="2"/>
      <c r="E105" s="2"/>
      <c r="F105" s="2"/>
      <c r="G105" s="2"/>
      <c r="H105" s="2"/>
      <c r="I105" s="2"/>
      <c r="J105" s="2"/>
      <c r="K105" s="2"/>
      <c r="L105" s="19"/>
      <c r="M105" s="19"/>
      <c r="N105" s="2"/>
      <c r="O105" s="2"/>
      <c r="P105" s="2"/>
      <c r="Q105" s="2"/>
      <c r="R105" s="2"/>
      <c r="S105" s="2"/>
      <c r="T105" s="2"/>
      <c r="U105" s="2"/>
      <c r="V105" s="2"/>
      <c r="W105" s="2"/>
      <c r="X105" s="2"/>
      <c r="Y105" s="2"/>
      <c r="Z105" s="2"/>
    </row>
    <row r="106" customFormat="false" ht="12" hidden="false" customHeight="true" outlineLevel="0" collapsed="false">
      <c r="A106" s="2"/>
      <c r="B106" s="19"/>
      <c r="C106" s="19"/>
      <c r="D106" s="2"/>
      <c r="E106" s="2"/>
      <c r="F106" s="2"/>
      <c r="G106" s="2"/>
      <c r="H106" s="2"/>
      <c r="I106" s="2"/>
      <c r="J106" s="2"/>
      <c r="K106" s="2"/>
      <c r="L106" s="19"/>
      <c r="M106" s="19"/>
      <c r="N106" s="2"/>
      <c r="O106" s="2"/>
      <c r="P106" s="2"/>
      <c r="Q106" s="2"/>
      <c r="R106" s="2"/>
      <c r="S106" s="2"/>
      <c r="T106" s="2"/>
      <c r="U106" s="2"/>
      <c r="V106" s="2"/>
      <c r="W106" s="2"/>
      <c r="X106" s="2"/>
      <c r="Y106" s="2"/>
      <c r="Z106" s="2"/>
    </row>
    <row r="107" customFormat="false" ht="12" hidden="false" customHeight="true" outlineLevel="0" collapsed="false">
      <c r="A107" s="2"/>
      <c r="B107" s="19"/>
      <c r="C107" s="19"/>
      <c r="D107" s="2"/>
      <c r="E107" s="2"/>
      <c r="F107" s="2"/>
      <c r="G107" s="2"/>
      <c r="H107" s="2"/>
      <c r="I107" s="2"/>
      <c r="J107" s="2"/>
      <c r="K107" s="2"/>
      <c r="L107" s="19"/>
      <c r="M107" s="19"/>
      <c r="N107" s="2"/>
      <c r="O107" s="2"/>
      <c r="P107" s="2"/>
      <c r="Q107" s="2"/>
      <c r="R107" s="2"/>
      <c r="S107" s="2"/>
      <c r="T107" s="2"/>
      <c r="U107" s="2"/>
      <c r="V107" s="2"/>
      <c r="W107" s="2"/>
      <c r="X107" s="2"/>
      <c r="Y107" s="2"/>
      <c r="Z107" s="2"/>
    </row>
    <row r="108" customFormat="false" ht="12" hidden="false" customHeight="true" outlineLevel="0" collapsed="false">
      <c r="A108" s="2"/>
      <c r="B108" s="19"/>
      <c r="C108" s="19"/>
      <c r="D108" s="2"/>
      <c r="E108" s="2"/>
      <c r="F108" s="2"/>
      <c r="G108" s="2"/>
      <c r="H108" s="2"/>
      <c r="I108" s="2"/>
      <c r="J108" s="2"/>
      <c r="K108" s="2"/>
      <c r="L108" s="19"/>
      <c r="M108" s="19"/>
      <c r="N108" s="2"/>
      <c r="O108" s="2"/>
      <c r="P108" s="2"/>
      <c r="Q108" s="2"/>
      <c r="R108" s="2"/>
      <c r="S108" s="2"/>
      <c r="T108" s="2"/>
      <c r="U108" s="2"/>
      <c r="V108" s="2"/>
      <c r="W108" s="2"/>
      <c r="X108" s="2"/>
      <c r="Y108" s="2"/>
      <c r="Z108" s="2"/>
    </row>
    <row r="109" customFormat="false" ht="12" hidden="false" customHeight="true" outlineLevel="0" collapsed="false">
      <c r="A109" s="2"/>
      <c r="B109" s="19"/>
      <c r="C109" s="19"/>
      <c r="D109" s="2"/>
      <c r="E109" s="2"/>
      <c r="F109" s="2"/>
      <c r="G109" s="2"/>
      <c r="H109" s="2"/>
      <c r="I109" s="2"/>
      <c r="J109" s="2"/>
      <c r="K109" s="2"/>
      <c r="L109" s="19"/>
      <c r="M109" s="19"/>
      <c r="N109" s="2"/>
      <c r="O109" s="2"/>
      <c r="P109" s="2"/>
      <c r="Q109" s="2"/>
      <c r="R109" s="2"/>
      <c r="S109" s="2"/>
      <c r="T109" s="2"/>
      <c r="U109" s="2"/>
      <c r="V109" s="2"/>
      <c r="W109" s="2"/>
      <c r="X109" s="2"/>
      <c r="Y109" s="2"/>
      <c r="Z109" s="2"/>
    </row>
    <row r="110" customFormat="false" ht="12" hidden="false" customHeight="true" outlineLevel="0" collapsed="false">
      <c r="A110" s="2"/>
      <c r="B110" s="19"/>
      <c r="C110" s="19"/>
      <c r="D110" s="2"/>
      <c r="E110" s="2"/>
      <c r="F110" s="2"/>
      <c r="G110" s="2"/>
      <c r="H110" s="2"/>
      <c r="I110" s="2"/>
      <c r="J110" s="2"/>
      <c r="K110" s="2"/>
      <c r="L110" s="19"/>
      <c r="M110" s="19"/>
      <c r="N110" s="2"/>
      <c r="O110" s="2"/>
      <c r="P110" s="2"/>
      <c r="Q110" s="2"/>
      <c r="R110" s="2"/>
      <c r="S110" s="2"/>
      <c r="T110" s="2"/>
      <c r="U110" s="2"/>
      <c r="V110" s="2"/>
      <c r="W110" s="2"/>
      <c r="X110" s="2"/>
      <c r="Y110" s="2"/>
      <c r="Z110" s="2"/>
    </row>
    <row r="111" customFormat="false" ht="12" hidden="false" customHeight="true" outlineLevel="0" collapsed="false">
      <c r="A111" s="2"/>
      <c r="B111" s="19"/>
      <c r="C111" s="19"/>
      <c r="D111" s="2"/>
      <c r="E111" s="2"/>
      <c r="F111" s="2"/>
      <c r="G111" s="2"/>
      <c r="H111" s="2"/>
      <c r="I111" s="2"/>
      <c r="J111" s="2"/>
      <c r="K111" s="2"/>
      <c r="L111" s="19"/>
      <c r="M111" s="19"/>
      <c r="N111" s="2"/>
      <c r="O111" s="2"/>
      <c r="P111" s="2"/>
      <c r="Q111" s="2"/>
      <c r="R111" s="2"/>
      <c r="S111" s="2"/>
      <c r="T111" s="2"/>
      <c r="U111" s="2"/>
      <c r="V111" s="2"/>
      <c r="W111" s="2"/>
      <c r="X111" s="2"/>
      <c r="Y111" s="2"/>
      <c r="Z111" s="2"/>
    </row>
    <row r="112" customFormat="false" ht="12" hidden="false" customHeight="true" outlineLevel="0" collapsed="false">
      <c r="A112" s="2"/>
      <c r="B112" s="19"/>
      <c r="C112" s="19"/>
      <c r="D112" s="2"/>
      <c r="E112" s="2"/>
      <c r="F112" s="2"/>
      <c r="G112" s="2"/>
      <c r="H112" s="2"/>
      <c r="I112" s="2"/>
      <c r="J112" s="2"/>
      <c r="K112" s="2"/>
      <c r="L112" s="19"/>
      <c r="M112" s="19"/>
      <c r="N112" s="2"/>
      <c r="O112" s="2"/>
      <c r="P112" s="2"/>
      <c r="Q112" s="2"/>
      <c r="R112" s="2"/>
      <c r="S112" s="2"/>
      <c r="T112" s="2"/>
      <c r="U112" s="2"/>
      <c r="V112" s="2"/>
      <c r="W112" s="2"/>
      <c r="X112" s="2"/>
      <c r="Y112" s="2"/>
      <c r="Z112" s="2"/>
    </row>
    <row r="113" customFormat="false" ht="12" hidden="false" customHeight="true" outlineLevel="0" collapsed="false">
      <c r="A113" s="2"/>
      <c r="B113" s="19"/>
      <c r="C113" s="19"/>
      <c r="D113" s="2"/>
      <c r="E113" s="2"/>
      <c r="F113" s="2"/>
      <c r="G113" s="2"/>
      <c r="H113" s="2"/>
      <c r="I113" s="2"/>
      <c r="J113" s="2"/>
      <c r="K113" s="2"/>
      <c r="L113" s="19"/>
      <c r="M113" s="19"/>
      <c r="N113" s="2"/>
      <c r="O113" s="2"/>
      <c r="P113" s="2"/>
      <c r="Q113" s="2"/>
      <c r="R113" s="2"/>
      <c r="S113" s="2"/>
      <c r="T113" s="2"/>
      <c r="U113" s="2"/>
      <c r="V113" s="2"/>
      <c r="W113" s="2"/>
      <c r="X113" s="2"/>
      <c r="Y113" s="2"/>
      <c r="Z113" s="2"/>
    </row>
    <row r="114" customFormat="false" ht="12" hidden="false" customHeight="true" outlineLevel="0" collapsed="false">
      <c r="A114" s="2"/>
      <c r="B114" s="19"/>
      <c r="C114" s="19"/>
      <c r="D114" s="2"/>
      <c r="E114" s="2"/>
      <c r="F114" s="2"/>
      <c r="G114" s="2"/>
      <c r="H114" s="2"/>
      <c r="I114" s="2"/>
      <c r="J114" s="2"/>
      <c r="K114" s="2"/>
      <c r="L114" s="19"/>
      <c r="M114" s="19"/>
      <c r="N114" s="2"/>
      <c r="O114" s="2"/>
      <c r="P114" s="2"/>
      <c r="Q114" s="2"/>
      <c r="R114" s="2"/>
      <c r="S114" s="2"/>
      <c r="T114" s="2"/>
      <c r="U114" s="2"/>
      <c r="V114" s="2"/>
      <c r="W114" s="2"/>
      <c r="X114" s="2"/>
      <c r="Y114" s="2"/>
      <c r="Z114" s="2"/>
    </row>
    <row r="115" customFormat="false" ht="12" hidden="false" customHeight="true" outlineLevel="0" collapsed="false">
      <c r="A115" s="2"/>
      <c r="B115" s="19"/>
      <c r="C115" s="19"/>
      <c r="D115" s="2"/>
      <c r="E115" s="2"/>
      <c r="F115" s="2"/>
      <c r="G115" s="2"/>
      <c r="H115" s="2"/>
      <c r="I115" s="2"/>
      <c r="J115" s="2"/>
      <c r="K115" s="2"/>
      <c r="L115" s="19"/>
      <c r="M115" s="19"/>
      <c r="N115" s="2"/>
      <c r="O115" s="2"/>
      <c r="P115" s="2"/>
      <c r="Q115" s="2"/>
      <c r="R115" s="2"/>
      <c r="S115" s="2"/>
      <c r="T115" s="2"/>
      <c r="U115" s="2"/>
      <c r="V115" s="2"/>
      <c r="W115" s="2"/>
      <c r="X115" s="2"/>
      <c r="Y115" s="2"/>
      <c r="Z115" s="2"/>
    </row>
    <row r="116" customFormat="false" ht="12" hidden="false" customHeight="true" outlineLevel="0" collapsed="false">
      <c r="A116" s="2"/>
      <c r="B116" s="19"/>
      <c r="C116" s="19"/>
      <c r="D116" s="2"/>
      <c r="E116" s="2"/>
      <c r="F116" s="2"/>
      <c r="G116" s="2"/>
      <c r="H116" s="2"/>
      <c r="I116" s="2"/>
      <c r="J116" s="2"/>
      <c r="K116" s="2"/>
      <c r="L116" s="19"/>
      <c r="M116" s="19"/>
      <c r="N116" s="2"/>
      <c r="O116" s="2"/>
      <c r="P116" s="2"/>
      <c r="Q116" s="2"/>
      <c r="R116" s="2"/>
      <c r="S116" s="2"/>
      <c r="T116" s="2"/>
      <c r="U116" s="2"/>
      <c r="V116" s="2"/>
      <c r="W116" s="2"/>
      <c r="X116" s="2"/>
      <c r="Y116" s="2"/>
      <c r="Z116" s="2"/>
    </row>
    <row r="117" customFormat="false" ht="12" hidden="false" customHeight="true" outlineLevel="0" collapsed="false">
      <c r="A117" s="2"/>
      <c r="B117" s="19"/>
      <c r="C117" s="19"/>
      <c r="D117" s="2"/>
      <c r="E117" s="2"/>
      <c r="F117" s="2"/>
      <c r="G117" s="2"/>
      <c r="H117" s="2"/>
      <c r="I117" s="2"/>
      <c r="J117" s="2"/>
      <c r="K117" s="2"/>
      <c r="L117" s="19"/>
      <c r="M117" s="19"/>
      <c r="N117" s="2"/>
      <c r="O117" s="2"/>
      <c r="P117" s="2"/>
      <c r="Q117" s="2"/>
      <c r="R117" s="2"/>
      <c r="S117" s="2"/>
      <c r="T117" s="2"/>
      <c r="U117" s="2"/>
      <c r="V117" s="2"/>
      <c r="W117" s="2"/>
      <c r="X117" s="2"/>
      <c r="Y117" s="2"/>
      <c r="Z117" s="2"/>
    </row>
    <row r="118" customFormat="false" ht="12" hidden="false" customHeight="true" outlineLevel="0" collapsed="false">
      <c r="A118" s="2"/>
      <c r="B118" s="19"/>
      <c r="C118" s="19"/>
      <c r="D118" s="2"/>
      <c r="E118" s="2"/>
      <c r="F118" s="2"/>
      <c r="G118" s="2"/>
      <c r="H118" s="2"/>
      <c r="I118" s="2"/>
      <c r="J118" s="2"/>
      <c r="K118" s="2"/>
      <c r="L118" s="19"/>
      <c r="M118" s="19"/>
      <c r="N118" s="2"/>
      <c r="O118" s="2"/>
      <c r="P118" s="2"/>
      <c r="Q118" s="2"/>
      <c r="R118" s="2"/>
      <c r="S118" s="2"/>
      <c r="T118" s="2"/>
      <c r="U118" s="2"/>
      <c r="V118" s="2"/>
      <c r="W118" s="2"/>
      <c r="X118" s="2"/>
      <c r="Y118" s="2"/>
      <c r="Z118" s="2"/>
    </row>
    <row r="119" customFormat="false" ht="12" hidden="false" customHeight="true" outlineLevel="0" collapsed="false">
      <c r="A119" s="2"/>
      <c r="B119" s="19"/>
      <c r="C119" s="19"/>
      <c r="D119" s="2"/>
      <c r="E119" s="2"/>
      <c r="F119" s="2"/>
      <c r="G119" s="2"/>
      <c r="H119" s="2"/>
      <c r="I119" s="2"/>
      <c r="J119" s="2"/>
      <c r="K119" s="2"/>
      <c r="L119" s="19"/>
      <c r="M119" s="19"/>
      <c r="N119" s="2"/>
      <c r="O119" s="2"/>
      <c r="P119" s="2"/>
      <c r="Q119" s="2"/>
      <c r="R119" s="2"/>
      <c r="S119" s="2"/>
      <c r="T119" s="2"/>
      <c r="U119" s="2"/>
      <c r="V119" s="2"/>
      <c r="W119" s="2"/>
      <c r="X119" s="2"/>
      <c r="Y119" s="2"/>
      <c r="Z119" s="2"/>
    </row>
    <row r="120" customFormat="false" ht="12" hidden="false" customHeight="true" outlineLevel="0" collapsed="false">
      <c r="A120" s="2"/>
      <c r="B120" s="19"/>
      <c r="C120" s="19"/>
      <c r="D120" s="2"/>
      <c r="E120" s="2"/>
      <c r="F120" s="2"/>
      <c r="G120" s="2"/>
      <c r="H120" s="2"/>
      <c r="I120" s="2"/>
      <c r="J120" s="2"/>
      <c r="K120" s="2"/>
      <c r="L120" s="19"/>
      <c r="M120" s="19"/>
      <c r="N120" s="2"/>
      <c r="O120" s="2"/>
      <c r="P120" s="2"/>
      <c r="Q120" s="2"/>
      <c r="R120" s="2"/>
      <c r="S120" s="2"/>
      <c r="T120" s="2"/>
      <c r="U120" s="2"/>
      <c r="V120" s="2"/>
      <c r="W120" s="2"/>
      <c r="X120" s="2"/>
      <c r="Y120" s="2"/>
      <c r="Z120" s="2"/>
    </row>
    <row r="121" customFormat="false" ht="12" hidden="false" customHeight="true" outlineLevel="0" collapsed="false">
      <c r="A121" s="2"/>
      <c r="B121" s="19"/>
      <c r="C121" s="19"/>
      <c r="D121" s="2"/>
      <c r="E121" s="2"/>
      <c r="F121" s="2"/>
      <c r="G121" s="2"/>
      <c r="H121" s="2"/>
      <c r="I121" s="2"/>
      <c r="J121" s="2"/>
      <c r="K121" s="2"/>
      <c r="L121" s="19"/>
      <c r="M121" s="19"/>
      <c r="N121" s="2"/>
      <c r="O121" s="2"/>
      <c r="P121" s="2"/>
      <c r="Q121" s="2"/>
      <c r="R121" s="2"/>
      <c r="S121" s="2"/>
      <c r="T121" s="2"/>
      <c r="U121" s="2"/>
      <c r="V121" s="2"/>
      <c r="W121" s="2"/>
      <c r="X121" s="2"/>
      <c r="Y121" s="2"/>
      <c r="Z121" s="2"/>
    </row>
    <row r="122" customFormat="false" ht="12" hidden="false" customHeight="true" outlineLevel="0" collapsed="false">
      <c r="A122" s="2"/>
      <c r="B122" s="19"/>
      <c r="C122" s="19"/>
      <c r="D122" s="2"/>
      <c r="E122" s="2"/>
      <c r="F122" s="2"/>
      <c r="G122" s="2"/>
      <c r="H122" s="2"/>
      <c r="I122" s="2"/>
      <c r="J122" s="2"/>
      <c r="K122" s="2"/>
      <c r="L122" s="19"/>
      <c r="M122" s="19"/>
      <c r="N122" s="2"/>
      <c r="O122" s="2"/>
      <c r="P122" s="2"/>
      <c r="Q122" s="2"/>
      <c r="R122" s="2"/>
      <c r="S122" s="2"/>
      <c r="T122" s="2"/>
      <c r="U122" s="2"/>
      <c r="V122" s="2"/>
      <c r="W122" s="2"/>
      <c r="X122" s="2"/>
      <c r="Y122" s="2"/>
      <c r="Z122" s="2"/>
    </row>
    <row r="123" customFormat="false" ht="12" hidden="false" customHeight="true" outlineLevel="0" collapsed="false">
      <c r="A123" s="2"/>
      <c r="B123" s="19"/>
      <c r="C123" s="19"/>
      <c r="D123" s="2"/>
      <c r="E123" s="2"/>
      <c r="F123" s="2"/>
      <c r="G123" s="2"/>
      <c r="H123" s="2"/>
      <c r="I123" s="2"/>
      <c r="J123" s="2"/>
      <c r="K123" s="2"/>
      <c r="L123" s="19"/>
      <c r="M123" s="19"/>
      <c r="N123" s="2"/>
      <c r="O123" s="2"/>
      <c r="P123" s="2"/>
      <c r="Q123" s="2"/>
      <c r="R123" s="2"/>
      <c r="S123" s="2"/>
      <c r="T123" s="2"/>
      <c r="U123" s="2"/>
      <c r="V123" s="2"/>
      <c r="W123" s="2"/>
      <c r="X123" s="2"/>
      <c r="Y123" s="2"/>
      <c r="Z123" s="2"/>
    </row>
    <row r="124" customFormat="false" ht="12" hidden="false" customHeight="true" outlineLevel="0" collapsed="false">
      <c r="A124" s="2"/>
      <c r="B124" s="19"/>
      <c r="C124" s="19"/>
      <c r="D124" s="2"/>
      <c r="E124" s="2"/>
      <c r="F124" s="2"/>
      <c r="G124" s="2"/>
      <c r="H124" s="2"/>
      <c r="I124" s="2"/>
      <c r="J124" s="2"/>
      <c r="K124" s="2"/>
      <c r="L124" s="19"/>
      <c r="M124" s="19"/>
      <c r="N124" s="2"/>
      <c r="O124" s="2"/>
      <c r="P124" s="2"/>
      <c r="Q124" s="2"/>
      <c r="R124" s="2"/>
      <c r="S124" s="2"/>
      <c r="T124" s="2"/>
      <c r="U124" s="2"/>
      <c r="V124" s="2"/>
      <c r="W124" s="2"/>
      <c r="X124" s="2"/>
      <c r="Y124" s="2"/>
      <c r="Z124" s="2"/>
    </row>
    <row r="125" customFormat="false" ht="12" hidden="false" customHeight="true" outlineLevel="0" collapsed="false">
      <c r="A125" s="2"/>
      <c r="B125" s="19"/>
      <c r="C125" s="19"/>
      <c r="D125" s="2"/>
      <c r="E125" s="2"/>
      <c r="F125" s="2"/>
      <c r="G125" s="2"/>
      <c r="H125" s="2"/>
      <c r="I125" s="2"/>
      <c r="J125" s="2"/>
      <c r="K125" s="2"/>
      <c r="L125" s="19"/>
      <c r="M125" s="19"/>
      <c r="N125" s="2"/>
      <c r="O125" s="2"/>
      <c r="P125" s="2"/>
      <c r="Q125" s="2"/>
      <c r="R125" s="2"/>
      <c r="S125" s="2"/>
      <c r="T125" s="2"/>
      <c r="U125" s="2"/>
      <c r="V125" s="2"/>
      <c r="W125" s="2"/>
      <c r="X125" s="2"/>
      <c r="Y125" s="2"/>
      <c r="Z125" s="2"/>
    </row>
    <row r="126" customFormat="false" ht="12" hidden="false" customHeight="true" outlineLevel="0" collapsed="false">
      <c r="A126" s="2"/>
      <c r="B126" s="19"/>
      <c r="C126" s="19"/>
      <c r="D126" s="2"/>
      <c r="E126" s="2"/>
      <c r="F126" s="2"/>
      <c r="G126" s="2"/>
      <c r="H126" s="2"/>
      <c r="I126" s="2"/>
      <c r="J126" s="2"/>
      <c r="K126" s="2"/>
      <c r="L126" s="19"/>
      <c r="M126" s="19"/>
      <c r="N126" s="2"/>
      <c r="O126" s="2"/>
      <c r="P126" s="2"/>
      <c r="Q126" s="2"/>
      <c r="R126" s="2"/>
      <c r="S126" s="2"/>
      <c r="T126" s="2"/>
      <c r="U126" s="2"/>
      <c r="V126" s="2"/>
      <c r="W126" s="2"/>
      <c r="X126" s="2"/>
      <c r="Y126" s="2"/>
      <c r="Z126" s="2"/>
    </row>
    <row r="127" customFormat="false" ht="12" hidden="false" customHeight="true" outlineLevel="0" collapsed="false">
      <c r="A127" s="2"/>
      <c r="B127" s="19"/>
      <c r="C127" s="19"/>
      <c r="D127" s="2"/>
      <c r="E127" s="2"/>
      <c r="F127" s="2"/>
      <c r="G127" s="2"/>
      <c r="H127" s="2"/>
      <c r="I127" s="2"/>
      <c r="J127" s="2"/>
      <c r="K127" s="2"/>
      <c r="L127" s="19"/>
      <c r="M127" s="19"/>
      <c r="N127" s="2"/>
      <c r="O127" s="2"/>
      <c r="P127" s="2"/>
      <c r="Q127" s="2"/>
      <c r="R127" s="2"/>
      <c r="S127" s="2"/>
      <c r="T127" s="2"/>
      <c r="U127" s="2"/>
      <c r="V127" s="2"/>
      <c r="W127" s="2"/>
      <c r="X127" s="2"/>
      <c r="Y127" s="2"/>
      <c r="Z127" s="2"/>
    </row>
    <row r="128" customFormat="false" ht="12" hidden="false" customHeight="true" outlineLevel="0" collapsed="false">
      <c r="A128" s="2"/>
      <c r="B128" s="19"/>
      <c r="C128" s="19"/>
      <c r="D128" s="2"/>
      <c r="E128" s="2"/>
      <c r="F128" s="2"/>
      <c r="G128" s="2"/>
      <c r="H128" s="2"/>
      <c r="I128" s="2"/>
      <c r="J128" s="2"/>
      <c r="K128" s="2"/>
      <c r="L128" s="19"/>
      <c r="M128" s="19"/>
      <c r="N128" s="2"/>
      <c r="O128" s="2"/>
      <c r="P128" s="2"/>
      <c r="Q128" s="2"/>
      <c r="R128" s="2"/>
      <c r="S128" s="2"/>
      <c r="T128" s="2"/>
      <c r="U128" s="2"/>
      <c r="V128" s="2"/>
      <c r="W128" s="2"/>
      <c r="X128" s="2"/>
      <c r="Y128" s="2"/>
      <c r="Z128" s="2"/>
    </row>
    <row r="129" customFormat="false" ht="12" hidden="false" customHeight="true" outlineLevel="0" collapsed="false">
      <c r="A129" s="2"/>
      <c r="B129" s="19"/>
      <c r="C129" s="19"/>
      <c r="D129" s="2"/>
      <c r="E129" s="2"/>
      <c r="F129" s="2"/>
      <c r="G129" s="2"/>
      <c r="H129" s="2"/>
      <c r="I129" s="2"/>
      <c r="J129" s="2"/>
      <c r="K129" s="2"/>
      <c r="L129" s="19"/>
      <c r="M129" s="19"/>
      <c r="N129" s="2"/>
      <c r="O129" s="2"/>
      <c r="P129" s="2"/>
      <c r="Q129" s="2"/>
      <c r="R129" s="2"/>
      <c r="S129" s="2"/>
      <c r="T129" s="2"/>
      <c r="U129" s="2"/>
      <c r="V129" s="2"/>
      <c r="W129" s="2"/>
      <c r="X129" s="2"/>
      <c r="Y129" s="2"/>
      <c r="Z129" s="2"/>
    </row>
    <row r="130" customFormat="false" ht="12" hidden="false" customHeight="true" outlineLevel="0" collapsed="false">
      <c r="A130" s="2"/>
      <c r="B130" s="19"/>
      <c r="C130" s="19"/>
      <c r="D130" s="2"/>
      <c r="E130" s="2"/>
      <c r="F130" s="2"/>
      <c r="G130" s="2"/>
      <c r="H130" s="2"/>
      <c r="I130" s="2"/>
      <c r="J130" s="2"/>
      <c r="K130" s="2"/>
      <c r="L130" s="19"/>
      <c r="M130" s="19"/>
      <c r="N130" s="2"/>
      <c r="O130" s="2"/>
      <c r="P130" s="2"/>
      <c r="Q130" s="2"/>
      <c r="R130" s="2"/>
      <c r="S130" s="2"/>
      <c r="T130" s="2"/>
      <c r="U130" s="2"/>
      <c r="V130" s="2"/>
      <c r="W130" s="2"/>
      <c r="X130" s="2"/>
      <c r="Y130" s="2"/>
      <c r="Z130" s="2"/>
    </row>
    <row r="131" customFormat="false" ht="12" hidden="false" customHeight="true" outlineLevel="0" collapsed="false">
      <c r="A131" s="2"/>
      <c r="B131" s="19"/>
      <c r="C131" s="19"/>
      <c r="D131" s="2"/>
      <c r="E131" s="2"/>
      <c r="F131" s="2"/>
      <c r="G131" s="2"/>
      <c r="H131" s="2"/>
      <c r="I131" s="2"/>
      <c r="J131" s="2"/>
      <c r="K131" s="2"/>
      <c r="L131" s="19"/>
      <c r="M131" s="19"/>
      <c r="N131" s="2"/>
      <c r="O131" s="2"/>
      <c r="P131" s="2"/>
      <c r="Q131" s="2"/>
      <c r="R131" s="2"/>
      <c r="S131" s="2"/>
      <c r="T131" s="2"/>
      <c r="U131" s="2"/>
      <c r="V131" s="2"/>
      <c r="W131" s="2"/>
      <c r="X131" s="2"/>
      <c r="Y131" s="2"/>
      <c r="Z131" s="2"/>
    </row>
    <row r="132" customFormat="false" ht="12" hidden="false" customHeight="true" outlineLevel="0" collapsed="false">
      <c r="A132" s="2"/>
      <c r="B132" s="19"/>
      <c r="C132" s="19"/>
      <c r="D132" s="2"/>
      <c r="E132" s="2"/>
      <c r="F132" s="2"/>
      <c r="G132" s="2"/>
      <c r="H132" s="2"/>
      <c r="I132" s="2"/>
      <c r="J132" s="2"/>
      <c r="K132" s="2"/>
      <c r="L132" s="19"/>
      <c r="M132" s="19"/>
      <c r="N132" s="2"/>
      <c r="O132" s="2"/>
      <c r="P132" s="2"/>
      <c r="Q132" s="2"/>
      <c r="R132" s="2"/>
      <c r="S132" s="2"/>
      <c r="T132" s="2"/>
      <c r="U132" s="2"/>
      <c r="V132" s="2"/>
      <c r="W132" s="2"/>
      <c r="X132" s="2"/>
      <c r="Y132" s="2"/>
      <c r="Z132" s="2"/>
    </row>
    <row r="133" customFormat="false" ht="12" hidden="false" customHeight="true" outlineLevel="0" collapsed="false">
      <c r="A133" s="2"/>
      <c r="B133" s="19"/>
      <c r="C133" s="19"/>
      <c r="D133" s="2"/>
      <c r="E133" s="2"/>
      <c r="F133" s="2"/>
      <c r="G133" s="2"/>
      <c r="H133" s="2"/>
      <c r="I133" s="2"/>
      <c r="J133" s="2"/>
      <c r="K133" s="2"/>
      <c r="L133" s="19"/>
      <c r="M133" s="19"/>
      <c r="N133" s="2"/>
      <c r="O133" s="2"/>
      <c r="P133" s="2"/>
      <c r="Q133" s="2"/>
      <c r="R133" s="2"/>
      <c r="S133" s="2"/>
      <c r="T133" s="2"/>
      <c r="U133" s="2"/>
      <c r="V133" s="2"/>
      <c r="W133" s="2"/>
      <c r="X133" s="2"/>
      <c r="Y133" s="2"/>
      <c r="Z133" s="2"/>
    </row>
    <row r="134" customFormat="false" ht="12" hidden="false" customHeight="true" outlineLevel="0" collapsed="false">
      <c r="A134" s="2"/>
      <c r="B134" s="19"/>
      <c r="C134" s="19"/>
      <c r="D134" s="2"/>
      <c r="E134" s="2"/>
      <c r="F134" s="2"/>
      <c r="G134" s="2"/>
      <c r="H134" s="2"/>
      <c r="I134" s="2"/>
      <c r="J134" s="2"/>
      <c r="K134" s="2"/>
      <c r="L134" s="19"/>
      <c r="M134" s="19"/>
      <c r="N134" s="2"/>
      <c r="O134" s="2"/>
      <c r="P134" s="2"/>
      <c r="Q134" s="2"/>
      <c r="R134" s="2"/>
      <c r="S134" s="2"/>
      <c r="T134" s="2"/>
      <c r="U134" s="2"/>
      <c r="V134" s="2"/>
      <c r="W134" s="2"/>
      <c r="X134" s="2"/>
      <c r="Y134" s="2"/>
      <c r="Z134" s="2"/>
    </row>
    <row r="135" customFormat="false" ht="12" hidden="false" customHeight="true" outlineLevel="0" collapsed="false">
      <c r="A135" s="2"/>
      <c r="B135" s="19"/>
      <c r="C135" s="19"/>
      <c r="D135" s="2"/>
      <c r="E135" s="2"/>
      <c r="F135" s="2"/>
      <c r="G135" s="2"/>
      <c r="H135" s="2"/>
      <c r="I135" s="2"/>
      <c r="J135" s="2"/>
      <c r="K135" s="2"/>
      <c r="L135" s="19"/>
      <c r="M135" s="19"/>
      <c r="N135" s="2"/>
      <c r="O135" s="2"/>
      <c r="P135" s="2"/>
      <c r="Q135" s="2"/>
      <c r="R135" s="2"/>
      <c r="S135" s="2"/>
      <c r="T135" s="2"/>
      <c r="U135" s="2"/>
      <c r="V135" s="2"/>
      <c r="W135" s="2"/>
      <c r="X135" s="2"/>
      <c r="Y135" s="2"/>
      <c r="Z135" s="2"/>
    </row>
    <row r="136" customFormat="false" ht="12" hidden="false" customHeight="true" outlineLevel="0" collapsed="false">
      <c r="A136" s="2"/>
      <c r="B136" s="19"/>
      <c r="C136" s="19"/>
      <c r="D136" s="2"/>
      <c r="E136" s="2"/>
      <c r="F136" s="2"/>
      <c r="G136" s="2"/>
      <c r="H136" s="2"/>
      <c r="I136" s="2"/>
      <c r="J136" s="2"/>
      <c r="K136" s="2"/>
      <c r="L136" s="19"/>
      <c r="M136" s="19"/>
      <c r="N136" s="2"/>
      <c r="O136" s="2"/>
      <c r="P136" s="2"/>
      <c r="Q136" s="2"/>
      <c r="R136" s="2"/>
      <c r="S136" s="2"/>
      <c r="T136" s="2"/>
      <c r="U136" s="2"/>
      <c r="V136" s="2"/>
      <c r="W136" s="2"/>
      <c r="X136" s="2"/>
      <c r="Y136" s="2"/>
      <c r="Z136" s="2"/>
    </row>
    <row r="137" customFormat="false" ht="12" hidden="false" customHeight="true" outlineLevel="0" collapsed="false">
      <c r="A137" s="2"/>
      <c r="B137" s="19"/>
      <c r="C137" s="19"/>
      <c r="D137" s="2"/>
      <c r="E137" s="2"/>
      <c r="F137" s="2"/>
      <c r="G137" s="2"/>
      <c r="H137" s="2"/>
      <c r="I137" s="2"/>
      <c r="J137" s="2"/>
      <c r="K137" s="2"/>
      <c r="L137" s="19"/>
      <c r="M137" s="19"/>
      <c r="N137" s="2"/>
      <c r="O137" s="2"/>
      <c r="P137" s="2"/>
      <c r="Q137" s="2"/>
      <c r="R137" s="2"/>
      <c r="S137" s="2"/>
      <c r="T137" s="2"/>
      <c r="U137" s="2"/>
      <c r="V137" s="2"/>
      <c r="W137" s="2"/>
      <c r="X137" s="2"/>
      <c r="Y137" s="2"/>
      <c r="Z137" s="2"/>
    </row>
    <row r="138" customFormat="false" ht="12" hidden="false" customHeight="true" outlineLevel="0" collapsed="false">
      <c r="A138" s="2"/>
      <c r="B138" s="19"/>
      <c r="C138" s="19"/>
      <c r="D138" s="2"/>
      <c r="E138" s="2"/>
      <c r="F138" s="2"/>
      <c r="G138" s="2"/>
      <c r="H138" s="2"/>
      <c r="I138" s="2"/>
      <c r="J138" s="2"/>
      <c r="K138" s="2"/>
      <c r="L138" s="19"/>
      <c r="M138" s="19"/>
      <c r="N138" s="2"/>
      <c r="O138" s="2"/>
      <c r="P138" s="2"/>
      <c r="Q138" s="2"/>
      <c r="R138" s="2"/>
      <c r="S138" s="2"/>
      <c r="T138" s="2"/>
      <c r="U138" s="2"/>
      <c r="V138" s="2"/>
      <c r="W138" s="2"/>
      <c r="X138" s="2"/>
      <c r="Y138" s="2"/>
      <c r="Z138" s="2"/>
    </row>
    <row r="139" customFormat="false" ht="12" hidden="false" customHeight="true" outlineLevel="0" collapsed="false">
      <c r="A139" s="2"/>
      <c r="B139" s="19"/>
      <c r="C139" s="19"/>
      <c r="D139" s="2"/>
      <c r="E139" s="2"/>
      <c r="F139" s="2"/>
      <c r="G139" s="2"/>
      <c r="H139" s="2"/>
      <c r="I139" s="2"/>
      <c r="J139" s="2"/>
      <c r="K139" s="2"/>
      <c r="L139" s="19"/>
      <c r="M139" s="19"/>
      <c r="N139" s="2"/>
      <c r="O139" s="2"/>
      <c r="P139" s="2"/>
      <c r="Q139" s="2"/>
      <c r="R139" s="2"/>
      <c r="S139" s="2"/>
      <c r="T139" s="2"/>
      <c r="U139" s="2"/>
      <c r="V139" s="2"/>
      <c r="W139" s="2"/>
      <c r="X139" s="2"/>
      <c r="Y139" s="2"/>
      <c r="Z139" s="2"/>
    </row>
    <row r="140" customFormat="false" ht="12" hidden="false" customHeight="true" outlineLevel="0" collapsed="false">
      <c r="A140" s="2"/>
      <c r="B140" s="19"/>
      <c r="C140" s="19"/>
      <c r="D140" s="2"/>
      <c r="E140" s="2"/>
      <c r="F140" s="2"/>
      <c r="G140" s="2"/>
      <c r="H140" s="2"/>
      <c r="I140" s="2"/>
      <c r="J140" s="2"/>
      <c r="K140" s="2"/>
      <c r="L140" s="19"/>
      <c r="M140" s="19"/>
      <c r="N140" s="2"/>
      <c r="O140" s="2"/>
      <c r="P140" s="2"/>
      <c r="Q140" s="2"/>
      <c r="R140" s="2"/>
      <c r="S140" s="2"/>
      <c r="T140" s="2"/>
      <c r="U140" s="2"/>
      <c r="V140" s="2"/>
      <c r="W140" s="2"/>
      <c r="X140" s="2"/>
      <c r="Y140" s="2"/>
      <c r="Z140" s="2"/>
    </row>
    <row r="141" customFormat="false" ht="12" hidden="false" customHeight="true" outlineLevel="0" collapsed="false">
      <c r="A141" s="2"/>
      <c r="B141" s="19"/>
      <c r="C141" s="19"/>
      <c r="D141" s="2"/>
      <c r="E141" s="2"/>
      <c r="F141" s="2"/>
      <c r="G141" s="2"/>
      <c r="H141" s="2"/>
      <c r="I141" s="2"/>
      <c r="J141" s="2"/>
      <c r="K141" s="2"/>
      <c r="L141" s="19"/>
      <c r="M141" s="19"/>
      <c r="N141" s="2"/>
      <c r="O141" s="2"/>
      <c r="P141" s="2"/>
      <c r="Q141" s="2"/>
      <c r="R141" s="2"/>
      <c r="S141" s="2"/>
      <c r="T141" s="2"/>
      <c r="U141" s="2"/>
      <c r="V141" s="2"/>
      <c r="W141" s="2"/>
      <c r="X141" s="2"/>
      <c r="Y141" s="2"/>
      <c r="Z141" s="2"/>
    </row>
    <row r="142" customFormat="false" ht="12" hidden="false" customHeight="true" outlineLevel="0" collapsed="false">
      <c r="A142" s="2"/>
      <c r="B142" s="19"/>
      <c r="C142" s="19"/>
      <c r="D142" s="2"/>
      <c r="E142" s="2"/>
      <c r="F142" s="2"/>
      <c r="G142" s="2"/>
      <c r="H142" s="2"/>
      <c r="I142" s="2"/>
      <c r="J142" s="2"/>
      <c r="K142" s="2"/>
      <c r="L142" s="19"/>
      <c r="M142" s="19"/>
      <c r="N142" s="2"/>
      <c r="O142" s="2"/>
      <c r="P142" s="2"/>
      <c r="Q142" s="2"/>
      <c r="R142" s="2"/>
      <c r="S142" s="2"/>
      <c r="T142" s="2"/>
      <c r="U142" s="2"/>
      <c r="V142" s="2"/>
      <c r="W142" s="2"/>
      <c r="X142" s="2"/>
      <c r="Y142" s="2"/>
      <c r="Z142" s="2"/>
    </row>
    <row r="143" customFormat="false" ht="12" hidden="false" customHeight="true" outlineLevel="0" collapsed="false">
      <c r="A143" s="2"/>
      <c r="B143" s="19"/>
      <c r="C143" s="19"/>
      <c r="D143" s="2"/>
      <c r="E143" s="2"/>
      <c r="F143" s="2"/>
      <c r="G143" s="2"/>
      <c r="H143" s="2"/>
      <c r="I143" s="2"/>
      <c r="J143" s="2"/>
      <c r="K143" s="2"/>
      <c r="L143" s="19"/>
      <c r="M143" s="19"/>
      <c r="N143" s="2"/>
      <c r="O143" s="2"/>
      <c r="P143" s="2"/>
      <c r="Q143" s="2"/>
      <c r="R143" s="2"/>
      <c r="S143" s="2"/>
      <c r="T143" s="2"/>
      <c r="U143" s="2"/>
      <c r="V143" s="2"/>
      <c r="W143" s="2"/>
      <c r="X143" s="2"/>
      <c r="Y143" s="2"/>
      <c r="Z143" s="2"/>
    </row>
    <row r="144" customFormat="false" ht="12" hidden="false" customHeight="true" outlineLevel="0" collapsed="false">
      <c r="A144" s="2"/>
      <c r="B144" s="19"/>
      <c r="C144" s="19"/>
      <c r="D144" s="2"/>
      <c r="E144" s="2"/>
      <c r="F144" s="2"/>
      <c r="G144" s="2"/>
      <c r="H144" s="2"/>
      <c r="I144" s="2"/>
      <c r="J144" s="2"/>
      <c r="K144" s="2"/>
      <c r="L144" s="19"/>
      <c r="M144" s="19"/>
      <c r="N144" s="2"/>
      <c r="O144" s="2"/>
      <c r="P144" s="2"/>
      <c r="Q144" s="2"/>
      <c r="R144" s="2"/>
      <c r="S144" s="2"/>
      <c r="T144" s="2"/>
      <c r="U144" s="2"/>
      <c r="V144" s="2"/>
      <c r="W144" s="2"/>
      <c r="X144" s="2"/>
      <c r="Y144" s="2"/>
      <c r="Z144" s="2"/>
    </row>
    <row r="145" customFormat="false" ht="12" hidden="false" customHeight="true" outlineLevel="0" collapsed="false">
      <c r="A145" s="2"/>
      <c r="B145" s="19"/>
      <c r="C145" s="19"/>
      <c r="D145" s="2"/>
      <c r="E145" s="2"/>
      <c r="F145" s="2"/>
      <c r="G145" s="2"/>
      <c r="H145" s="2"/>
      <c r="I145" s="2"/>
      <c r="J145" s="2"/>
      <c r="K145" s="2"/>
      <c r="L145" s="19"/>
      <c r="M145" s="19"/>
      <c r="N145" s="2"/>
      <c r="O145" s="2"/>
      <c r="P145" s="2"/>
      <c r="Q145" s="2"/>
      <c r="R145" s="2"/>
      <c r="S145" s="2"/>
      <c r="T145" s="2"/>
      <c r="U145" s="2"/>
      <c r="V145" s="2"/>
      <c r="W145" s="2"/>
      <c r="X145" s="2"/>
      <c r="Y145" s="2"/>
      <c r="Z145" s="2"/>
    </row>
    <row r="146" customFormat="false" ht="12" hidden="false" customHeight="true" outlineLevel="0" collapsed="false">
      <c r="A146" s="2"/>
      <c r="B146" s="19"/>
      <c r="C146" s="19"/>
      <c r="D146" s="2"/>
      <c r="E146" s="2"/>
      <c r="F146" s="2"/>
      <c r="G146" s="2"/>
      <c r="H146" s="2"/>
      <c r="I146" s="2"/>
      <c r="J146" s="2"/>
      <c r="K146" s="2"/>
      <c r="L146" s="19"/>
      <c r="M146" s="19"/>
      <c r="N146" s="2"/>
      <c r="O146" s="2"/>
      <c r="P146" s="2"/>
      <c r="Q146" s="2"/>
      <c r="R146" s="2"/>
      <c r="S146" s="2"/>
      <c r="T146" s="2"/>
      <c r="U146" s="2"/>
      <c r="V146" s="2"/>
      <c r="W146" s="2"/>
      <c r="X146" s="2"/>
      <c r="Y146" s="2"/>
      <c r="Z146" s="2"/>
    </row>
    <row r="147" customFormat="false" ht="12" hidden="false" customHeight="true" outlineLevel="0" collapsed="false">
      <c r="A147" s="2"/>
      <c r="B147" s="19"/>
      <c r="C147" s="19"/>
      <c r="D147" s="2"/>
      <c r="E147" s="2"/>
      <c r="F147" s="2"/>
      <c r="G147" s="2"/>
      <c r="H147" s="2"/>
      <c r="I147" s="2"/>
      <c r="J147" s="2"/>
      <c r="K147" s="2"/>
      <c r="L147" s="19"/>
      <c r="M147" s="19"/>
      <c r="N147" s="2"/>
      <c r="O147" s="2"/>
      <c r="P147" s="2"/>
      <c r="Q147" s="2"/>
      <c r="R147" s="2"/>
      <c r="S147" s="2"/>
      <c r="T147" s="2"/>
      <c r="U147" s="2"/>
      <c r="V147" s="2"/>
      <c r="W147" s="2"/>
      <c r="X147" s="2"/>
      <c r="Y147" s="2"/>
      <c r="Z147" s="2"/>
    </row>
    <row r="148" customFormat="false" ht="12" hidden="false" customHeight="true" outlineLevel="0" collapsed="false">
      <c r="A148" s="2"/>
      <c r="B148" s="19"/>
      <c r="C148" s="19"/>
      <c r="D148" s="2"/>
      <c r="E148" s="2"/>
      <c r="F148" s="2"/>
      <c r="G148" s="2"/>
      <c r="H148" s="2"/>
      <c r="I148" s="2"/>
      <c r="J148" s="2"/>
      <c r="K148" s="2"/>
      <c r="L148" s="19"/>
      <c r="M148" s="19"/>
      <c r="N148" s="2"/>
      <c r="O148" s="2"/>
      <c r="P148" s="2"/>
      <c r="Q148" s="2"/>
      <c r="R148" s="2"/>
      <c r="S148" s="2"/>
      <c r="T148" s="2"/>
      <c r="U148" s="2"/>
      <c r="V148" s="2"/>
      <c r="W148" s="2"/>
      <c r="X148" s="2"/>
      <c r="Y148" s="2"/>
      <c r="Z148" s="2"/>
    </row>
    <row r="149" customFormat="false" ht="12" hidden="false" customHeight="true" outlineLevel="0" collapsed="false">
      <c r="A149" s="2"/>
      <c r="B149" s="19"/>
      <c r="C149" s="19"/>
      <c r="D149" s="2"/>
      <c r="E149" s="2"/>
      <c r="F149" s="2"/>
      <c r="G149" s="2"/>
      <c r="H149" s="2"/>
      <c r="I149" s="2"/>
      <c r="J149" s="2"/>
      <c r="K149" s="2"/>
      <c r="L149" s="19"/>
      <c r="M149" s="19"/>
      <c r="N149" s="2"/>
      <c r="O149" s="2"/>
      <c r="P149" s="2"/>
      <c r="Q149" s="2"/>
      <c r="R149" s="2"/>
      <c r="S149" s="2"/>
      <c r="T149" s="2"/>
      <c r="U149" s="2"/>
      <c r="V149" s="2"/>
      <c r="W149" s="2"/>
      <c r="X149" s="2"/>
      <c r="Y149" s="2"/>
      <c r="Z149" s="2"/>
    </row>
    <row r="150" customFormat="false" ht="12" hidden="false" customHeight="true" outlineLevel="0" collapsed="false">
      <c r="A150" s="2"/>
      <c r="B150" s="19"/>
      <c r="C150" s="19"/>
      <c r="D150" s="2"/>
      <c r="E150" s="2"/>
      <c r="F150" s="2"/>
      <c r="G150" s="2"/>
      <c r="H150" s="2"/>
      <c r="I150" s="2"/>
      <c r="J150" s="2"/>
      <c r="K150" s="2"/>
      <c r="L150" s="19"/>
      <c r="M150" s="19"/>
      <c r="N150" s="2"/>
      <c r="O150" s="2"/>
      <c r="P150" s="2"/>
      <c r="Q150" s="2"/>
      <c r="R150" s="2"/>
      <c r="S150" s="2"/>
      <c r="T150" s="2"/>
      <c r="U150" s="2"/>
      <c r="V150" s="2"/>
      <c r="W150" s="2"/>
      <c r="X150" s="2"/>
      <c r="Y150" s="2"/>
      <c r="Z150" s="2"/>
    </row>
    <row r="151" customFormat="false" ht="12" hidden="false" customHeight="true" outlineLevel="0" collapsed="false">
      <c r="A151" s="2"/>
      <c r="B151" s="19"/>
      <c r="C151" s="19"/>
      <c r="D151" s="2"/>
      <c r="E151" s="2"/>
      <c r="F151" s="2"/>
      <c r="G151" s="2"/>
      <c r="H151" s="2"/>
      <c r="I151" s="2"/>
      <c r="J151" s="2"/>
      <c r="K151" s="2"/>
      <c r="L151" s="19"/>
      <c r="M151" s="19"/>
      <c r="N151" s="2"/>
      <c r="O151" s="2"/>
      <c r="P151" s="2"/>
      <c r="Q151" s="2"/>
      <c r="R151" s="2"/>
      <c r="S151" s="2"/>
      <c r="T151" s="2"/>
      <c r="U151" s="2"/>
      <c r="V151" s="2"/>
      <c r="W151" s="2"/>
      <c r="X151" s="2"/>
      <c r="Y151" s="2"/>
      <c r="Z151" s="2"/>
    </row>
    <row r="152" customFormat="false" ht="12" hidden="false" customHeight="true" outlineLevel="0" collapsed="false">
      <c r="A152" s="2"/>
      <c r="B152" s="19"/>
      <c r="C152" s="19"/>
      <c r="D152" s="2"/>
      <c r="E152" s="2"/>
      <c r="F152" s="2"/>
      <c r="G152" s="2"/>
      <c r="H152" s="2"/>
      <c r="I152" s="2"/>
      <c r="J152" s="2"/>
      <c r="K152" s="2"/>
      <c r="L152" s="19"/>
      <c r="M152" s="19"/>
      <c r="N152" s="2"/>
      <c r="O152" s="2"/>
      <c r="P152" s="2"/>
      <c r="Q152" s="2"/>
      <c r="R152" s="2"/>
      <c r="S152" s="2"/>
      <c r="T152" s="2"/>
      <c r="U152" s="2"/>
      <c r="V152" s="2"/>
      <c r="W152" s="2"/>
      <c r="X152" s="2"/>
      <c r="Y152" s="2"/>
      <c r="Z152" s="2"/>
    </row>
    <row r="153" customFormat="false" ht="12" hidden="false" customHeight="true" outlineLevel="0" collapsed="false">
      <c r="A153" s="2"/>
      <c r="B153" s="19"/>
      <c r="C153" s="19"/>
      <c r="D153" s="2"/>
      <c r="E153" s="2"/>
      <c r="F153" s="2"/>
      <c r="G153" s="2"/>
      <c r="H153" s="2"/>
      <c r="I153" s="2"/>
      <c r="J153" s="2"/>
      <c r="K153" s="2"/>
      <c r="L153" s="19"/>
      <c r="M153" s="19"/>
      <c r="N153" s="2"/>
      <c r="O153" s="2"/>
      <c r="P153" s="2"/>
      <c r="Q153" s="2"/>
      <c r="R153" s="2"/>
      <c r="S153" s="2"/>
      <c r="T153" s="2"/>
      <c r="U153" s="2"/>
      <c r="V153" s="2"/>
      <c r="W153" s="2"/>
      <c r="X153" s="2"/>
      <c r="Y153" s="2"/>
      <c r="Z153" s="2"/>
    </row>
    <row r="154" customFormat="false" ht="12" hidden="false" customHeight="true" outlineLevel="0" collapsed="false">
      <c r="A154" s="2"/>
      <c r="B154" s="19"/>
      <c r="C154" s="19"/>
      <c r="D154" s="2"/>
      <c r="E154" s="2"/>
      <c r="F154" s="2"/>
      <c r="G154" s="2"/>
      <c r="H154" s="2"/>
      <c r="I154" s="2"/>
      <c r="J154" s="2"/>
      <c r="K154" s="2"/>
      <c r="L154" s="19"/>
      <c r="M154" s="19"/>
      <c r="N154" s="2"/>
      <c r="O154" s="2"/>
      <c r="P154" s="2"/>
      <c r="Q154" s="2"/>
      <c r="R154" s="2"/>
      <c r="S154" s="2"/>
      <c r="T154" s="2"/>
      <c r="U154" s="2"/>
      <c r="V154" s="2"/>
      <c r="W154" s="2"/>
      <c r="X154" s="2"/>
      <c r="Y154" s="2"/>
      <c r="Z154" s="2"/>
    </row>
    <row r="155" customFormat="false" ht="12" hidden="false" customHeight="true" outlineLevel="0" collapsed="false">
      <c r="A155" s="2"/>
      <c r="B155" s="19"/>
      <c r="C155" s="19"/>
      <c r="D155" s="2"/>
      <c r="E155" s="2"/>
      <c r="F155" s="2"/>
      <c r="G155" s="2"/>
      <c r="H155" s="2"/>
      <c r="I155" s="2"/>
      <c r="J155" s="2"/>
      <c r="K155" s="2"/>
      <c r="L155" s="19"/>
      <c r="M155" s="19"/>
      <c r="N155" s="2"/>
      <c r="O155" s="2"/>
      <c r="P155" s="2"/>
      <c r="Q155" s="2"/>
      <c r="R155" s="2"/>
      <c r="S155" s="2"/>
      <c r="T155" s="2"/>
      <c r="U155" s="2"/>
      <c r="V155" s="2"/>
      <c r="W155" s="2"/>
      <c r="X155" s="2"/>
      <c r="Y155" s="2"/>
      <c r="Z155" s="2"/>
    </row>
    <row r="156" customFormat="false" ht="12" hidden="false" customHeight="true" outlineLevel="0" collapsed="false">
      <c r="A156" s="2"/>
      <c r="B156" s="19"/>
      <c r="C156" s="19"/>
      <c r="D156" s="2"/>
      <c r="E156" s="2"/>
      <c r="F156" s="2"/>
      <c r="G156" s="2"/>
      <c r="H156" s="2"/>
      <c r="I156" s="2"/>
      <c r="J156" s="2"/>
      <c r="K156" s="2"/>
      <c r="L156" s="19"/>
      <c r="M156" s="19"/>
      <c r="N156" s="2"/>
      <c r="O156" s="2"/>
      <c r="P156" s="2"/>
      <c r="Q156" s="2"/>
      <c r="R156" s="2"/>
      <c r="S156" s="2"/>
      <c r="T156" s="2"/>
      <c r="U156" s="2"/>
      <c r="V156" s="2"/>
      <c r="W156" s="2"/>
      <c r="X156" s="2"/>
      <c r="Y156" s="2"/>
      <c r="Z156" s="2"/>
    </row>
    <row r="157" customFormat="false" ht="12" hidden="false" customHeight="true" outlineLevel="0" collapsed="false">
      <c r="A157" s="2"/>
      <c r="B157" s="19"/>
      <c r="C157" s="19"/>
      <c r="D157" s="2"/>
      <c r="E157" s="2"/>
      <c r="F157" s="2"/>
      <c r="G157" s="2"/>
      <c r="H157" s="2"/>
      <c r="I157" s="2"/>
      <c r="J157" s="2"/>
      <c r="K157" s="2"/>
      <c r="L157" s="19"/>
      <c r="M157" s="19"/>
      <c r="N157" s="2"/>
      <c r="O157" s="2"/>
      <c r="P157" s="2"/>
      <c r="Q157" s="2"/>
      <c r="R157" s="2"/>
      <c r="S157" s="2"/>
      <c r="T157" s="2"/>
      <c r="U157" s="2"/>
      <c r="V157" s="2"/>
      <c r="W157" s="2"/>
      <c r="X157" s="2"/>
      <c r="Y157" s="2"/>
      <c r="Z157" s="2"/>
    </row>
    <row r="158" customFormat="false" ht="12" hidden="false" customHeight="true" outlineLevel="0" collapsed="false">
      <c r="A158" s="2"/>
      <c r="B158" s="19"/>
      <c r="C158" s="19"/>
      <c r="D158" s="2"/>
      <c r="E158" s="2"/>
      <c r="F158" s="2"/>
      <c r="G158" s="2"/>
      <c r="H158" s="2"/>
      <c r="I158" s="2"/>
      <c r="J158" s="2"/>
      <c r="K158" s="2"/>
      <c r="L158" s="19"/>
      <c r="M158" s="19"/>
      <c r="N158" s="2"/>
      <c r="O158" s="2"/>
      <c r="P158" s="2"/>
      <c r="Q158" s="2"/>
      <c r="R158" s="2"/>
      <c r="S158" s="2"/>
      <c r="T158" s="2"/>
      <c r="U158" s="2"/>
      <c r="V158" s="2"/>
      <c r="W158" s="2"/>
      <c r="X158" s="2"/>
      <c r="Y158" s="2"/>
      <c r="Z158" s="2"/>
    </row>
    <row r="159" customFormat="false" ht="12" hidden="false" customHeight="true" outlineLevel="0" collapsed="false">
      <c r="A159" s="2"/>
      <c r="B159" s="19"/>
      <c r="C159" s="19"/>
      <c r="D159" s="2"/>
      <c r="E159" s="2"/>
      <c r="F159" s="2"/>
      <c r="G159" s="2"/>
      <c r="H159" s="2"/>
      <c r="I159" s="2"/>
      <c r="J159" s="2"/>
      <c r="K159" s="2"/>
      <c r="L159" s="19"/>
      <c r="M159" s="19"/>
      <c r="N159" s="2"/>
      <c r="O159" s="2"/>
      <c r="P159" s="2"/>
      <c r="Q159" s="2"/>
      <c r="R159" s="2"/>
      <c r="S159" s="2"/>
      <c r="T159" s="2"/>
      <c r="U159" s="2"/>
      <c r="V159" s="2"/>
      <c r="W159" s="2"/>
      <c r="X159" s="2"/>
      <c r="Y159" s="2"/>
      <c r="Z159" s="2"/>
    </row>
    <row r="160" customFormat="false" ht="12" hidden="false" customHeight="true" outlineLevel="0" collapsed="false">
      <c r="A160" s="2"/>
      <c r="B160" s="19"/>
      <c r="C160" s="19"/>
      <c r="D160" s="2"/>
      <c r="E160" s="2"/>
      <c r="F160" s="2"/>
      <c r="G160" s="2"/>
      <c r="H160" s="2"/>
      <c r="I160" s="2"/>
      <c r="J160" s="2"/>
      <c r="K160" s="2"/>
      <c r="L160" s="19"/>
      <c r="M160" s="19"/>
      <c r="N160" s="2"/>
      <c r="O160" s="2"/>
      <c r="P160" s="2"/>
      <c r="Q160" s="2"/>
      <c r="R160" s="2"/>
      <c r="S160" s="2"/>
      <c r="T160" s="2"/>
      <c r="U160" s="2"/>
      <c r="V160" s="2"/>
      <c r="W160" s="2"/>
      <c r="X160" s="2"/>
      <c r="Y160" s="2"/>
      <c r="Z160" s="2"/>
    </row>
    <row r="161" customFormat="false" ht="12" hidden="false" customHeight="true" outlineLevel="0" collapsed="false">
      <c r="A161" s="2"/>
      <c r="B161" s="19"/>
      <c r="C161" s="19"/>
      <c r="D161" s="2"/>
      <c r="E161" s="2"/>
      <c r="F161" s="2"/>
      <c r="G161" s="2"/>
      <c r="H161" s="2"/>
      <c r="I161" s="2"/>
      <c r="J161" s="2"/>
      <c r="K161" s="2"/>
      <c r="L161" s="19"/>
      <c r="M161" s="19"/>
      <c r="N161" s="2"/>
      <c r="O161" s="2"/>
      <c r="P161" s="2"/>
      <c r="Q161" s="2"/>
      <c r="R161" s="2"/>
      <c r="S161" s="2"/>
      <c r="T161" s="2"/>
      <c r="U161" s="2"/>
      <c r="V161" s="2"/>
      <c r="W161" s="2"/>
      <c r="X161" s="2"/>
      <c r="Y161" s="2"/>
      <c r="Z161" s="2"/>
    </row>
    <row r="162" customFormat="false" ht="12" hidden="false" customHeight="true" outlineLevel="0" collapsed="false">
      <c r="A162" s="2"/>
      <c r="B162" s="19"/>
      <c r="C162" s="19"/>
      <c r="D162" s="2"/>
      <c r="E162" s="2"/>
      <c r="F162" s="2"/>
      <c r="G162" s="2"/>
      <c r="H162" s="2"/>
      <c r="I162" s="2"/>
      <c r="J162" s="2"/>
      <c r="K162" s="2"/>
      <c r="L162" s="19"/>
      <c r="M162" s="19"/>
      <c r="N162" s="2"/>
      <c r="O162" s="2"/>
      <c r="P162" s="2"/>
      <c r="Q162" s="2"/>
      <c r="R162" s="2"/>
      <c r="S162" s="2"/>
      <c r="T162" s="2"/>
      <c r="U162" s="2"/>
      <c r="V162" s="2"/>
      <c r="W162" s="2"/>
      <c r="X162" s="2"/>
      <c r="Y162" s="2"/>
      <c r="Z162" s="2"/>
    </row>
    <row r="163" customFormat="false" ht="12" hidden="false" customHeight="true" outlineLevel="0" collapsed="false">
      <c r="A163" s="2"/>
      <c r="B163" s="19"/>
      <c r="C163" s="19"/>
      <c r="D163" s="2"/>
      <c r="E163" s="2"/>
      <c r="F163" s="2"/>
      <c r="G163" s="2"/>
      <c r="H163" s="2"/>
      <c r="I163" s="2"/>
      <c r="J163" s="2"/>
      <c r="K163" s="2"/>
      <c r="L163" s="19"/>
      <c r="M163" s="19"/>
      <c r="N163" s="2"/>
      <c r="O163" s="2"/>
      <c r="P163" s="2"/>
      <c r="Q163" s="2"/>
      <c r="R163" s="2"/>
      <c r="S163" s="2"/>
      <c r="T163" s="2"/>
      <c r="U163" s="2"/>
      <c r="V163" s="2"/>
      <c r="W163" s="2"/>
      <c r="X163" s="2"/>
      <c r="Y163" s="2"/>
      <c r="Z163" s="2"/>
    </row>
    <row r="164" customFormat="false" ht="12" hidden="false" customHeight="true" outlineLevel="0" collapsed="false">
      <c r="A164" s="2"/>
      <c r="B164" s="19"/>
      <c r="C164" s="19"/>
      <c r="D164" s="2"/>
      <c r="E164" s="2"/>
      <c r="F164" s="2"/>
      <c r="G164" s="2"/>
      <c r="H164" s="2"/>
      <c r="I164" s="2"/>
      <c r="J164" s="2"/>
      <c r="K164" s="2"/>
      <c r="L164" s="19"/>
      <c r="M164" s="19"/>
      <c r="N164" s="2"/>
      <c r="O164" s="2"/>
      <c r="P164" s="2"/>
      <c r="Q164" s="2"/>
      <c r="R164" s="2"/>
      <c r="S164" s="2"/>
      <c r="T164" s="2"/>
      <c r="U164" s="2"/>
      <c r="V164" s="2"/>
      <c r="W164" s="2"/>
      <c r="X164" s="2"/>
      <c r="Y164" s="2"/>
      <c r="Z164" s="2"/>
    </row>
    <row r="165" customFormat="false" ht="12" hidden="false" customHeight="true" outlineLevel="0" collapsed="false">
      <c r="A165" s="2"/>
      <c r="B165" s="19"/>
      <c r="C165" s="19"/>
      <c r="D165" s="2"/>
      <c r="E165" s="2"/>
      <c r="F165" s="2"/>
      <c r="G165" s="2"/>
      <c r="H165" s="2"/>
      <c r="I165" s="2"/>
      <c r="J165" s="2"/>
      <c r="K165" s="2"/>
      <c r="L165" s="19"/>
      <c r="M165" s="19"/>
      <c r="N165" s="2"/>
      <c r="O165" s="2"/>
      <c r="P165" s="2"/>
      <c r="Q165" s="2"/>
      <c r="R165" s="2"/>
      <c r="S165" s="2"/>
      <c r="T165" s="2"/>
      <c r="U165" s="2"/>
      <c r="V165" s="2"/>
      <c r="W165" s="2"/>
      <c r="X165" s="2"/>
      <c r="Y165" s="2"/>
      <c r="Z165" s="2"/>
    </row>
    <row r="166" customFormat="false" ht="12" hidden="false" customHeight="true" outlineLevel="0" collapsed="false">
      <c r="A166" s="2"/>
      <c r="B166" s="19"/>
      <c r="C166" s="19"/>
      <c r="D166" s="2"/>
      <c r="E166" s="2"/>
      <c r="F166" s="2"/>
      <c r="G166" s="2"/>
      <c r="H166" s="2"/>
      <c r="I166" s="2"/>
      <c r="J166" s="2"/>
      <c r="K166" s="2"/>
      <c r="L166" s="19"/>
      <c r="M166" s="19"/>
      <c r="N166" s="2"/>
      <c r="O166" s="2"/>
      <c r="P166" s="2"/>
      <c r="Q166" s="2"/>
      <c r="R166" s="2"/>
      <c r="S166" s="2"/>
      <c r="T166" s="2"/>
      <c r="U166" s="2"/>
      <c r="V166" s="2"/>
      <c r="W166" s="2"/>
      <c r="X166" s="2"/>
      <c r="Y166" s="2"/>
      <c r="Z166" s="2"/>
    </row>
    <row r="167" customFormat="false" ht="12" hidden="false" customHeight="true" outlineLevel="0" collapsed="false">
      <c r="A167" s="2"/>
      <c r="B167" s="19"/>
      <c r="C167" s="19"/>
      <c r="D167" s="2"/>
      <c r="E167" s="2"/>
      <c r="F167" s="2"/>
      <c r="G167" s="2"/>
      <c r="H167" s="2"/>
      <c r="I167" s="2"/>
      <c r="J167" s="2"/>
      <c r="K167" s="2"/>
      <c r="L167" s="19"/>
      <c r="M167" s="19"/>
      <c r="N167" s="2"/>
      <c r="O167" s="2"/>
      <c r="P167" s="2"/>
      <c r="Q167" s="2"/>
      <c r="R167" s="2"/>
      <c r="S167" s="2"/>
      <c r="T167" s="2"/>
      <c r="U167" s="2"/>
      <c r="V167" s="2"/>
      <c r="W167" s="2"/>
      <c r="X167" s="2"/>
      <c r="Y167" s="2"/>
      <c r="Z167" s="2"/>
    </row>
    <row r="168" customFormat="false" ht="12" hidden="false" customHeight="true" outlineLevel="0" collapsed="false">
      <c r="A168" s="2"/>
      <c r="B168" s="19"/>
      <c r="C168" s="19"/>
      <c r="D168" s="2"/>
      <c r="E168" s="2"/>
      <c r="F168" s="2"/>
      <c r="G168" s="2"/>
      <c r="H168" s="2"/>
      <c r="I168" s="2"/>
      <c r="J168" s="2"/>
      <c r="K168" s="2"/>
      <c r="L168" s="19"/>
      <c r="M168" s="19"/>
      <c r="N168" s="2"/>
      <c r="O168" s="2"/>
      <c r="P168" s="2"/>
      <c r="Q168" s="2"/>
      <c r="R168" s="2"/>
      <c r="S168" s="2"/>
      <c r="T168" s="2"/>
      <c r="U168" s="2"/>
      <c r="V168" s="2"/>
      <c r="W168" s="2"/>
      <c r="X168" s="2"/>
      <c r="Y168" s="2"/>
      <c r="Z168" s="2"/>
    </row>
    <row r="169" customFormat="false" ht="12" hidden="false" customHeight="true" outlineLevel="0" collapsed="false">
      <c r="A169" s="2"/>
      <c r="B169" s="19"/>
      <c r="C169" s="19"/>
      <c r="D169" s="2"/>
      <c r="E169" s="2"/>
      <c r="F169" s="2"/>
      <c r="G169" s="2"/>
      <c r="H169" s="2"/>
      <c r="I169" s="2"/>
      <c r="J169" s="2"/>
      <c r="K169" s="2"/>
      <c r="L169" s="19"/>
      <c r="M169" s="19"/>
      <c r="N169" s="2"/>
      <c r="O169" s="2"/>
      <c r="P169" s="2"/>
      <c r="Q169" s="2"/>
      <c r="R169" s="2"/>
      <c r="S169" s="2"/>
      <c r="T169" s="2"/>
      <c r="U169" s="2"/>
      <c r="V169" s="2"/>
      <c r="W169" s="2"/>
      <c r="X169" s="2"/>
      <c r="Y169" s="2"/>
      <c r="Z169" s="2"/>
    </row>
    <row r="170" customFormat="false" ht="12" hidden="false" customHeight="true" outlineLevel="0" collapsed="false">
      <c r="A170" s="2"/>
      <c r="B170" s="19"/>
      <c r="C170" s="19"/>
      <c r="D170" s="2"/>
      <c r="E170" s="2"/>
      <c r="F170" s="2"/>
      <c r="G170" s="2"/>
      <c r="H170" s="2"/>
      <c r="I170" s="2"/>
      <c r="J170" s="2"/>
      <c r="K170" s="2"/>
      <c r="L170" s="19"/>
      <c r="M170" s="19"/>
      <c r="N170" s="2"/>
      <c r="O170" s="2"/>
      <c r="P170" s="2"/>
      <c r="Q170" s="2"/>
      <c r="R170" s="2"/>
      <c r="S170" s="2"/>
      <c r="T170" s="2"/>
      <c r="U170" s="2"/>
      <c r="V170" s="2"/>
      <c r="W170" s="2"/>
      <c r="X170" s="2"/>
      <c r="Y170" s="2"/>
      <c r="Z170" s="2"/>
    </row>
    <row r="171" customFormat="false" ht="12" hidden="false" customHeight="true" outlineLevel="0" collapsed="false">
      <c r="A171" s="2"/>
      <c r="B171" s="19"/>
      <c r="C171" s="19"/>
      <c r="D171" s="2"/>
      <c r="E171" s="2"/>
      <c r="F171" s="2"/>
      <c r="G171" s="2"/>
      <c r="H171" s="2"/>
      <c r="I171" s="2"/>
      <c r="J171" s="2"/>
      <c r="K171" s="2"/>
      <c r="L171" s="19"/>
      <c r="M171" s="19"/>
      <c r="N171" s="2"/>
      <c r="O171" s="2"/>
      <c r="P171" s="2"/>
      <c r="Q171" s="2"/>
      <c r="R171" s="2"/>
      <c r="S171" s="2"/>
      <c r="T171" s="2"/>
      <c r="U171" s="2"/>
      <c r="V171" s="2"/>
      <c r="W171" s="2"/>
      <c r="X171" s="2"/>
      <c r="Y171" s="2"/>
      <c r="Z171" s="2"/>
    </row>
    <row r="172" customFormat="false" ht="12" hidden="false" customHeight="true" outlineLevel="0" collapsed="false">
      <c r="A172" s="2"/>
      <c r="B172" s="19"/>
      <c r="C172" s="19"/>
      <c r="D172" s="2"/>
      <c r="E172" s="2"/>
      <c r="F172" s="2"/>
      <c r="G172" s="2"/>
      <c r="H172" s="2"/>
      <c r="I172" s="2"/>
      <c r="J172" s="2"/>
      <c r="K172" s="2"/>
      <c r="L172" s="19"/>
      <c r="M172" s="19"/>
      <c r="N172" s="2"/>
      <c r="O172" s="2"/>
      <c r="P172" s="2"/>
      <c r="Q172" s="2"/>
      <c r="R172" s="2"/>
      <c r="S172" s="2"/>
      <c r="T172" s="2"/>
      <c r="U172" s="2"/>
      <c r="V172" s="2"/>
      <c r="W172" s="2"/>
      <c r="X172" s="2"/>
      <c r="Y172" s="2"/>
      <c r="Z172" s="2"/>
    </row>
    <row r="173" customFormat="false" ht="12" hidden="false" customHeight="true" outlineLevel="0" collapsed="false">
      <c r="A173" s="2"/>
      <c r="B173" s="19"/>
      <c r="C173" s="19"/>
      <c r="D173" s="2"/>
      <c r="E173" s="2"/>
      <c r="F173" s="2"/>
      <c r="G173" s="2"/>
      <c r="H173" s="2"/>
      <c r="I173" s="2"/>
      <c r="J173" s="2"/>
      <c r="K173" s="2"/>
      <c r="L173" s="19"/>
      <c r="M173" s="19"/>
      <c r="N173" s="2"/>
      <c r="O173" s="2"/>
      <c r="P173" s="2"/>
      <c r="Q173" s="2"/>
      <c r="R173" s="2"/>
      <c r="S173" s="2"/>
      <c r="T173" s="2"/>
      <c r="U173" s="2"/>
      <c r="V173" s="2"/>
      <c r="W173" s="2"/>
      <c r="X173" s="2"/>
      <c r="Y173" s="2"/>
      <c r="Z173" s="2"/>
    </row>
    <row r="174" customFormat="false" ht="12" hidden="false" customHeight="true" outlineLevel="0" collapsed="false">
      <c r="A174" s="2"/>
      <c r="B174" s="19"/>
      <c r="C174" s="19"/>
      <c r="D174" s="2"/>
      <c r="E174" s="2"/>
      <c r="F174" s="2"/>
      <c r="G174" s="2"/>
      <c r="H174" s="2"/>
      <c r="I174" s="2"/>
      <c r="J174" s="2"/>
      <c r="K174" s="2"/>
      <c r="L174" s="19"/>
      <c r="M174" s="19"/>
      <c r="N174" s="2"/>
      <c r="O174" s="2"/>
      <c r="P174" s="2"/>
      <c r="Q174" s="2"/>
      <c r="R174" s="2"/>
      <c r="S174" s="2"/>
      <c r="T174" s="2"/>
      <c r="U174" s="2"/>
      <c r="V174" s="2"/>
      <c r="W174" s="2"/>
      <c r="X174" s="2"/>
      <c r="Y174" s="2"/>
      <c r="Z174" s="2"/>
    </row>
    <row r="175" customFormat="false" ht="12" hidden="false" customHeight="true" outlineLevel="0" collapsed="false">
      <c r="A175" s="2"/>
      <c r="B175" s="19"/>
      <c r="C175" s="19"/>
      <c r="D175" s="2"/>
      <c r="E175" s="2"/>
      <c r="F175" s="2"/>
      <c r="G175" s="2"/>
      <c r="H175" s="2"/>
      <c r="I175" s="2"/>
      <c r="J175" s="2"/>
      <c r="K175" s="2"/>
      <c r="L175" s="19"/>
      <c r="M175" s="19"/>
      <c r="N175" s="2"/>
      <c r="O175" s="2"/>
      <c r="P175" s="2"/>
      <c r="Q175" s="2"/>
      <c r="R175" s="2"/>
      <c r="S175" s="2"/>
      <c r="T175" s="2"/>
      <c r="U175" s="2"/>
      <c r="V175" s="2"/>
      <c r="W175" s="2"/>
      <c r="X175" s="2"/>
      <c r="Y175" s="2"/>
      <c r="Z175" s="2"/>
    </row>
    <row r="176" customFormat="false" ht="12" hidden="false" customHeight="true" outlineLevel="0" collapsed="false">
      <c r="A176" s="2"/>
      <c r="B176" s="19"/>
      <c r="C176" s="19"/>
      <c r="D176" s="2"/>
      <c r="E176" s="2"/>
      <c r="F176" s="2"/>
      <c r="G176" s="2"/>
      <c r="H176" s="2"/>
      <c r="I176" s="2"/>
      <c r="J176" s="2"/>
      <c r="K176" s="2"/>
      <c r="L176" s="19"/>
      <c r="M176" s="19"/>
      <c r="N176" s="2"/>
      <c r="O176" s="2"/>
      <c r="P176" s="2"/>
      <c r="Q176" s="2"/>
      <c r="R176" s="2"/>
      <c r="S176" s="2"/>
      <c r="T176" s="2"/>
      <c r="U176" s="2"/>
      <c r="V176" s="2"/>
      <c r="W176" s="2"/>
      <c r="X176" s="2"/>
      <c r="Y176" s="2"/>
      <c r="Z176" s="2"/>
    </row>
    <row r="177" customFormat="false" ht="12" hidden="false" customHeight="true" outlineLevel="0" collapsed="false">
      <c r="A177" s="2"/>
      <c r="B177" s="19"/>
      <c r="C177" s="19"/>
      <c r="D177" s="2"/>
      <c r="E177" s="2"/>
      <c r="F177" s="2"/>
      <c r="G177" s="2"/>
      <c r="H177" s="2"/>
      <c r="I177" s="2"/>
      <c r="J177" s="2"/>
      <c r="K177" s="2"/>
      <c r="L177" s="19"/>
      <c r="M177" s="19"/>
      <c r="N177" s="2"/>
      <c r="O177" s="2"/>
      <c r="P177" s="2"/>
      <c r="Q177" s="2"/>
      <c r="R177" s="2"/>
      <c r="S177" s="2"/>
      <c r="T177" s="2"/>
      <c r="U177" s="2"/>
      <c r="V177" s="2"/>
      <c r="W177" s="2"/>
      <c r="X177" s="2"/>
      <c r="Y177" s="2"/>
      <c r="Z177" s="2"/>
    </row>
    <row r="178" customFormat="false" ht="12" hidden="false" customHeight="true" outlineLevel="0" collapsed="false">
      <c r="A178" s="2"/>
      <c r="B178" s="19"/>
      <c r="C178" s="19"/>
      <c r="D178" s="2"/>
      <c r="E178" s="2"/>
      <c r="F178" s="2"/>
      <c r="G178" s="2"/>
      <c r="H178" s="2"/>
      <c r="I178" s="2"/>
      <c r="J178" s="2"/>
      <c r="K178" s="2"/>
      <c r="L178" s="19"/>
      <c r="M178" s="19"/>
      <c r="N178" s="2"/>
      <c r="O178" s="2"/>
      <c r="P178" s="2"/>
      <c r="Q178" s="2"/>
      <c r="R178" s="2"/>
      <c r="S178" s="2"/>
      <c r="T178" s="2"/>
      <c r="U178" s="2"/>
      <c r="V178" s="2"/>
      <c r="W178" s="2"/>
      <c r="X178" s="2"/>
      <c r="Y178" s="2"/>
      <c r="Z178" s="2"/>
    </row>
    <row r="179" customFormat="false" ht="12" hidden="false" customHeight="true" outlineLevel="0" collapsed="false">
      <c r="A179" s="2"/>
      <c r="B179" s="19"/>
      <c r="C179" s="19"/>
      <c r="D179" s="2"/>
      <c r="E179" s="2"/>
      <c r="F179" s="2"/>
      <c r="G179" s="2"/>
      <c r="H179" s="2"/>
      <c r="I179" s="2"/>
      <c r="J179" s="2"/>
      <c r="K179" s="2"/>
      <c r="L179" s="19"/>
      <c r="M179" s="19"/>
      <c r="N179" s="2"/>
      <c r="O179" s="2"/>
      <c r="P179" s="2"/>
      <c r="Q179" s="2"/>
      <c r="R179" s="2"/>
      <c r="S179" s="2"/>
      <c r="T179" s="2"/>
      <c r="U179" s="2"/>
      <c r="V179" s="2"/>
      <c r="W179" s="2"/>
      <c r="X179" s="2"/>
      <c r="Y179" s="2"/>
      <c r="Z179" s="2"/>
    </row>
    <row r="180" customFormat="false" ht="12" hidden="false" customHeight="true" outlineLevel="0" collapsed="false">
      <c r="A180" s="2"/>
      <c r="B180" s="19"/>
      <c r="C180" s="19"/>
      <c r="D180" s="2"/>
      <c r="E180" s="2"/>
      <c r="F180" s="2"/>
      <c r="G180" s="2"/>
      <c r="H180" s="2"/>
      <c r="I180" s="2"/>
      <c r="J180" s="2"/>
      <c r="K180" s="2"/>
      <c r="L180" s="19"/>
      <c r="M180" s="19"/>
      <c r="N180" s="2"/>
      <c r="O180" s="2"/>
      <c r="P180" s="2"/>
      <c r="Q180" s="2"/>
      <c r="R180" s="2"/>
      <c r="S180" s="2"/>
      <c r="T180" s="2"/>
      <c r="U180" s="2"/>
      <c r="V180" s="2"/>
      <c r="W180" s="2"/>
      <c r="X180" s="2"/>
      <c r="Y180" s="2"/>
      <c r="Z180" s="2"/>
    </row>
    <row r="181" customFormat="false" ht="12" hidden="false" customHeight="true" outlineLevel="0" collapsed="false">
      <c r="A181" s="2"/>
      <c r="B181" s="19"/>
      <c r="C181" s="19"/>
      <c r="D181" s="2"/>
      <c r="E181" s="2"/>
      <c r="F181" s="2"/>
      <c r="G181" s="2"/>
      <c r="H181" s="2"/>
      <c r="I181" s="2"/>
      <c r="J181" s="2"/>
      <c r="K181" s="2"/>
      <c r="L181" s="19"/>
      <c r="M181" s="19"/>
      <c r="N181" s="2"/>
      <c r="O181" s="2"/>
      <c r="P181" s="2"/>
      <c r="Q181" s="2"/>
      <c r="R181" s="2"/>
      <c r="S181" s="2"/>
      <c r="T181" s="2"/>
      <c r="U181" s="2"/>
      <c r="V181" s="2"/>
      <c r="W181" s="2"/>
      <c r="X181" s="2"/>
      <c r="Y181" s="2"/>
      <c r="Z181" s="2"/>
    </row>
    <row r="182" customFormat="false" ht="12" hidden="false" customHeight="true" outlineLevel="0" collapsed="false">
      <c r="A182" s="2"/>
      <c r="B182" s="19"/>
      <c r="C182" s="19"/>
      <c r="D182" s="2"/>
      <c r="E182" s="2"/>
      <c r="F182" s="2"/>
      <c r="G182" s="2"/>
      <c r="H182" s="2"/>
      <c r="I182" s="2"/>
      <c r="J182" s="2"/>
      <c r="K182" s="2"/>
      <c r="L182" s="19"/>
      <c r="M182" s="19"/>
      <c r="N182" s="2"/>
      <c r="O182" s="2"/>
      <c r="P182" s="2"/>
      <c r="Q182" s="2"/>
      <c r="R182" s="2"/>
      <c r="S182" s="2"/>
      <c r="T182" s="2"/>
      <c r="U182" s="2"/>
      <c r="V182" s="2"/>
      <c r="W182" s="2"/>
      <c r="X182" s="2"/>
      <c r="Y182" s="2"/>
      <c r="Z182" s="2"/>
    </row>
    <row r="183" customFormat="false" ht="12" hidden="false" customHeight="true" outlineLevel="0" collapsed="false">
      <c r="A183" s="2"/>
      <c r="B183" s="19"/>
      <c r="C183" s="19"/>
      <c r="D183" s="2"/>
      <c r="E183" s="2"/>
      <c r="F183" s="2"/>
      <c r="G183" s="2"/>
      <c r="H183" s="2"/>
      <c r="I183" s="2"/>
      <c r="J183" s="2"/>
      <c r="K183" s="2"/>
      <c r="L183" s="19"/>
      <c r="M183" s="19"/>
      <c r="N183" s="2"/>
      <c r="O183" s="2"/>
      <c r="P183" s="2"/>
      <c r="Q183" s="2"/>
      <c r="R183" s="2"/>
      <c r="S183" s="2"/>
      <c r="T183" s="2"/>
      <c r="U183" s="2"/>
      <c r="V183" s="2"/>
      <c r="W183" s="2"/>
      <c r="X183" s="2"/>
      <c r="Y183" s="2"/>
      <c r="Z183" s="2"/>
    </row>
    <row r="184" customFormat="false" ht="12" hidden="false" customHeight="true" outlineLevel="0" collapsed="false">
      <c r="A184" s="2"/>
      <c r="B184" s="19"/>
      <c r="C184" s="19"/>
      <c r="D184" s="2"/>
      <c r="E184" s="2"/>
      <c r="F184" s="2"/>
      <c r="G184" s="2"/>
      <c r="H184" s="2"/>
      <c r="I184" s="2"/>
      <c r="J184" s="2"/>
      <c r="K184" s="2"/>
      <c r="L184" s="19"/>
      <c r="M184" s="19"/>
      <c r="N184" s="2"/>
      <c r="O184" s="2"/>
      <c r="P184" s="2"/>
      <c r="Q184" s="2"/>
      <c r="R184" s="2"/>
      <c r="S184" s="2"/>
      <c r="T184" s="2"/>
      <c r="U184" s="2"/>
      <c r="V184" s="2"/>
      <c r="W184" s="2"/>
      <c r="X184" s="2"/>
      <c r="Y184" s="2"/>
      <c r="Z184" s="2"/>
    </row>
    <row r="185" customFormat="false" ht="12" hidden="false" customHeight="true" outlineLevel="0" collapsed="false">
      <c r="A185" s="2"/>
      <c r="B185" s="19"/>
      <c r="C185" s="19"/>
      <c r="D185" s="2"/>
      <c r="E185" s="2"/>
      <c r="F185" s="2"/>
      <c r="G185" s="2"/>
      <c r="H185" s="2"/>
      <c r="I185" s="2"/>
      <c r="J185" s="2"/>
      <c r="K185" s="2"/>
      <c r="L185" s="19"/>
      <c r="M185" s="19"/>
      <c r="N185" s="2"/>
      <c r="O185" s="2"/>
      <c r="P185" s="2"/>
      <c r="Q185" s="2"/>
      <c r="R185" s="2"/>
      <c r="S185" s="2"/>
      <c r="T185" s="2"/>
      <c r="U185" s="2"/>
      <c r="V185" s="2"/>
      <c r="W185" s="2"/>
      <c r="X185" s="2"/>
      <c r="Y185" s="2"/>
      <c r="Z185" s="2"/>
    </row>
    <row r="186" customFormat="false" ht="12" hidden="false" customHeight="true" outlineLevel="0" collapsed="false">
      <c r="A186" s="2"/>
      <c r="B186" s="19"/>
      <c r="C186" s="19"/>
      <c r="D186" s="2"/>
      <c r="E186" s="2"/>
      <c r="F186" s="2"/>
      <c r="G186" s="2"/>
      <c r="H186" s="2"/>
      <c r="I186" s="2"/>
      <c r="J186" s="2"/>
      <c r="K186" s="2"/>
      <c r="L186" s="19"/>
      <c r="M186" s="19"/>
      <c r="N186" s="2"/>
      <c r="O186" s="2"/>
      <c r="P186" s="2"/>
      <c r="Q186" s="2"/>
      <c r="R186" s="2"/>
      <c r="S186" s="2"/>
      <c r="T186" s="2"/>
      <c r="U186" s="2"/>
      <c r="V186" s="2"/>
      <c r="W186" s="2"/>
      <c r="X186" s="2"/>
      <c r="Y186" s="2"/>
      <c r="Z186" s="2"/>
    </row>
    <row r="187" customFormat="false" ht="12" hidden="false" customHeight="true" outlineLevel="0" collapsed="false">
      <c r="A187" s="2"/>
      <c r="B187" s="19"/>
      <c r="C187" s="19"/>
      <c r="D187" s="2"/>
      <c r="E187" s="2"/>
      <c r="F187" s="2"/>
      <c r="G187" s="2"/>
      <c r="H187" s="2"/>
      <c r="I187" s="2"/>
      <c r="J187" s="2"/>
      <c r="K187" s="2"/>
      <c r="L187" s="19"/>
      <c r="M187" s="19"/>
      <c r="N187" s="2"/>
      <c r="O187" s="2"/>
      <c r="P187" s="2"/>
      <c r="Q187" s="2"/>
      <c r="R187" s="2"/>
      <c r="S187" s="2"/>
      <c r="T187" s="2"/>
      <c r="U187" s="2"/>
      <c r="V187" s="2"/>
      <c r="W187" s="2"/>
      <c r="X187" s="2"/>
      <c r="Y187" s="2"/>
      <c r="Z187" s="2"/>
    </row>
    <row r="188" customFormat="false" ht="12" hidden="false" customHeight="true" outlineLevel="0" collapsed="false">
      <c r="A188" s="2"/>
      <c r="B188" s="19"/>
      <c r="C188" s="19"/>
      <c r="D188" s="2"/>
      <c r="E188" s="2"/>
      <c r="F188" s="2"/>
      <c r="G188" s="2"/>
      <c r="H188" s="2"/>
      <c r="I188" s="2"/>
      <c r="J188" s="2"/>
      <c r="K188" s="2"/>
      <c r="L188" s="19"/>
      <c r="M188" s="19"/>
      <c r="N188" s="2"/>
      <c r="O188" s="2"/>
      <c r="P188" s="2"/>
      <c r="Q188" s="2"/>
      <c r="R188" s="2"/>
      <c r="S188" s="2"/>
      <c r="T188" s="2"/>
      <c r="U188" s="2"/>
      <c r="V188" s="2"/>
      <c r="W188" s="2"/>
      <c r="X188" s="2"/>
      <c r="Y188" s="2"/>
      <c r="Z188" s="2"/>
    </row>
    <row r="189" customFormat="false" ht="12" hidden="false" customHeight="true" outlineLevel="0" collapsed="false">
      <c r="A189" s="2"/>
      <c r="B189" s="19"/>
      <c r="C189" s="19"/>
      <c r="D189" s="2"/>
      <c r="E189" s="2"/>
      <c r="F189" s="2"/>
      <c r="G189" s="2"/>
      <c r="H189" s="2"/>
      <c r="I189" s="2"/>
      <c r="J189" s="2"/>
      <c r="K189" s="2"/>
      <c r="L189" s="19"/>
      <c r="M189" s="19"/>
      <c r="N189" s="2"/>
      <c r="O189" s="2"/>
      <c r="P189" s="2"/>
      <c r="Q189" s="2"/>
      <c r="R189" s="2"/>
      <c r="S189" s="2"/>
      <c r="T189" s="2"/>
      <c r="U189" s="2"/>
      <c r="V189" s="2"/>
      <c r="W189" s="2"/>
      <c r="X189" s="2"/>
      <c r="Y189" s="2"/>
      <c r="Z189" s="2"/>
    </row>
    <row r="190" customFormat="false" ht="12" hidden="false" customHeight="true" outlineLevel="0" collapsed="false">
      <c r="A190" s="2"/>
      <c r="B190" s="19"/>
      <c r="C190" s="19"/>
      <c r="D190" s="2"/>
      <c r="E190" s="2"/>
      <c r="F190" s="2"/>
      <c r="G190" s="2"/>
      <c r="H190" s="2"/>
      <c r="I190" s="2"/>
      <c r="J190" s="2"/>
      <c r="K190" s="2"/>
      <c r="L190" s="19"/>
      <c r="M190" s="19"/>
      <c r="N190" s="2"/>
      <c r="O190" s="2"/>
      <c r="P190" s="2"/>
      <c r="Q190" s="2"/>
      <c r="R190" s="2"/>
      <c r="S190" s="2"/>
      <c r="T190" s="2"/>
      <c r="U190" s="2"/>
      <c r="V190" s="2"/>
      <c r="W190" s="2"/>
      <c r="X190" s="2"/>
      <c r="Y190" s="2"/>
      <c r="Z190" s="2"/>
    </row>
    <row r="191" customFormat="false" ht="12" hidden="false" customHeight="true" outlineLevel="0" collapsed="false">
      <c r="A191" s="2"/>
      <c r="B191" s="19"/>
      <c r="C191" s="19"/>
      <c r="D191" s="2"/>
      <c r="E191" s="2"/>
      <c r="F191" s="2"/>
      <c r="G191" s="2"/>
      <c r="H191" s="2"/>
      <c r="I191" s="2"/>
      <c r="J191" s="2"/>
      <c r="K191" s="2"/>
      <c r="L191" s="19"/>
      <c r="M191" s="19"/>
      <c r="N191" s="2"/>
      <c r="O191" s="2"/>
      <c r="P191" s="2"/>
      <c r="Q191" s="2"/>
      <c r="R191" s="2"/>
      <c r="S191" s="2"/>
      <c r="T191" s="2"/>
      <c r="U191" s="2"/>
      <c r="V191" s="2"/>
      <c r="W191" s="2"/>
      <c r="X191" s="2"/>
      <c r="Y191" s="2"/>
      <c r="Z191" s="2"/>
    </row>
    <row r="192" customFormat="false" ht="12" hidden="false" customHeight="true" outlineLevel="0" collapsed="false">
      <c r="A192" s="2"/>
      <c r="B192" s="19"/>
      <c r="C192" s="19"/>
      <c r="D192" s="2"/>
      <c r="E192" s="2"/>
      <c r="F192" s="2"/>
      <c r="G192" s="2"/>
      <c r="H192" s="2"/>
      <c r="I192" s="2"/>
      <c r="J192" s="2"/>
      <c r="K192" s="2"/>
      <c r="L192" s="19"/>
      <c r="M192" s="19"/>
      <c r="N192" s="2"/>
      <c r="O192" s="2"/>
      <c r="P192" s="2"/>
      <c r="Q192" s="2"/>
      <c r="R192" s="2"/>
      <c r="S192" s="2"/>
      <c r="T192" s="2"/>
      <c r="U192" s="2"/>
      <c r="V192" s="2"/>
      <c r="W192" s="2"/>
      <c r="X192" s="2"/>
      <c r="Y192" s="2"/>
      <c r="Z192" s="2"/>
    </row>
    <row r="193" customFormat="false" ht="12" hidden="false" customHeight="true" outlineLevel="0" collapsed="false">
      <c r="A193" s="2"/>
      <c r="B193" s="19"/>
      <c r="C193" s="19"/>
      <c r="D193" s="2"/>
      <c r="E193" s="2"/>
      <c r="F193" s="2"/>
      <c r="G193" s="2"/>
      <c r="H193" s="2"/>
      <c r="I193" s="2"/>
      <c r="J193" s="2"/>
      <c r="K193" s="2"/>
      <c r="L193" s="19"/>
      <c r="M193" s="19"/>
      <c r="N193" s="2"/>
      <c r="O193" s="2"/>
      <c r="P193" s="2"/>
      <c r="Q193" s="2"/>
      <c r="R193" s="2"/>
      <c r="S193" s="2"/>
      <c r="T193" s="2"/>
      <c r="U193" s="2"/>
      <c r="V193" s="2"/>
      <c r="W193" s="2"/>
      <c r="X193" s="2"/>
      <c r="Y193" s="2"/>
      <c r="Z193" s="2"/>
    </row>
    <row r="194" customFormat="false" ht="12" hidden="false" customHeight="true" outlineLevel="0" collapsed="false">
      <c r="A194" s="2"/>
      <c r="B194" s="19"/>
      <c r="C194" s="19"/>
      <c r="D194" s="2"/>
      <c r="E194" s="2"/>
      <c r="F194" s="2"/>
      <c r="G194" s="2"/>
      <c r="H194" s="2"/>
      <c r="I194" s="2"/>
      <c r="J194" s="2"/>
      <c r="K194" s="2"/>
      <c r="L194" s="19"/>
      <c r="M194" s="19"/>
      <c r="N194" s="2"/>
      <c r="O194" s="2"/>
      <c r="P194" s="2"/>
      <c r="Q194" s="2"/>
      <c r="R194" s="2"/>
      <c r="S194" s="2"/>
      <c r="T194" s="2"/>
      <c r="U194" s="2"/>
      <c r="V194" s="2"/>
      <c r="W194" s="2"/>
      <c r="X194" s="2"/>
      <c r="Y194" s="2"/>
      <c r="Z194" s="2"/>
    </row>
    <row r="195" customFormat="false" ht="12" hidden="false" customHeight="true" outlineLevel="0" collapsed="false">
      <c r="A195" s="2"/>
      <c r="B195" s="19"/>
      <c r="C195" s="19"/>
      <c r="D195" s="2"/>
      <c r="E195" s="2"/>
      <c r="F195" s="2"/>
      <c r="G195" s="2"/>
      <c r="H195" s="2"/>
      <c r="I195" s="2"/>
      <c r="J195" s="2"/>
      <c r="K195" s="2"/>
      <c r="L195" s="19"/>
      <c r="M195" s="19"/>
      <c r="N195" s="2"/>
      <c r="O195" s="2"/>
      <c r="P195" s="2"/>
      <c r="Q195" s="2"/>
      <c r="R195" s="2"/>
      <c r="S195" s="2"/>
      <c r="T195" s="2"/>
      <c r="U195" s="2"/>
      <c r="V195" s="2"/>
      <c r="W195" s="2"/>
      <c r="X195" s="2"/>
      <c r="Y195" s="2"/>
      <c r="Z195" s="2"/>
    </row>
    <row r="196" customFormat="false" ht="12" hidden="false" customHeight="true" outlineLevel="0" collapsed="false">
      <c r="A196" s="2"/>
      <c r="B196" s="19"/>
      <c r="C196" s="19"/>
      <c r="D196" s="2"/>
      <c r="E196" s="2"/>
      <c r="F196" s="2"/>
      <c r="G196" s="2"/>
      <c r="H196" s="2"/>
      <c r="I196" s="2"/>
      <c r="J196" s="2"/>
      <c r="K196" s="2"/>
      <c r="L196" s="19"/>
      <c r="M196" s="19"/>
      <c r="N196" s="2"/>
      <c r="O196" s="2"/>
      <c r="P196" s="2"/>
      <c r="Q196" s="2"/>
      <c r="R196" s="2"/>
      <c r="S196" s="2"/>
      <c r="T196" s="2"/>
      <c r="U196" s="2"/>
      <c r="V196" s="2"/>
      <c r="W196" s="2"/>
      <c r="X196" s="2"/>
      <c r="Y196" s="2"/>
      <c r="Z196" s="2"/>
    </row>
    <row r="197" customFormat="false" ht="12" hidden="false" customHeight="true" outlineLevel="0" collapsed="false">
      <c r="A197" s="2"/>
      <c r="B197" s="19"/>
      <c r="C197" s="19"/>
      <c r="D197" s="2"/>
      <c r="E197" s="2"/>
      <c r="F197" s="2"/>
      <c r="G197" s="2"/>
      <c r="H197" s="2"/>
      <c r="I197" s="2"/>
      <c r="J197" s="2"/>
      <c r="K197" s="2"/>
      <c r="L197" s="19"/>
      <c r="M197" s="19"/>
      <c r="N197" s="2"/>
      <c r="O197" s="2"/>
      <c r="P197" s="2"/>
      <c r="Q197" s="2"/>
      <c r="R197" s="2"/>
      <c r="S197" s="2"/>
      <c r="T197" s="2"/>
      <c r="U197" s="2"/>
      <c r="V197" s="2"/>
      <c r="W197" s="2"/>
      <c r="X197" s="2"/>
      <c r="Y197" s="2"/>
      <c r="Z197" s="2"/>
    </row>
    <row r="198" customFormat="false" ht="12" hidden="false" customHeight="true" outlineLevel="0" collapsed="false">
      <c r="A198" s="2"/>
      <c r="B198" s="19"/>
      <c r="C198" s="19"/>
      <c r="D198" s="2"/>
      <c r="E198" s="2"/>
      <c r="F198" s="2"/>
      <c r="G198" s="2"/>
      <c r="H198" s="2"/>
      <c r="I198" s="2"/>
      <c r="J198" s="2"/>
      <c r="K198" s="2"/>
      <c r="L198" s="19"/>
      <c r="M198" s="19"/>
      <c r="N198" s="2"/>
      <c r="O198" s="2"/>
      <c r="P198" s="2"/>
      <c r="Q198" s="2"/>
      <c r="R198" s="2"/>
      <c r="S198" s="2"/>
      <c r="T198" s="2"/>
      <c r="U198" s="2"/>
      <c r="V198" s="2"/>
      <c r="W198" s="2"/>
      <c r="X198" s="2"/>
      <c r="Y198" s="2"/>
      <c r="Z198" s="2"/>
    </row>
    <row r="199" customFormat="false" ht="12" hidden="false" customHeight="true" outlineLevel="0" collapsed="false">
      <c r="A199" s="2"/>
      <c r="B199" s="19"/>
      <c r="C199" s="19"/>
      <c r="D199" s="2"/>
      <c r="E199" s="2"/>
      <c r="F199" s="2"/>
      <c r="G199" s="2"/>
      <c r="H199" s="2"/>
      <c r="I199" s="2"/>
      <c r="J199" s="2"/>
      <c r="K199" s="2"/>
      <c r="L199" s="19"/>
      <c r="M199" s="19"/>
      <c r="N199" s="2"/>
      <c r="O199" s="2"/>
      <c r="P199" s="2"/>
      <c r="Q199" s="2"/>
      <c r="R199" s="2"/>
      <c r="S199" s="2"/>
      <c r="T199" s="2"/>
      <c r="U199" s="2"/>
      <c r="V199" s="2"/>
      <c r="W199" s="2"/>
      <c r="X199" s="2"/>
      <c r="Y199" s="2"/>
      <c r="Z199" s="2"/>
    </row>
    <row r="200" customFormat="false" ht="12" hidden="false" customHeight="true" outlineLevel="0" collapsed="false">
      <c r="A200" s="2"/>
      <c r="B200" s="19"/>
      <c r="C200" s="19"/>
      <c r="D200" s="2"/>
      <c r="E200" s="2"/>
      <c r="F200" s="2"/>
      <c r="G200" s="2"/>
      <c r="H200" s="2"/>
      <c r="I200" s="2"/>
      <c r="J200" s="2"/>
      <c r="K200" s="2"/>
      <c r="L200" s="19"/>
      <c r="M200" s="19"/>
      <c r="N200" s="2"/>
      <c r="O200" s="2"/>
      <c r="P200" s="2"/>
      <c r="Q200" s="2"/>
      <c r="R200" s="2"/>
      <c r="S200" s="2"/>
      <c r="T200" s="2"/>
      <c r="U200" s="2"/>
      <c r="V200" s="2"/>
      <c r="W200" s="2"/>
      <c r="X200" s="2"/>
      <c r="Y200" s="2"/>
      <c r="Z200" s="2"/>
    </row>
    <row r="201" customFormat="false" ht="12" hidden="false" customHeight="true" outlineLevel="0" collapsed="false">
      <c r="A201" s="2"/>
      <c r="B201" s="19"/>
      <c r="C201" s="19"/>
      <c r="D201" s="2"/>
      <c r="E201" s="2"/>
      <c r="F201" s="2"/>
      <c r="G201" s="2"/>
      <c r="H201" s="2"/>
      <c r="I201" s="2"/>
      <c r="J201" s="2"/>
      <c r="K201" s="2"/>
      <c r="L201" s="19"/>
      <c r="M201" s="19"/>
      <c r="N201" s="2"/>
      <c r="O201" s="2"/>
      <c r="P201" s="2"/>
      <c r="Q201" s="2"/>
      <c r="R201" s="2"/>
      <c r="S201" s="2"/>
      <c r="T201" s="2"/>
      <c r="U201" s="2"/>
      <c r="V201" s="2"/>
      <c r="W201" s="2"/>
      <c r="X201" s="2"/>
      <c r="Y201" s="2"/>
      <c r="Z201" s="2"/>
    </row>
    <row r="202" customFormat="false" ht="12" hidden="false" customHeight="true" outlineLevel="0" collapsed="false">
      <c r="A202" s="2"/>
      <c r="B202" s="19"/>
      <c r="C202" s="19"/>
      <c r="D202" s="2"/>
      <c r="E202" s="2"/>
      <c r="F202" s="2"/>
      <c r="G202" s="2"/>
      <c r="H202" s="2"/>
      <c r="I202" s="2"/>
      <c r="J202" s="2"/>
      <c r="K202" s="2"/>
      <c r="L202" s="19"/>
      <c r="M202" s="19"/>
      <c r="N202" s="2"/>
      <c r="O202" s="2"/>
      <c r="P202" s="2"/>
      <c r="Q202" s="2"/>
      <c r="R202" s="2"/>
      <c r="S202" s="2"/>
      <c r="T202" s="2"/>
      <c r="U202" s="2"/>
      <c r="V202" s="2"/>
      <c r="W202" s="2"/>
      <c r="X202" s="2"/>
      <c r="Y202" s="2"/>
      <c r="Z202" s="2"/>
    </row>
    <row r="203" customFormat="false" ht="12" hidden="false" customHeight="true" outlineLevel="0" collapsed="false">
      <c r="A203" s="2"/>
      <c r="B203" s="19"/>
      <c r="C203" s="19"/>
      <c r="D203" s="2"/>
      <c r="E203" s="2"/>
      <c r="F203" s="2"/>
      <c r="G203" s="2"/>
      <c r="H203" s="2"/>
      <c r="I203" s="2"/>
      <c r="J203" s="2"/>
      <c r="K203" s="2"/>
      <c r="L203" s="19"/>
      <c r="M203" s="19"/>
      <c r="N203" s="2"/>
      <c r="O203" s="2"/>
      <c r="P203" s="2"/>
      <c r="Q203" s="2"/>
      <c r="R203" s="2"/>
      <c r="S203" s="2"/>
      <c r="T203" s="2"/>
      <c r="U203" s="2"/>
      <c r="V203" s="2"/>
      <c r="W203" s="2"/>
      <c r="X203" s="2"/>
      <c r="Y203" s="2"/>
      <c r="Z203" s="2"/>
    </row>
    <row r="204" customFormat="false" ht="12" hidden="false" customHeight="true" outlineLevel="0" collapsed="false">
      <c r="A204" s="2"/>
      <c r="B204" s="19"/>
      <c r="C204" s="19"/>
      <c r="D204" s="2"/>
      <c r="E204" s="2"/>
      <c r="F204" s="2"/>
      <c r="G204" s="2"/>
      <c r="H204" s="2"/>
      <c r="I204" s="2"/>
      <c r="J204" s="2"/>
      <c r="K204" s="2"/>
      <c r="L204" s="19"/>
      <c r="M204" s="19"/>
      <c r="N204" s="2"/>
      <c r="O204" s="2"/>
      <c r="P204" s="2"/>
      <c r="Q204" s="2"/>
      <c r="R204" s="2"/>
      <c r="S204" s="2"/>
      <c r="T204" s="2"/>
      <c r="U204" s="2"/>
      <c r="V204" s="2"/>
      <c r="W204" s="2"/>
      <c r="X204" s="2"/>
      <c r="Y204" s="2"/>
      <c r="Z204" s="2"/>
    </row>
    <row r="205" customFormat="false" ht="12" hidden="false" customHeight="true" outlineLevel="0" collapsed="false">
      <c r="A205" s="2"/>
      <c r="B205" s="19"/>
      <c r="C205" s="19"/>
      <c r="D205" s="2"/>
      <c r="E205" s="2"/>
      <c r="F205" s="2"/>
      <c r="G205" s="2"/>
      <c r="H205" s="2"/>
      <c r="I205" s="2"/>
      <c r="J205" s="2"/>
      <c r="K205" s="2"/>
      <c r="L205" s="19"/>
      <c r="M205" s="19"/>
      <c r="N205" s="2"/>
      <c r="O205" s="2"/>
      <c r="P205" s="2"/>
      <c r="Q205" s="2"/>
      <c r="R205" s="2"/>
      <c r="S205" s="2"/>
      <c r="T205" s="2"/>
      <c r="U205" s="2"/>
      <c r="V205" s="2"/>
      <c r="W205" s="2"/>
      <c r="X205" s="2"/>
      <c r="Y205" s="2"/>
      <c r="Z205" s="2"/>
    </row>
    <row r="206" customFormat="false" ht="12" hidden="false" customHeight="true" outlineLevel="0" collapsed="false">
      <c r="A206" s="2"/>
      <c r="B206" s="19"/>
      <c r="C206" s="19"/>
      <c r="D206" s="2"/>
      <c r="E206" s="2"/>
      <c r="F206" s="2"/>
      <c r="G206" s="2"/>
      <c r="H206" s="2"/>
      <c r="I206" s="2"/>
      <c r="J206" s="2"/>
      <c r="K206" s="2"/>
      <c r="L206" s="19"/>
      <c r="M206" s="19"/>
      <c r="N206" s="2"/>
      <c r="O206" s="2"/>
      <c r="P206" s="2"/>
      <c r="Q206" s="2"/>
      <c r="R206" s="2"/>
      <c r="S206" s="2"/>
      <c r="T206" s="2"/>
      <c r="U206" s="2"/>
      <c r="V206" s="2"/>
      <c r="W206" s="2"/>
      <c r="X206" s="2"/>
      <c r="Y206" s="2"/>
      <c r="Z206" s="2"/>
    </row>
    <row r="207" customFormat="false" ht="12" hidden="false" customHeight="true" outlineLevel="0" collapsed="false">
      <c r="A207" s="2"/>
      <c r="B207" s="19"/>
      <c r="C207" s="19"/>
      <c r="D207" s="2"/>
      <c r="E207" s="2"/>
      <c r="F207" s="2"/>
      <c r="G207" s="2"/>
      <c r="H207" s="2"/>
      <c r="I207" s="2"/>
      <c r="J207" s="2"/>
      <c r="K207" s="2"/>
      <c r="L207" s="19"/>
      <c r="M207" s="19"/>
      <c r="N207" s="2"/>
      <c r="O207" s="2"/>
      <c r="P207" s="2"/>
      <c r="Q207" s="2"/>
      <c r="R207" s="2"/>
      <c r="S207" s="2"/>
      <c r="T207" s="2"/>
      <c r="U207" s="2"/>
      <c r="V207" s="2"/>
      <c r="W207" s="2"/>
      <c r="X207" s="2"/>
      <c r="Y207" s="2"/>
      <c r="Z207" s="2"/>
    </row>
    <row r="208" customFormat="false" ht="12" hidden="false" customHeight="true" outlineLevel="0" collapsed="false">
      <c r="A208" s="2"/>
      <c r="B208" s="19"/>
      <c r="C208" s="19"/>
      <c r="D208" s="2"/>
      <c r="E208" s="2"/>
      <c r="F208" s="2"/>
      <c r="G208" s="2"/>
      <c r="H208" s="2"/>
      <c r="I208" s="2"/>
      <c r="J208" s="2"/>
      <c r="K208" s="2"/>
      <c r="L208" s="19"/>
      <c r="M208" s="19"/>
      <c r="N208" s="2"/>
      <c r="O208" s="2"/>
      <c r="P208" s="2"/>
      <c r="Q208" s="2"/>
      <c r="R208" s="2"/>
      <c r="S208" s="2"/>
      <c r="T208" s="2"/>
      <c r="U208" s="2"/>
      <c r="V208" s="2"/>
      <c r="W208" s="2"/>
      <c r="X208" s="2"/>
      <c r="Y208" s="2"/>
      <c r="Z208" s="2"/>
    </row>
    <row r="209" customFormat="false" ht="12" hidden="false" customHeight="true" outlineLevel="0" collapsed="false">
      <c r="A209" s="2"/>
      <c r="B209" s="19"/>
      <c r="C209" s="19"/>
      <c r="D209" s="2"/>
      <c r="E209" s="2"/>
      <c r="F209" s="2"/>
      <c r="G209" s="2"/>
      <c r="H209" s="2"/>
      <c r="I209" s="2"/>
      <c r="J209" s="2"/>
      <c r="K209" s="2"/>
      <c r="L209" s="19"/>
      <c r="M209" s="19"/>
      <c r="N209" s="2"/>
      <c r="O209" s="2"/>
      <c r="P209" s="2"/>
      <c r="Q209" s="2"/>
      <c r="R209" s="2"/>
      <c r="S209" s="2"/>
      <c r="T209" s="2"/>
      <c r="U209" s="2"/>
      <c r="V209" s="2"/>
      <c r="W209" s="2"/>
      <c r="X209" s="2"/>
      <c r="Y209" s="2"/>
      <c r="Z209" s="2"/>
    </row>
    <row r="210" customFormat="false" ht="12" hidden="false" customHeight="true" outlineLevel="0" collapsed="false">
      <c r="A210" s="2"/>
      <c r="B210" s="19"/>
      <c r="C210" s="19"/>
      <c r="D210" s="2"/>
      <c r="E210" s="2"/>
      <c r="F210" s="2"/>
      <c r="G210" s="2"/>
      <c r="H210" s="2"/>
      <c r="I210" s="2"/>
      <c r="J210" s="2"/>
      <c r="K210" s="2"/>
      <c r="L210" s="19"/>
      <c r="M210" s="19"/>
      <c r="N210" s="2"/>
      <c r="O210" s="2"/>
      <c r="P210" s="2"/>
      <c r="Q210" s="2"/>
      <c r="R210" s="2"/>
      <c r="S210" s="2"/>
      <c r="T210" s="2"/>
      <c r="U210" s="2"/>
      <c r="V210" s="2"/>
      <c r="W210" s="2"/>
      <c r="X210" s="2"/>
      <c r="Y210" s="2"/>
      <c r="Z210" s="2"/>
    </row>
    <row r="211" customFormat="false" ht="12" hidden="false" customHeight="true" outlineLevel="0" collapsed="false">
      <c r="A211" s="2"/>
      <c r="B211" s="19"/>
      <c r="C211" s="19"/>
      <c r="D211" s="2"/>
      <c r="E211" s="2"/>
      <c r="F211" s="2"/>
      <c r="G211" s="2"/>
      <c r="H211" s="2"/>
      <c r="I211" s="2"/>
      <c r="J211" s="2"/>
      <c r="K211" s="2"/>
      <c r="L211" s="19"/>
      <c r="M211" s="19"/>
      <c r="N211" s="2"/>
      <c r="O211" s="2"/>
      <c r="P211" s="2"/>
      <c r="Q211" s="2"/>
      <c r="R211" s="2"/>
      <c r="S211" s="2"/>
      <c r="T211" s="2"/>
      <c r="U211" s="2"/>
      <c r="V211" s="2"/>
      <c r="W211" s="2"/>
      <c r="X211" s="2"/>
      <c r="Y211" s="2"/>
      <c r="Z211" s="2"/>
    </row>
    <row r="212" customFormat="false" ht="12" hidden="false" customHeight="true" outlineLevel="0" collapsed="false">
      <c r="A212" s="2"/>
      <c r="B212" s="19"/>
      <c r="C212" s="19"/>
      <c r="D212" s="2"/>
      <c r="E212" s="2"/>
      <c r="F212" s="2"/>
      <c r="G212" s="2"/>
      <c r="H212" s="2"/>
      <c r="I212" s="2"/>
      <c r="J212" s="2"/>
      <c r="K212" s="2"/>
      <c r="L212" s="19"/>
      <c r="M212" s="19"/>
      <c r="N212" s="2"/>
      <c r="O212" s="2"/>
      <c r="P212" s="2"/>
      <c r="Q212" s="2"/>
      <c r="R212" s="2"/>
      <c r="S212" s="2"/>
      <c r="T212" s="2"/>
      <c r="U212" s="2"/>
      <c r="V212" s="2"/>
      <c r="W212" s="2"/>
      <c r="X212" s="2"/>
      <c r="Y212" s="2"/>
      <c r="Z212" s="2"/>
    </row>
    <row r="213" customFormat="false" ht="12" hidden="false" customHeight="true" outlineLevel="0" collapsed="false">
      <c r="A213" s="2"/>
      <c r="B213" s="19"/>
      <c r="C213" s="19"/>
      <c r="D213" s="2"/>
      <c r="E213" s="2"/>
      <c r="F213" s="2"/>
      <c r="G213" s="2"/>
      <c r="H213" s="2"/>
      <c r="I213" s="2"/>
      <c r="J213" s="2"/>
      <c r="K213" s="2"/>
      <c r="L213" s="19"/>
      <c r="M213" s="19"/>
      <c r="N213" s="2"/>
      <c r="O213" s="2"/>
      <c r="P213" s="2"/>
      <c r="Q213" s="2"/>
      <c r="R213" s="2"/>
      <c r="S213" s="2"/>
      <c r="T213" s="2"/>
      <c r="U213" s="2"/>
      <c r="V213" s="2"/>
      <c r="W213" s="2"/>
      <c r="X213" s="2"/>
      <c r="Y213" s="2"/>
      <c r="Z213" s="2"/>
    </row>
    <row r="214" customFormat="false" ht="12" hidden="false" customHeight="true" outlineLevel="0" collapsed="false">
      <c r="A214" s="2"/>
      <c r="B214" s="19"/>
      <c r="C214" s="19"/>
      <c r="D214" s="2"/>
      <c r="E214" s="2"/>
      <c r="F214" s="2"/>
      <c r="G214" s="2"/>
      <c r="H214" s="2"/>
      <c r="I214" s="2"/>
      <c r="J214" s="2"/>
      <c r="K214" s="2"/>
      <c r="L214" s="19"/>
      <c r="M214" s="19"/>
      <c r="N214" s="2"/>
      <c r="O214" s="2"/>
      <c r="P214" s="2"/>
      <c r="Q214" s="2"/>
      <c r="R214" s="2"/>
      <c r="S214" s="2"/>
      <c r="T214" s="2"/>
      <c r="U214" s="2"/>
      <c r="V214" s="2"/>
      <c r="W214" s="2"/>
      <c r="X214" s="2"/>
      <c r="Y214" s="2"/>
      <c r="Z214" s="2"/>
    </row>
    <row r="215" customFormat="false" ht="12" hidden="false" customHeight="true" outlineLevel="0" collapsed="false">
      <c r="A215" s="2"/>
      <c r="B215" s="19"/>
      <c r="C215" s="19"/>
      <c r="D215" s="2"/>
      <c r="E215" s="2"/>
      <c r="F215" s="2"/>
      <c r="G215" s="2"/>
      <c r="H215" s="2"/>
      <c r="I215" s="2"/>
      <c r="J215" s="2"/>
      <c r="K215" s="2"/>
      <c r="L215" s="19"/>
      <c r="M215" s="19"/>
      <c r="N215" s="2"/>
      <c r="O215" s="2"/>
      <c r="P215" s="2"/>
      <c r="Q215" s="2"/>
      <c r="R215" s="2"/>
      <c r="S215" s="2"/>
      <c r="T215" s="2"/>
      <c r="U215" s="2"/>
      <c r="V215" s="2"/>
      <c r="W215" s="2"/>
      <c r="X215" s="2"/>
      <c r="Y215" s="2"/>
      <c r="Z215" s="2"/>
    </row>
    <row r="216" customFormat="false" ht="12" hidden="false" customHeight="true" outlineLevel="0" collapsed="false">
      <c r="A216" s="2"/>
      <c r="B216" s="19"/>
      <c r="C216" s="19"/>
      <c r="D216" s="2"/>
      <c r="E216" s="2"/>
      <c r="F216" s="2"/>
      <c r="G216" s="2"/>
      <c r="H216" s="2"/>
      <c r="I216" s="2"/>
      <c r="J216" s="2"/>
      <c r="K216" s="2"/>
      <c r="L216" s="19"/>
      <c r="M216" s="19"/>
      <c r="N216" s="2"/>
      <c r="O216" s="2"/>
      <c r="P216" s="2"/>
      <c r="Q216" s="2"/>
      <c r="R216" s="2"/>
      <c r="S216" s="2"/>
      <c r="T216" s="2"/>
      <c r="U216" s="2"/>
      <c r="V216" s="2"/>
      <c r="W216" s="2"/>
      <c r="X216" s="2"/>
      <c r="Y216" s="2"/>
      <c r="Z216" s="2"/>
    </row>
    <row r="217" customFormat="false" ht="12" hidden="false" customHeight="true" outlineLevel="0" collapsed="false">
      <c r="A217" s="2"/>
      <c r="B217" s="19"/>
      <c r="C217" s="19"/>
      <c r="D217" s="2"/>
      <c r="E217" s="2"/>
      <c r="F217" s="2"/>
      <c r="G217" s="2"/>
      <c r="H217" s="2"/>
      <c r="I217" s="2"/>
      <c r="J217" s="2"/>
      <c r="K217" s="2"/>
      <c r="L217" s="19"/>
      <c r="M217" s="19"/>
      <c r="N217" s="2"/>
      <c r="O217" s="2"/>
      <c r="P217" s="2"/>
      <c r="Q217" s="2"/>
      <c r="R217" s="2"/>
      <c r="S217" s="2"/>
      <c r="T217" s="2"/>
      <c r="U217" s="2"/>
      <c r="V217" s="2"/>
      <c r="W217" s="2"/>
      <c r="X217" s="2"/>
      <c r="Y217" s="2"/>
      <c r="Z217" s="2"/>
    </row>
    <row r="218" customFormat="false" ht="12" hidden="false" customHeight="true" outlineLevel="0" collapsed="false">
      <c r="A218" s="2"/>
      <c r="B218" s="19"/>
      <c r="C218" s="19"/>
      <c r="D218" s="2"/>
      <c r="E218" s="2"/>
      <c r="F218" s="2"/>
      <c r="G218" s="2"/>
      <c r="H218" s="2"/>
      <c r="I218" s="2"/>
      <c r="J218" s="2"/>
      <c r="K218" s="2"/>
      <c r="L218" s="19"/>
      <c r="M218" s="19"/>
      <c r="N218" s="2"/>
      <c r="O218" s="2"/>
      <c r="P218" s="2"/>
      <c r="Q218" s="2"/>
      <c r="R218" s="2"/>
      <c r="S218" s="2"/>
      <c r="T218" s="2"/>
      <c r="U218" s="2"/>
      <c r="V218" s="2"/>
      <c r="W218" s="2"/>
      <c r="X218" s="2"/>
      <c r="Y218" s="2"/>
      <c r="Z218" s="2"/>
    </row>
    <row r="219" customFormat="false" ht="12" hidden="false" customHeight="true" outlineLevel="0" collapsed="false">
      <c r="A219" s="2"/>
      <c r="B219" s="19"/>
      <c r="C219" s="19"/>
      <c r="D219" s="2"/>
      <c r="E219" s="2"/>
      <c r="F219" s="2"/>
      <c r="G219" s="2"/>
      <c r="H219" s="2"/>
      <c r="I219" s="2"/>
      <c r="J219" s="2"/>
      <c r="K219" s="2"/>
      <c r="L219" s="19"/>
      <c r="M219" s="19"/>
      <c r="N219" s="2"/>
      <c r="O219" s="2"/>
      <c r="P219" s="2"/>
      <c r="Q219" s="2"/>
      <c r="R219" s="2"/>
      <c r="S219" s="2"/>
      <c r="T219" s="2"/>
      <c r="U219" s="2"/>
      <c r="V219" s="2"/>
      <c r="W219" s="2"/>
      <c r="X219" s="2"/>
      <c r="Y219" s="2"/>
      <c r="Z219" s="2"/>
    </row>
    <row r="220" customFormat="false" ht="12" hidden="false" customHeight="true" outlineLevel="0" collapsed="false">
      <c r="A220" s="2"/>
      <c r="B220" s="19"/>
      <c r="C220" s="19"/>
      <c r="D220" s="2"/>
      <c r="E220" s="2"/>
      <c r="F220" s="2"/>
      <c r="G220" s="2"/>
      <c r="H220" s="2"/>
      <c r="I220" s="2"/>
      <c r="J220" s="2"/>
      <c r="K220" s="2"/>
      <c r="L220" s="19"/>
      <c r="M220" s="19"/>
      <c r="N220" s="2"/>
      <c r="O220" s="2"/>
      <c r="P220" s="2"/>
      <c r="Q220" s="2"/>
      <c r="R220" s="2"/>
      <c r="S220" s="2"/>
      <c r="T220" s="2"/>
      <c r="U220" s="2"/>
      <c r="V220" s="2"/>
      <c r="W220" s="2"/>
      <c r="X220" s="2"/>
      <c r="Y220" s="2"/>
      <c r="Z220" s="2"/>
    </row>
    <row r="221" customFormat="false" ht="12" hidden="false" customHeight="true" outlineLevel="0" collapsed="false">
      <c r="A221" s="2"/>
      <c r="B221" s="19"/>
      <c r="C221" s="19"/>
      <c r="D221" s="2"/>
      <c r="E221" s="2"/>
      <c r="F221" s="2"/>
      <c r="G221" s="2"/>
      <c r="H221" s="2"/>
      <c r="I221" s="2"/>
      <c r="J221" s="2"/>
      <c r="K221" s="2"/>
      <c r="L221" s="19"/>
      <c r="M221" s="19"/>
      <c r="N221" s="2"/>
      <c r="O221" s="2"/>
      <c r="P221" s="2"/>
      <c r="Q221" s="2"/>
      <c r="R221" s="2"/>
      <c r="S221" s="2"/>
      <c r="T221" s="2"/>
      <c r="U221" s="2"/>
      <c r="V221" s="2"/>
      <c r="W221" s="2"/>
      <c r="X221" s="2"/>
      <c r="Y221" s="2"/>
      <c r="Z221" s="2"/>
    </row>
    <row r="222" customFormat="false" ht="12" hidden="false" customHeight="true" outlineLevel="0" collapsed="false">
      <c r="A222" s="2"/>
      <c r="B222" s="19"/>
      <c r="C222" s="19"/>
      <c r="D222" s="2"/>
      <c r="E222" s="2"/>
      <c r="F222" s="2"/>
      <c r="G222" s="2"/>
      <c r="H222" s="2"/>
      <c r="I222" s="2"/>
      <c r="J222" s="2"/>
      <c r="K222" s="2"/>
      <c r="L222" s="19"/>
      <c r="M222" s="19"/>
      <c r="N222" s="2"/>
      <c r="O222" s="2"/>
      <c r="P222" s="2"/>
      <c r="Q222" s="2"/>
      <c r="R222" s="2"/>
      <c r="S222" s="2"/>
      <c r="T222" s="2"/>
      <c r="U222" s="2"/>
      <c r="V222" s="2"/>
      <c r="W222" s="2"/>
      <c r="X222" s="2"/>
      <c r="Y222" s="2"/>
      <c r="Z222" s="2"/>
    </row>
    <row r="223" customFormat="false" ht="12" hidden="false" customHeight="true" outlineLevel="0" collapsed="false">
      <c r="A223" s="2"/>
      <c r="B223" s="19"/>
      <c r="C223" s="19"/>
      <c r="D223" s="2"/>
      <c r="E223" s="2"/>
      <c r="F223" s="2"/>
      <c r="G223" s="2"/>
      <c r="H223" s="2"/>
      <c r="I223" s="2"/>
      <c r="J223" s="2"/>
      <c r="K223" s="2"/>
      <c r="L223" s="19"/>
      <c r="M223" s="19"/>
      <c r="N223" s="2"/>
      <c r="O223" s="2"/>
      <c r="P223" s="2"/>
      <c r="Q223" s="2"/>
      <c r="R223" s="2"/>
      <c r="S223" s="2"/>
      <c r="T223" s="2"/>
      <c r="U223" s="2"/>
      <c r="V223" s="2"/>
      <c r="W223" s="2"/>
      <c r="X223" s="2"/>
      <c r="Y223" s="2"/>
      <c r="Z223" s="2"/>
    </row>
    <row r="224" customFormat="false" ht="12" hidden="false" customHeight="true" outlineLevel="0" collapsed="false">
      <c r="A224" s="2"/>
      <c r="B224" s="19"/>
      <c r="C224" s="19"/>
      <c r="D224" s="2"/>
      <c r="E224" s="2"/>
      <c r="F224" s="2"/>
      <c r="G224" s="2"/>
      <c r="H224" s="2"/>
      <c r="I224" s="2"/>
      <c r="J224" s="2"/>
      <c r="K224" s="2"/>
      <c r="L224" s="19"/>
      <c r="M224" s="19"/>
      <c r="N224" s="2"/>
      <c r="O224" s="2"/>
      <c r="P224" s="2"/>
      <c r="Q224" s="2"/>
      <c r="R224" s="2"/>
      <c r="S224" s="2"/>
      <c r="T224" s="2"/>
      <c r="U224" s="2"/>
      <c r="V224" s="2"/>
      <c r="W224" s="2"/>
      <c r="X224" s="2"/>
      <c r="Y224" s="2"/>
      <c r="Z224" s="2"/>
    </row>
    <row r="225" customFormat="false" ht="12" hidden="false" customHeight="true" outlineLevel="0" collapsed="false">
      <c r="A225" s="2"/>
      <c r="B225" s="19"/>
      <c r="C225" s="19"/>
      <c r="D225" s="2"/>
      <c r="E225" s="2"/>
      <c r="F225" s="2"/>
      <c r="G225" s="2"/>
      <c r="H225" s="2"/>
      <c r="I225" s="2"/>
      <c r="J225" s="2"/>
      <c r="K225" s="2"/>
      <c r="L225" s="19"/>
      <c r="M225" s="19"/>
      <c r="N225" s="2"/>
      <c r="O225" s="2"/>
      <c r="P225" s="2"/>
      <c r="Q225" s="2"/>
      <c r="R225" s="2"/>
      <c r="S225" s="2"/>
      <c r="T225" s="2"/>
      <c r="U225" s="2"/>
      <c r="V225" s="2"/>
      <c r="W225" s="2"/>
      <c r="X225" s="2"/>
      <c r="Y225" s="2"/>
      <c r="Z225" s="2"/>
    </row>
    <row r="226" customFormat="false" ht="12" hidden="false" customHeight="true" outlineLevel="0" collapsed="false">
      <c r="A226" s="2"/>
      <c r="B226" s="19"/>
      <c r="C226" s="19"/>
      <c r="D226" s="2"/>
      <c r="E226" s="2"/>
      <c r="F226" s="2"/>
      <c r="G226" s="2"/>
      <c r="H226" s="2"/>
      <c r="I226" s="2"/>
      <c r="J226" s="2"/>
      <c r="K226" s="2"/>
      <c r="L226" s="19"/>
      <c r="M226" s="19"/>
      <c r="N226" s="2"/>
      <c r="O226" s="2"/>
      <c r="P226" s="2"/>
      <c r="Q226" s="2"/>
      <c r="R226" s="2"/>
      <c r="S226" s="2"/>
      <c r="T226" s="2"/>
      <c r="U226" s="2"/>
      <c r="V226" s="2"/>
      <c r="W226" s="2"/>
      <c r="X226" s="2"/>
      <c r="Y226" s="2"/>
      <c r="Z226" s="2"/>
    </row>
    <row r="227" customFormat="false" ht="12" hidden="false" customHeight="true" outlineLevel="0" collapsed="false">
      <c r="A227" s="2"/>
      <c r="B227" s="19"/>
      <c r="C227" s="19"/>
      <c r="D227" s="2"/>
      <c r="E227" s="2"/>
      <c r="F227" s="2"/>
      <c r="G227" s="2"/>
      <c r="H227" s="2"/>
      <c r="I227" s="2"/>
      <c r="J227" s="2"/>
      <c r="K227" s="2"/>
      <c r="L227" s="19"/>
      <c r="M227" s="19"/>
      <c r="N227" s="2"/>
      <c r="O227" s="2"/>
      <c r="P227" s="2"/>
      <c r="Q227" s="2"/>
      <c r="R227" s="2"/>
      <c r="S227" s="2"/>
      <c r="T227" s="2"/>
      <c r="U227" s="2"/>
      <c r="V227" s="2"/>
      <c r="W227" s="2"/>
      <c r="X227" s="2"/>
      <c r="Y227" s="2"/>
      <c r="Z227" s="2"/>
    </row>
    <row r="228" customFormat="false" ht="12" hidden="false" customHeight="true" outlineLevel="0" collapsed="false">
      <c r="A228" s="2"/>
      <c r="B228" s="19"/>
      <c r="C228" s="19"/>
      <c r="D228" s="2"/>
      <c r="E228" s="2"/>
      <c r="F228" s="2"/>
      <c r="G228" s="2"/>
      <c r="H228" s="2"/>
      <c r="I228" s="2"/>
      <c r="J228" s="2"/>
      <c r="K228" s="2"/>
      <c r="L228" s="19"/>
      <c r="M228" s="19"/>
      <c r="N228" s="2"/>
      <c r="O228" s="2"/>
      <c r="P228" s="2"/>
      <c r="Q228" s="2"/>
      <c r="R228" s="2"/>
      <c r="S228" s="2"/>
      <c r="T228" s="2"/>
      <c r="U228" s="2"/>
      <c r="V228" s="2"/>
      <c r="W228" s="2"/>
      <c r="X228" s="2"/>
      <c r="Y228" s="2"/>
      <c r="Z228" s="2"/>
    </row>
    <row r="229" customFormat="false" ht="12" hidden="false" customHeight="true" outlineLevel="0" collapsed="false">
      <c r="A229" s="2"/>
      <c r="B229" s="19"/>
      <c r="C229" s="19"/>
      <c r="D229" s="2"/>
      <c r="E229" s="2"/>
      <c r="F229" s="2"/>
      <c r="G229" s="2"/>
      <c r="H229" s="2"/>
      <c r="I229" s="2"/>
      <c r="J229" s="2"/>
      <c r="K229" s="2"/>
      <c r="L229" s="19"/>
      <c r="M229" s="19"/>
      <c r="N229" s="2"/>
      <c r="O229" s="2"/>
      <c r="P229" s="2"/>
      <c r="Q229" s="2"/>
      <c r="R229" s="2"/>
      <c r="S229" s="2"/>
      <c r="T229" s="2"/>
      <c r="U229" s="2"/>
      <c r="V229" s="2"/>
      <c r="W229" s="2"/>
      <c r="X229" s="2"/>
      <c r="Y229" s="2"/>
      <c r="Z229" s="2"/>
    </row>
    <row r="230" customFormat="false" ht="12" hidden="false" customHeight="true" outlineLevel="0" collapsed="false">
      <c r="A230" s="2"/>
      <c r="B230" s="19"/>
      <c r="C230" s="19"/>
      <c r="D230" s="2"/>
      <c r="E230" s="2"/>
      <c r="F230" s="2"/>
      <c r="G230" s="2"/>
      <c r="H230" s="2"/>
      <c r="I230" s="2"/>
      <c r="J230" s="2"/>
      <c r="K230" s="2"/>
      <c r="L230" s="19"/>
      <c r="M230" s="19"/>
      <c r="N230" s="2"/>
      <c r="O230" s="2"/>
      <c r="P230" s="2"/>
      <c r="Q230" s="2"/>
      <c r="R230" s="2"/>
      <c r="S230" s="2"/>
      <c r="T230" s="2"/>
      <c r="U230" s="2"/>
      <c r="V230" s="2"/>
      <c r="W230" s="2"/>
      <c r="X230" s="2"/>
      <c r="Y230" s="2"/>
      <c r="Z230" s="2"/>
    </row>
    <row r="231" customFormat="false" ht="12" hidden="false" customHeight="true" outlineLevel="0" collapsed="false">
      <c r="A231" s="2"/>
      <c r="B231" s="19"/>
      <c r="C231" s="19"/>
      <c r="D231" s="2"/>
      <c r="E231" s="2"/>
      <c r="F231" s="2"/>
      <c r="G231" s="2"/>
      <c r="H231" s="2"/>
      <c r="I231" s="2"/>
      <c r="J231" s="2"/>
      <c r="K231" s="2"/>
      <c r="L231" s="19"/>
      <c r="M231" s="19"/>
      <c r="N231" s="2"/>
      <c r="O231" s="2"/>
      <c r="P231" s="2"/>
      <c r="Q231" s="2"/>
      <c r="R231" s="2"/>
      <c r="S231" s="2"/>
      <c r="T231" s="2"/>
      <c r="U231" s="2"/>
      <c r="V231" s="2"/>
      <c r="W231" s="2"/>
      <c r="X231" s="2"/>
      <c r="Y231" s="2"/>
      <c r="Z231" s="2"/>
    </row>
    <row r="232" customFormat="false" ht="12" hidden="false" customHeight="true" outlineLevel="0" collapsed="false">
      <c r="A232" s="2"/>
      <c r="B232" s="19"/>
      <c r="C232" s="19"/>
      <c r="D232" s="2"/>
      <c r="E232" s="2"/>
      <c r="F232" s="2"/>
      <c r="G232" s="2"/>
      <c r="H232" s="2"/>
      <c r="I232" s="2"/>
      <c r="J232" s="2"/>
      <c r="K232" s="2"/>
      <c r="L232" s="19"/>
      <c r="M232" s="19"/>
      <c r="N232" s="2"/>
      <c r="O232" s="2"/>
      <c r="P232" s="2"/>
      <c r="Q232" s="2"/>
      <c r="R232" s="2"/>
      <c r="S232" s="2"/>
      <c r="T232" s="2"/>
      <c r="U232" s="2"/>
      <c r="V232" s="2"/>
      <c r="W232" s="2"/>
      <c r="X232" s="2"/>
      <c r="Y232" s="2"/>
      <c r="Z232" s="2"/>
    </row>
    <row r="233" customFormat="false" ht="12" hidden="false" customHeight="true" outlineLevel="0" collapsed="false">
      <c r="A233" s="2"/>
      <c r="B233" s="19"/>
      <c r="C233" s="19"/>
      <c r="D233" s="2"/>
      <c r="E233" s="2"/>
      <c r="F233" s="2"/>
      <c r="G233" s="2"/>
      <c r="H233" s="2"/>
      <c r="I233" s="2"/>
      <c r="J233" s="2"/>
      <c r="K233" s="2"/>
      <c r="L233" s="19"/>
      <c r="M233" s="19"/>
      <c r="N233" s="2"/>
      <c r="O233" s="2"/>
      <c r="P233" s="2"/>
      <c r="Q233" s="2"/>
      <c r="R233" s="2"/>
      <c r="S233" s="2"/>
      <c r="T233" s="2"/>
      <c r="U233" s="2"/>
      <c r="V233" s="2"/>
      <c r="W233" s="2"/>
      <c r="X233" s="2"/>
      <c r="Y233" s="2"/>
      <c r="Z233" s="2"/>
    </row>
    <row r="234" customFormat="false" ht="12" hidden="false" customHeight="true" outlineLevel="0" collapsed="false">
      <c r="A234" s="2"/>
      <c r="B234" s="19"/>
      <c r="C234" s="19"/>
      <c r="D234" s="2"/>
      <c r="E234" s="2"/>
      <c r="F234" s="2"/>
      <c r="G234" s="2"/>
      <c r="H234" s="2"/>
      <c r="I234" s="2"/>
      <c r="J234" s="2"/>
      <c r="K234" s="2"/>
      <c r="L234" s="19"/>
      <c r="M234" s="19"/>
      <c r="N234" s="2"/>
      <c r="O234" s="2"/>
      <c r="P234" s="2"/>
      <c r="Q234" s="2"/>
      <c r="R234" s="2"/>
      <c r="S234" s="2"/>
      <c r="T234" s="2"/>
      <c r="U234" s="2"/>
      <c r="V234" s="2"/>
      <c r="W234" s="2"/>
      <c r="X234" s="2"/>
      <c r="Y234" s="2"/>
      <c r="Z234" s="2"/>
    </row>
    <row r="235" customFormat="false" ht="12" hidden="false" customHeight="true" outlineLevel="0" collapsed="false">
      <c r="A235" s="2"/>
      <c r="B235" s="19"/>
      <c r="C235" s="19"/>
      <c r="D235" s="2"/>
      <c r="E235" s="2"/>
      <c r="F235" s="2"/>
      <c r="G235" s="2"/>
      <c r="H235" s="2"/>
      <c r="I235" s="2"/>
      <c r="J235" s="2"/>
      <c r="K235" s="2"/>
      <c r="L235" s="19"/>
      <c r="M235" s="19"/>
      <c r="N235" s="2"/>
      <c r="O235" s="2"/>
      <c r="P235" s="2"/>
      <c r="Q235" s="2"/>
      <c r="R235" s="2"/>
      <c r="S235" s="2"/>
      <c r="T235" s="2"/>
      <c r="U235" s="2"/>
      <c r="V235" s="2"/>
      <c r="W235" s="2"/>
      <c r="X235" s="2"/>
      <c r="Y235" s="2"/>
      <c r="Z235" s="2"/>
    </row>
    <row r="236" customFormat="false" ht="12" hidden="false" customHeight="true" outlineLevel="0" collapsed="false">
      <c r="A236" s="2"/>
      <c r="B236" s="19"/>
      <c r="C236" s="19"/>
      <c r="D236" s="2"/>
      <c r="E236" s="2"/>
      <c r="F236" s="2"/>
      <c r="G236" s="2"/>
      <c r="H236" s="2"/>
      <c r="I236" s="2"/>
      <c r="J236" s="2"/>
      <c r="K236" s="2"/>
      <c r="L236" s="19"/>
      <c r="M236" s="19"/>
      <c r="N236" s="2"/>
      <c r="O236" s="2"/>
      <c r="P236" s="2"/>
      <c r="Q236" s="2"/>
      <c r="R236" s="2"/>
      <c r="S236" s="2"/>
      <c r="T236" s="2"/>
      <c r="U236" s="2"/>
      <c r="V236" s="2"/>
      <c r="W236" s="2"/>
      <c r="X236" s="2"/>
      <c r="Y236" s="2"/>
      <c r="Z236" s="2"/>
    </row>
    <row r="237" customFormat="false" ht="12" hidden="false" customHeight="true" outlineLevel="0" collapsed="false">
      <c r="A237" s="2"/>
      <c r="B237" s="19"/>
      <c r="C237" s="19"/>
      <c r="D237" s="2"/>
      <c r="E237" s="2"/>
      <c r="F237" s="2"/>
      <c r="G237" s="2"/>
      <c r="H237" s="2"/>
      <c r="I237" s="2"/>
      <c r="J237" s="2"/>
      <c r="K237" s="2"/>
      <c r="L237" s="19"/>
      <c r="M237" s="19"/>
      <c r="N237" s="2"/>
      <c r="O237" s="2"/>
      <c r="P237" s="2"/>
      <c r="Q237" s="2"/>
      <c r="R237" s="2"/>
      <c r="S237" s="2"/>
      <c r="T237" s="2"/>
      <c r="U237" s="2"/>
      <c r="V237" s="2"/>
      <c r="W237" s="2"/>
      <c r="X237" s="2"/>
      <c r="Y237" s="2"/>
      <c r="Z237" s="2"/>
    </row>
    <row r="238" customFormat="false" ht="12" hidden="false" customHeight="true" outlineLevel="0" collapsed="false">
      <c r="A238" s="2"/>
      <c r="B238" s="19"/>
      <c r="C238" s="19"/>
      <c r="D238" s="2"/>
      <c r="E238" s="2"/>
      <c r="F238" s="2"/>
      <c r="G238" s="2"/>
      <c r="H238" s="2"/>
      <c r="I238" s="2"/>
      <c r="J238" s="2"/>
      <c r="K238" s="2"/>
      <c r="L238" s="19"/>
      <c r="M238" s="19"/>
      <c r="N238" s="2"/>
      <c r="O238" s="2"/>
      <c r="P238" s="2"/>
      <c r="Q238" s="2"/>
      <c r="R238" s="2"/>
      <c r="S238" s="2"/>
      <c r="T238" s="2"/>
      <c r="U238" s="2"/>
      <c r="V238" s="2"/>
      <c r="W238" s="2"/>
      <c r="X238" s="2"/>
      <c r="Y238" s="2"/>
      <c r="Z238" s="2"/>
    </row>
    <row r="239" customFormat="false" ht="12" hidden="false" customHeight="true" outlineLevel="0" collapsed="false">
      <c r="A239" s="2"/>
      <c r="B239" s="19"/>
      <c r="C239" s="19"/>
      <c r="D239" s="2"/>
      <c r="E239" s="2"/>
      <c r="F239" s="2"/>
      <c r="G239" s="2"/>
      <c r="H239" s="2"/>
      <c r="I239" s="2"/>
      <c r="J239" s="2"/>
      <c r="K239" s="2"/>
      <c r="L239" s="19"/>
      <c r="M239" s="19"/>
      <c r="N239" s="2"/>
      <c r="O239" s="2"/>
      <c r="P239" s="2"/>
      <c r="Q239" s="2"/>
      <c r="R239" s="2"/>
      <c r="S239" s="2"/>
      <c r="T239" s="2"/>
      <c r="U239" s="2"/>
      <c r="V239" s="2"/>
      <c r="W239" s="2"/>
      <c r="X239" s="2"/>
      <c r="Y239" s="2"/>
      <c r="Z239" s="2"/>
    </row>
    <row r="240" customFormat="false" ht="12" hidden="false" customHeight="true" outlineLevel="0" collapsed="false">
      <c r="A240" s="2"/>
      <c r="B240" s="19"/>
      <c r="C240" s="19"/>
      <c r="D240" s="2"/>
      <c r="E240" s="2"/>
      <c r="F240" s="2"/>
      <c r="G240" s="2"/>
      <c r="H240" s="2"/>
      <c r="I240" s="2"/>
      <c r="J240" s="2"/>
      <c r="K240" s="2"/>
      <c r="L240" s="19"/>
      <c r="M240" s="19"/>
      <c r="N240" s="2"/>
      <c r="O240" s="2"/>
      <c r="P240" s="2"/>
      <c r="Q240" s="2"/>
      <c r="R240" s="2"/>
      <c r="S240" s="2"/>
      <c r="T240" s="2"/>
      <c r="U240" s="2"/>
      <c r="V240" s="2"/>
      <c r="W240" s="2"/>
      <c r="X240" s="2"/>
      <c r="Y240" s="2"/>
      <c r="Z240" s="2"/>
    </row>
    <row r="241" customFormat="false" ht="12" hidden="false" customHeight="true" outlineLevel="0" collapsed="false">
      <c r="A241" s="2"/>
      <c r="B241" s="19"/>
      <c r="C241" s="19"/>
      <c r="D241" s="2"/>
      <c r="E241" s="2"/>
      <c r="F241" s="2"/>
      <c r="G241" s="2"/>
      <c r="H241" s="2"/>
      <c r="I241" s="2"/>
      <c r="J241" s="2"/>
      <c r="K241" s="2"/>
      <c r="L241" s="19"/>
      <c r="M241" s="19"/>
      <c r="N241" s="2"/>
      <c r="O241" s="2"/>
      <c r="P241" s="2"/>
      <c r="Q241" s="2"/>
      <c r="R241" s="2"/>
      <c r="S241" s="2"/>
      <c r="T241" s="2"/>
      <c r="U241" s="2"/>
      <c r="V241" s="2"/>
      <c r="W241" s="2"/>
      <c r="X241" s="2"/>
      <c r="Y241" s="2"/>
      <c r="Z241" s="2"/>
    </row>
    <row r="242" customFormat="false" ht="12" hidden="false" customHeight="true" outlineLevel="0" collapsed="false">
      <c r="A242" s="2"/>
      <c r="B242" s="19"/>
      <c r="C242" s="19"/>
      <c r="D242" s="2"/>
      <c r="E242" s="2"/>
      <c r="F242" s="2"/>
      <c r="G242" s="2"/>
      <c r="H242" s="2"/>
      <c r="I242" s="2"/>
      <c r="J242" s="2"/>
      <c r="K242" s="2"/>
      <c r="L242" s="19"/>
      <c r="M242" s="19"/>
      <c r="N242" s="2"/>
      <c r="O242" s="2"/>
      <c r="P242" s="2"/>
      <c r="Q242" s="2"/>
      <c r="R242" s="2"/>
      <c r="S242" s="2"/>
      <c r="T242" s="2"/>
      <c r="U242" s="2"/>
      <c r="V242" s="2"/>
      <c r="W242" s="2"/>
      <c r="X242" s="2"/>
      <c r="Y242" s="2"/>
      <c r="Z242" s="2"/>
    </row>
    <row r="243" customFormat="false" ht="12" hidden="false" customHeight="true" outlineLevel="0" collapsed="false">
      <c r="A243" s="2"/>
      <c r="B243" s="19"/>
      <c r="C243" s="19"/>
      <c r="D243" s="2"/>
      <c r="E243" s="2"/>
      <c r="F243" s="2"/>
      <c r="G243" s="2"/>
      <c r="H243" s="2"/>
      <c r="I243" s="2"/>
      <c r="J243" s="2"/>
      <c r="K243" s="2"/>
      <c r="L243" s="19"/>
      <c r="M243" s="19"/>
      <c r="N243" s="2"/>
      <c r="O243" s="2"/>
      <c r="P243" s="2"/>
      <c r="Q243" s="2"/>
      <c r="R243" s="2"/>
      <c r="S243" s="2"/>
      <c r="T243" s="2"/>
      <c r="U243" s="2"/>
      <c r="V243" s="2"/>
      <c r="W243" s="2"/>
      <c r="X243" s="2"/>
      <c r="Y243" s="2"/>
      <c r="Z243" s="2"/>
    </row>
    <row r="244" customFormat="false" ht="12" hidden="false" customHeight="true" outlineLevel="0" collapsed="false">
      <c r="A244" s="2"/>
      <c r="B244" s="19"/>
      <c r="C244" s="19"/>
      <c r="D244" s="2"/>
      <c r="E244" s="2"/>
      <c r="F244" s="2"/>
      <c r="G244" s="2"/>
      <c r="H244" s="2"/>
      <c r="I244" s="2"/>
      <c r="J244" s="2"/>
      <c r="K244" s="2"/>
      <c r="L244" s="19"/>
      <c r="M244" s="19"/>
      <c r="N244" s="2"/>
      <c r="O244" s="2"/>
      <c r="P244" s="2"/>
      <c r="Q244" s="2"/>
      <c r="R244" s="2"/>
      <c r="S244" s="2"/>
      <c r="T244" s="2"/>
      <c r="U244" s="2"/>
      <c r="V244" s="2"/>
      <c r="W244" s="2"/>
      <c r="X244" s="2"/>
      <c r="Y244" s="2"/>
      <c r="Z244" s="2"/>
    </row>
    <row r="245" customFormat="false" ht="12" hidden="false" customHeight="true" outlineLevel="0" collapsed="false">
      <c r="A245" s="2"/>
      <c r="B245" s="19"/>
      <c r="C245" s="19"/>
      <c r="D245" s="2"/>
      <c r="E245" s="2"/>
      <c r="F245" s="2"/>
      <c r="G245" s="2"/>
      <c r="H245" s="2"/>
      <c r="I245" s="2"/>
      <c r="J245" s="2"/>
      <c r="K245" s="2"/>
      <c r="L245" s="19"/>
      <c r="M245" s="19"/>
      <c r="N245" s="2"/>
      <c r="O245" s="2"/>
      <c r="P245" s="2"/>
      <c r="Q245" s="2"/>
      <c r="R245" s="2"/>
      <c r="S245" s="2"/>
      <c r="T245" s="2"/>
      <c r="U245" s="2"/>
      <c r="V245" s="2"/>
      <c r="W245" s="2"/>
      <c r="X245" s="2"/>
      <c r="Y245" s="2"/>
      <c r="Z245" s="2"/>
    </row>
    <row r="246" customFormat="false" ht="12" hidden="false" customHeight="true" outlineLevel="0" collapsed="false">
      <c r="A246" s="2"/>
      <c r="B246" s="19"/>
      <c r="C246" s="19"/>
      <c r="D246" s="2"/>
      <c r="E246" s="2"/>
      <c r="F246" s="2"/>
      <c r="G246" s="2"/>
      <c r="H246" s="2"/>
      <c r="I246" s="2"/>
      <c r="J246" s="2"/>
      <c r="K246" s="2"/>
      <c r="L246" s="19"/>
      <c r="M246" s="19"/>
      <c r="N246" s="2"/>
      <c r="O246" s="2"/>
      <c r="P246" s="2"/>
      <c r="Q246" s="2"/>
      <c r="R246" s="2"/>
      <c r="S246" s="2"/>
      <c r="T246" s="2"/>
      <c r="U246" s="2"/>
      <c r="V246" s="2"/>
      <c r="W246" s="2"/>
      <c r="X246" s="2"/>
      <c r="Y246" s="2"/>
      <c r="Z246" s="2"/>
    </row>
    <row r="247" customFormat="false" ht="12" hidden="false" customHeight="true" outlineLevel="0" collapsed="false">
      <c r="A247" s="2"/>
      <c r="B247" s="19"/>
      <c r="C247" s="19"/>
      <c r="D247" s="2"/>
      <c r="E247" s="2"/>
      <c r="F247" s="2"/>
      <c r="G247" s="2"/>
      <c r="H247" s="2"/>
      <c r="I247" s="2"/>
      <c r="J247" s="2"/>
      <c r="K247" s="2"/>
      <c r="L247" s="19"/>
      <c r="M247" s="19"/>
      <c r="N247" s="2"/>
      <c r="O247" s="2"/>
      <c r="P247" s="2"/>
      <c r="Q247" s="2"/>
      <c r="R247" s="2"/>
      <c r="S247" s="2"/>
      <c r="T247" s="2"/>
      <c r="U247" s="2"/>
      <c r="V247" s="2"/>
      <c r="W247" s="2"/>
      <c r="X247" s="2"/>
      <c r="Y247" s="2"/>
      <c r="Z247" s="2"/>
    </row>
    <row r="248" customFormat="false" ht="12" hidden="false" customHeight="true" outlineLevel="0" collapsed="false">
      <c r="A248" s="2"/>
      <c r="B248" s="19"/>
      <c r="C248" s="19"/>
      <c r="D248" s="2"/>
      <c r="E248" s="2"/>
      <c r="F248" s="2"/>
      <c r="G248" s="2"/>
      <c r="H248" s="2"/>
      <c r="I248" s="2"/>
      <c r="J248" s="2"/>
      <c r="K248" s="2"/>
      <c r="L248" s="19"/>
      <c r="M248" s="19"/>
      <c r="N248" s="2"/>
      <c r="O248" s="2"/>
      <c r="P248" s="2"/>
      <c r="Q248" s="2"/>
      <c r="R248" s="2"/>
      <c r="S248" s="2"/>
      <c r="T248" s="2"/>
      <c r="U248" s="2"/>
      <c r="V248" s="2"/>
      <c r="W248" s="2"/>
      <c r="X248" s="2"/>
      <c r="Y248" s="2"/>
      <c r="Z248" s="2"/>
    </row>
    <row r="249" customFormat="false" ht="12" hidden="false" customHeight="true" outlineLevel="0" collapsed="false">
      <c r="A249" s="2"/>
      <c r="B249" s="19"/>
      <c r="C249" s="19"/>
      <c r="D249" s="2"/>
      <c r="E249" s="2"/>
      <c r="F249" s="2"/>
      <c r="G249" s="2"/>
      <c r="H249" s="2"/>
      <c r="I249" s="2"/>
      <c r="J249" s="2"/>
      <c r="K249" s="2"/>
      <c r="L249" s="19"/>
      <c r="M249" s="19"/>
      <c r="N249" s="2"/>
      <c r="O249" s="2"/>
      <c r="P249" s="2"/>
      <c r="Q249" s="2"/>
      <c r="R249" s="2"/>
      <c r="S249" s="2"/>
      <c r="T249" s="2"/>
      <c r="U249" s="2"/>
      <c r="V249" s="2"/>
      <c r="W249" s="2"/>
      <c r="X249" s="2"/>
      <c r="Y249" s="2"/>
      <c r="Z249" s="2"/>
    </row>
    <row r="250" customFormat="false" ht="12" hidden="false" customHeight="true" outlineLevel="0" collapsed="false">
      <c r="A250" s="2"/>
      <c r="B250" s="19"/>
      <c r="C250" s="19"/>
      <c r="D250" s="2"/>
      <c r="E250" s="2"/>
      <c r="F250" s="2"/>
      <c r="G250" s="2"/>
      <c r="H250" s="2"/>
      <c r="I250" s="2"/>
      <c r="J250" s="2"/>
      <c r="K250" s="2"/>
      <c r="L250" s="19"/>
      <c r="M250" s="19"/>
      <c r="N250" s="2"/>
      <c r="O250" s="2"/>
      <c r="P250" s="2"/>
      <c r="Q250" s="2"/>
      <c r="R250" s="2"/>
      <c r="S250" s="2"/>
      <c r="T250" s="2"/>
      <c r="U250" s="2"/>
      <c r="V250" s="2"/>
      <c r="W250" s="2"/>
      <c r="X250" s="2"/>
      <c r="Y250" s="2"/>
      <c r="Z250" s="2"/>
    </row>
    <row r="251" customFormat="false" ht="12" hidden="false" customHeight="true" outlineLevel="0" collapsed="false">
      <c r="A251" s="2"/>
      <c r="B251" s="19"/>
      <c r="C251" s="19"/>
      <c r="D251" s="2"/>
      <c r="E251" s="2"/>
      <c r="F251" s="2"/>
      <c r="G251" s="2"/>
      <c r="H251" s="2"/>
      <c r="I251" s="2"/>
      <c r="J251" s="2"/>
      <c r="K251" s="2"/>
      <c r="L251" s="19"/>
      <c r="M251" s="19"/>
      <c r="N251" s="2"/>
      <c r="O251" s="2"/>
      <c r="P251" s="2"/>
      <c r="Q251" s="2"/>
      <c r="R251" s="2"/>
      <c r="S251" s="2"/>
      <c r="T251" s="2"/>
      <c r="U251" s="2"/>
      <c r="V251" s="2"/>
      <c r="W251" s="2"/>
      <c r="X251" s="2"/>
      <c r="Y251" s="2"/>
      <c r="Z251" s="2"/>
    </row>
    <row r="252" customFormat="false" ht="12" hidden="false" customHeight="true" outlineLevel="0" collapsed="false">
      <c r="A252" s="2"/>
      <c r="B252" s="19"/>
      <c r="C252" s="19"/>
      <c r="D252" s="2"/>
      <c r="E252" s="2"/>
      <c r="F252" s="2"/>
      <c r="G252" s="2"/>
      <c r="H252" s="2"/>
      <c r="I252" s="2"/>
      <c r="J252" s="2"/>
      <c r="K252" s="2"/>
      <c r="L252" s="19"/>
      <c r="M252" s="19"/>
      <c r="N252" s="2"/>
      <c r="O252" s="2"/>
      <c r="P252" s="2"/>
      <c r="Q252" s="2"/>
      <c r="R252" s="2"/>
      <c r="S252" s="2"/>
      <c r="T252" s="2"/>
      <c r="U252" s="2"/>
      <c r="V252" s="2"/>
      <c r="W252" s="2"/>
      <c r="X252" s="2"/>
      <c r="Y252" s="2"/>
      <c r="Z252" s="2"/>
    </row>
    <row r="253" customFormat="false" ht="12" hidden="false" customHeight="true" outlineLevel="0" collapsed="false">
      <c r="A253" s="2"/>
      <c r="B253" s="19"/>
      <c r="C253" s="19"/>
      <c r="D253" s="2"/>
      <c r="E253" s="2"/>
      <c r="F253" s="2"/>
      <c r="G253" s="2"/>
      <c r="H253" s="2"/>
      <c r="I253" s="2"/>
      <c r="J253" s="2"/>
      <c r="K253" s="2"/>
      <c r="L253" s="19"/>
      <c r="M253" s="19"/>
      <c r="N253" s="2"/>
      <c r="O253" s="2"/>
      <c r="P253" s="2"/>
      <c r="Q253" s="2"/>
      <c r="R253" s="2"/>
      <c r="S253" s="2"/>
      <c r="T253" s="2"/>
      <c r="U253" s="2"/>
      <c r="V253" s="2"/>
      <c r="W253" s="2"/>
      <c r="X253" s="2"/>
      <c r="Y253" s="2"/>
      <c r="Z253" s="2"/>
    </row>
    <row r="254" customFormat="false" ht="12" hidden="false" customHeight="true" outlineLevel="0" collapsed="false">
      <c r="A254" s="2"/>
      <c r="B254" s="19"/>
      <c r="C254" s="19"/>
      <c r="D254" s="2"/>
      <c r="E254" s="2"/>
      <c r="F254" s="2"/>
      <c r="G254" s="2"/>
      <c r="H254" s="2"/>
      <c r="I254" s="2"/>
      <c r="J254" s="2"/>
      <c r="K254" s="2"/>
      <c r="L254" s="19"/>
      <c r="M254" s="19"/>
      <c r="N254" s="2"/>
      <c r="O254" s="2"/>
      <c r="P254" s="2"/>
      <c r="Q254" s="2"/>
      <c r="R254" s="2"/>
      <c r="S254" s="2"/>
      <c r="T254" s="2"/>
      <c r="U254" s="2"/>
      <c r="V254" s="2"/>
      <c r="W254" s="2"/>
      <c r="X254" s="2"/>
      <c r="Y254" s="2"/>
      <c r="Z254" s="2"/>
    </row>
    <row r="255" customFormat="false" ht="12" hidden="false" customHeight="true" outlineLevel="0" collapsed="false">
      <c r="A255" s="2"/>
      <c r="B255" s="19"/>
      <c r="C255" s="19"/>
      <c r="D255" s="2"/>
      <c r="E255" s="2"/>
      <c r="F255" s="2"/>
      <c r="G255" s="2"/>
      <c r="H255" s="2"/>
      <c r="I255" s="2"/>
      <c r="J255" s="2"/>
      <c r="K255" s="2"/>
      <c r="L255" s="19"/>
      <c r="M255" s="19"/>
      <c r="N255" s="2"/>
      <c r="O255" s="2"/>
      <c r="P255" s="2"/>
      <c r="Q255" s="2"/>
      <c r="R255" s="2"/>
      <c r="S255" s="2"/>
      <c r="T255" s="2"/>
      <c r="U255" s="2"/>
      <c r="V255" s="2"/>
      <c r="W255" s="2"/>
      <c r="X255" s="2"/>
      <c r="Y255" s="2"/>
      <c r="Z255" s="2"/>
    </row>
    <row r="256" customFormat="false" ht="12" hidden="false" customHeight="true" outlineLevel="0" collapsed="false">
      <c r="A256" s="2"/>
      <c r="B256" s="19"/>
      <c r="C256" s="19"/>
      <c r="D256" s="2"/>
      <c r="E256" s="2"/>
      <c r="F256" s="2"/>
      <c r="G256" s="2"/>
      <c r="H256" s="2"/>
      <c r="I256" s="2"/>
      <c r="J256" s="2"/>
      <c r="K256" s="2"/>
      <c r="L256" s="19"/>
      <c r="M256" s="19"/>
      <c r="N256" s="2"/>
      <c r="O256" s="2"/>
      <c r="P256" s="2"/>
      <c r="Q256" s="2"/>
      <c r="R256" s="2"/>
      <c r="S256" s="2"/>
      <c r="T256" s="2"/>
      <c r="U256" s="2"/>
      <c r="V256" s="2"/>
      <c r="W256" s="2"/>
      <c r="X256" s="2"/>
      <c r="Y256" s="2"/>
      <c r="Z256" s="2"/>
    </row>
    <row r="257" customFormat="false" ht="12" hidden="false" customHeight="true" outlineLevel="0" collapsed="false">
      <c r="A257" s="2"/>
      <c r="B257" s="19"/>
      <c r="C257" s="19"/>
      <c r="D257" s="2"/>
      <c r="E257" s="2"/>
      <c r="F257" s="2"/>
      <c r="G257" s="2"/>
      <c r="H257" s="2"/>
      <c r="I257" s="2"/>
      <c r="J257" s="2"/>
      <c r="K257" s="2"/>
      <c r="L257" s="19"/>
      <c r="M257" s="19"/>
      <c r="N257" s="2"/>
      <c r="O257" s="2"/>
      <c r="P257" s="2"/>
      <c r="Q257" s="2"/>
      <c r="R257" s="2"/>
      <c r="S257" s="2"/>
      <c r="T257" s="2"/>
      <c r="U257" s="2"/>
      <c r="V257" s="2"/>
      <c r="W257" s="2"/>
      <c r="X257" s="2"/>
      <c r="Y257" s="2"/>
      <c r="Z257" s="2"/>
    </row>
    <row r="258" customFormat="false" ht="12" hidden="false" customHeight="true" outlineLevel="0" collapsed="false">
      <c r="A258" s="2"/>
      <c r="B258" s="19"/>
      <c r="C258" s="19"/>
      <c r="D258" s="2"/>
      <c r="E258" s="2"/>
      <c r="F258" s="2"/>
      <c r="G258" s="2"/>
      <c r="H258" s="2"/>
      <c r="I258" s="2"/>
      <c r="J258" s="2"/>
      <c r="K258" s="2"/>
      <c r="L258" s="19"/>
      <c r="M258" s="19"/>
      <c r="N258" s="2"/>
      <c r="O258" s="2"/>
      <c r="P258" s="2"/>
      <c r="Q258" s="2"/>
      <c r="R258" s="2"/>
      <c r="S258" s="2"/>
      <c r="T258" s="2"/>
      <c r="U258" s="2"/>
      <c r="V258" s="2"/>
      <c r="W258" s="2"/>
      <c r="X258" s="2"/>
      <c r="Y258" s="2"/>
      <c r="Z258" s="2"/>
    </row>
    <row r="259" customFormat="false" ht="12" hidden="false" customHeight="true" outlineLevel="0" collapsed="false">
      <c r="A259" s="2"/>
      <c r="B259" s="19"/>
      <c r="C259" s="19"/>
      <c r="D259" s="2"/>
      <c r="E259" s="2"/>
      <c r="F259" s="2"/>
      <c r="G259" s="2"/>
      <c r="H259" s="2"/>
      <c r="I259" s="2"/>
      <c r="J259" s="2"/>
      <c r="K259" s="2"/>
      <c r="L259" s="19"/>
      <c r="M259" s="19"/>
      <c r="N259" s="2"/>
      <c r="O259" s="2"/>
      <c r="P259" s="2"/>
      <c r="Q259" s="2"/>
      <c r="R259" s="2"/>
      <c r="S259" s="2"/>
      <c r="T259" s="2"/>
      <c r="U259" s="2"/>
      <c r="V259" s="2"/>
      <c r="W259" s="2"/>
      <c r="X259" s="2"/>
      <c r="Y259" s="2"/>
      <c r="Z259" s="2"/>
    </row>
    <row r="260" customFormat="false" ht="12" hidden="false" customHeight="true" outlineLevel="0" collapsed="false">
      <c r="A260" s="2"/>
      <c r="B260" s="19"/>
      <c r="C260" s="19"/>
      <c r="D260" s="2"/>
      <c r="E260" s="2"/>
      <c r="F260" s="2"/>
      <c r="G260" s="2"/>
      <c r="H260" s="2"/>
      <c r="I260" s="2"/>
      <c r="J260" s="2"/>
      <c r="K260" s="2"/>
      <c r="L260" s="19"/>
      <c r="M260" s="19"/>
      <c r="N260" s="2"/>
      <c r="O260" s="2"/>
      <c r="P260" s="2"/>
      <c r="Q260" s="2"/>
      <c r="R260" s="2"/>
      <c r="S260" s="2"/>
      <c r="T260" s="2"/>
      <c r="U260" s="2"/>
      <c r="V260" s="2"/>
      <c r="W260" s="2"/>
      <c r="X260" s="2"/>
      <c r="Y260" s="2"/>
      <c r="Z260" s="2"/>
    </row>
    <row r="261" customFormat="false" ht="12" hidden="false" customHeight="true" outlineLevel="0" collapsed="false">
      <c r="A261" s="2"/>
      <c r="B261" s="19"/>
      <c r="C261" s="19"/>
      <c r="D261" s="2"/>
      <c r="E261" s="2"/>
      <c r="F261" s="2"/>
      <c r="G261" s="2"/>
      <c r="H261" s="2"/>
      <c r="I261" s="2"/>
      <c r="J261" s="2"/>
      <c r="K261" s="2"/>
      <c r="L261" s="19"/>
      <c r="M261" s="19"/>
      <c r="N261" s="2"/>
      <c r="O261" s="2"/>
      <c r="P261" s="2"/>
      <c r="Q261" s="2"/>
      <c r="R261" s="2"/>
      <c r="S261" s="2"/>
      <c r="T261" s="2"/>
      <c r="U261" s="2"/>
      <c r="V261" s="2"/>
      <c r="W261" s="2"/>
      <c r="X261" s="2"/>
      <c r="Y261" s="2"/>
      <c r="Z261" s="2"/>
    </row>
    <row r="262" customFormat="false" ht="12" hidden="false" customHeight="true" outlineLevel="0" collapsed="false">
      <c r="A262" s="2"/>
      <c r="B262" s="19"/>
      <c r="C262" s="19"/>
      <c r="D262" s="2"/>
      <c r="E262" s="2"/>
      <c r="F262" s="2"/>
      <c r="G262" s="2"/>
      <c r="H262" s="2"/>
      <c r="I262" s="2"/>
      <c r="J262" s="2"/>
      <c r="K262" s="2"/>
      <c r="L262" s="19"/>
      <c r="M262" s="19"/>
      <c r="N262" s="2"/>
      <c r="O262" s="2"/>
      <c r="P262" s="2"/>
      <c r="Q262" s="2"/>
      <c r="R262" s="2"/>
      <c r="S262" s="2"/>
      <c r="T262" s="2"/>
      <c r="U262" s="2"/>
      <c r="V262" s="2"/>
      <c r="W262" s="2"/>
      <c r="X262" s="2"/>
      <c r="Y262" s="2"/>
      <c r="Z262" s="2"/>
    </row>
    <row r="263" customFormat="false" ht="12" hidden="false" customHeight="true" outlineLevel="0" collapsed="false">
      <c r="A263" s="2"/>
      <c r="B263" s="19"/>
      <c r="C263" s="19"/>
      <c r="D263" s="2"/>
      <c r="E263" s="2"/>
      <c r="F263" s="2"/>
      <c r="G263" s="2"/>
      <c r="H263" s="2"/>
      <c r="I263" s="2"/>
      <c r="J263" s="2"/>
      <c r="K263" s="2"/>
      <c r="L263" s="19"/>
      <c r="M263" s="19"/>
      <c r="N263" s="2"/>
      <c r="O263" s="2"/>
      <c r="P263" s="2"/>
      <c r="Q263" s="2"/>
      <c r="R263" s="2"/>
      <c r="S263" s="2"/>
      <c r="T263" s="2"/>
      <c r="U263" s="2"/>
      <c r="V263" s="2"/>
      <c r="W263" s="2"/>
      <c r="X263" s="2"/>
      <c r="Y263" s="2"/>
      <c r="Z263" s="2"/>
    </row>
    <row r="264" customFormat="false" ht="12" hidden="false" customHeight="true" outlineLevel="0" collapsed="false">
      <c r="A264" s="2"/>
      <c r="B264" s="19"/>
      <c r="C264" s="19"/>
      <c r="D264" s="2"/>
      <c r="E264" s="2"/>
      <c r="F264" s="2"/>
      <c r="G264" s="2"/>
      <c r="H264" s="2"/>
      <c r="I264" s="2"/>
      <c r="J264" s="2"/>
      <c r="K264" s="2"/>
      <c r="L264" s="19"/>
      <c r="M264" s="19"/>
      <c r="N264" s="2"/>
      <c r="O264" s="2"/>
      <c r="P264" s="2"/>
      <c r="Q264" s="2"/>
      <c r="R264" s="2"/>
      <c r="S264" s="2"/>
      <c r="T264" s="2"/>
      <c r="U264" s="2"/>
      <c r="V264" s="2"/>
      <c r="W264" s="2"/>
      <c r="X264" s="2"/>
      <c r="Y264" s="2"/>
      <c r="Z264" s="2"/>
    </row>
    <row r="265" customFormat="false" ht="12" hidden="false" customHeight="true" outlineLevel="0" collapsed="false">
      <c r="A265" s="2"/>
      <c r="B265" s="19"/>
      <c r="C265" s="19"/>
      <c r="D265" s="2"/>
      <c r="E265" s="2"/>
      <c r="F265" s="2"/>
      <c r="G265" s="2"/>
      <c r="H265" s="2"/>
      <c r="I265" s="2"/>
      <c r="J265" s="2"/>
      <c r="K265" s="2"/>
      <c r="L265" s="19"/>
      <c r="M265" s="19"/>
      <c r="N265" s="2"/>
      <c r="O265" s="2"/>
      <c r="P265" s="2"/>
      <c r="Q265" s="2"/>
      <c r="R265" s="2"/>
      <c r="S265" s="2"/>
      <c r="T265" s="2"/>
      <c r="U265" s="2"/>
      <c r="V265" s="2"/>
      <c r="W265" s="2"/>
      <c r="X265" s="2"/>
      <c r="Y265" s="2"/>
      <c r="Z265" s="2"/>
    </row>
    <row r="266" customFormat="false" ht="12" hidden="false" customHeight="true" outlineLevel="0" collapsed="false">
      <c r="A266" s="2"/>
      <c r="B266" s="19"/>
      <c r="C266" s="19"/>
      <c r="D266" s="2"/>
      <c r="E266" s="2"/>
      <c r="F266" s="2"/>
      <c r="G266" s="2"/>
      <c r="H266" s="2"/>
      <c r="I266" s="2"/>
      <c r="J266" s="2"/>
      <c r="K266" s="2"/>
      <c r="L266" s="19"/>
      <c r="M266" s="19"/>
      <c r="N266" s="2"/>
      <c r="O266" s="2"/>
      <c r="P266" s="2"/>
      <c r="Q266" s="2"/>
      <c r="R266" s="2"/>
      <c r="S266" s="2"/>
      <c r="T266" s="2"/>
      <c r="U266" s="2"/>
      <c r="V266" s="2"/>
      <c r="W266" s="2"/>
      <c r="X266" s="2"/>
      <c r="Y266" s="2"/>
      <c r="Z266" s="2"/>
    </row>
    <row r="267" customFormat="false" ht="12" hidden="false" customHeight="true" outlineLevel="0" collapsed="false">
      <c r="A267" s="2"/>
      <c r="B267" s="19"/>
      <c r="C267" s="19"/>
      <c r="D267" s="2"/>
      <c r="E267" s="2"/>
      <c r="F267" s="2"/>
      <c r="G267" s="2"/>
      <c r="H267" s="2"/>
      <c r="I267" s="2"/>
      <c r="J267" s="2"/>
      <c r="K267" s="2"/>
      <c r="L267" s="19"/>
      <c r="M267" s="19"/>
      <c r="N267" s="2"/>
      <c r="O267" s="2"/>
      <c r="P267" s="2"/>
      <c r="Q267" s="2"/>
      <c r="R267" s="2"/>
      <c r="S267" s="2"/>
      <c r="T267" s="2"/>
      <c r="U267" s="2"/>
      <c r="V267" s="2"/>
      <c r="W267" s="2"/>
      <c r="X267" s="2"/>
      <c r="Y267" s="2"/>
      <c r="Z267" s="2"/>
    </row>
    <row r="268" customFormat="false" ht="12" hidden="false" customHeight="true" outlineLevel="0" collapsed="false">
      <c r="A268" s="2"/>
      <c r="B268" s="19"/>
      <c r="C268" s="19"/>
      <c r="D268" s="2"/>
      <c r="E268" s="2"/>
      <c r="F268" s="2"/>
      <c r="G268" s="2"/>
      <c r="H268" s="2"/>
      <c r="I268" s="2"/>
      <c r="J268" s="2"/>
      <c r="K268" s="2"/>
      <c r="L268" s="19"/>
      <c r="M268" s="19"/>
      <c r="N268" s="2"/>
      <c r="O268" s="2"/>
      <c r="P268" s="2"/>
      <c r="Q268" s="2"/>
      <c r="R268" s="2"/>
      <c r="S268" s="2"/>
      <c r="T268" s="2"/>
      <c r="U268" s="2"/>
      <c r="V268" s="2"/>
      <c r="W268" s="2"/>
      <c r="X268" s="2"/>
      <c r="Y268" s="2"/>
      <c r="Z268" s="2"/>
    </row>
    <row r="269" customFormat="false" ht="12" hidden="false" customHeight="true" outlineLevel="0" collapsed="false">
      <c r="A269" s="2"/>
      <c r="B269" s="19"/>
      <c r="C269" s="19"/>
      <c r="D269" s="2"/>
      <c r="E269" s="2"/>
      <c r="F269" s="2"/>
      <c r="G269" s="2"/>
      <c r="H269" s="2"/>
      <c r="I269" s="2"/>
      <c r="J269" s="2"/>
      <c r="K269" s="2"/>
      <c r="L269" s="19"/>
      <c r="M269" s="19"/>
      <c r="N269" s="2"/>
      <c r="O269" s="2"/>
      <c r="P269" s="2"/>
      <c r="Q269" s="2"/>
      <c r="R269" s="2"/>
      <c r="S269" s="2"/>
      <c r="T269" s="2"/>
      <c r="U269" s="2"/>
      <c r="V269" s="2"/>
      <c r="W269" s="2"/>
      <c r="X269" s="2"/>
      <c r="Y269" s="2"/>
      <c r="Z269" s="2"/>
    </row>
    <row r="270" customFormat="false" ht="12" hidden="false" customHeight="true" outlineLevel="0" collapsed="false">
      <c r="A270" s="2"/>
      <c r="B270" s="19"/>
      <c r="C270" s="19"/>
      <c r="D270" s="2"/>
      <c r="E270" s="2"/>
      <c r="F270" s="2"/>
      <c r="G270" s="2"/>
      <c r="H270" s="2"/>
      <c r="I270" s="2"/>
      <c r="J270" s="2"/>
      <c r="K270" s="2"/>
      <c r="L270" s="19"/>
      <c r="M270" s="19"/>
      <c r="N270" s="2"/>
      <c r="O270" s="2"/>
      <c r="P270" s="2"/>
      <c r="Q270" s="2"/>
      <c r="R270" s="2"/>
      <c r="S270" s="2"/>
      <c r="T270" s="2"/>
      <c r="U270" s="2"/>
      <c r="V270" s="2"/>
      <c r="W270" s="2"/>
      <c r="X270" s="2"/>
      <c r="Y270" s="2"/>
      <c r="Z270" s="2"/>
    </row>
    <row r="271" customFormat="false" ht="12" hidden="false" customHeight="true" outlineLevel="0" collapsed="false">
      <c r="A271" s="2"/>
      <c r="B271" s="19"/>
      <c r="C271" s="19"/>
      <c r="D271" s="2"/>
      <c r="E271" s="2"/>
      <c r="F271" s="2"/>
      <c r="G271" s="2"/>
      <c r="H271" s="2"/>
      <c r="I271" s="2"/>
      <c r="J271" s="2"/>
      <c r="K271" s="2"/>
      <c r="L271" s="19"/>
      <c r="M271" s="19"/>
      <c r="N271" s="2"/>
      <c r="O271" s="2"/>
      <c r="P271" s="2"/>
      <c r="Q271" s="2"/>
      <c r="R271" s="2"/>
      <c r="S271" s="2"/>
      <c r="T271" s="2"/>
      <c r="U271" s="2"/>
      <c r="V271" s="2"/>
      <c r="W271" s="2"/>
      <c r="X271" s="2"/>
      <c r="Y271" s="2"/>
      <c r="Z271" s="2"/>
    </row>
    <row r="272" customFormat="false" ht="12" hidden="false" customHeight="true" outlineLevel="0" collapsed="false">
      <c r="A272" s="2"/>
      <c r="B272" s="19"/>
      <c r="C272" s="19"/>
      <c r="D272" s="2"/>
      <c r="E272" s="2"/>
      <c r="F272" s="2"/>
      <c r="G272" s="2"/>
      <c r="H272" s="2"/>
      <c r="I272" s="2"/>
      <c r="J272" s="2"/>
      <c r="K272" s="2"/>
      <c r="L272" s="19"/>
      <c r="M272" s="19"/>
      <c r="N272" s="2"/>
      <c r="O272" s="2"/>
      <c r="P272" s="2"/>
      <c r="Q272" s="2"/>
      <c r="R272" s="2"/>
      <c r="S272" s="2"/>
      <c r="T272" s="2"/>
      <c r="U272" s="2"/>
      <c r="V272" s="2"/>
      <c r="W272" s="2"/>
      <c r="X272" s="2"/>
      <c r="Y272" s="2"/>
      <c r="Z272" s="2"/>
    </row>
    <row r="273" customFormat="false" ht="12" hidden="false" customHeight="true" outlineLevel="0" collapsed="false">
      <c r="A273" s="2"/>
      <c r="B273" s="19"/>
      <c r="C273" s="19"/>
      <c r="D273" s="2"/>
      <c r="E273" s="2"/>
      <c r="F273" s="2"/>
      <c r="G273" s="2"/>
      <c r="H273" s="2"/>
      <c r="I273" s="2"/>
      <c r="J273" s="2"/>
      <c r="K273" s="2"/>
      <c r="L273" s="19"/>
      <c r="M273" s="19"/>
      <c r="N273" s="2"/>
      <c r="O273" s="2"/>
      <c r="P273" s="2"/>
      <c r="Q273" s="2"/>
      <c r="R273" s="2"/>
      <c r="S273" s="2"/>
      <c r="T273" s="2"/>
      <c r="U273" s="2"/>
      <c r="V273" s="2"/>
      <c r="W273" s="2"/>
      <c r="X273" s="2"/>
      <c r="Y273" s="2"/>
      <c r="Z273" s="2"/>
    </row>
    <row r="274" customFormat="false" ht="12" hidden="false" customHeight="true" outlineLevel="0" collapsed="false">
      <c r="A274" s="2"/>
      <c r="B274" s="19"/>
      <c r="C274" s="19"/>
      <c r="D274" s="2"/>
      <c r="E274" s="2"/>
      <c r="F274" s="2"/>
      <c r="G274" s="2"/>
      <c r="H274" s="2"/>
      <c r="I274" s="2"/>
      <c r="J274" s="2"/>
      <c r="K274" s="2"/>
      <c r="L274" s="19"/>
      <c r="M274" s="19"/>
      <c r="N274" s="2"/>
      <c r="O274" s="2"/>
      <c r="P274" s="2"/>
      <c r="Q274" s="2"/>
      <c r="R274" s="2"/>
      <c r="S274" s="2"/>
      <c r="T274" s="2"/>
      <c r="U274" s="2"/>
      <c r="V274" s="2"/>
      <c r="W274" s="2"/>
      <c r="X274" s="2"/>
      <c r="Y274" s="2"/>
      <c r="Z274" s="2"/>
    </row>
    <row r="275" customFormat="false" ht="12" hidden="false" customHeight="true" outlineLevel="0" collapsed="false">
      <c r="A275" s="2"/>
      <c r="B275" s="19"/>
      <c r="C275" s="19"/>
      <c r="D275" s="2"/>
      <c r="E275" s="2"/>
      <c r="F275" s="2"/>
      <c r="G275" s="2"/>
      <c r="H275" s="2"/>
      <c r="I275" s="2"/>
      <c r="J275" s="2"/>
      <c r="K275" s="2"/>
      <c r="L275" s="19"/>
      <c r="M275" s="19"/>
      <c r="N275" s="2"/>
      <c r="O275" s="2"/>
      <c r="P275" s="2"/>
      <c r="Q275" s="2"/>
      <c r="R275" s="2"/>
      <c r="S275" s="2"/>
      <c r="T275" s="2"/>
      <c r="U275" s="2"/>
      <c r="V275" s="2"/>
      <c r="W275" s="2"/>
      <c r="X275" s="2"/>
      <c r="Y275" s="2"/>
      <c r="Z275" s="2"/>
    </row>
    <row r="276" customFormat="false" ht="12" hidden="false" customHeight="true" outlineLevel="0" collapsed="false">
      <c r="A276" s="2"/>
      <c r="B276" s="19"/>
      <c r="C276" s="19"/>
      <c r="D276" s="2"/>
      <c r="E276" s="2"/>
      <c r="F276" s="2"/>
      <c r="G276" s="2"/>
      <c r="H276" s="2"/>
      <c r="I276" s="2"/>
      <c r="J276" s="2"/>
      <c r="K276" s="2"/>
      <c r="L276" s="19"/>
      <c r="M276" s="19"/>
      <c r="N276" s="2"/>
      <c r="O276" s="2"/>
      <c r="P276" s="2"/>
      <c r="Q276" s="2"/>
      <c r="R276" s="2"/>
      <c r="S276" s="2"/>
      <c r="T276" s="2"/>
      <c r="U276" s="2"/>
      <c r="V276" s="2"/>
      <c r="W276" s="2"/>
      <c r="X276" s="2"/>
      <c r="Y276" s="2"/>
      <c r="Z276" s="2"/>
    </row>
    <row r="277" customFormat="false" ht="12" hidden="false" customHeight="true" outlineLevel="0" collapsed="false">
      <c r="A277" s="2"/>
      <c r="B277" s="19"/>
      <c r="C277" s="19"/>
      <c r="D277" s="2"/>
      <c r="E277" s="2"/>
      <c r="F277" s="2"/>
      <c r="G277" s="2"/>
      <c r="H277" s="2"/>
      <c r="I277" s="2"/>
      <c r="J277" s="2"/>
      <c r="K277" s="2"/>
      <c r="L277" s="19"/>
      <c r="M277" s="19"/>
      <c r="N277" s="2"/>
      <c r="O277" s="2"/>
      <c r="P277" s="2"/>
      <c r="Q277" s="2"/>
      <c r="R277" s="2"/>
      <c r="S277" s="2"/>
      <c r="T277" s="2"/>
      <c r="U277" s="2"/>
      <c r="V277" s="2"/>
      <c r="W277" s="2"/>
      <c r="X277" s="2"/>
      <c r="Y277" s="2"/>
      <c r="Z277" s="2"/>
    </row>
    <row r="278" customFormat="false" ht="12" hidden="false" customHeight="true" outlineLevel="0" collapsed="false">
      <c r="A278" s="2"/>
      <c r="B278" s="19"/>
      <c r="C278" s="19"/>
      <c r="D278" s="2"/>
      <c r="E278" s="2"/>
      <c r="F278" s="2"/>
      <c r="G278" s="2"/>
      <c r="H278" s="2"/>
      <c r="I278" s="2"/>
      <c r="J278" s="2"/>
      <c r="K278" s="2"/>
      <c r="L278" s="19"/>
      <c r="M278" s="19"/>
      <c r="N278" s="2"/>
      <c r="O278" s="2"/>
      <c r="P278" s="2"/>
      <c r="Q278" s="2"/>
      <c r="R278" s="2"/>
      <c r="S278" s="2"/>
      <c r="T278" s="2"/>
      <c r="U278" s="2"/>
      <c r="V278" s="2"/>
      <c r="W278" s="2"/>
      <c r="X278" s="2"/>
      <c r="Y278" s="2"/>
      <c r="Z278" s="2"/>
    </row>
    <row r="279" customFormat="false" ht="12" hidden="false" customHeight="true" outlineLevel="0" collapsed="false">
      <c r="A279" s="2"/>
      <c r="B279" s="19"/>
      <c r="C279" s="19"/>
      <c r="D279" s="2"/>
      <c r="E279" s="2"/>
      <c r="F279" s="2"/>
      <c r="G279" s="2"/>
      <c r="H279" s="2"/>
      <c r="I279" s="2"/>
      <c r="J279" s="2"/>
      <c r="K279" s="2"/>
      <c r="L279" s="19"/>
      <c r="M279" s="19"/>
      <c r="N279" s="2"/>
      <c r="O279" s="2"/>
      <c r="P279" s="2"/>
      <c r="Q279" s="2"/>
      <c r="R279" s="2"/>
      <c r="S279" s="2"/>
      <c r="T279" s="2"/>
      <c r="U279" s="2"/>
      <c r="V279" s="2"/>
      <c r="W279" s="2"/>
      <c r="X279" s="2"/>
      <c r="Y279" s="2"/>
      <c r="Z279" s="2"/>
    </row>
    <row r="280" customFormat="false" ht="12" hidden="false" customHeight="true" outlineLevel="0" collapsed="false">
      <c r="A280" s="2"/>
      <c r="B280" s="19"/>
      <c r="C280" s="19"/>
      <c r="D280" s="2"/>
      <c r="E280" s="2"/>
      <c r="F280" s="2"/>
      <c r="G280" s="2"/>
      <c r="H280" s="2"/>
      <c r="I280" s="2"/>
      <c r="J280" s="2"/>
      <c r="K280" s="2"/>
      <c r="L280" s="19"/>
      <c r="M280" s="19"/>
      <c r="N280" s="2"/>
      <c r="O280" s="2"/>
      <c r="P280" s="2"/>
      <c r="Q280" s="2"/>
      <c r="R280" s="2"/>
      <c r="S280" s="2"/>
      <c r="T280" s="2"/>
      <c r="U280" s="2"/>
      <c r="V280" s="2"/>
      <c r="W280" s="2"/>
      <c r="X280" s="2"/>
      <c r="Y280" s="2"/>
      <c r="Z280" s="2"/>
    </row>
    <row r="281" customFormat="false" ht="12" hidden="false" customHeight="true" outlineLevel="0" collapsed="false">
      <c r="A281" s="2"/>
      <c r="B281" s="19"/>
      <c r="C281" s="19"/>
      <c r="D281" s="2"/>
      <c r="E281" s="2"/>
      <c r="F281" s="2"/>
      <c r="G281" s="2"/>
      <c r="H281" s="2"/>
      <c r="I281" s="2"/>
      <c r="J281" s="2"/>
      <c r="K281" s="2"/>
      <c r="L281" s="19"/>
      <c r="M281" s="19"/>
      <c r="N281" s="2"/>
      <c r="O281" s="2"/>
      <c r="P281" s="2"/>
      <c r="Q281" s="2"/>
      <c r="R281" s="2"/>
      <c r="S281" s="2"/>
      <c r="T281" s="2"/>
      <c r="U281" s="2"/>
      <c r="V281" s="2"/>
      <c r="W281" s="2"/>
      <c r="X281" s="2"/>
      <c r="Y281" s="2"/>
      <c r="Z281" s="2"/>
    </row>
    <row r="282" customFormat="false" ht="12" hidden="false" customHeight="true" outlineLevel="0" collapsed="false">
      <c r="A282" s="2"/>
      <c r="B282" s="19"/>
      <c r="C282" s="19"/>
      <c r="D282" s="2"/>
      <c r="E282" s="2"/>
      <c r="F282" s="2"/>
      <c r="G282" s="2"/>
      <c r="H282" s="2"/>
      <c r="I282" s="2"/>
      <c r="J282" s="2"/>
      <c r="K282" s="2"/>
      <c r="L282" s="19"/>
      <c r="M282" s="19"/>
      <c r="N282" s="2"/>
      <c r="O282" s="2"/>
      <c r="P282" s="2"/>
      <c r="Q282" s="2"/>
      <c r="R282" s="2"/>
      <c r="S282" s="2"/>
      <c r="T282" s="2"/>
      <c r="U282" s="2"/>
      <c r="V282" s="2"/>
      <c r="W282" s="2"/>
      <c r="X282" s="2"/>
      <c r="Y282" s="2"/>
      <c r="Z282" s="2"/>
    </row>
    <row r="283" customFormat="false" ht="12" hidden="false" customHeight="true" outlineLevel="0" collapsed="false">
      <c r="A283" s="2"/>
      <c r="B283" s="19"/>
      <c r="C283" s="19"/>
      <c r="D283" s="2"/>
      <c r="E283" s="2"/>
      <c r="F283" s="2"/>
      <c r="G283" s="2"/>
      <c r="H283" s="2"/>
      <c r="I283" s="2"/>
      <c r="J283" s="2"/>
      <c r="K283" s="2"/>
      <c r="L283" s="19"/>
      <c r="M283" s="19"/>
      <c r="N283" s="2"/>
      <c r="O283" s="2"/>
      <c r="P283" s="2"/>
      <c r="Q283" s="2"/>
      <c r="R283" s="2"/>
      <c r="S283" s="2"/>
      <c r="T283" s="2"/>
      <c r="U283" s="2"/>
      <c r="V283" s="2"/>
      <c r="W283" s="2"/>
      <c r="X283" s="2"/>
      <c r="Y283" s="2"/>
      <c r="Z283" s="2"/>
    </row>
    <row r="284" customFormat="false" ht="12" hidden="false" customHeight="true" outlineLevel="0" collapsed="false">
      <c r="A284" s="2"/>
      <c r="B284" s="19"/>
      <c r="C284" s="19"/>
      <c r="D284" s="2"/>
      <c r="E284" s="2"/>
      <c r="F284" s="2"/>
      <c r="G284" s="2"/>
      <c r="H284" s="2"/>
      <c r="I284" s="2"/>
      <c r="J284" s="2"/>
      <c r="K284" s="2"/>
      <c r="L284" s="19"/>
      <c r="M284" s="19"/>
      <c r="N284" s="2"/>
      <c r="O284" s="2"/>
      <c r="P284" s="2"/>
      <c r="Q284" s="2"/>
      <c r="R284" s="2"/>
      <c r="S284" s="2"/>
      <c r="T284" s="2"/>
      <c r="U284" s="2"/>
      <c r="V284" s="2"/>
      <c r="W284" s="2"/>
      <c r="X284" s="2"/>
      <c r="Y284" s="2"/>
      <c r="Z284" s="2"/>
    </row>
    <row r="285" customFormat="false" ht="12" hidden="false" customHeight="true" outlineLevel="0" collapsed="false">
      <c r="A285" s="2"/>
      <c r="B285" s="19"/>
      <c r="C285" s="19"/>
      <c r="D285" s="2"/>
      <c r="E285" s="2"/>
      <c r="F285" s="2"/>
      <c r="G285" s="2"/>
      <c r="H285" s="2"/>
      <c r="I285" s="2"/>
      <c r="J285" s="2"/>
      <c r="K285" s="2"/>
      <c r="L285" s="19"/>
      <c r="M285" s="19"/>
      <c r="N285" s="2"/>
      <c r="O285" s="2"/>
      <c r="P285" s="2"/>
      <c r="Q285" s="2"/>
      <c r="R285" s="2"/>
      <c r="S285" s="2"/>
      <c r="T285" s="2"/>
      <c r="U285" s="2"/>
      <c r="V285" s="2"/>
      <c r="W285" s="2"/>
      <c r="X285" s="2"/>
      <c r="Y285" s="2"/>
      <c r="Z285" s="2"/>
    </row>
    <row r="286" customFormat="false" ht="12" hidden="false" customHeight="true" outlineLevel="0" collapsed="false">
      <c r="A286" s="2"/>
      <c r="B286" s="19"/>
      <c r="C286" s="19"/>
      <c r="D286" s="2"/>
      <c r="E286" s="2"/>
      <c r="F286" s="2"/>
      <c r="G286" s="2"/>
      <c r="H286" s="2"/>
      <c r="I286" s="2"/>
      <c r="J286" s="2"/>
      <c r="K286" s="2"/>
      <c r="L286" s="19"/>
      <c r="M286" s="19"/>
      <c r="N286" s="2"/>
      <c r="O286" s="2"/>
      <c r="P286" s="2"/>
      <c r="Q286" s="2"/>
      <c r="R286" s="2"/>
      <c r="S286" s="2"/>
      <c r="T286" s="2"/>
      <c r="U286" s="2"/>
      <c r="V286" s="2"/>
      <c r="W286" s="2"/>
      <c r="X286" s="2"/>
      <c r="Y286" s="2"/>
      <c r="Z286" s="2"/>
    </row>
    <row r="287" customFormat="false" ht="12" hidden="false" customHeight="true" outlineLevel="0" collapsed="false">
      <c r="A287" s="2"/>
      <c r="B287" s="19"/>
      <c r="C287" s="19"/>
      <c r="D287" s="2"/>
      <c r="E287" s="2"/>
      <c r="F287" s="2"/>
      <c r="G287" s="2"/>
      <c r="H287" s="2"/>
      <c r="I287" s="2"/>
      <c r="J287" s="2"/>
      <c r="K287" s="2"/>
      <c r="L287" s="19"/>
      <c r="M287" s="19"/>
      <c r="N287" s="2"/>
      <c r="O287" s="2"/>
      <c r="P287" s="2"/>
      <c r="Q287" s="2"/>
      <c r="R287" s="2"/>
      <c r="S287" s="2"/>
      <c r="T287" s="2"/>
      <c r="U287" s="2"/>
      <c r="V287" s="2"/>
      <c r="W287" s="2"/>
      <c r="X287" s="2"/>
      <c r="Y287" s="2"/>
      <c r="Z287" s="2"/>
    </row>
    <row r="288" customFormat="false" ht="12" hidden="false" customHeight="true" outlineLevel="0" collapsed="false">
      <c r="A288" s="2"/>
      <c r="B288" s="19"/>
      <c r="C288" s="19"/>
      <c r="D288" s="2"/>
      <c r="E288" s="2"/>
      <c r="F288" s="2"/>
      <c r="G288" s="2"/>
      <c r="H288" s="2"/>
      <c r="I288" s="2"/>
      <c r="J288" s="2"/>
      <c r="K288" s="2"/>
      <c r="L288" s="19"/>
      <c r="M288" s="19"/>
      <c r="N288" s="2"/>
      <c r="O288" s="2"/>
      <c r="P288" s="2"/>
      <c r="Q288" s="2"/>
      <c r="R288" s="2"/>
      <c r="S288" s="2"/>
      <c r="T288" s="2"/>
      <c r="U288" s="2"/>
      <c r="V288" s="2"/>
      <c r="W288" s="2"/>
      <c r="X288" s="2"/>
      <c r="Y288" s="2"/>
      <c r="Z288" s="2"/>
    </row>
    <row r="289" customFormat="false" ht="12" hidden="false" customHeight="true" outlineLevel="0" collapsed="false">
      <c r="A289" s="2"/>
      <c r="B289" s="19"/>
      <c r="C289" s="19"/>
      <c r="D289" s="2"/>
      <c r="E289" s="2"/>
      <c r="F289" s="2"/>
      <c r="G289" s="2"/>
      <c r="H289" s="2"/>
      <c r="I289" s="2"/>
      <c r="J289" s="2"/>
      <c r="K289" s="2"/>
      <c r="L289" s="19"/>
      <c r="M289" s="19"/>
      <c r="N289" s="2"/>
      <c r="O289" s="2"/>
      <c r="P289" s="2"/>
      <c r="Q289" s="2"/>
      <c r="R289" s="2"/>
      <c r="S289" s="2"/>
      <c r="T289" s="2"/>
      <c r="U289" s="2"/>
      <c r="V289" s="2"/>
      <c r="W289" s="2"/>
      <c r="X289" s="2"/>
      <c r="Y289" s="2"/>
      <c r="Z289" s="2"/>
    </row>
    <row r="290" customFormat="false" ht="12" hidden="false" customHeight="true" outlineLevel="0" collapsed="false">
      <c r="A290" s="2"/>
      <c r="B290" s="19"/>
      <c r="C290" s="19"/>
      <c r="D290" s="2"/>
      <c r="E290" s="2"/>
      <c r="F290" s="2"/>
      <c r="G290" s="2"/>
      <c r="H290" s="2"/>
      <c r="I290" s="2"/>
      <c r="J290" s="2"/>
      <c r="K290" s="2"/>
      <c r="L290" s="19"/>
      <c r="M290" s="19"/>
      <c r="N290" s="2"/>
      <c r="O290" s="2"/>
      <c r="P290" s="2"/>
      <c r="Q290" s="2"/>
      <c r="R290" s="2"/>
      <c r="S290" s="2"/>
      <c r="T290" s="2"/>
      <c r="U290" s="2"/>
      <c r="V290" s="2"/>
      <c r="W290" s="2"/>
      <c r="X290" s="2"/>
      <c r="Y290" s="2"/>
      <c r="Z290" s="2"/>
    </row>
    <row r="291" customFormat="false" ht="12" hidden="false" customHeight="true" outlineLevel="0" collapsed="false">
      <c r="A291" s="2"/>
      <c r="B291" s="19"/>
      <c r="C291" s="19"/>
      <c r="D291" s="2"/>
      <c r="E291" s="2"/>
      <c r="F291" s="2"/>
      <c r="G291" s="2"/>
      <c r="H291" s="2"/>
      <c r="I291" s="2"/>
      <c r="J291" s="2"/>
      <c r="K291" s="2"/>
      <c r="L291" s="19"/>
      <c r="M291" s="19"/>
      <c r="N291" s="2"/>
      <c r="O291" s="2"/>
      <c r="P291" s="2"/>
      <c r="Q291" s="2"/>
      <c r="R291" s="2"/>
      <c r="S291" s="2"/>
      <c r="T291" s="2"/>
      <c r="U291" s="2"/>
      <c r="V291" s="2"/>
      <c r="W291" s="2"/>
      <c r="X291" s="2"/>
      <c r="Y291" s="2"/>
      <c r="Z291" s="2"/>
    </row>
    <row r="292" customFormat="false" ht="12" hidden="false" customHeight="true" outlineLevel="0" collapsed="false">
      <c r="A292" s="2"/>
      <c r="B292" s="19"/>
      <c r="C292" s="19"/>
      <c r="D292" s="2"/>
      <c r="E292" s="2"/>
      <c r="F292" s="2"/>
      <c r="G292" s="2"/>
      <c r="H292" s="2"/>
      <c r="I292" s="2"/>
      <c r="J292" s="2"/>
      <c r="K292" s="2"/>
      <c r="L292" s="19"/>
      <c r="M292" s="19"/>
      <c r="N292" s="2"/>
      <c r="O292" s="2"/>
      <c r="P292" s="2"/>
      <c r="Q292" s="2"/>
      <c r="R292" s="2"/>
      <c r="S292" s="2"/>
      <c r="T292" s="2"/>
      <c r="U292" s="2"/>
      <c r="V292" s="2"/>
      <c r="W292" s="2"/>
      <c r="X292" s="2"/>
      <c r="Y292" s="2"/>
      <c r="Z292" s="2"/>
    </row>
    <row r="293" customFormat="false" ht="12" hidden="false" customHeight="true" outlineLevel="0" collapsed="false">
      <c r="A293" s="2"/>
      <c r="B293" s="19"/>
      <c r="C293" s="19"/>
      <c r="D293" s="2"/>
      <c r="E293" s="2"/>
      <c r="F293" s="2"/>
      <c r="G293" s="2"/>
      <c r="H293" s="2"/>
      <c r="I293" s="2"/>
      <c r="J293" s="2"/>
      <c r="K293" s="2"/>
      <c r="L293" s="19"/>
      <c r="M293" s="19"/>
      <c r="N293" s="2"/>
      <c r="O293" s="2"/>
      <c r="P293" s="2"/>
      <c r="Q293" s="2"/>
      <c r="R293" s="2"/>
      <c r="S293" s="2"/>
      <c r="T293" s="2"/>
      <c r="U293" s="2"/>
      <c r="V293" s="2"/>
      <c r="W293" s="2"/>
      <c r="X293" s="2"/>
      <c r="Y293" s="2"/>
      <c r="Z293" s="2"/>
    </row>
    <row r="294" customFormat="false" ht="12" hidden="false" customHeight="true" outlineLevel="0" collapsed="false">
      <c r="A294" s="2"/>
      <c r="B294" s="19"/>
      <c r="C294" s="19"/>
      <c r="D294" s="2"/>
      <c r="E294" s="2"/>
      <c r="F294" s="2"/>
      <c r="G294" s="2"/>
      <c r="H294" s="2"/>
      <c r="I294" s="2"/>
      <c r="J294" s="2"/>
      <c r="K294" s="2"/>
      <c r="L294" s="19"/>
      <c r="M294" s="19"/>
      <c r="N294" s="2"/>
      <c r="O294" s="2"/>
      <c r="P294" s="2"/>
      <c r="Q294" s="2"/>
      <c r="R294" s="2"/>
      <c r="S294" s="2"/>
      <c r="T294" s="2"/>
      <c r="U294" s="2"/>
      <c r="V294" s="2"/>
      <c r="W294" s="2"/>
      <c r="X294" s="2"/>
      <c r="Y294" s="2"/>
      <c r="Z294" s="2"/>
    </row>
    <row r="295" customFormat="false" ht="12" hidden="false" customHeight="true" outlineLevel="0" collapsed="false">
      <c r="A295" s="2"/>
      <c r="B295" s="19"/>
      <c r="C295" s="19"/>
      <c r="D295" s="2"/>
      <c r="E295" s="2"/>
      <c r="F295" s="2"/>
      <c r="G295" s="2"/>
      <c r="H295" s="2"/>
      <c r="I295" s="2"/>
      <c r="J295" s="2"/>
      <c r="K295" s="2"/>
      <c r="L295" s="19"/>
      <c r="M295" s="19"/>
      <c r="N295" s="2"/>
      <c r="O295" s="2"/>
      <c r="P295" s="2"/>
      <c r="Q295" s="2"/>
      <c r="R295" s="2"/>
      <c r="S295" s="2"/>
      <c r="T295" s="2"/>
      <c r="U295" s="2"/>
      <c r="V295" s="2"/>
      <c r="W295" s="2"/>
      <c r="X295" s="2"/>
      <c r="Y295" s="2"/>
      <c r="Z295" s="2"/>
    </row>
    <row r="296" customFormat="false" ht="12" hidden="false" customHeight="true" outlineLevel="0" collapsed="false">
      <c r="A296" s="2"/>
      <c r="B296" s="19"/>
      <c r="C296" s="19"/>
      <c r="D296" s="2"/>
      <c r="E296" s="2"/>
      <c r="F296" s="2"/>
      <c r="G296" s="2"/>
      <c r="H296" s="2"/>
      <c r="I296" s="2"/>
      <c r="J296" s="2"/>
      <c r="K296" s="2"/>
      <c r="L296" s="19"/>
      <c r="M296" s="19"/>
      <c r="N296" s="2"/>
      <c r="O296" s="2"/>
      <c r="P296" s="2"/>
      <c r="Q296" s="2"/>
      <c r="R296" s="2"/>
      <c r="S296" s="2"/>
      <c r="T296" s="2"/>
      <c r="U296" s="2"/>
      <c r="V296" s="2"/>
      <c r="W296" s="2"/>
      <c r="X296" s="2"/>
      <c r="Y296" s="2"/>
      <c r="Z296" s="2"/>
    </row>
    <row r="297" customFormat="false" ht="12" hidden="false" customHeight="true" outlineLevel="0" collapsed="false">
      <c r="A297" s="2"/>
      <c r="B297" s="19"/>
      <c r="C297" s="19"/>
      <c r="D297" s="2"/>
      <c r="E297" s="2"/>
      <c r="F297" s="2"/>
      <c r="G297" s="2"/>
      <c r="H297" s="2"/>
      <c r="I297" s="2"/>
      <c r="J297" s="2"/>
      <c r="K297" s="2"/>
      <c r="L297" s="19"/>
      <c r="M297" s="19"/>
      <c r="N297" s="2"/>
      <c r="O297" s="2"/>
      <c r="P297" s="2"/>
      <c r="Q297" s="2"/>
      <c r="R297" s="2"/>
      <c r="S297" s="2"/>
      <c r="T297" s="2"/>
      <c r="U297" s="2"/>
      <c r="V297" s="2"/>
      <c r="W297" s="2"/>
      <c r="X297" s="2"/>
      <c r="Y297" s="2"/>
      <c r="Z297" s="2"/>
    </row>
    <row r="298" customFormat="false" ht="12" hidden="false" customHeight="true" outlineLevel="0" collapsed="false">
      <c r="A298" s="2"/>
      <c r="B298" s="19"/>
      <c r="C298" s="19"/>
      <c r="D298" s="2"/>
      <c r="E298" s="2"/>
      <c r="F298" s="2"/>
      <c r="G298" s="2"/>
      <c r="H298" s="2"/>
      <c r="I298" s="2"/>
      <c r="J298" s="2"/>
      <c r="K298" s="2"/>
      <c r="L298" s="19"/>
      <c r="M298" s="19"/>
      <c r="N298" s="2"/>
      <c r="O298" s="2"/>
      <c r="P298" s="2"/>
      <c r="Q298" s="2"/>
      <c r="R298" s="2"/>
      <c r="S298" s="2"/>
      <c r="T298" s="2"/>
      <c r="U298" s="2"/>
      <c r="V298" s="2"/>
      <c r="W298" s="2"/>
      <c r="X298" s="2"/>
      <c r="Y298" s="2"/>
      <c r="Z298" s="2"/>
    </row>
    <row r="299" customFormat="false" ht="12" hidden="false" customHeight="true" outlineLevel="0" collapsed="false">
      <c r="A299" s="2"/>
      <c r="B299" s="19"/>
      <c r="C299" s="19"/>
      <c r="D299" s="2"/>
      <c r="E299" s="2"/>
      <c r="F299" s="2"/>
      <c r="G299" s="2"/>
      <c r="H299" s="2"/>
      <c r="I299" s="2"/>
      <c r="J299" s="2"/>
      <c r="K299" s="2"/>
      <c r="L299" s="19"/>
      <c r="M299" s="19"/>
      <c r="N299" s="2"/>
      <c r="O299" s="2"/>
      <c r="P299" s="2"/>
      <c r="Q299" s="2"/>
      <c r="R299" s="2"/>
      <c r="S299" s="2"/>
      <c r="T299" s="2"/>
      <c r="U299" s="2"/>
      <c r="V299" s="2"/>
      <c r="W299" s="2"/>
      <c r="X299" s="2"/>
      <c r="Y299" s="2"/>
      <c r="Z299" s="2"/>
    </row>
    <row r="300" customFormat="false" ht="12" hidden="false" customHeight="true" outlineLevel="0" collapsed="false">
      <c r="A300" s="2"/>
      <c r="B300" s="19"/>
      <c r="C300" s="19"/>
      <c r="D300" s="2"/>
      <c r="E300" s="2"/>
      <c r="F300" s="2"/>
      <c r="G300" s="2"/>
      <c r="H300" s="2"/>
      <c r="I300" s="2"/>
      <c r="J300" s="2"/>
      <c r="K300" s="2"/>
      <c r="L300" s="19"/>
      <c r="M300" s="19"/>
      <c r="N300" s="2"/>
      <c r="O300" s="2"/>
      <c r="P300" s="2"/>
      <c r="Q300" s="2"/>
      <c r="R300" s="2"/>
      <c r="S300" s="2"/>
      <c r="T300" s="2"/>
      <c r="U300" s="2"/>
      <c r="V300" s="2"/>
      <c r="W300" s="2"/>
      <c r="X300" s="2"/>
      <c r="Y300" s="2"/>
      <c r="Z300" s="2"/>
    </row>
    <row r="301" customFormat="false" ht="12" hidden="false" customHeight="true" outlineLevel="0" collapsed="false">
      <c r="A301" s="2"/>
      <c r="B301" s="19"/>
      <c r="C301" s="19"/>
      <c r="D301" s="2"/>
      <c r="E301" s="2"/>
      <c r="F301" s="2"/>
      <c r="G301" s="2"/>
      <c r="H301" s="2"/>
      <c r="I301" s="2"/>
      <c r="J301" s="2"/>
      <c r="K301" s="2"/>
      <c r="L301" s="19"/>
      <c r="M301" s="19"/>
      <c r="N301" s="2"/>
      <c r="O301" s="2"/>
      <c r="P301" s="2"/>
      <c r="Q301" s="2"/>
      <c r="R301" s="2"/>
      <c r="S301" s="2"/>
      <c r="T301" s="2"/>
      <c r="U301" s="2"/>
      <c r="V301" s="2"/>
      <c r="W301" s="2"/>
      <c r="X301" s="2"/>
      <c r="Y301" s="2"/>
      <c r="Z301" s="2"/>
    </row>
    <row r="302" customFormat="false" ht="12" hidden="false" customHeight="true" outlineLevel="0" collapsed="false">
      <c r="A302" s="2"/>
      <c r="B302" s="19"/>
      <c r="C302" s="19"/>
      <c r="D302" s="2"/>
      <c r="E302" s="2"/>
      <c r="F302" s="2"/>
      <c r="G302" s="2"/>
      <c r="H302" s="2"/>
      <c r="I302" s="2"/>
      <c r="J302" s="2"/>
      <c r="K302" s="2"/>
      <c r="L302" s="19"/>
      <c r="M302" s="19"/>
      <c r="N302" s="2"/>
      <c r="O302" s="2"/>
      <c r="P302" s="2"/>
      <c r="Q302" s="2"/>
      <c r="R302" s="2"/>
      <c r="S302" s="2"/>
      <c r="T302" s="2"/>
      <c r="U302" s="2"/>
      <c r="V302" s="2"/>
      <c r="W302" s="2"/>
      <c r="X302" s="2"/>
      <c r="Y302" s="2"/>
      <c r="Z302" s="2"/>
    </row>
    <row r="303" customFormat="false" ht="12" hidden="false" customHeight="true" outlineLevel="0" collapsed="false">
      <c r="A303" s="2"/>
      <c r="B303" s="19"/>
      <c r="C303" s="19"/>
      <c r="D303" s="2"/>
      <c r="E303" s="2"/>
      <c r="F303" s="2"/>
      <c r="G303" s="2"/>
      <c r="H303" s="2"/>
      <c r="I303" s="2"/>
      <c r="J303" s="2"/>
      <c r="K303" s="2"/>
      <c r="L303" s="19"/>
      <c r="M303" s="19"/>
      <c r="N303" s="2"/>
      <c r="O303" s="2"/>
      <c r="P303" s="2"/>
      <c r="Q303" s="2"/>
      <c r="R303" s="2"/>
      <c r="S303" s="2"/>
      <c r="T303" s="2"/>
      <c r="U303" s="2"/>
      <c r="V303" s="2"/>
      <c r="W303" s="2"/>
      <c r="X303" s="2"/>
      <c r="Y303" s="2"/>
      <c r="Z303" s="2"/>
    </row>
    <row r="304" customFormat="false" ht="12" hidden="false" customHeight="true" outlineLevel="0" collapsed="false">
      <c r="A304" s="2"/>
      <c r="B304" s="19"/>
      <c r="C304" s="19"/>
      <c r="D304" s="2"/>
      <c r="E304" s="2"/>
      <c r="F304" s="2"/>
      <c r="G304" s="2"/>
      <c r="H304" s="2"/>
      <c r="I304" s="2"/>
      <c r="J304" s="2"/>
      <c r="K304" s="2"/>
      <c r="L304" s="19"/>
      <c r="M304" s="19"/>
      <c r="N304" s="2"/>
      <c r="O304" s="2"/>
      <c r="P304" s="2"/>
      <c r="Q304" s="2"/>
      <c r="R304" s="2"/>
      <c r="S304" s="2"/>
      <c r="T304" s="2"/>
      <c r="U304" s="2"/>
      <c r="V304" s="2"/>
      <c r="W304" s="2"/>
      <c r="X304" s="2"/>
      <c r="Y304" s="2"/>
      <c r="Z304" s="2"/>
    </row>
    <row r="305" customFormat="false" ht="12" hidden="false" customHeight="true" outlineLevel="0" collapsed="false">
      <c r="A305" s="2"/>
      <c r="B305" s="19"/>
      <c r="C305" s="19"/>
      <c r="D305" s="2"/>
      <c r="E305" s="2"/>
      <c r="F305" s="2"/>
      <c r="G305" s="2"/>
      <c r="H305" s="2"/>
      <c r="I305" s="2"/>
      <c r="J305" s="2"/>
      <c r="K305" s="2"/>
      <c r="L305" s="19"/>
      <c r="M305" s="19"/>
      <c r="N305" s="2"/>
      <c r="O305" s="2"/>
      <c r="P305" s="2"/>
      <c r="Q305" s="2"/>
      <c r="R305" s="2"/>
      <c r="S305" s="2"/>
      <c r="T305" s="2"/>
      <c r="U305" s="2"/>
      <c r="V305" s="2"/>
      <c r="W305" s="2"/>
      <c r="X305" s="2"/>
      <c r="Y305" s="2"/>
      <c r="Z305" s="2"/>
    </row>
    <row r="306" customFormat="false" ht="12" hidden="false" customHeight="true" outlineLevel="0" collapsed="false">
      <c r="A306" s="2"/>
      <c r="B306" s="19"/>
      <c r="C306" s="19"/>
      <c r="D306" s="2"/>
      <c r="E306" s="2"/>
      <c r="F306" s="2"/>
      <c r="G306" s="2"/>
      <c r="H306" s="2"/>
      <c r="I306" s="2"/>
      <c r="J306" s="2"/>
      <c r="K306" s="2"/>
      <c r="L306" s="19"/>
      <c r="M306" s="19"/>
      <c r="N306" s="2"/>
      <c r="O306" s="2"/>
      <c r="P306" s="2"/>
      <c r="Q306" s="2"/>
      <c r="R306" s="2"/>
      <c r="S306" s="2"/>
      <c r="T306" s="2"/>
      <c r="U306" s="2"/>
      <c r="V306" s="2"/>
      <c r="W306" s="2"/>
      <c r="X306" s="2"/>
      <c r="Y306" s="2"/>
      <c r="Z306" s="2"/>
    </row>
    <row r="307" customFormat="false" ht="12" hidden="false" customHeight="true" outlineLevel="0" collapsed="false">
      <c r="A307" s="2"/>
      <c r="B307" s="19"/>
      <c r="C307" s="19"/>
      <c r="D307" s="2"/>
      <c r="E307" s="2"/>
      <c r="F307" s="2"/>
      <c r="G307" s="2"/>
      <c r="H307" s="2"/>
      <c r="I307" s="2"/>
      <c r="J307" s="2"/>
      <c r="K307" s="2"/>
      <c r="L307" s="19"/>
      <c r="M307" s="19"/>
      <c r="N307" s="2"/>
      <c r="O307" s="2"/>
      <c r="P307" s="2"/>
      <c r="Q307" s="2"/>
      <c r="R307" s="2"/>
      <c r="S307" s="2"/>
      <c r="T307" s="2"/>
      <c r="U307" s="2"/>
      <c r="V307" s="2"/>
      <c r="W307" s="2"/>
      <c r="X307" s="2"/>
      <c r="Y307" s="2"/>
      <c r="Z307" s="2"/>
    </row>
    <row r="308" customFormat="false" ht="12" hidden="false" customHeight="true" outlineLevel="0" collapsed="false">
      <c r="A308" s="2"/>
      <c r="B308" s="19"/>
      <c r="C308" s="19"/>
      <c r="D308" s="2"/>
      <c r="E308" s="2"/>
      <c r="F308" s="2"/>
      <c r="G308" s="2"/>
      <c r="H308" s="2"/>
      <c r="I308" s="2"/>
      <c r="J308" s="2"/>
      <c r="K308" s="2"/>
      <c r="L308" s="19"/>
      <c r="M308" s="19"/>
      <c r="N308" s="2"/>
      <c r="O308" s="2"/>
      <c r="P308" s="2"/>
      <c r="Q308" s="2"/>
      <c r="R308" s="2"/>
      <c r="S308" s="2"/>
      <c r="T308" s="2"/>
      <c r="U308" s="2"/>
      <c r="V308" s="2"/>
      <c r="W308" s="2"/>
      <c r="X308" s="2"/>
      <c r="Y308" s="2"/>
      <c r="Z308" s="2"/>
    </row>
    <row r="309" customFormat="false" ht="12" hidden="false" customHeight="true" outlineLevel="0" collapsed="false">
      <c r="A309" s="2"/>
      <c r="B309" s="19"/>
      <c r="C309" s="19"/>
      <c r="D309" s="2"/>
      <c r="E309" s="2"/>
      <c r="F309" s="2"/>
      <c r="G309" s="2"/>
      <c r="H309" s="2"/>
      <c r="I309" s="2"/>
      <c r="J309" s="2"/>
      <c r="K309" s="2"/>
      <c r="L309" s="19"/>
      <c r="M309" s="19"/>
      <c r="N309" s="2"/>
      <c r="O309" s="2"/>
      <c r="P309" s="2"/>
      <c r="Q309" s="2"/>
      <c r="R309" s="2"/>
      <c r="S309" s="2"/>
      <c r="T309" s="2"/>
      <c r="U309" s="2"/>
      <c r="V309" s="2"/>
      <c r="W309" s="2"/>
      <c r="X309" s="2"/>
      <c r="Y309" s="2"/>
      <c r="Z309" s="2"/>
    </row>
    <row r="310" customFormat="false" ht="12" hidden="false" customHeight="true" outlineLevel="0" collapsed="false">
      <c r="A310" s="2"/>
      <c r="B310" s="19"/>
      <c r="C310" s="19"/>
      <c r="D310" s="2"/>
      <c r="E310" s="2"/>
      <c r="F310" s="2"/>
      <c r="G310" s="2"/>
      <c r="H310" s="2"/>
      <c r="I310" s="2"/>
      <c r="J310" s="2"/>
      <c r="K310" s="2"/>
      <c r="L310" s="19"/>
      <c r="M310" s="19"/>
      <c r="N310" s="2"/>
      <c r="O310" s="2"/>
      <c r="P310" s="2"/>
      <c r="Q310" s="2"/>
      <c r="R310" s="2"/>
      <c r="S310" s="2"/>
      <c r="T310" s="2"/>
      <c r="U310" s="2"/>
      <c r="V310" s="2"/>
      <c r="W310" s="2"/>
      <c r="X310" s="2"/>
      <c r="Y310" s="2"/>
      <c r="Z310" s="2"/>
    </row>
    <row r="311" customFormat="false" ht="12" hidden="false" customHeight="true" outlineLevel="0" collapsed="false">
      <c r="A311" s="2"/>
      <c r="B311" s="19"/>
      <c r="C311" s="19"/>
      <c r="D311" s="2"/>
      <c r="E311" s="2"/>
      <c r="F311" s="2"/>
      <c r="G311" s="2"/>
      <c r="H311" s="2"/>
      <c r="I311" s="2"/>
      <c r="J311" s="2"/>
      <c r="K311" s="2"/>
      <c r="L311" s="19"/>
      <c r="M311" s="19"/>
      <c r="N311" s="2"/>
      <c r="O311" s="2"/>
      <c r="P311" s="2"/>
      <c r="Q311" s="2"/>
      <c r="R311" s="2"/>
      <c r="S311" s="2"/>
      <c r="T311" s="2"/>
      <c r="U311" s="2"/>
      <c r="V311" s="2"/>
      <c r="W311" s="2"/>
      <c r="X311" s="2"/>
      <c r="Y311" s="2"/>
      <c r="Z311" s="2"/>
    </row>
    <row r="312" customFormat="false" ht="12" hidden="false" customHeight="true" outlineLevel="0" collapsed="false">
      <c r="A312" s="2"/>
      <c r="B312" s="19"/>
      <c r="C312" s="19"/>
      <c r="D312" s="2"/>
      <c r="E312" s="2"/>
      <c r="F312" s="2"/>
      <c r="G312" s="2"/>
      <c r="H312" s="2"/>
      <c r="I312" s="2"/>
      <c r="J312" s="2"/>
      <c r="K312" s="2"/>
      <c r="L312" s="19"/>
      <c r="M312" s="19"/>
      <c r="N312" s="2"/>
      <c r="O312" s="2"/>
      <c r="P312" s="2"/>
      <c r="Q312" s="2"/>
      <c r="R312" s="2"/>
      <c r="S312" s="2"/>
      <c r="T312" s="2"/>
      <c r="U312" s="2"/>
      <c r="V312" s="2"/>
      <c r="W312" s="2"/>
      <c r="X312" s="2"/>
      <c r="Y312" s="2"/>
      <c r="Z312" s="2"/>
    </row>
    <row r="313" customFormat="false" ht="12" hidden="false" customHeight="true" outlineLevel="0" collapsed="false">
      <c r="A313" s="2"/>
      <c r="B313" s="19"/>
      <c r="C313" s="19"/>
      <c r="D313" s="2"/>
      <c r="E313" s="2"/>
      <c r="F313" s="2"/>
      <c r="G313" s="2"/>
      <c r="H313" s="2"/>
      <c r="I313" s="2"/>
      <c r="J313" s="2"/>
      <c r="K313" s="2"/>
      <c r="L313" s="19"/>
      <c r="M313" s="19"/>
      <c r="N313" s="2"/>
      <c r="O313" s="2"/>
      <c r="P313" s="2"/>
      <c r="Q313" s="2"/>
      <c r="R313" s="2"/>
      <c r="S313" s="2"/>
      <c r="T313" s="2"/>
      <c r="U313" s="2"/>
      <c r="V313" s="2"/>
      <c r="W313" s="2"/>
      <c r="X313" s="2"/>
      <c r="Y313" s="2"/>
      <c r="Z313" s="2"/>
    </row>
    <row r="314" customFormat="false" ht="12" hidden="false" customHeight="true" outlineLevel="0" collapsed="false">
      <c r="A314" s="2"/>
      <c r="B314" s="19"/>
      <c r="C314" s="19"/>
      <c r="D314" s="2"/>
      <c r="E314" s="2"/>
      <c r="F314" s="2"/>
      <c r="G314" s="2"/>
      <c r="H314" s="2"/>
      <c r="I314" s="2"/>
      <c r="J314" s="2"/>
      <c r="K314" s="2"/>
      <c r="L314" s="19"/>
      <c r="M314" s="19"/>
      <c r="N314" s="2"/>
      <c r="O314" s="2"/>
      <c r="P314" s="2"/>
      <c r="Q314" s="2"/>
      <c r="R314" s="2"/>
      <c r="S314" s="2"/>
      <c r="T314" s="2"/>
      <c r="U314" s="2"/>
      <c r="V314" s="2"/>
      <c r="W314" s="2"/>
      <c r="X314" s="2"/>
      <c r="Y314" s="2"/>
      <c r="Z314" s="2"/>
    </row>
    <row r="315" customFormat="false" ht="12" hidden="false" customHeight="true" outlineLevel="0" collapsed="false">
      <c r="A315" s="2"/>
      <c r="B315" s="19"/>
      <c r="C315" s="19"/>
      <c r="D315" s="2"/>
      <c r="E315" s="2"/>
      <c r="F315" s="2"/>
      <c r="G315" s="2"/>
      <c r="H315" s="2"/>
      <c r="I315" s="2"/>
      <c r="J315" s="2"/>
      <c r="K315" s="2"/>
      <c r="L315" s="19"/>
      <c r="M315" s="19"/>
      <c r="N315" s="2"/>
      <c r="O315" s="2"/>
      <c r="P315" s="2"/>
      <c r="Q315" s="2"/>
      <c r="R315" s="2"/>
      <c r="S315" s="2"/>
      <c r="T315" s="2"/>
      <c r="U315" s="2"/>
      <c r="V315" s="2"/>
      <c r="W315" s="2"/>
      <c r="X315" s="2"/>
      <c r="Y315" s="2"/>
      <c r="Z315" s="2"/>
    </row>
    <row r="316" customFormat="false" ht="12" hidden="false" customHeight="true" outlineLevel="0" collapsed="false">
      <c r="A316" s="2"/>
      <c r="B316" s="19"/>
      <c r="C316" s="19"/>
      <c r="D316" s="2"/>
      <c r="E316" s="2"/>
      <c r="F316" s="2"/>
      <c r="G316" s="2"/>
      <c r="H316" s="2"/>
      <c r="I316" s="2"/>
      <c r="J316" s="2"/>
      <c r="K316" s="2"/>
      <c r="L316" s="19"/>
      <c r="M316" s="19"/>
      <c r="N316" s="2"/>
      <c r="O316" s="2"/>
      <c r="P316" s="2"/>
      <c r="Q316" s="2"/>
      <c r="R316" s="2"/>
      <c r="S316" s="2"/>
      <c r="T316" s="2"/>
      <c r="U316" s="2"/>
      <c r="V316" s="2"/>
      <c r="W316" s="2"/>
      <c r="X316" s="2"/>
      <c r="Y316" s="2"/>
      <c r="Z316" s="2"/>
    </row>
    <row r="317" customFormat="false" ht="12" hidden="false" customHeight="true" outlineLevel="0" collapsed="false">
      <c r="A317" s="2"/>
      <c r="B317" s="19"/>
      <c r="C317" s="19"/>
      <c r="D317" s="2"/>
      <c r="E317" s="2"/>
      <c r="F317" s="2"/>
      <c r="G317" s="2"/>
      <c r="H317" s="2"/>
      <c r="I317" s="2"/>
      <c r="J317" s="2"/>
      <c r="K317" s="2"/>
      <c r="L317" s="19"/>
      <c r="M317" s="19"/>
      <c r="N317" s="2"/>
      <c r="O317" s="2"/>
      <c r="P317" s="2"/>
      <c r="Q317" s="2"/>
      <c r="R317" s="2"/>
      <c r="S317" s="2"/>
      <c r="T317" s="2"/>
      <c r="U317" s="2"/>
      <c r="V317" s="2"/>
      <c r="W317" s="2"/>
      <c r="X317" s="2"/>
      <c r="Y317" s="2"/>
      <c r="Z317" s="2"/>
    </row>
    <row r="318" customFormat="false" ht="12" hidden="false" customHeight="true" outlineLevel="0" collapsed="false">
      <c r="A318" s="2"/>
      <c r="B318" s="19"/>
      <c r="C318" s="19"/>
      <c r="D318" s="2"/>
      <c r="E318" s="2"/>
      <c r="F318" s="2"/>
      <c r="G318" s="2"/>
      <c r="H318" s="2"/>
      <c r="I318" s="2"/>
      <c r="J318" s="2"/>
      <c r="K318" s="2"/>
      <c r="L318" s="19"/>
      <c r="M318" s="19"/>
      <c r="N318" s="2"/>
      <c r="O318" s="2"/>
      <c r="P318" s="2"/>
      <c r="Q318" s="2"/>
      <c r="R318" s="2"/>
      <c r="S318" s="2"/>
      <c r="T318" s="2"/>
      <c r="U318" s="2"/>
      <c r="V318" s="2"/>
      <c r="W318" s="2"/>
      <c r="X318" s="2"/>
      <c r="Y318" s="2"/>
      <c r="Z318" s="2"/>
    </row>
    <row r="319" customFormat="false" ht="12" hidden="false" customHeight="true" outlineLevel="0" collapsed="false">
      <c r="A319" s="2"/>
      <c r="B319" s="19"/>
      <c r="C319" s="19"/>
      <c r="D319" s="2"/>
      <c r="E319" s="2"/>
      <c r="F319" s="2"/>
      <c r="G319" s="2"/>
      <c r="H319" s="2"/>
      <c r="I319" s="2"/>
      <c r="J319" s="2"/>
      <c r="K319" s="2"/>
      <c r="L319" s="19"/>
      <c r="M319" s="19"/>
      <c r="N319" s="2"/>
      <c r="O319" s="2"/>
      <c r="P319" s="2"/>
      <c r="Q319" s="2"/>
      <c r="R319" s="2"/>
      <c r="S319" s="2"/>
      <c r="T319" s="2"/>
      <c r="U319" s="2"/>
      <c r="V319" s="2"/>
      <c r="W319" s="2"/>
      <c r="X319" s="2"/>
      <c r="Y319" s="2"/>
      <c r="Z319" s="2"/>
    </row>
    <row r="320" customFormat="false" ht="12" hidden="false" customHeight="true" outlineLevel="0" collapsed="false">
      <c r="A320" s="2"/>
      <c r="B320" s="19"/>
      <c r="C320" s="19"/>
      <c r="D320" s="2"/>
      <c r="E320" s="2"/>
      <c r="F320" s="2"/>
      <c r="G320" s="2"/>
      <c r="H320" s="2"/>
      <c r="I320" s="2"/>
      <c r="J320" s="2"/>
      <c r="K320" s="2"/>
      <c r="L320" s="19"/>
      <c r="M320" s="19"/>
      <c r="N320" s="2"/>
      <c r="O320" s="2"/>
      <c r="P320" s="2"/>
      <c r="Q320" s="2"/>
      <c r="R320" s="2"/>
      <c r="S320" s="2"/>
      <c r="T320" s="2"/>
      <c r="U320" s="2"/>
      <c r="V320" s="2"/>
      <c r="W320" s="2"/>
      <c r="X320" s="2"/>
      <c r="Y320" s="2"/>
      <c r="Z320" s="2"/>
    </row>
    <row r="321" customFormat="false" ht="12" hidden="false" customHeight="true" outlineLevel="0" collapsed="false">
      <c r="A321" s="2"/>
      <c r="B321" s="19"/>
      <c r="C321" s="19"/>
      <c r="D321" s="2"/>
      <c r="E321" s="2"/>
      <c r="F321" s="2"/>
      <c r="G321" s="2"/>
      <c r="H321" s="2"/>
      <c r="I321" s="2"/>
      <c r="J321" s="2"/>
      <c r="K321" s="2"/>
      <c r="L321" s="19"/>
      <c r="M321" s="19"/>
      <c r="N321" s="2"/>
      <c r="O321" s="2"/>
      <c r="P321" s="2"/>
      <c r="Q321" s="2"/>
      <c r="R321" s="2"/>
      <c r="S321" s="2"/>
      <c r="T321" s="2"/>
      <c r="U321" s="2"/>
      <c r="V321" s="2"/>
      <c r="W321" s="2"/>
      <c r="X321" s="2"/>
      <c r="Y321" s="2"/>
      <c r="Z321" s="2"/>
    </row>
    <row r="322" customFormat="false" ht="12" hidden="false" customHeight="true" outlineLevel="0" collapsed="false">
      <c r="A322" s="2"/>
      <c r="B322" s="19"/>
      <c r="C322" s="19"/>
      <c r="D322" s="2"/>
      <c r="E322" s="2"/>
      <c r="F322" s="2"/>
      <c r="G322" s="2"/>
      <c r="H322" s="2"/>
      <c r="I322" s="2"/>
      <c r="J322" s="2"/>
      <c r="K322" s="2"/>
      <c r="L322" s="19"/>
      <c r="M322" s="19"/>
      <c r="N322" s="2"/>
      <c r="O322" s="2"/>
      <c r="P322" s="2"/>
      <c r="Q322" s="2"/>
      <c r="R322" s="2"/>
      <c r="S322" s="2"/>
      <c r="T322" s="2"/>
      <c r="U322" s="2"/>
      <c r="V322" s="2"/>
      <c r="W322" s="2"/>
      <c r="X322" s="2"/>
      <c r="Y322" s="2"/>
      <c r="Z322" s="2"/>
    </row>
    <row r="323" customFormat="false" ht="12" hidden="false" customHeight="true" outlineLevel="0" collapsed="false">
      <c r="A323" s="2"/>
      <c r="B323" s="19"/>
      <c r="C323" s="19"/>
      <c r="D323" s="2"/>
      <c r="E323" s="2"/>
      <c r="F323" s="2"/>
      <c r="G323" s="2"/>
      <c r="H323" s="2"/>
      <c r="I323" s="2"/>
      <c r="J323" s="2"/>
      <c r="K323" s="2"/>
      <c r="L323" s="19"/>
      <c r="M323" s="19"/>
      <c r="N323" s="2"/>
      <c r="O323" s="2"/>
      <c r="P323" s="2"/>
      <c r="Q323" s="2"/>
      <c r="R323" s="2"/>
      <c r="S323" s="2"/>
      <c r="T323" s="2"/>
      <c r="U323" s="2"/>
      <c r="V323" s="2"/>
      <c r="W323" s="2"/>
      <c r="X323" s="2"/>
      <c r="Y323" s="2"/>
      <c r="Z323" s="2"/>
    </row>
    <row r="324" customFormat="false" ht="12" hidden="false" customHeight="true" outlineLevel="0" collapsed="false">
      <c r="A324" s="2"/>
      <c r="B324" s="19"/>
      <c r="C324" s="19"/>
      <c r="D324" s="2"/>
      <c r="E324" s="2"/>
      <c r="F324" s="2"/>
      <c r="G324" s="2"/>
      <c r="H324" s="2"/>
      <c r="I324" s="2"/>
      <c r="J324" s="2"/>
      <c r="K324" s="2"/>
      <c r="L324" s="19"/>
      <c r="M324" s="19"/>
      <c r="N324" s="2"/>
      <c r="O324" s="2"/>
      <c r="P324" s="2"/>
      <c r="Q324" s="2"/>
      <c r="R324" s="2"/>
      <c r="S324" s="2"/>
      <c r="T324" s="2"/>
      <c r="U324" s="2"/>
      <c r="V324" s="2"/>
      <c r="W324" s="2"/>
      <c r="X324" s="2"/>
      <c r="Y324" s="2"/>
      <c r="Z324" s="2"/>
    </row>
    <row r="325" customFormat="false" ht="12" hidden="false" customHeight="true" outlineLevel="0" collapsed="false">
      <c r="A325" s="2"/>
      <c r="B325" s="19"/>
      <c r="C325" s="19"/>
      <c r="D325" s="2"/>
      <c r="E325" s="2"/>
      <c r="F325" s="2"/>
      <c r="G325" s="2"/>
      <c r="H325" s="2"/>
      <c r="I325" s="2"/>
      <c r="J325" s="2"/>
      <c r="K325" s="2"/>
      <c r="L325" s="19"/>
      <c r="M325" s="19"/>
      <c r="N325" s="2"/>
      <c r="O325" s="2"/>
      <c r="P325" s="2"/>
      <c r="Q325" s="2"/>
      <c r="R325" s="2"/>
      <c r="S325" s="2"/>
      <c r="T325" s="2"/>
      <c r="U325" s="2"/>
      <c r="V325" s="2"/>
      <c r="W325" s="2"/>
      <c r="X325" s="2"/>
      <c r="Y325" s="2"/>
      <c r="Z325" s="2"/>
    </row>
    <row r="326" customFormat="false" ht="12" hidden="false" customHeight="true" outlineLevel="0" collapsed="false">
      <c r="A326" s="2"/>
      <c r="B326" s="19"/>
      <c r="C326" s="19"/>
      <c r="D326" s="2"/>
      <c r="E326" s="2"/>
      <c r="F326" s="2"/>
      <c r="G326" s="2"/>
      <c r="H326" s="2"/>
      <c r="I326" s="2"/>
      <c r="J326" s="2"/>
      <c r="K326" s="2"/>
      <c r="L326" s="19"/>
      <c r="M326" s="19"/>
      <c r="N326" s="2"/>
      <c r="O326" s="2"/>
      <c r="P326" s="2"/>
      <c r="Q326" s="2"/>
      <c r="R326" s="2"/>
      <c r="S326" s="2"/>
      <c r="T326" s="2"/>
      <c r="U326" s="2"/>
      <c r="V326" s="2"/>
      <c r="W326" s="2"/>
      <c r="X326" s="2"/>
      <c r="Y326" s="2"/>
      <c r="Z326" s="2"/>
    </row>
    <row r="327" customFormat="false" ht="12" hidden="false" customHeight="true" outlineLevel="0" collapsed="false">
      <c r="A327" s="2"/>
      <c r="B327" s="19"/>
      <c r="C327" s="19"/>
      <c r="D327" s="2"/>
      <c r="E327" s="2"/>
      <c r="F327" s="2"/>
      <c r="G327" s="2"/>
      <c r="H327" s="2"/>
      <c r="I327" s="2"/>
      <c r="J327" s="2"/>
      <c r="K327" s="2"/>
      <c r="L327" s="19"/>
      <c r="M327" s="19"/>
      <c r="N327" s="2"/>
      <c r="O327" s="2"/>
      <c r="P327" s="2"/>
      <c r="Q327" s="2"/>
      <c r="R327" s="2"/>
      <c r="S327" s="2"/>
      <c r="T327" s="2"/>
      <c r="U327" s="2"/>
      <c r="V327" s="2"/>
      <c r="W327" s="2"/>
      <c r="X327" s="2"/>
      <c r="Y327" s="2"/>
      <c r="Z327" s="2"/>
    </row>
    <row r="328" customFormat="false" ht="12" hidden="false" customHeight="true" outlineLevel="0" collapsed="false">
      <c r="A328" s="2"/>
      <c r="B328" s="19"/>
      <c r="C328" s="19"/>
      <c r="D328" s="2"/>
      <c r="E328" s="2"/>
      <c r="F328" s="2"/>
      <c r="G328" s="2"/>
      <c r="H328" s="2"/>
      <c r="I328" s="2"/>
      <c r="J328" s="2"/>
      <c r="K328" s="2"/>
      <c r="L328" s="19"/>
      <c r="M328" s="19"/>
      <c r="N328" s="2"/>
      <c r="O328" s="2"/>
      <c r="P328" s="2"/>
      <c r="Q328" s="2"/>
      <c r="R328" s="2"/>
      <c r="S328" s="2"/>
      <c r="T328" s="2"/>
      <c r="U328" s="2"/>
      <c r="V328" s="2"/>
      <c r="W328" s="2"/>
      <c r="X328" s="2"/>
      <c r="Y328" s="2"/>
      <c r="Z328" s="2"/>
    </row>
    <row r="329" customFormat="false" ht="12" hidden="false" customHeight="true" outlineLevel="0" collapsed="false">
      <c r="A329" s="2"/>
      <c r="B329" s="19"/>
      <c r="C329" s="19"/>
      <c r="D329" s="2"/>
      <c r="E329" s="2"/>
      <c r="F329" s="2"/>
      <c r="G329" s="2"/>
      <c r="H329" s="2"/>
      <c r="I329" s="2"/>
      <c r="J329" s="2"/>
      <c r="K329" s="2"/>
      <c r="L329" s="19"/>
      <c r="M329" s="19"/>
      <c r="N329" s="2"/>
      <c r="O329" s="2"/>
      <c r="P329" s="2"/>
      <c r="Q329" s="2"/>
      <c r="R329" s="2"/>
      <c r="S329" s="2"/>
      <c r="T329" s="2"/>
      <c r="U329" s="2"/>
      <c r="V329" s="2"/>
      <c r="W329" s="2"/>
      <c r="X329" s="2"/>
      <c r="Y329" s="2"/>
      <c r="Z329" s="2"/>
    </row>
    <row r="330" customFormat="false" ht="12" hidden="false" customHeight="true" outlineLevel="0" collapsed="false">
      <c r="A330" s="2"/>
      <c r="B330" s="19"/>
      <c r="C330" s="19"/>
      <c r="D330" s="2"/>
      <c r="E330" s="2"/>
      <c r="F330" s="2"/>
      <c r="G330" s="2"/>
      <c r="H330" s="2"/>
      <c r="I330" s="2"/>
      <c r="J330" s="2"/>
      <c r="K330" s="2"/>
      <c r="L330" s="19"/>
      <c r="M330" s="19"/>
      <c r="N330" s="2"/>
      <c r="O330" s="2"/>
      <c r="P330" s="2"/>
      <c r="Q330" s="2"/>
      <c r="R330" s="2"/>
      <c r="S330" s="2"/>
      <c r="T330" s="2"/>
      <c r="U330" s="2"/>
      <c r="V330" s="2"/>
      <c r="W330" s="2"/>
      <c r="X330" s="2"/>
      <c r="Y330" s="2"/>
      <c r="Z330" s="2"/>
    </row>
    <row r="331" customFormat="false" ht="12" hidden="false" customHeight="true" outlineLevel="0" collapsed="false">
      <c r="A331" s="2"/>
      <c r="B331" s="19"/>
      <c r="C331" s="19"/>
      <c r="D331" s="2"/>
      <c r="E331" s="2"/>
      <c r="F331" s="2"/>
      <c r="G331" s="2"/>
      <c r="H331" s="2"/>
      <c r="I331" s="2"/>
      <c r="J331" s="2"/>
      <c r="K331" s="2"/>
      <c r="L331" s="19"/>
      <c r="M331" s="19"/>
      <c r="N331" s="2"/>
      <c r="O331" s="2"/>
      <c r="P331" s="2"/>
      <c r="Q331" s="2"/>
      <c r="R331" s="2"/>
      <c r="S331" s="2"/>
      <c r="T331" s="2"/>
      <c r="U331" s="2"/>
      <c r="V331" s="2"/>
      <c r="W331" s="2"/>
      <c r="X331" s="2"/>
      <c r="Y331" s="2"/>
      <c r="Z331" s="2"/>
    </row>
    <row r="332" customFormat="false" ht="12" hidden="false" customHeight="true" outlineLevel="0" collapsed="false">
      <c r="A332" s="2"/>
      <c r="B332" s="19"/>
      <c r="C332" s="19"/>
      <c r="D332" s="2"/>
      <c r="E332" s="2"/>
      <c r="F332" s="2"/>
      <c r="G332" s="2"/>
      <c r="H332" s="2"/>
      <c r="I332" s="2"/>
      <c r="J332" s="2"/>
      <c r="K332" s="2"/>
      <c r="L332" s="19"/>
      <c r="M332" s="19"/>
      <c r="N332" s="2"/>
      <c r="O332" s="2"/>
      <c r="P332" s="2"/>
      <c r="Q332" s="2"/>
      <c r="R332" s="2"/>
      <c r="S332" s="2"/>
      <c r="T332" s="2"/>
      <c r="U332" s="2"/>
      <c r="V332" s="2"/>
      <c r="W332" s="2"/>
      <c r="X332" s="2"/>
      <c r="Y332" s="2"/>
      <c r="Z332" s="2"/>
    </row>
    <row r="333" customFormat="false" ht="12" hidden="false" customHeight="true" outlineLevel="0" collapsed="false">
      <c r="A333" s="2"/>
      <c r="B333" s="19"/>
      <c r="C333" s="19"/>
      <c r="D333" s="2"/>
      <c r="E333" s="2"/>
      <c r="F333" s="2"/>
      <c r="G333" s="2"/>
      <c r="H333" s="2"/>
      <c r="I333" s="2"/>
      <c r="J333" s="2"/>
      <c r="K333" s="2"/>
      <c r="L333" s="19"/>
      <c r="M333" s="19"/>
      <c r="N333" s="2"/>
      <c r="O333" s="2"/>
      <c r="P333" s="2"/>
      <c r="Q333" s="2"/>
      <c r="R333" s="2"/>
      <c r="S333" s="2"/>
      <c r="T333" s="2"/>
      <c r="U333" s="2"/>
      <c r="V333" s="2"/>
      <c r="W333" s="2"/>
      <c r="X333" s="2"/>
      <c r="Y333" s="2"/>
      <c r="Z333" s="2"/>
    </row>
    <row r="334" customFormat="false" ht="12" hidden="false" customHeight="true" outlineLevel="0" collapsed="false">
      <c r="A334" s="2"/>
      <c r="B334" s="19"/>
      <c r="C334" s="19"/>
      <c r="D334" s="2"/>
      <c r="E334" s="2"/>
      <c r="F334" s="2"/>
      <c r="G334" s="2"/>
      <c r="H334" s="2"/>
      <c r="I334" s="2"/>
      <c r="J334" s="2"/>
      <c r="K334" s="2"/>
      <c r="L334" s="19"/>
      <c r="M334" s="19"/>
      <c r="N334" s="2"/>
      <c r="O334" s="2"/>
      <c r="P334" s="2"/>
      <c r="Q334" s="2"/>
      <c r="R334" s="2"/>
      <c r="S334" s="2"/>
      <c r="T334" s="2"/>
      <c r="U334" s="2"/>
      <c r="V334" s="2"/>
      <c r="W334" s="2"/>
      <c r="X334" s="2"/>
      <c r="Y334" s="2"/>
      <c r="Z334" s="2"/>
    </row>
    <row r="335" customFormat="false" ht="12" hidden="false" customHeight="true" outlineLevel="0" collapsed="false">
      <c r="A335" s="2"/>
      <c r="B335" s="19"/>
      <c r="C335" s="19"/>
      <c r="D335" s="2"/>
      <c r="E335" s="2"/>
      <c r="F335" s="2"/>
      <c r="G335" s="2"/>
      <c r="H335" s="2"/>
      <c r="I335" s="2"/>
      <c r="J335" s="2"/>
      <c r="K335" s="2"/>
      <c r="L335" s="19"/>
      <c r="M335" s="19"/>
      <c r="N335" s="2"/>
      <c r="O335" s="2"/>
      <c r="P335" s="2"/>
      <c r="Q335" s="2"/>
      <c r="R335" s="2"/>
      <c r="S335" s="2"/>
      <c r="T335" s="2"/>
      <c r="U335" s="2"/>
      <c r="V335" s="2"/>
      <c r="W335" s="2"/>
      <c r="X335" s="2"/>
      <c r="Y335" s="2"/>
      <c r="Z335" s="2"/>
    </row>
    <row r="336" customFormat="false" ht="12" hidden="false" customHeight="true" outlineLevel="0" collapsed="false">
      <c r="A336" s="2"/>
      <c r="B336" s="19"/>
      <c r="C336" s="19"/>
      <c r="D336" s="2"/>
      <c r="E336" s="2"/>
      <c r="F336" s="2"/>
      <c r="G336" s="2"/>
      <c r="H336" s="2"/>
      <c r="I336" s="2"/>
      <c r="J336" s="2"/>
      <c r="K336" s="2"/>
      <c r="L336" s="19"/>
      <c r="M336" s="19"/>
      <c r="N336" s="2"/>
      <c r="O336" s="2"/>
      <c r="P336" s="2"/>
      <c r="Q336" s="2"/>
      <c r="R336" s="2"/>
      <c r="S336" s="2"/>
      <c r="T336" s="2"/>
      <c r="U336" s="2"/>
      <c r="V336" s="2"/>
      <c r="W336" s="2"/>
      <c r="X336" s="2"/>
      <c r="Y336" s="2"/>
      <c r="Z336" s="2"/>
    </row>
    <row r="337" customFormat="false" ht="12" hidden="false" customHeight="true" outlineLevel="0" collapsed="false">
      <c r="A337" s="2"/>
      <c r="B337" s="19"/>
      <c r="C337" s="19"/>
      <c r="D337" s="2"/>
      <c r="E337" s="2"/>
      <c r="F337" s="2"/>
      <c r="G337" s="2"/>
      <c r="H337" s="2"/>
      <c r="I337" s="2"/>
      <c r="J337" s="2"/>
      <c r="K337" s="2"/>
      <c r="L337" s="19"/>
      <c r="M337" s="19"/>
      <c r="N337" s="2"/>
      <c r="O337" s="2"/>
      <c r="P337" s="2"/>
      <c r="Q337" s="2"/>
      <c r="R337" s="2"/>
      <c r="S337" s="2"/>
      <c r="T337" s="2"/>
      <c r="U337" s="2"/>
      <c r="V337" s="2"/>
      <c r="W337" s="2"/>
      <c r="X337" s="2"/>
      <c r="Y337" s="2"/>
      <c r="Z337" s="2"/>
    </row>
    <row r="338" customFormat="false" ht="12" hidden="false" customHeight="true" outlineLevel="0" collapsed="false">
      <c r="A338" s="2"/>
      <c r="B338" s="19"/>
      <c r="C338" s="19"/>
      <c r="D338" s="2"/>
      <c r="E338" s="2"/>
      <c r="F338" s="2"/>
      <c r="G338" s="2"/>
      <c r="H338" s="2"/>
      <c r="I338" s="2"/>
      <c r="J338" s="2"/>
      <c r="K338" s="2"/>
      <c r="L338" s="19"/>
      <c r="M338" s="19"/>
      <c r="N338" s="2"/>
      <c r="O338" s="2"/>
      <c r="P338" s="2"/>
      <c r="Q338" s="2"/>
      <c r="R338" s="2"/>
      <c r="S338" s="2"/>
      <c r="T338" s="2"/>
      <c r="U338" s="2"/>
      <c r="V338" s="2"/>
      <c r="W338" s="2"/>
      <c r="X338" s="2"/>
      <c r="Y338" s="2"/>
      <c r="Z338" s="2"/>
    </row>
    <row r="339" customFormat="false" ht="12" hidden="false" customHeight="true" outlineLevel="0" collapsed="false">
      <c r="A339" s="2"/>
      <c r="B339" s="19"/>
      <c r="C339" s="19"/>
      <c r="D339" s="2"/>
      <c r="E339" s="2"/>
      <c r="F339" s="2"/>
      <c r="G339" s="2"/>
      <c r="H339" s="2"/>
      <c r="I339" s="2"/>
      <c r="J339" s="2"/>
      <c r="K339" s="2"/>
      <c r="L339" s="19"/>
      <c r="M339" s="19"/>
      <c r="N339" s="2"/>
      <c r="O339" s="2"/>
      <c r="P339" s="2"/>
      <c r="Q339" s="2"/>
      <c r="R339" s="2"/>
      <c r="S339" s="2"/>
      <c r="T339" s="2"/>
      <c r="U339" s="2"/>
      <c r="V339" s="2"/>
      <c r="W339" s="2"/>
      <c r="X339" s="2"/>
      <c r="Y339" s="2"/>
      <c r="Z339" s="2"/>
    </row>
    <row r="340" customFormat="false" ht="12" hidden="false" customHeight="true" outlineLevel="0" collapsed="false">
      <c r="A340" s="2"/>
      <c r="B340" s="19"/>
      <c r="C340" s="19"/>
      <c r="D340" s="2"/>
      <c r="E340" s="2"/>
      <c r="F340" s="2"/>
      <c r="G340" s="2"/>
      <c r="H340" s="2"/>
      <c r="I340" s="2"/>
      <c r="J340" s="2"/>
      <c r="K340" s="2"/>
      <c r="L340" s="19"/>
      <c r="M340" s="19"/>
      <c r="N340" s="2"/>
      <c r="O340" s="2"/>
      <c r="P340" s="2"/>
      <c r="Q340" s="2"/>
      <c r="R340" s="2"/>
      <c r="S340" s="2"/>
      <c r="T340" s="2"/>
      <c r="U340" s="2"/>
      <c r="V340" s="2"/>
      <c r="W340" s="2"/>
      <c r="X340" s="2"/>
      <c r="Y340" s="2"/>
      <c r="Z340" s="2"/>
    </row>
    <row r="341" customFormat="false" ht="12" hidden="false" customHeight="true" outlineLevel="0" collapsed="false">
      <c r="A341" s="2"/>
      <c r="B341" s="19"/>
      <c r="C341" s="19"/>
      <c r="D341" s="2"/>
      <c r="E341" s="2"/>
      <c r="F341" s="2"/>
      <c r="G341" s="2"/>
      <c r="H341" s="2"/>
      <c r="I341" s="2"/>
      <c r="J341" s="2"/>
      <c r="K341" s="2"/>
      <c r="L341" s="19"/>
      <c r="M341" s="19"/>
      <c r="N341" s="2"/>
      <c r="O341" s="2"/>
      <c r="P341" s="2"/>
      <c r="Q341" s="2"/>
      <c r="R341" s="2"/>
      <c r="S341" s="2"/>
      <c r="T341" s="2"/>
      <c r="U341" s="2"/>
      <c r="V341" s="2"/>
      <c r="W341" s="2"/>
      <c r="X341" s="2"/>
      <c r="Y341" s="2"/>
      <c r="Z341" s="2"/>
    </row>
    <row r="342" customFormat="false" ht="12" hidden="false" customHeight="true" outlineLevel="0" collapsed="false">
      <c r="A342" s="2"/>
      <c r="B342" s="19"/>
      <c r="C342" s="19"/>
      <c r="D342" s="2"/>
      <c r="E342" s="2"/>
      <c r="F342" s="2"/>
      <c r="G342" s="2"/>
      <c r="H342" s="2"/>
      <c r="I342" s="2"/>
      <c r="J342" s="2"/>
      <c r="K342" s="2"/>
      <c r="L342" s="19"/>
      <c r="M342" s="19"/>
      <c r="N342" s="2"/>
      <c r="O342" s="2"/>
      <c r="P342" s="2"/>
      <c r="Q342" s="2"/>
      <c r="R342" s="2"/>
      <c r="S342" s="2"/>
      <c r="T342" s="2"/>
      <c r="U342" s="2"/>
      <c r="V342" s="2"/>
      <c r="W342" s="2"/>
      <c r="X342" s="2"/>
      <c r="Y342" s="2"/>
      <c r="Z342" s="2"/>
    </row>
    <row r="343" customFormat="false" ht="12" hidden="false" customHeight="true" outlineLevel="0" collapsed="false">
      <c r="A343" s="2"/>
      <c r="B343" s="19"/>
      <c r="C343" s="19"/>
      <c r="D343" s="2"/>
      <c r="E343" s="2"/>
      <c r="F343" s="2"/>
      <c r="G343" s="2"/>
      <c r="H343" s="2"/>
      <c r="I343" s="2"/>
      <c r="J343" s="2"/>
      <c r="K343" s="2"/>
      <c r="L343" s="19"/>
      <c r="M343" s="19"/>
      <c r="N343" s="2"/>
      <c r="O343" s="2"/>
      <c r="P343" s="2"/>
      <c r="Q343" s="2"/>
      <c r="R343" s="2"/>
      <c r="S343" s="2"/>
      <c r="T343" s="2"/>
      <c r="U343" s="2"/>
      <c r="V343" s="2"/>
      <c r="W343" s="2"/>
      <c r="X343" s="2"/>
      <c r="Y343" s="2"/>
      <c r="Z343" s="2"/>
    </row>
    <row r="344" customFormat="false" ht="12" hidden="false" customHeight="true" outlineLevel="0" collapsed="false">
      <c r="A344" s="2"/>
      <c r="B344" s="19"/>
      <c r="C344" s="19"/>
      <c r="D344" s="2"/>
      <c r="E344" s="2"/>
      <c r="F344" s="2"/>
      <c r="G344" s="2"/>
      <c r="H344" s="2"/>
      <c r="I344" s="2"/>
      <c r="J344" s="2"/>
      <c r="K344" s="2"/>
      <c r="L344" s="19"/>
      <c r="M344" s="19"/>
      <c r="N344" s="2"/>
      <c r="O344" s="2"/>
      <c r="P344" s="2"/>
      <c r="Q344" s="2"/>
      <c r="R344" s="2"/>
      <c r="S344" s="2"/>
      <c r="T344" s="2"/>
      <c r="U344" s="2"/>
      <c r="V344" s="2"/>
      <c r="W344" s="2"/>
      <c r="X344" s="2"/>
      <c r="Y344" s="2"/>
      <c r="Z344" s="2"/>
    </row>
    <row r="345" customFormat="false" ht="12" hidden="false" customHeight="true" outlineLevel="0" collapsed="false">
      <c r="A345" s="2"/>
      <c r="B345" s="19"/>
      <c r="C345" s="19"/>
      <c r="D345" s="2"/>
      <c r="E345" s="2"/>
      <c r="F345" s="2"/>
      <c r="G345" s="2"/>
      <c r="H345" s="2"/>
      <c r="I345" s="2"/>
      <c r="J345" s="2"/>
      <c r="K345" s="2"/>
      <c r="L345" s="19"/>
      <c r="M345" s="19"/>
      <c r="N345" s="2"/>
      <c r="O345" s="2"/>
      <c r="P345" s="2"/>
      <c r="Q345" s="2"/>
      <c r="R345" s="2"/>
      <c r="S345" s="2"/>
      <c r="T345" s="2"/>
      <c r="U345" s="2"/>
      <c r="V345" s="2"/>
      <c r="W345" s="2"/>
      <c r="X345" s="2"/>
      <c r="Y345" s="2"/>
      <c r="Z345" s="2"/>
    </row>
    <row r="346" customFormat="false" ht="12" hidden="false" customHeight="true" outlineLevel="0" collapsed="false">
      <c r="A346" s="2"/>
      <c r="B346" s="19"/>
      <c r="C346" s="19"/>
      <c r="D346" s="2"/>
      <c r="E346" s="2"/>
      <c r="F346" s="2"/>
      <c r="G346" s="2"/>
      <c r="H346" s="2"/>
      <c r="I346" s="2"/>
      <c r="J346" s="2"/>
      <c r="K346" s="2"/>
      <c r="L346" s="19"/>
      <c r="M346" s="19"/>
      <c r="N346" s="2"/>
      <c r="O346" s="2"/>
      <c r="P346" s="2"/>
      <c r="Q346" s="2"/>
      <c r="R346" s="2"/>
      <c r="S346" s="2"/>
      <c r="T346" s="2"/>
      <c r="U346" s="2"/>
      <c r="V346" s="2"/>
      <c r="W346" s="2"/>
      <c r="X346" s="2"/>
      <c r="Y346" s="2"/>
      <c r="Z346" s="2"/>
    </row>
    <row r="347" customFormat="false" ht="12" hidden="false" customHeight="true" outlineLevel="0" collapsed="false">
      <c r="A347" s="2"/>
      <c r="B347" s="19"/>
      <c r="C347" s="19"/>
      <c r="D347" s="2"/>
      <c r="E347" s="2"/>
      <c r="F347" s="2"/>
      <c r="G347" s="2"/>
      <c r="H347" s="2"/>
      <c r="I347" s="2"/>
      <c r="J347" s="2"/>
      <c r="K347" s="2"/>
      <c r="L347" s="19"/>
      <c r="M347" s="19"/>
      <c r="N347" s="2"/>
      <c r="O347" s="2"/>
      <c r="P347" s="2"/>
      <c r="Q347" s="2"/>
      <c r="R347" s="2"/>
      <c r="S347" s="2"/>
      <c r="T347" s="2"/>
      <c r="U347" s="2"/>
      <c r="V347" s="2"/>
      <c r="W347" s="2"/>
      <c r="X347" s="2"/>
      <c r="Y347" s="2"/>
      <c r="Z347" s="2"/>
    </row>
    <row r="348" customFormat="false" ht="12" hidden="false" customHeight="true" outlineLevel="0" collapsed="false">
      <c r="A348" s="2"/>
      <c r="B348" s="19"/>
      <c r="C348" s="19"/>
      <c r="D348" s="2"/>
      <c r="E348" s="2"/>
      <c r="F348" s="2"/>
      <c r="G348" s="2"/>
      <c r="H348" s="2"/>
      <c r="I348" s="2"/>
      <c r="J348" s="2"/>
      <c r="K348" s="2"/>
      <c r="L348" s="19"/>
      <c r="M348" s="19"/>
      <c r="N348" s="2"/>
      <c r="O348" s="2"/>
      <c r="P348" s="2"/>
      <c r="Q348" s="2"/>
      <c r="R348" s="2"/>
      <c r="S348" s="2"/>
      <c r="T348" s="2"/>
      <c r="U348" s="2"/>
      <c r="V348" s="2"/>
      <c r="W348" s="2"/>
      <c r="X348" s="2"/>
      <c r="Y348" s="2"/>
      <c r="Z348" s="2"/>
    </row>
    <row r="349" customFormat="false" ht="12" hidden="false" customHeight="true" outlineLevel="0" collapsed="false">
      <c r="A349" s="2"/>
      <c r="B349" s="19"/>
      <c r="C349" s="19"/>
      <c r="D349" s="2"/>
      <c r="E349" s="2"/>
      <c r="F349" s="2"/>
      <c r="G349" s="2"/>
      <c r="H349" s="2"/>
      <c r="I349" s="2"/>
      <c r="J349" s="2"/>
      <c r="K349" s="2"/>
      <c r="L349" s="19"/>
      <c r="M349" s="19"/>
      <c r="N349" s="2"/>
      <c r="O349" s="2"/>
      <c r="P349" s="2"/>
      <c r="Q349" s="2"/>
      <c r="R349" s="2"/>
      <c r="S349" s="2"/>
      <c r="T349" s="2"/>
      <c r="U349" s="2"/>
      <c r="V349" s="2"/>
      <c r="W349" s="2"/>
      <c r="X349" s="2"/>
      <c r="Y349" s="2"/>
      <c r="Z349" s="2"/>
    </row>
    <row r="350" customFormat="false" ht="12" hidden="false" customHeight="true" outlineLevel="0" collapsed="false">
      <c r="A350" s="2"/>
      <c r="B350" s="19"/>
      <c r="C350" s="19"/>
      <c r="D350" s="2"/>
      <c r="E350" s="2"/>
      <c r="F350" s="2"/>
      <c r="G350" s="2"/>
      <c r="H350" s="2"/>
      <c r="I350" s="2"/>
      <c r="J350" s="2"/>
      <c r="K350" s="2"/>
      <c r="L350" s="19"/>
      <c r="M350" s="19"/>
      <c r="N350" s="2"/>
      <c r="O350" s="2"/>
      <c r="P350" s="2"/>
      <c r="Q350" s="2"/>
      <c r="R350" s="2"/>
      <c r="S350" s="2"/>
      <c r="T350" s="2"/>
      <c r="U350" s="2"/>
      <c r="V350" s="2"/>
      <c r="W350" s="2"/>
      <c r="X350" s="2"/>
      <c r="Y350" s="2"/>
      <c r="Z350" s="2"/>
    </row>
    <row r="351" customFormat="false" ht="12" hidden="false" customHeight="true" outlineLevel="0" collapsed="false">
      <c r="A351" s="2"/>
      <c r="B351" s="19"/>
      <c r="C351" s="19"/>
      <c r="D351" s="2"/>
      <c r="E351" s="2"/>
      <c r="F351" s="2"/>
      <c r="G351" s="2"/>
      <c r="H351" s="2"/>
      <c r="I351" s="2"/>
      <c r="J351" s="2"/>
      <c r="K351" s="2"/>
      <c r="L351" s="19"/>
      <c r="M351" s="19"/>
      <c r="N351" s="2"/>
      <c r="O351" s="2"/>
      <c r="P351" s="2"/>
      <c r="Q351" s="2"/>
      <c r="R351" s="2"/>
      <c r="S351" s="2"/>
      <c r="T351" s="2"/>
      <c r="U351" s="2"/>
      <c r="V351" s="2"/>
      <c r="W351" s="2"/>
      <c r="X351" s="2"/>
      <c r="Y351" s="2"/>
      <c r="Z351" s="2"/>
    </row>
    <row r="352" customFormat="false" ht="12" hidden="false" customHeight="true" outlineLevel="0" collapsed="false">
      <c r="A352" s="2"/>
      <c r="B352" s="19"/>
      <c r="C352" s="19"/>
      <c r="D352" s="2"/>
      <c r="E352" s="2"/>
      <c r="F352" s="2"/>
      <c r="G352" s="2"/>
      <c r="H352" s="2"/>
      <c r="I352" s="2"/>
      <c r="J352" s="2"/>
      <c r="K352" s="2"/>
      <c r="L352" s="19"/>
      <c r="M352" s="19"/>
      <c r="N352" s="2"/>
      <c r="O352" s="2"/>
      <c r="P352" s="2"/>
      <c r="Q352" s="2"/>
      <c r="R352" s="2"/>
      <c r="S352" s="2"/>
      <c r="T352" s="2"/>
      <c r="U352" s="2"/>
      <c r="V352" s="2"/>
      <c r="W352" s="2"/>
      <c r="X352" s="2"/>
      <c r="Y352" s="2"/>
      <c r="Z352" s="2"/>
    </row>
    <row r="353" customFormat="false" ht="12" hidden="false" customHeight="true" outlineLevel="0" collapsed="false">
      <c r="A353" s="2"/>
      <c r="B353" s="19"/>
      <c r="C353" s="19"/>
      <c r="D353" s="2"/>
      <c r="E353" s="2"/>
      <c r="F353" s="2"/>
      <c r="G353" s="2"/>
      <c r="H353" s="2"/>
      <c r="I353" s="2"/>
      <c r="J353" s="2"/>
      <c r="K353" s="2"/>
      <c r="L353" s="19"/>
      <c r="M353" s="19"/>
      <c r="N353" s="2"/>
      <c r="O353" s="2"/>
      <c r="P353" s="2"/>
      <c r="Q353" s="2"/>
      <c r="R353" s="2"/>
      <c r="S353" s="2"/>
      <c r="T353" s="2"/>
      <c r="U353" s="2"/>
      <c r="V353" s="2"/>
      <c r="W353" s="2"/>
      <c r="X353" s="2"/>
      <c r="Y353" s="2"/>
      <c r="Z353" s="2"/>
    </row>
    <row r="354" customFormat="false" ht="12" hidden="false" customHeight="true" outlineLevel="0" collapsed="false">
      <c r="A354" s="2"/>
      <c r="B354" s="19"/>
      <c r="C354" s="19"/>
      <c r="D354" s="2"/>
      <c r="E354" s="2"/>
      <c r="F354" s="2"/>
      <c r="G354" s="2"/>
      <c r="H354" s="2"/>
      <c r="I354" s="2"/>
      <c r="J354" s="2"/>
      <c r="K354" s="2"/>
      <c r="L354" s="19"/>
      <c r="M354" s="19"/>
      <c r="N354" s="2"/>
      <c r="O354" s="2"/>
      <c r="P354" s="2"/>
      <c r="Q354" s="2"/>
      <c r="R354" s="2"/>
      <c r="S354" s="2"/>
      <c r="T354" s="2"/>
      <c r="U354" s="2"/>
      <c r="V354" s="2"/>
      <c r="W354" s="2"/>
      <c r="X354" s="2"/>
      <c r="Y354" s="2"/>
      <c r="Z354" s="2"/>
    </row>
    <row r="355" customFormat="false" ht="12" hidden="false" customHeight="true" outlineLevel="0" collapsed="false">
      <c r="A355" s="2"/>
      <c r="B355" s="19"/>
      <c r="C355" s="19"/>
      <c r="D355" s="2"/>
      <c r="E355" s="2"/>
      <c r="F355" s="2"/>
      <c r="G355" s="2"/>
      <c r="H355" s="2"/>
      <c r="I355" s="2"/>
      <c r="J355" s="2"/>
      <c r="K355" s="2"/>
      <c r="L355" s="19"/>
      <c r="M355" s="19"/>
      <c r="N355" s="2"/>
      <c r="O355" s="2"/>
      <c r="P355" s="2"/>
      <c r="Q355" s="2"/>
      <c r="R355" s="2"/>
      <c r="S355" s="2"/>
      <c r="T355" s="2"/>
      <c r="U355" s="2"/>
      <c r="V355" s="2"/>
      <c r="W355" s="2"/>
      <c r="X355" s="2"/>
      <c r="Y355" s="2"/>
      <c r="Z355" s="2"/>
    </row>
    <row r="356" customFormat="false" ht="12" hidden="false" customHeight="true" outlineLevel="0" collapsed="false">
      <c r="A356" s="2"/>
      <c r="B356" s="19"/>
      <c r="C356" s="19"/>
      <c r="D356" s="2"/>
      <c r="E356" s="2"/>
      <c r="F356" s="2"/>
      <c r="G356" s="2"/>
      <c r="H356" s="2"/>
      <c r="I356" s="2"/>
      <c r="J356" s="2"/>
      <c r="K356" s="2"/>
      <c r="L356" s="19"/>
      <c r="M356" s="19"/>
      <c r="N356" s="2"/>
      <c r="O356" s="2"/>
      <c r="P356" s="2"/>
      <c r="Q356" s="2"/>
      <c r="R356" s="2"/>
      <c r="S356" s="2"/>
      <c r="T356" s="2"/>
      <c r="U356" s="2"/>
      <c r="V356" s="2"/>
      <c r="W356" s="2"/>
      <c r="X356" s="2"/>
      <c r="Y356" s="2"/>
      <c r="Z356" s="2"/>
    </row>
    <row r="357" customFormat="false" ht="12" hidden="false" customHeight="true" outlineLevel="0" collapsed="false">
      <c r="A357" s="2"/>
      <c r="B357" s="19"/>
      <c r="C357" s="19"/>
      <c r="D357" s="2"/>
      <c r="E357" s="2"/>
      <c r="F357" s="2"/>
      <c r="G357" s="2"/>
      <c r="H357" s="2"/>
      <c r="I357" s="2"/>
      <c r="J357" s="2"/>
      <c r="K357" s="2"/>
      <c r="L357" s="19"/>
      <c r="M357" s="19"/>
      <c r="N357" s="2"/>
      <c r="O357" s="2"/>
      <c r="P357" s="2"/>
      <c r="Q357" s="2"/>
      <c r="R357" s="2"/>
      <c r="S357" s="2"/>
      <c r="T357" s="2"/>
      <c r="U357" s="2"/>
      <c r="V357" s="2"/>
      <c r="W357" s="2"/>
      <c r="X357" s="2"/>
      <c r="Y357" s="2"/>
      <c r="Z357" s="2"/>
    </row>
    <row r="358" customFormat="false" ht="12" hidden="false" customHeight="true" outlineLevel="0" collapsed="false">
      <c r="A358" s="2"/>
      <c r="B358" s="19"/>
      <c r="C358" s="19"/>
      <c r="D358" s="2"/>
      <c r="E358" s="2"/>
      <c r="F358" s="2"/>
      <c r="G358" s="2"/>
      <c r="H358" s="2"/>
      <c r="I358" s="2"/>
      <c r="J358" s="2"/>
      <c r="K358" s="2"/>
      <c r="L358" s="19"/>
      <c r="M358" s="19"/>
      <c r="N358" s="2"/>
      <c r="O358" s="2"/>
      <c r="P358" s="2"/>
      <c r="Q358" s="2"/>
      <c r="R358" s="2"/>
      <c r="S358" s="2"/>
      <c r="T358" s="2"/>
      <c r="U358" s="2"/>
      <c r="V358" s="2"/>
      <c r="W358" s="2"/>
      <c r="X358" s="2"/>
      <c r="Y358" s="2"/>
      <c r="Z358" s="2"/>
    </row>
    <row r="359" customFormat="false" ht="12" hidden="false" customHeight="true" outlineLevel="0" collapsed="false">
      <c r="A359" s="2"/>
      <c r="B359" s="19"/>
      <c r="C359" s="19"/>
      <c r="D359" s="2"/>
      <c r="E359" s="2"/>
      <c r="F359" s="2"/>
      <c r="G359" s="2"/>
      <c r="H359" s="2"/>
      <c r="I359" s="2"/>
      <c r="J359" s="2"/>
      <c r="K359" s="2"/>
      <c r="L359" s="19"/>
      <c r="M359" s="19"/>
      <c r="N359" s="2"/>
      <c r="O359" s="2"/>
      <c r="P359" s="2"/>
      <c r="Q359" s="2"/>
      <c r="R359" s="2"/>
      <c r="S359" s="2"/>
      <c r="T359" s="2"/>
      <c r="U359" s="2"/>
      <c r="V359" s="2"/>
      <c r="W359" s="2"/>
      <c r="X359" s="2"/>
      <c r="Y359" s="2"/>
      <c r="Z359" s="2"/>
    </row>
    <row r="360" customFormat="false" ht="12" hidden="false" customHeight="true" outlineLevel="0" collapsed="false">
      <c r="A360" s="2"/>
      <c r="B360" s="19"/>
      <c r="C360" s="19"/>
      <c r="D360" s="2"/>
      <c r="E360" s="2"/>
      <c r="F360" s="2"/>
      <c r="G360" s="2"/>
      <c r="H360" s="2"/>
      <c r="I360" s="2"/>
      <c r="J360" s="2"/>
      <c r="K360" s="2"/>
      <c r="L360" s="19"/>
      <c r="M360" s="19"/>
      <c r="N360" s="2"/>
      <c r="O360" s="2"/>
      <c r="P360" s="2"/>
      <c r="Q360" s="2"/>
      <c r="R360" s="2"/>
      <c r="S360" s="2"/>
      <c r="T360" s="2"/>
      <c r="U360" s="2"/>
      <c r="V360" s="2"/>
      <c r="W360" s="2"/>
      <c r="X360" s="2"/>
      <c r="Y360" s="2"/>
      <c r="Z360" s="2"/>
    </row>
    <row r="361" customFormat="false" ht="12" hidden="false" customHeight="true" outlineLevel="0" collapsed="false">
      <c r="A361" s="2"/>
      <c r="B361" s="19"/>
      <c r="C361" s="19"/>
      <c r="D361" s="2"/>
      <c r="E361" s="2"/>
      <c r="F361" s="2"/>
      <c r="G361" s="2"/>
      <c r="H361" s="2"/>
      <c r="I361" s="2"/>
      <c r="J361" s="2"/>
      <c r="K361" s="2"/>
      <c r="L361" s="19"/>
      <c r="M361" s="19"/>
      <c r="N361" s="2"/>
      <c r="O361" s="2"/>
      <c r="P361" s="2"/>
      <c r="Q361" s="2"/>
      <c r="R361" s="2"/>
      <c r="S361" s="2"/>
      <c r="T361" s="2"/>
      <c r="U361" s="2"/>
      <c r="V361" s="2"/>
      <c r="W361" s="2"/>
      <c r="X361" s="2"/>
      <c r="Y361" s="2"/>
      <c r="Z361" s="2"/>
    </row>
    <row r="362" customFormat="false" ht="12" hidden="false" customHeight="true" outlineLevel="0" collapsed="false">
      <c r="A362" s="2"/>
      <c r="B362" s="19"/>
      <c r="C362" s="19"/>
      <c r="D362" s="2"/>
      <c r="E362" s="2"/>
      <c r="F362" s="2"/>
      <c r="G362" s="2"/>
      <c r="H362" s="2"/>
      <c r="I362" s="2"/>
      <c r="J362" s="2"/>
      <c r="K362" s="2"/>
      <c r="L362" s="19"/>
      <c r="M362" s="19"/>
      <c r="N362" s="2"/>
      <c r="O362" s="2"/>
      <c r="P362" s="2"/>
      <c r="Q362" s="2"/>
      <c r="R362" s="2"/>
      <c r="S362" s="2"/>
      <c r="T362" s="2"/>
      <c r="U362" s="2"/>
      <c r="V362" s="2"/>
      <c r="W362" s="2"/>
      <c r="X362" s="2"/>
      <c r="Y362" s="2"/>
      <c r="Z362" s="2"/>
    </row>
    <row r="363" customFormat="false" ht="12" hidden="false" customHeight="true" outlineLevel="0" collapsed="false">
      <c r="A363" s="2"/>
      <c r="B363" s="19"/>
      <c r="C363" s="19"/>
      <c r="D363" s="2"/>
      <c r="E363" s="2"/>
      <c r="F363" s="2"/>
      <c r="G363" s="2"/>
      <c r="H363" s="2"/>
      <c r="I363" s="2"/>
      <c r="J363" s="2"/>
      <c r="K363" s="2"/>
      <c r="L363" s="19"/>
      <c r="M363" s="19"/>
      <c r="N363" s="2"/>
      <c r="O363" s="2"/>
      <c r="P363" s="2"/>
      <c r="Q363" s="2"/>
      <c r="R363" s="2"/>
      <c r="S363" s="2"/>
      <c r="T363" s="2"/>
      <c r="U363" s="2"/>
      <c r="V363" s="2"/>
      <c r="W363" s="2"/>
      <c r="X363" s="2"/>
      <c r="Y363" s="2"/>
      <c r="Z363" s="2"/>
    </row>
    <row r="364" customFormat="false" ht="12" hidden="false" customHeight="true" outlineLevel="0" collapsed="false">
      <c r="A364" s="2"/>
      <c r="B364" s="19"/>
      <c r="C364" s="19"/>
      <c r="D364" s="2"/>
      <c r="E364" s="2"/>
      <c r="F364" s="2"/>
      <c r="G364" s="2"/>
      <c r="H364" s="2"/>
      <c r="I364" s="2"/>
      <c r="J364" s="2"/>
      <c r="K364" s="2"/>
      <c r="L364" s="19"/>
      <c r="M364" s="19"/>
      <c r="N364" s="2"/>
      <c r="O364" s="2"/>
      <c r="P364" s="2"/>
      <c r="Q364" s="2"/>
      <c r="R364" s="2"/>
      <c r="S364" s="2"/>
      <c r="T364" s="2"/>
      <c r="U364" s="2"/>
      <c r="V364" s="2"/>
      <c r="W364" s="2"/>
      <c r="X364" s="2"/>
      <c r="Y364" s="2"/>
      <c r="Z364" s="2"/>
    </row>
    <row r="365" customFormat="false" ht="12" hidden="false" customHeight="true" outlineLevel="0" collapsed="false">
      <c r="A365" s="2"/>
      <c r="B365" s="19"/>
      <c r="C365" s="19"/>
      <c r="D365" s="2"/>
      <c r="E365" s="2"/>
      <c r="F365" s="2"/>
      <c r="G365" s="2"/>
      <c r="H365" s="2"/>
      <c r="I365" s="2"/>
      <c r="J365" s="2"/>
      <c r="K365" s="2"/>
      <c r="L365" s="19"/>
      <c r="M365" s="19"/>
      <c r="N365" s="2"/>
      <c r="O365" s="2"/>
      <c r="P365" s="2"/>
      <c r="Q365" s="2"/>
      <c r="R365" s="2"/>
      <c r="S365" s="2"/>
      <c r="T365" s="2"/>
      <c r="U365" s="2"/>
      <c r="V365" s="2"/>
      <c r="W365" s="2"/>
      <c r="X365" s="2"/>
      <c r="Y365" s="2"/>
      <c r="Z365" s="2"/>
    </row>
    <row r="366" customFormat="false" ht="12" hidden="false" customHeight="true" outlineLevel="0" collapsed="false">
      <c r="A366" s="2"/>
      <c r="B366" s="19"/>
      <c r="C366" s="19"/>
      <c r="D366" s="2"/>
      <c r="E366" s="2"/>
      <c r="F366" s="2"/>
      <c r="G366" s="2"/>
      <c r="H366" s="2"/>
      <c r="I366" s="2"/>
      <c r="J366" s="2"/>
      <c r="K366" s="2"/>
      <c r="L366" s="19"/>
      <c r="M366" s="19"/>
      <c r="N366" s="2"/>
      <c r="O366" s="2"/>
      <c r="P366" s="2"/>
      <c r="Q366" s="2"/>
      <c r="R366" s="2"/>
      <c r="S366" s="2"/>
      <c r="T366" s="2"/>
      <c r="U366" s="2"/>
      <c r="V366" s="2"/>
      <c r="W366" s="2"/>
      <c r="X366" s="2"/>
      <c r="Y366" s="2"/>
      <c r="Z366" s="2"/>
    </row>
    <row r="367" customFormat="false" ht="12" hidden="false" customHeight="true" outlineLevel="0" collapsed="false">
      <c r="A367" s="2"/>
      <c r="B367" s="19"/>
      <c r="C367" s="19"/>
      <c r="D367" s="2"/>
      <c r="E367" s="2"/>
      <c r="F367" s="2"/>
      <c r="G367" s="2"/>
      <c r="H367" s="2"/>
      <c r="I367" s="2"/>
      <c r="J367" s="2"/>
      <c r="K367" s="2"/>
      <c r="L367" s="19"/>
      <c r="M367" s="19"/>
      <c r="N367" s="2"/>
      <c r="O367" s="2"/>
      <c r="P367" s="2"/>
      <c r="Q367" s="2"/>
      <c r="R367" s="2"/>
      <c r="S367" s="2"/>
      <c r="T367" s="2"/>
      <c r="U367" s="2"/>
      <c r="V367" s="2"/>
      <c r="W367" s="2"/>
      <c r="X367" s="2"/>
      <c r="Y367" s="2"/>
      <c r="Z367" s="2"/>
    </row>
    <row r="368" customFormat="false" ht="12" hidden="false" customHeight="true" outlineLevel="0" collapsed="false">
      <c r="A368" s="2"/>
      <c r="B368" s="19"/>
      <c r="C368" s="19"/>
      <c r="D368" s="2"/>
      <c r="E368" s="2"/>
      <c r="F368" s="2"/>
      <c r="G368" s="2"/>
      <c r="H368" s="2"/>
      <c r="I368" s="2"/>
      <c r="J368" s="2"/>
      <c r="K368" s="2"/>
      <c r="L368" s="19"/>
      <c r="M368" s="19"/>
      <c r="N368" s="2"/>
      <c r="O368" s="2"/>
      <c r="P368" s="2"/>
      <c r="Q368" s="2"/>
      <c r="R368" s="2"/>
      <c r="S368" s="2"/>
      <c r="T368" s="2"/>
      <c r="U368" s="2"/>
      <c r="V368" s="2"/>
      <c r="W368" s="2"/>
      <c r="X368" s="2"/>
      <c r="Y368" s="2"/>
      <c r="Z368" s="2"/>
    </row>
    <row r="369" customFormat="false" ht="12" hidden="false" customHeight="true" outlineLevel="0" collapsed="false">
      <c r="A369" s="2"/>
      <c r="B369" s="19"/>
      <c r="C369" s="19"/>
      <c r="D369" s="2"/>
      <c r="E369" s="2"/>
      <c r="F369" s="2"/>
      <c r="G369" s="2"/>
      <c r="H369" s="2"/>
      <c r="I369" s="2"/>
      <c r="J369" s="2"/>
      <c r="K369" s="2"/>
      <c r="L369" s="19"/>
      <c r="M369" s="19"/>
      <c r="N369" s="2"/>
      <c r="O369" s="2"/>
      <c r="P369" s="2"/>
      <c r="Q369" s="2"/>
      <c r="R369" s="2"/>
      <c r="S369" s="2"/>
      <c r="T369" s="2"/>
      <c r="U369" s="2"/>
      <c r="V369" s="2"/>
      <c r="W369" s="2"/>
      <c r="X369" s="2"/>
      <c r="Y369" s="2"/>
      <c r="Z369" s="2"/>
    </row>
    <row r="370" customFormat="false" ht="12" hidden="false" customHeight="true" outlineLevel="0" collapsed="false">
      <c r="A370" s="2"/>
      <c r="B370" s="19"/>
      <c r="C370" s="19"/>
      <c r="D370" s="2"/>
      <c r="E370" s="2"/>
      <c r="F370" s="2"/>
      <c r="G370" s="2"/>
      <c r="H370" s="2"/>
      <c r="I370" s="2"/>
      <c r="J370" s="2"/>
      <c r="K370" s="2"/>
      <c r="L370" s="19"/>
      <c r="M370" s="19"/>
      <c r="N370" s="2"/>
      <c r="O370" s="2"/>
      <c r="P370" s="2"/>
      <c r="Q370" s="2"/>
      <c r="R370" s="2"/>
      <c r="S370" s="2"/>
      <c r="T370" s="2"/>
      <c r="U370" s="2"/>
      <c r="V370" s="2"/>
      <c r="W370" s="2"/>
      <c r="X370" s="2"/>
      <c r="Y370" s="2"/>
      <c r="Z370" s="2"/>
    </row>
    <row r="371" customFormat="false" ht="12" hidden="false" customHeight="true" outlineLevel="0" collapsed="false">
      <c r="A371" s="2"/>
      <c r="B371" s="19"/>
      <c r="C371" s="19"/>
      <c r="D371" s="2"/>
      <c r="E371" s="2"/>
      <c r="F371" s="2"/>
      <c r="G371" s="2"/>
      <c r="H371" s="2"/>
      <c r="I371" s="2"/>
      <c r="J371" s="2"/>
      <c r="K371" s="2"/>
      <c r="L371" s="19"/>
      <c r="M371" s="19"/>
      <c r="N371" s="2"/>
      <c r="O371" s="2"/>
      <c r="P371" s="2"/>
      <c r="Q371" s="2"/>
      <c r="R371" s="2"/>
      <c r="S371" s="2"/>
      <c r="T371" s="2"/>
      <c r="U371" s="2"/>
      <c r="V371" s="2"/>
      <c r="W371" s="2"/>
      <c r="X371" s="2"/>
      <c r="Y371" s="2"/>
      <c r="Z371" s="2"/>
    </row>
    <row r="372" customFormat="false" ht="12" hidden="false" customHeight="true" outlineLevel="0" collapsed="false">
      <c r="A372" s="2"/>
      <c r="B372" s="19"/>
      <c r="C372" s="19"/>
      <c r="D372" s="2"/>
      <c r="E372" s="2"/>
      <c r="F372" s="2"/>
      <c r="G372" s="2"/>
      <c r="H372" s="2"/>
      <c r="I372" s="2"/>
      <c r="J372" s="2"/>
      <c r="K372" s="2"/>
      <c r="L372" s="19"/>
      <c r="M372" s="19"/>
      <c r="N372" s="2"/>
      <c r="O372" s="2"/>
      <c r="P372" s="2"/>
      <c r="Q372" s="2"/>
      <c r="R372" s="2"/>
      <c r="S372" s="2"/>
      <c r="T372" s="2"/>
      <c r="U372" s="2"/>
      <c r="V372" s="2"/>
      <c r="W372" s="2"/>
      <c r="X372" s="2"/>
      <c r="Y372" s="2"/>
      <c r="Z372" s="2"/>
    </row>
    <row r="373" customFormat="false" ht="12" hidden="false" customHeight="true" outlineLevel="0" collapsed="false">
      <c r="A373" s="2"/>
      <c r="B373" s="19"/>
      <c r="C373" s="19"/>
      <c r="D373" s="2"/>
      <c r="E373" s="2"/>
      <c r="F373" s="2"/>
      <c r="G373" s="2"/>
      <c r="H373" s="2"/>
      <c r="I373" s="2"/>
      <c r="J373" s="2"/>
      <c r="K373" s="2"/>
      <c r="L373" s="19"/>
      <c r="M373" s="19"/>
      <c r="N373" s="2"/>
      <c r="O373" s="2"/>
      <c r="P373" s="2"/>
      <c r="Q373" s="2"/>
      <c r="R373" s="2"/>
      <c r="S373" s="2"/>
      <c r="T373" s="2"/>
      <c r="U373" s="2"/>
      <c r="V373" s="2"/>
      <c r="W373" s="2"/>
      <c r="X373" s="2"/>
      <c r="Y373" s="2"/>
      <c r="Z373" s="2"/>
    </row>
    <row r="374" customFormat="false" ht="12" hidden="false" customHeight="true" outlineLevel="0" collapsed="false">
      <c r="A374" s="2"/>
      <c r="B374" s="19"/>
      <c r="C374" s="19"/>
      <c r="D374" s="2"/>
      <c r="E374" s="2"/>
      <c r="F374" s="2"/>
      <c r="G374" s="2"/>
      <c r="H374" s="2"/>
      <c r="I374" s="2"/>
      <c r="J374" s="2"/>
      <c r="K374" s="2"/>
      <c r="L374" s="19"/>
      <c r="M374" s="19"/>
      <c r="N374" s="2"/>
      <c r="O374" s="2"/>
      <c r="P374" s="2"/>
      <c r="Q374" s="2"/>
      <c r="R374" s="2"/>
      <c r="S374" s="2"/>
      <c r="T374" s="2"/>
      <c r="U374" s="2"/>
      <c r="V374" s="2"/>
      <c r="W374" s="2"/>
      <c r="X374" s="2"/>
      <c r="Y374" s="2"/>
      <c r="Z374" s="2"/>
    </row>
    <row r="375" customFormat="false" ht="12" hidden="false" customHeight="true" outlineLevel="0" collapsed="false">
      <c r="A375" s="2"/>
      <c r="B375" s="19"/>
      <c r="C375" s="19"/>
      <c r="D375" s="2"/>
      <c r="E375" s="2"/>
      <c r="F375" s="2"/>
      <c r="G375" s="2"/>
      <c r="H375" s="2"/>
      <c r="I375" s="2"/>
      <c r="J375" s="2"/>
      <c r="K375" s="2"/>
      <c r="L375" s="19"/>
      <c r="M375" s="19"/>
      <c r="N375" s="2"/>
      <c r="O375" s="2"/>
      <c r="P375" s="2"/>
      <c r="Q375" s="2"/>
      <c r="R375" s="2"/>
      <c r="S375" s="2"/>
      <c r="T375" s="2"/>
      <c r="U375" s="2"/>
      <c r="V375" s="2"/>
      <c r="W375" s="2"/>
      <c r="X375" s="2"/>
      <c r="Y375" s="2"/>
      <c r="Z375" s="2"/>
    </row>
    <row r="376" customFormat="false" ht="12" hidden="false" customHeight="true" outlineLevel="0" collapsed="false">
      <c r="A376" s="2"/>
      <c r="B376" s="19"/>
      <c r="C376" s="19"/>
      <c r="D376" s="2"/>
      <c r="E376" s="2"/>
      <c r="F376" s="2"/>
      <c r="G376" s="2"/>
      <c r="H376" s="2"/>
      <c r="I376" s="2"/>
      <c r="J376" s="2"/>
      <c r="K376" s="2"/>
      <c r="L376" s="19"/>
      <c r="M376" s="19"/>
      <c r="N376" s="2"/>
      <c r="O376" s="2"/>
      <c r="P376" s="2"/>
      <c r="Q376" s="2"/>
      <c r="R376" s="2"/>
      <c r="S376" s="2"/>
      <c r="T376" s="2"/>
      <c r="U376" s="2"/>
      <c r="V376" s="2"/>
      <c r="W376" s="2"/>
      <c r="X376" s="2"/>
      <c r="Y376" s="2"/>
      <c r="Z376" s="2"/>
    </row>
    <row r="377" customFormat="false" ht="12" hidden="false" customHeight="true" outlineLevel="0" collapsed="false">
      <c r="A377" s="2"/>
      <c r="B377" s="19"/>
      <c r="C377" s="19"/>
      <c r="D377" s="2"/>
      <c r="E377" s="2"/>
      <c r="F377" s="2"/>
      <c r="G377" s="2"/>
      <c r="H377" s="2"/>
      <c r="I377" s="2"/>
      <c r="J377" s="2"/>
      <c r="K377" s="2"/>
      <c r="L377" s="19"/>
      <c r="M377" s="19"/>
      <c r="N377" s="2"/>
      <c r="O377" s="2"/>
      <c r="P377" s="2"/>
      <c r="Q377" s="2"/>
      <c r="R377" s="2"/>
      <c r="S377" s="2"/>
      <c r="T377" s="2"/>
      <c r="U377" s="2"/>
      <c r="V377" s="2"/>
      <c r="W377" s="2"/>
      <c r="X377" s="2"/>
      <c r="Y377" s="2"/>
      <c r="Z377" s="2"/>
    </row>
    <row r="378" customFormat="false" ht="12" hidden="false" customHeight="true" outlineLevel="0" collapsed="false">
      <c r="A378" s="2"/>
      <c r="B378" s="19"/>
      <c r="C378" s="19"/>
      <c r="D378" s="2"/>
      <c r="E378" s="2"/>
      <c r="F378" s="2"/>
      <c r="G378" s="2"/>
      <c r="H378" s="2"/>
      <c r="I378" s="2"/>
      <c r="J378" s="2"/>
      <c r="K378" s="2"/>
      <c r="L378" s="19"/>
      <c r="M378" s="19"/>
      <c r="N378" s="2"/>
      <c r="O378" s="2"/>
      <c r="P378" s="2"/>
      <c r="Q378" s="2"/>
      <c r="R378" s="2"/>
      <c r="S378" s="2"/>
      <c r="T378" s="2"/>
      <c r="U378" s="2"/>
      <c r="V378" s="2"/>
      <c r="W378" s="2"/>
      <c r="X378" s="2"/>
      <c r="Y378" s="2"/>
      <c r="Z378" s="2"/>
    </row>
    <row r="379" customFormat="false" ht="12" hidden="false" customHeight="true" outlineLevel="0" collapsed="false">
      <c r="A379" s="2"/>
      <c r="B379" s="19"/>
      <c r="C379" s="19"/>
      <c r="D379" s="2"/>
      <c r="E379" s="2"/>
      <c r="F379" s="2"/>
      <c r="G379" s="2"/>
      <c r="H379" s="2"/>
      <c r="I379" s="2"/>
      <c r="J379" s="2"/>
      <c r="K379" s="2"/>
      <c r="L379" s="19"/>
      <c r="M379" s="19"/>
      <c r="N379" s="2"/>
      <c r="O379" s="2"/>
      <c r="P379" s="2"/>
      <c r="Q379" s="2"/>
      <c r="R379" s="2"/>
      <c r="S379" s="2"/>
      <c r="T379" s="2"/>
      <c r="U379" s="2"/>
      <c r="V379" s="2"/>
      <c r="W379" s="2"/>
      <c r="X379" s="2"/>
      <c r="Y379" s="2"/>
      <c r="Z379" s="2"/>
    </row>
    <row r="380" customFormat="false" ht="12" hidden="false" customHeight="true" outlineLevel="0" collapsed="false">
      <c r="A380" s="2"/>
      <c r="B380" s="19"/>
      <c r="C380" s="19"/>
      <c r="D380" s="2"/>
      <c r="E380" s="2"/>
      <c r="F380" s="2"/>
      <c r="G380" s="2"/>
      <c r="H380" s="2"/>
      <c r="I380" s="2"/>
      <c r="J380" s="2"/>
      <c r="K380" s="2"/>
      <c r="L380" s="19"/>
      <c r="M380" s="19"/>
      <c r="N380" s="2"/>
      <c r="O380" s="2"/>
      <c r="P380" s="2"/>
      <c r="Q380" s="2"/>
      <c r="R380" s="2"/>
      <c r="S380" s="2"/>
      <c r="T380" s="2"/>
      <c r="U380" s="2"/>
      <c r="V380" s="2"/>
      <c r="W380" s="2"/>
      <c r="X380" s="2"/>
      <c r="Y380" s="2"/>
      <c r="Z380" s="2"/>
    </row>
    <row r="381" customFormat="false" ht="12" hidden="false" customHeight="true" outlineLevel="0" collapsed="false">
      <c r="A381" s="2"/>
      <c r="B381" s="19"/>
      <c r="C381" s="19"/>
      <c r="D381" s="2"/>
      <c r="E381" s="2"/>
      <c r="F381" s="2"/>
      <c r="G381" s="2"/>
      <c r="H381" s="2"/>
      <c r="I381" s="2"/>
      <c r="J381" s="2"/>
      <c r="K381" s="2"/>
      <c r="L381" s="19"/>
      <c r="M381" s="19"/>
      <c r="N381" s="2"/>
      <c r="O381" s="2"/>
      <c r="P381" s="2"/>
      <c r="Q381" s="2"/>
      <c r="R381" s="2"/>
      <c r="S381" s="2"/>
      <c r="T381" s="2"/>
      <c r="U381" s="2"/>
      <c r="V381" s="2"/>
      <c r="W381" s="2"/>
      <c r="X381" s="2"/>
      <c r="Y381" s="2"/>
      <c r="Z381" s="2"/>
    </row>
    <row r="382" customFormat="false" ht="12" hidden="false" customHeight="true" outlineLevel="0" collapsed="false">
      <c r="A382" s="2"/>
      <c r="B382" s="19"/>
      <c r="C382" s="19"/>
      <c r="D382" s="2"/>
      <c r="E382" s="2"/>
      <c r="F382" s="2"/>
      <c r="G382" s="2"/>
      <c r="H382" s="2"/>
      <c r="I382" s="2"/>
      <c r="J382" s="2"/>
      <c r="K382" s="2"/>
      <c r="L382" s="19"/>
      <c r="M382" s="19"/>
      <c r="N382" s="2"/>
      <c r="O382" s="2"/>
      <c r="P382" s="2"/>
      <c r="Q382" s="2"/>
      <c r="R382" s="2"/>
      <c r="S382" s="2"/>
      <c r="T382" s="2"/>
      <c r="U382" s="2"/>
      <c r="V382" s="2"/>
      <c r="W382" s="2"/>
      <c r="X382" s="2"/>
      <c r="Y382" s="2"/>
      <c r="Z382" s="2"/>
    </row>
    <row r="383" customFormat="false" ht="12" hidden="false" customHeight="true" outlineLevel="0" collapsed="false">
      <c r="A383" s="2"/>
      <c r="B383" s="19"/>
      <c r="C383" s="19"/>
      <c r="D383" s="2"/>
      <c r="E383" s="2"/>
      <c r="F383" s="2"/>
      <c r="G383" s="2"/>
      <c r="H383" s="2"/>
      <c r="I383" s="2"/>
      <c r="J383" s="2"/>
      <c r="K383" s="2"/>
      <c r="L383" s="19"/>
      <c r="M383" s="19"/>
      <c r="N383" s="2"/>
      <c r="O383" s="2"/>
      <c r="P383" s="2"/>
      <c r="Q383" s="2"/>
      <c r="R383" s="2"/>
      <c r="S383" s="2"/>
      <c r="T383" s="2"/>
      <c r="U383" s="2"/>
      <c r="V383" s="2"/>
      <c r="W383" s="2"/>
      <c r="X383" s="2"/>
      <c r="Y383" s="2"/>
      <c r="Z383" s="2"/>
    </row>
    <row r="384" customFormat="false" ht="12" hidden="false" customHeight="true" outlineLevel="0" collapsed="false">
      <c r="A384" s="2"/>
      <c r="B384" s="19"/>
      <c r="C384" s="19"/>
      <c r="D384" s="2"/>
      <c r="E384" s="2"/>
      <c r="F384" s="2"/>
      <c r="G384" s="2"/>
      <c r="H384" s="2"/>
      <c r="I384" s="2"/>
      <c r="J384" s="2"/>
      <c r="K384" s="2"/>
      <c r="L384" s="19"/>
      <c r="M384" s="19"/>
      <c r="N384" s="2"/>
      <c r="O384" s="2"/>
      <c r="P384" s="2"/>
      <c r="Q384" s="2"/>
      <c r="R384" s="2"/>
      <c r="S384" s="2"/>
      <c r="T384" s="2"/>
      <c r="U384" s="2"/>
      <c r="V384" s="2"/>
      <c r="W384" s="2"/>
      <c r="X384" s="2"/>
      <c r="Y384" s="2"/>
      <c r="Z384" s="2"/>
    </row>
    <row r="385" customFormat="false" ht="12" hidden="false" customHeight="true" outlineLevel="0" collapsed="false">
      <c r="A385" s="2"/>
      <c r="B385" s="19"/>
      <c r="C385" s="19"/>
      <c r="D385" s="2"/>
      <c r="E385" s="2"/>
      <c r="F385" s="2"/>
      <c r="G385" s="2"/>
      <c r="H385" s="2"/>
      <c r="I385" s="2"/>
      <c r="J385" s="2"/>
      <c r="K385" s="2"/>
      <c r="L385" s="19"/>
      <c r="M385" s="19"/>
      <c r="N385" s="2"/>
      <c r="O385" s="2"/>
      <c r="P385" s="2"/>
      <c r="Q385" s="2"/>
      <c r="R385" s="2"/>
      <c r="S385" s="2"/>
      <c r="T385" s="2"/>
      <c r="U385" s="2"/>
      <c r="V385" s="2"/>
      <c r="W385" s="2"/>
      <c r="X385" s="2"/>
      <c r="Y385" s="2"/>
      <c r="Z385" s="2"/>
    </row>
    <row r="386" customFormat="false" ht="12" hidden="false" customHeight="true" outlineLevel="0" collapsed="false">
      <c r="A386" s="2"/>
      <c r="B386" s="19"/>
      <c r="C386" s="19"/>
      <c r="D386" s="2"/>
      <c r="E386" s="2"/>
      <c r="F386" s="2"/>
      <c r="G386" s="2"/>
      <c r="H386" s="2"/>
      <c r="I386" s="2"/>
      <c r="J386" s="2"/>
      <c r="K386" s="2"/>
      <c r="L386" s="19"/>
      <c r="M386" s="19"/>
      <c r="N386" s="2"/>
      <c r="O386" s="2"/>
      <c r="P386" s="2"/>
      <c r="Q386" s="2"/>
      <c r="R386" s="2"/>
      <c r="S386" s="2"/>
      <c r="T386" s="2"/>
      <c r="U386" s="2"/>
      <c r="V386" s="2"/>
      <c r="W386" s="2"/>
      <c r="X386" s="2"/>
      <c r="Y386" s="2"/>
      <c r="Z386" s="2"/>
    </row>
    <row r="387" customFormat="false" ht="12" hidden="false" customHeight="true" outlineLevel="0" collapsed="false">
      <c r="A387" s="2"/>
      <c r="B387" s="19"/>
      <c r="C387" s="19"/>
      <c r="D387" s="2"/>
      <c r="E387" s="2"/>
      <c r="F387" s="2"/>
      <c r="G387" s="2"/>
      <c r="H387" s="2"/>
      <c r="I387" s="2"/>
      <c r="J387" s="2"/>
      <c r="K387" s="2"/>
      <c r="L387" s="19"/>
      <c r="M387" s="19"/>
      <c r="N387" s="2"/>
      <c r="O387" s="2"/>
      <c r="P387" s="2"/>
      <c r="Q387" s="2"/>
      <c r="R387" s="2"/>
      <c r="S387" s="2"/>
      <c r="T387" s="2"/>
      <c r="U387" s="2"/>
      <c r="V387" s="2"/>
      <c r="W387" s="2"/>
      <c r="X387" s="2"/>
      <c r="Y387" s="2"/>
      <c r="Z387" s="2"/>
    </row>
    <row r="388" customFormat="false" ht="12" hidden="false" customHeight="true" outlineLevel="0" collapsed="false">
      <c r="A388" s="2"/>
      <c r="B388" s="19"/>
      <c r="C388" s="19"/>
      <c r="D388" s="2"/>
      <c r="E388" s="2"/>
      <c r="F388" s="2"/>
      <c r="G388" s="2"/>
      <c r="H388" s="2"/>
      <c r="I388" s="2"/>
      <c r="J388" s="2"/>
      <c r="K388" s="2"/>
      <c r="L388" s="19"/>
      <c r="M388" s="19"/>
      <c r="N388" s="2"/>
      <c r="O388" s="2"/>
      <c r="P388" s="2"/>
      <c r="Q388" s="2"/>
      <c r="R388" s="2"/>
      <c r="S388" s="2"/>
      <c r="T388" s="2"/>
      <c r="U388" s="2"/>
      <c r="V388" s="2"/>
      <c r="W388" s="2"/>
      <c r="X388" s="2"/>
      <c r="Y388" s="2"/>
      <c r="Z388" s="2"/>
    </row>
    <row r="389" customFormat="false" ht="12" hidden="false" customHeight="true" outlineLevel="0" collapsed="false">
      <c r="A389" s="2"/>
      <c r="B389" s="19"/>
      <c r="C389" s="19"/>
      <c r="D389" s="2"/>
      <c r="E389" s="2"/>
      <c r="F389" s="2"/>
      <c r="G389" s="2"/>
      <c r="H389" s="2"/>
      <c r="I389" s="2"/>
      <c r="J389" s="2"/>
      <c r="K389" s="2"/>
      <c r="L389" s="19"/>
      <c r="M389" s="19"/>
      <c r="N389" s="2"/>
      <c r="O389" s="2"/>
      <c r="P389" s="2"/>
      <c r="Q389" s="2"/>
      <c r="R389" s="2"/>
      <c r="S389" s="2"/>
      <c r="T389" s="2"/>
      <c r="U389" s="2"/>
      <c r="V389" s="2"/>
      <c r="W389" s="2"/>
      <c r="X389" s="2"/>
      <c r="Y389" s="2"/>
      <c r="Z389" s="2"/>
    </row>
    <row r="390" customFormat="false" ht="12" hidden="false" customHeight="true" outlineLevel="0" collapsed="false">
      <c r="A390" s="2"/>
      <c r="B390" s="19"/>
      <c r="C390" s="19"/>
      <c r="D390" s="2"/>
      <c r="E390" s="2"/>
      <c r="F390" s="2"/>
      <c r="G390" s="2"/>
      <c r="H390" s="2"/>
      <c r="I390" s="2"/>
      <c r="J390" s="2"/>
      <c r="K390" s="2"/>
      <c r="L390" s="19"/>
      <c r="M390" s="19"/>
      <c r="N390" s="2"/>
      <c r="O390" s="2"/>
      <c r="P390" s="2"/>
      <c r="Q390" s="2"/>
      <c r="R390" s="2"/>
      <c r="S390" s="2"/>
      <c r="T390" s="2"/>
      <c r="U390" s="2"/>
      <c r="V390" s="2"/>
      <c r="W390" s="2"/>
      <c r="X390" s="2"/>
      <c r="Y390" s="2"/>
      <c r="Z390" s="2"/>
    </row>
    <row r="391" customFormat="false" ht="12" hidden="false" customHeight="true" outlineLevel="0" collapsed="false">
      <c r="A391" s="2"/>
      <c r="B391" s="19"/>
      <c r="C391" s="19"/>
      <c r="D391" s="2"/>
      <c r="E391" s="2"/>
      <c r="F391" s="2"/>
      <c r="G391" s="2"/>
      <c r="H391" s="2"/>
      <c r="I391" s="2"/>
      <c r="J391" s="2"/>
      <c r="K391" s="2"/>
      <c r="L391" s="19"/>
      <c r="M391" s="19"/>
      <c r="N391" s="2"/>
      <c r="O391" s="2"/>
      <c r="P391" s="2"/>
      <c r="Q391" s="2"/>
      <c r="R391" s="2"/>
      <c r="S391" s="2"/>
      <c r="T391" s="2"/>
      <c r="U391" s="2"/>
      <c r="V391" s="2"/>
      <c r="W391" s="2"/>
      <c r="X391" s="2"/>
      <c r="Y391" s="2"/>
      <c r="Z391" s="2"/>
    </row>
    <row r="392" customFormat="false" ht="12" hidden="false" customHeight="true" outlineLevel="0" collapsed="false">
      <c r="A392" s="2"/>
      <c r="B392" s="19"/>
      <c r="C392" s="19"/>
      <c r="D392" s="2"/>
      <c r="E392" s="2"/>
      <c r="F392" s="2"/>
      <c r="G392" s="2"/>
      <c r="H392" s="2"/>
      <c r="I392" s="2"/>
      <c r="J392" s="2"/>
      <c r="K392" s="2"/>
      <c r="L392" s="19"/>
      <c r="M392" s="19"/>
      <c r="N392" s="2"/>
      <c r="O392" s="2"/>
      <c r="P392" s="2"/>
      <c r="Q392" s="2"/>
      <c r="R392" s="2"/>
      <c r="S392" s="2"/>
      <c r="T392" s="2"/>
      <c r="U392" s="2"/>
      <c r="V392" s="2"/>
      <c r="W392" s="2"/>
      <c r="X392" s="2"/>
      <c r="Y392" s="2"/>
      <c r="Z392" s="2"/>
    </row>
    <row r="393" customFormat="false" ht="12" hidden="false" customHeight="true" outlineLevel="0" collapsed="false">
      <c r="A393" s="2"/>
      <c r="B393" s="19"/>
      <c r="C393" s="19"/>
      <c r="D393" s="2"/>
      <c r="E393" s="2"/>
      <c r="F393" s="2"/>
      <c r="G393" s="2"/>
      <c r="H393" s="2"/>
      <c r="I393" s="2"/>
      <c r="J393" s="2"/>
      <c r="K393" s="2"/>
      <c r="L393" s="19"/>
      <c r="M393" s="19"/>
      <c r="N393" s="2"/>
      <c r="O393" s="2"/>
      <c r="P393" s="2"/>
      <c r="Q393" s="2"/>
      <c r="R393" s="2"/>
      <c r="S393" s="2"/>
      <c r="T393" s="2"/>
      <c r="U393" s="2"/>
      <c r="V393" s="2"/>
      <c r="W393" s="2"/>
      <c r="X393" s="2"/>
      <c r="Y393" s="2"/>
      <c r="Z393" s="2"/>
    </row>
    <row r="394" customFormat="false" ht="12" hidden="false" customHeight="true" outlineLevel="0" collapsed="false">
      <c r="A394" s="2"/>
      <c r="B394" s="19"/>
      <c r="C394" s="19"/>
      <c r="D394" s="2"/>
      <c r="E394" s="2"/>
      <c r="F394" s="2"/>
      <c r="G394" s="2"/>
      <c r="H394" s="2"/>
      <c r="I394" s="2"/>
      <c r="J394" s="2"/>
      <c r="K394" s="2"/>
      <c r="L394" s="19"/>
      <c r="M394" s="19"/>
      <c r="N394" s="2"/>
      <c r="O394" s="2"/>
      <c r="P394" s="2"/>
      <c r="Q394" s="2"/>
      <c r="R394" s="2"/>
      <c r="S394" s="2"/>
      <c r="T394" s="2"/>
      <c r="U394" s="2"/>
      <c r="V394" s="2"/>
      <c r="W394" s="2"/>
      <c r="X394" s="2"/>
      <c r="Y394" s="2"/>
      <c r="Z394" s="2"/>
    </row>
    <row r="395" customFormat="false" ht="12" hidden="false" customHeight="true" outlineLevel="0" collapsed="false">
      <c r="A395" s="2"/>
      <c r="B395" s="19"/>
      <c r="C395" s="19"/>
      <c r="D395" s="2"/>
      <c r="E395" s="2"/>
      <c r="F395" s="2"/>
      <c r="G395" s="2"/>
      <c r="H395" s="2"/>
      <c r="I395" s="2"/>
      <c r="J395" s="2"/>
      <c r="K395" s="2"/>
      <c r="L395" s="19"/>
      <c r="M395" s="19"/>
      <c r="N395" s="2"/>
      <c r="O395" s="2"/>
      <c r="P395" s="2"/>
      <c r="Q395" s="2"/>
      <c r="R395" s="2"/>
      <c r="S395" s="2"/>
      <c r="T395" s="2"/>
      <c r="U395" s="2"/>
      <c r="V395" s="2"/>
      <c r="W395" s="2"/>
      <c r="X395" s="2"/>
      <c r="Y395" s="2"/>
      <c r="Z395" s="2"/>
    </row>
    <row r="396" customFormat="false" ht="12" hidden="false" customHeight="true" outlineLevel="0" collapsed="false">
      <c r="A396" s="2"/>
      <c r="B396" s="19"/>
      <c r="C396" s="19"/>
      <c r="D396" s="2"/>
      <c r="E396" s="2"/>
      <c r="F396" s="2"/>
      <c r="G396" s="2"/>
      <c r="H396" s="2"/>
      <c r="I396" s="2"/>
      <c r="J396" s="2"/>
      <c r="K396" s="2"/>
      <c r="L396" s="19"/>
      <c r="M396" s="19"/>
      <c r="N396" s="2"/>
      <c r="O396" s="2"/>
      <c r="P396" s="2"/>
      <c r="Q396" s="2"/>
      <c r="R396" s="2"/>
      <c r="S396" s="2"/>
      <c r="T396" s="2"/>
      <c r="U396" s="2"/>
      <c r="V396" s="2"/>
      <c r="W396" s="2"/>
      <c r="X396" s="2"/>
      <c r="Y396" s="2"/>
      <c r="Z396" s="2"/>
    </row>
    <row r="397" customFormat="false" ht="12" hidden="false" customHeight="true" outlineLevel="0" collapsed="false">
      <c r="A397" s="2"/>
      <c r="B397" s="19"/>
      <c r="C397" s="19"/>
      <c r="D397" s="2"/>
      <c r="E397" s="2"/>
      <c r="F397" s="2"/>
      <c r="G397" s="2"/>
      <c r="H397" s="2"/>
      <c r="I397" s="2"/>
      <c r="J397" s="2"/>
      <c r="K397" s="2"/>
      <c r="L397" s="19"/>
      <c r="M397" s="19"/>
      <c r="N397" s="2"/>
      <c r="O397" s="2"/>
      <c r="P397" s="2"/>
      <c r="Q397" s="2"/>
      <c r="R397" s="2"/>
      <c r="S397" s="2"/>
      <c r="T397" s="2"/>
      <c r="U397" s="2"/>
      <c r="V397" s="2"/>
      <c r="W397" s="2"/>
      <c r="X397" s="2"/>
      <c r="Y397" s="2"/>
      <c r="Z397" s="2"/>
    </row>
    <row r="398" customFormat="false" ht="12" hidden="false" customHeight="true" outlineLevel="0" collapsed="false">
      <c r="A398" s="2"/>
      <c r="B398" s="19"/>
      <c r="C398" s="19"/>
      <c r="D398" s="2"/>
      <c r="E398" s="2"/>
      <c r="F398" s="2"/>
      <c r="G398" s="2"/>
      <c r="H398" s="2"/>
      <c r="I398" s="2"/>
      <c r="J398" s="2"/>
      <c r="K398" s="2"/>
      <c r="L398" s="19"/>
      <c r="M398" s="19"/>
      <c r="N398" s="2"/>
      <c r="O398" s="2"/>
      <c r="P398" s="2"/>
      <c r="Q398" s="2"/>
      <c r="R398" s="2"/>
      <c r="S398" s="2"/>
      <c r="T398" s="2"/>
      <c r="U398" s="2"/>
      <c r="V398" s="2"/>
      <c r="W398" s="2"/>
      <c r="X398" s="2"/>
      <c r="Y398" s="2"/>
      <c r="Z398" s="2"/>
    </row>
    <row r="399" customFormat="false" ht="12" hidden="false" customHeight="true" outlineLevel="0" collapsed="false">
      <c r="A399" s="2"/>
      <c r="B399" s="19"/>
      <c r="C399" s="19"/>
      <c r="D399" s="2"/>
      <c r="E399" s="2"/>
      <c r="F399" s="2"/>
      <c r="G399" s="2"/>
      <c r="H399" s="2"/>
      <c r="I399" s="2"/>
      <c r="J399" s="2"/>
      <c r="K399" s="2"/>
      <c r="L399" s="19"/>
      <c r="M399" s="19"/>
      <c r="N399" s="2"/>
      <c r="O399" s="2"/>
      <c r="P399" s="2"/>
      <c r="Q399" s="2"/>
      <c r="R399" s="2"/>
      <c r="S399" s="2"/>
      <c r="T399" s="2"/>
      <c r="U399" s="2"/>
      <c r="V399" s="2"/>
      <c r="W399" s="2"/>
      <c r="X399" s="2"/>
      <c r="Y399" s="2"/>
      <c r="Z399" s="2"/>
    </row>
    <row r="400" customFormat="false" ht="12" hidden="false" customHeight="true" outlineLevel="0" collapsed="false">
      <c r="A400" s="2"/>
      <c r="B400" s="19"/>
      <c r="C400" s="19"/>
      <c r="D400" s="2"/>
      <c r="E400" s="2"/>
      <c r="F400" s="2"/>
      <c r="G400" s="2"/>
      <c r="H400" s="2"/>
      <c r="I400" s="2"/>
      <c r="J400" s="2"/>
      <c r="K400" s="2"/>
      <c r="L400" s="19"/>
      <c r="M400" s="19"/>
      <c r="N400" s="2"/>
      <c r="O400" s="2"/>
      <c r="P400" s="2"/>
      <c r="Q400" s="2"/>
      <c r="R400" s="2"/>
      <c r="S400" s="2"/>
      <c r="T400" s="2"/>
      <c r="U400" s="2"/>
      <c r="V400" s="2"/>
      <c r="W400" s="2"/>
      <c r="X400" s="2"/>
      <c r="Y400" s="2"/>
      <c r="Z400" s="2"/>
    </row>
    <row r="401" customFormat="false" ht="12" hidden="false" customHeight="true" outlineLevel="0" collapsed="false">
      <c r="A401" s="2"/>
      <c r="B401" s="19"/>
      <c r="C401" s="19"/>
      <c r="D401" s="2"/>
      <c r="E401" s="2"/>
      <c r="F401" s="2"/>
      <c r="G401" s="2"/>
      <c r="H401" s="2"/>
      <c r="I401" s="2"/>
      <c r="J401" s="2"/>
      <c r="K401" s="2"/>
      <c r="L401" s="19"/>
      <c r="M401" s="19"/>
      <c r="N401" s="2"/>
      <c r="O401" s="2"/>
      <c r="P401" s="2"/>
      <c r="Q401" s="2"/>
      <c r="R401" s="2"/>
      <c r="S401" s="2"/>
      <c r="T401" s="2"/>
      <c r="U401" s="2"/>
      <c r="V401" s="2"/>
      <c r="W401" s="2"/>
      <c r="X401" s="2"/>
      <c r="Y401" s="2"/>
      <c r="Z401" s="2"/>
    </row>
    <row r="402" customFormat="false" ht="12" hidden="false" customHeight="true" outlineLevel="0" collapsed="false">
      <c r="A402" s="2"/>
      <c r="B402" s="19"/>
      <c r="C402" s="19"/>
      <c r="D402" s="2"/>
      <c r="E402" s="2"/>
      <c r="F402" s="2"/>
      <c r="G402" s="2"/>
      <c r="H402" s="2"/>
      <c r="I402" s="2"/>
      <c r="J402" s="2"/>
      <c r="K402" s="2"/>
      <c r="L402" s="19"/>
      <c r="M402" s="19"/>
      <c r="N402" s="2"/>
      <c r="O402" s="2"/>
      <c r="P402" s="2"/>
      <c r="Q402" s="2"/>
      <c r="R402" s="2"/>
      <c r="S402" s="2"/>
      <c r="T402" s="2"/>
      <c r="U402" s="2"/>
      <c r="V402" s="2"/>
      <c r="W402" s="2"/>
      <c r="X402" s="2"/>
      <c r="Y402" s="2"/>
      <c r="Z402" s="2"/>
    </row>
    <row r="403" customFormat="false" ht="12" hidden="false" customHeight="true" outlineLevel="0" collapsed="false">
      <c r="A403" s="2"/>
      <c r="B403" s="19"/>
      <c r="C403" s="19"/>
      <c r="D403" s="2"/>
      <c r="E403" s="2"/>
      <c r="F403" s="2"/>
      <c r="G403" s="2"/>
      <c r="H403" s="2"/>
      <c r="I403" s="2"/>
      <c r="J403" s="2"/>
      <c r="K403" s="2"/>
      <c r="L403" s="19"/>
      <c r="M403" s="19"/>
      <c r="N403" s="2"/>
      <c r="O403" s="2"/>
      <c r="P403" s="2"/>
      <c r="Q403" s="2"/>
      <c r="R403" s="2"/>
      <c r="S403" s="2"/>
      <c r="T403" s="2"/>
      <c r="U403" s="2"/>
      <c r="V403" s="2"/>
      <c r="W403" s="2"/>
      <c r="X403" s="2"/>
      <c r="Y403" s="2"/>
      <c r="Z403" s="2"/>
    </row>
    <row r="404" customFormat="false" ht="12" hidden="false" customHeight="true" outlineLevel="0" collapsed="false">
      <c r="A404" s="2"/>
      <c r="B404" s="19"/>
      <c r="C404" s="19"/>
      <c r="D404" s="2"/>
      <c r="E404" s="2"/>
      <c r="F404" s="2"/>
      <c r="G404" s="2"/>
      <c r="H404" s="2"/>
      <c r="I404" s="2"/>
      <c r="J404" s="2"/>
      <c r="K404" s="2"/>
      <c r="L404" s="19"/>
      <c r="M404" s="19"/>
      <c r="N404" s="2"/>
      <c r="O404" s="2"/>
      <c r="P404" s="2"/>
      <c r="Q404" s="2"/>
      <c r="R404" s="2"/>
      <c r="S404" s="2"/>
      <c r="T404" s="2"/>
      <c r="U404" s="2"/>
      <c r="V404" s="2"/>
      <c r="W404" s="2"/>
      <c r="X404" s="2"/>
      <c r="Y404" s="2"/>
      <c r="Z404" s="2"/>
    </row>
    <row r="405" customFormat="false" ht="12" hidden="false" customHeight="true" outlineLevel="0" collapsed="false">
      <c r="A405" s="2"/>
      <c r="B405" s="19"/>
      <c r="C405" s="19"/>
      <c r="D405" s="2"/>
      <c r="E405" s="2"/>
      <c r="F405" s="2"/>
      <c r="G405" s="2"/>
      <c r="H405" s="2"/>
      <c r="I405" s="2"/>
      <c r="J405" s="2"/>
      <c r="K405" s="2"/>
      <c r="L405" s="19"/>
      <c r="M405" s="19"/>
      <c r="N405" s="2"/>
      <c r="O405" s="2"/>
      <c r="P405" s="2"/>
      <c r="Q405" s="2"/>
      <c r="R405" s="2"/>
      <c r="S405" s="2"/>
      <c r="T405" s="2"/>
      <c r="U405" s="2"/>
      <c r="V405" s="2"/>
      <c r="W405" s="2"/>
      <c r="X405" s="2"/>
      <c r="Y405" s="2"/>
      <c r="Z405" s="2"/>
    </row>
    <row r="406" customFormat="false" ht="12" hidden="false" customHeight="true" outlineLevel="0" collapsed="false">
      <c r="A406" s="2"/>
      <c r="B406" s="19"/>
      <c r="C406" s="19"/>
      <c r="D406" s="2"/>
      <c r="E406" s="2"/>
      <c r="F406" s="2"/>
      <c r="G406" s="2"/>
      <c r="H406" s="2"/>
      <c r="I406" s="2"/>
      <c r="J406" s="2"/>
      <c r="K406" s="2"/>
      <c r="L406" s="19"/>
      <c r="M406" s="19"/>
      <c r="N406" s="2"/>
      <c r="O406" s="2"/>
      <c r="P406" s="2"/>
      <c r="Q406" s="2"/>
      <c r="R406" s="2"/>
      <c r="S406" s="2"/>
      <c r="T406" s="2"/>
      <c r="U406" s="2"/>
      <c r="V406" s="2"/>
      <c r="W406" s="2"/>
      <c r="X406" s="2"/>
      <c r="Y406" s="2"/>
      <c r="Z406" s="2"/>
    </row>
    <row r="407" customFormat="false" ht="12" hidden="false" customHeight="true" outlineLevel="0" collapsed="false">
      <c r="A407" s="2"/>
      <c r="B407" s="19"/>
      <c r="C407" s="19"/>
      <c r="D407" s="2"/>
      <c r="E407" s="2"/>
      <c r="F407" s="2"/>
      <c r="G407" s="2"/>
      <c r="H407" s="2"/>
      <c r="I407" s="2"/>
      <c r="J407" s="2"/>
      <c r="K407" s="2"/>
      <c r="L407" s="19"/>
      <c r="M407" s="19"/>
      <c r="N407" s="2"/>
      <c r="O407" s="2"/>
      <c r="P407" s="2"/>
      <c r="Q407" s="2"/>
      <c r="R407" s="2"/>
      <c r="S407" s="2"/>
      <c r="T407" s="2"/>
      <c r="U407" s="2"/>
      <c r="V407" s="2"/>
      <c r="W407" s="2"/>
      <c r="X407" s="2"/>
      <c r="Y407" s="2"/>
      <c r="Z407" s="2"/>
    </row>
    <row r="408" customFormat="false" ht="12" hidden="false" customHeight="true" outlineLevel="0" collapsed="false">
      <c r="A408" s="2"/>
      <c r="B408" s="19"/>
      <c r="C408" s="19"/>
      <c r="D408" s="2"/>
      <c r="E408" s="2"/>
      <c r="F408" s="2"/>
      <c r="G408" s="2"/>
      <c r="H408" s="2"/>
      <c r="I408" s="2"/>
      <c r="J408" s="2"/>
      <c r="K408" s="2"/>
      <c r="L408" s="19"/>
      <c r="M408" s="19"/>
      <c r="N408" s="2"/>
      <c r="O408" s="2"/>
      <c r="P408" s="2"/>
      <c r="Q408" s="2"/>
      <c r="R408" s="2"/>
      <c r="S408" s="2"/>
      <c r="T408" s="2"/>
      <c r="U408" s="2"/>
      <c r="V408" s="2"/>
      <c r="W408" s="2"/>
      <c r="X408" s="2"/>
      <c r="Y408" s="2"/>
      <c r="Z408" s="2"/>
    </row>
    <row r="409" customFormat="false" ht="12" hidden="false" customHeight="true" outlineLevel="0" collapsed="false">
      <c r="A409" s="2"/>
      <c r="B409" s="19"/>
      <c r="C409" s="19"/>
      <c r="D409" s="2"/>
      <c r="E409" s="2"/>
      <c r="F409" s="2"/>
      <c r="G409" s="2"/>
      <c r="H409" s="2"/>
      <c r="I409" s="2"/>
      <c r="J409" s="2"/>
      <c r="K409" s="2"/>
      <c r="L409" s="19"/>
      <c r="M409" s="19"/>
      <c r="N409" s="2"/>
      <c r="O409" s="2"/>
      <c r="P409" s="2"/>
      <c r="Q409" s="2"/>
      <c r="R409" s="2"/>
      <c r="S409" s="2"/>
      <c r="T409" s="2"/>
      <c r="U409" s="2"/>
      <c r="V409" s="2"/>
      <c r="W409" s="2"/>
      <c r="X409" s="2"/>
      <c r="Y409" s="2"/>
      <c r="Z409" s="2"/>
    </row>
    <row r="410" customFormat="false" ht="12" hidden="false" customHeight="true" outlineLevel="0" collapsed="false">
      <c r="A410" s="2"/>
      <c r="B410" s="19"/>
      <c r="C410" s="19"/>
      <c r="D410" s="2"/>
      <c r="E410" s="2"/>
      <c r="F410" s="2"/>
      <c r="G410" s="2"/>
      <c r="H410" s="2"/>
      <c r="I410" s="2"/>
      <c r="J410" s="2"/>
      <c r="K410" s="2"/>
      <c r="L410" s="19"/>
      <c r="M410" s="19"/>
      <c r="N410" s="2"/>
      <c r="O410" s="2"/>
      <c r="P410" s="2"/>
      <c r="Q410" s="2"/>
      <c r="R410" s="2"/>
      <c r="S410" s="2"/>
      <c r="T410" s="2"/>
      <c r="U410" s="2"/>
      <c r="V410" s="2"/>
      <c r="W410" s="2"/>
      <c r="X410" s="2"/>
      <c r="Y410" s="2"/>
      <c r="Z410" s="2"/>
    </row>
    <row r="411" customFormat="false" ht="12" hidden="false" customHeight="true" outlineLevel="0" collapsed="false">
      <c r="A411" s="2"/>
      <c r="B411" s="19"/>
      <c r="C411" s="19"/>
      <c r="D411" s="2"/>
      <c r="E411" s="2"/>
      <c r="F411" s="2"/>
      <c r="G411" s="2"/>
      <c r="H411" s="2"/>
      <c r="I411" s="2"/>
      <c r="J411" s="2"/>
      <c r="K411" s="2"/>
      <c r="L411" s="19"/>
      <c r="M411" s="19"/>
      <c r="N411" s="2"/>
      <c r="O411" s="2"/>
      <c r="P411" s="2"/>
      <c r="Q411" s="2"/>
      <c r="R411" s="2"/>
      <c r="S411" s="2"/>
      <c r="T411" s="2"/>
      <c r="U411" s="2"/>
      <c r="V411" s="2"/>
      <c r="W411" s="2"/>
      <c r="X411" s="2"/>
      <c r="Y411" s="2"/>
      <c r="Z411" s="2"/>
    </row>
    <row r="412" customFormat="false" ht="12" hidden="false" customHeight="true" outlineLevel="0" collapsed="false">
      <c r="A412" s="2"/>
      <c r="B412" s="19"/>
      <c r="C412" s="19"/>
      <c r="D412" s="2"/>
      <c r="E412" s="2"/>
      <c r="F412" s="2"/>
      <c r="G412" s="2"/>
      <c r="H412" s="2"/>
      <c r="I412" s="2"/>
      <c r="J412" s="2"/>
      <c r="K412" s="2"/>
      <c r="L412" s="19"/>
      <c r="M412" s="19"/>
      <c r="N412" s="2"/>
      <c r="O412" s="2"/>
      <c r="P412" s="2"/>
      <c r="Q412" s="2"/>
      <c r="R412" s="2"/>
      <c r="S412" s="2"/>
      <c r="T412" s="2"/>
      <c r="U412" s="2"/>
      <c r="V412" s="2"/>
      <c r="W412" s="2"/>
      <c r="X412" s="2"/>
      <c r="Y412" s="2"/>
      <c r="Z412" s="2"/>
    </row>
    <row r="413" customFormat="false" ht="12" hidden="false" customHeight="true" outlineLevel="0" collapsed="false">
      <c r="A413" s="2"/>
      <c r="B413" s="19"/>
      <c r="C413" s="19"/>
      <c r="D413" s="2"/>
      <c r="E413" s="2"/>
      <c r="F413" s="2"/>
      <c r="G413" s="2"/>
      <c r="H413" s="2"/>
      <c r="I413" s="2"/>
      <c r="J413" s="2"/>
      <c r="K413" s="2"/>
      <c r="L413" s="19"/>
      <c r="M413" s="19"/>
      <c r="N413" s="2"/>
      <c r="O413" s="2"/>
      <c r="P413" s="2"/>
      <c r="Q413" s="2"/>
      <c r="R413" s="2"/>
      <c r="S413" s="2"/>
      <c r="T413" s="2"/>
      <c r="U413" s="2"/>
      <c r="V413" s="2"/>
      <c r="W413" s="2"/>
      <c r="X413" s="2"/>
      <c r="Y413" s="2"/>
      <c r="Z413" s="2"/>
    </row>
    <row r="414" customFormat="false" ht="12" hidden="false" customHeight="true" outlineLevel="0" collapsed="false">
      <c r="A414" s="2"/>
      <c r="B414" s="19"/>
      <c r="C414" s="19"/>
      <c r="D414" s="2"/>
      <c r="E414" s="2"/>
      <c r="F414" s="2"/>
      <c r="G414" s="2"/>
      <c r="H414" s="2"/>
      <c r="I414" s="2"/>
      <c r="J414" s="2"/>
      <c r="K414" s="2"/>
      <c r="L414" s="19"/>
      <c r="M414" s="19"/>
      <c r="N414" s="2"/>
      <c r="O414" s="2"/>
      <c r="P414" s="2"/>
      <c r="Q414" s="2"/>
      <c r="R414" s="2"/>
      <c r="S414" s="2"/>
      <c r="T414" s="2"/>
      <c r="U414" s="2"/>
      <c r="V414" s="2"/>
      <c r="W414" s="2"/>
      <c r="X414" s="2"/>
      <c r="Y414" s="2"/>
      <c r="Z414" s="2"/>
    </row>
    <row r="415" customFormat="false" ht="12" hidden="false" customHeight="true" outlineLevel="0" collapsed="false">
      <c r="A415" s="2"/>
      <c r="B415" s="19"/>
      <c r="C415" s="19"/>
      <c r="D415" s="2"/>
      <c r="E415" s="2"/>
      <c r="F415" s="2"/>
      <c r="G415" s="2"/>
      <c r="H415" s="2"/>
      <c r="I415" s="2"/>
      <c r="J415" s="2"/>
      <c r="K415" s="2"/>
      <c r="L415" s="19"/>
      <c r="M415" s="19"/>
      <c r="N415" s="2"/>
      <c r="O415" s="2"/>
      <c r="P415" s="2"/>
      <c r="Q415" s="2"/>
      <c r="R415" s="2"/>
      <c r="S415" s="2"/>
      <c r="T415" s="2"/>
      <c r="U415" s="2"/>
      <c r="V415" s="2"/>
      <c r="W415" s="2"/>
      <c r="X415" s="2"/>
      <c r="Y415" s="2"/>
      <c r="Z415" s="2"/>
    </row>
    <row r="416" customFormat="false" ht="12" hidden="false" customHeight="true" outlineLevel="0" collapsed="false">
      <c r="A416" s="2"/>
      <c r="B416" s="19"/>
      <c r="C416" s="19"/>
      <c r="D416" s="2"/>
      <c r="E416" s="2"/>
      <c r="F416" s="2"/>
      <c r="G416" s="2"/>
      <c r="H416" s="2"/>
      <c r="I416" s="2"/>
      <c r="J416" s="2"/>
      <c r="K416" s="2"/>
      <c r="L416" s="19"/>
      <c r="M416" s="19"/>
      <c r="N416" s="2"/>
      <c r="O416" s="2"/>
      <c r="P416" s="2"/>
      <c r="Q416" s="2"/>
      <c r="R416" s="2"/>
      <c r="S416" s="2"/>
      <c r="T416" s="2"/>
      <c r="U416" s="2"/>
      <c r="V416" s="2"/>
      <c r="W416" s="2"/>
      <c r="X416" s="2"/>
      <c r="Y416" s="2"/>
      <c r="Z416" s="2"/>
    </row>
    <row r="417" customFormat="false" ht="12" hidden="false" customHeight="true" outlineLevel="0" collapsed="false">
      <c r="A417" s="2"/>
      <c r="B417" s="19"/>
      <c r="C417" s="19"/>
      <c r="D417" s="2"/>
      <c r="E417" s="2"/>
      <c r="F417" s="2"/>
      <c r="G417" s="2"/>
      <c r="H417" s="2"/>
      <c r="I417" s="2"/>
      <c r="J417" s="2"/>
      <c r="K417" s="2"/>
      <c r="L417" s="19"/>
      <c r="M417" s="19"/>
      <c r="N417" s="2"/>
      <c r="O417" s="2"/>
      <c r="P417" s="2"/>
      <c r="Q417" s="2"/>
      <c r="R417" s="2"/>
      <c r="S417" s="2"/>
      <c r="T417" s="2"/>
      <c r="U417" s="2"/>
      <c r="V417" s="2"/>
      <c r="W417" s="2"/>
      <c r="X417" s="2"/>
      <c r="Y417" s="2"/>
      <c r="Z417" s="2"/>
    </row>
    <row r="418" customFormat="false" ht="12" hidden="false" customHeight="true" outlineLevel="0" collapsed="false">
      <c r="A418" s="2"/>
      <c r="B418" s="19"/>
      <c r="C418" s="19"/>
      <c r="D418" s="2"/>
      <c r="E418" s="2"/>
      <c r="F418" s="2"/>
      <c r="G418" s="2"/>
      <c r="H418" s="2"/>
      <c r="I418" s="2"/>
      <c r="J418" s="2"/>
      <c r="K418" s="2"/>
      <c r="L418" s="19"/>
      <c r="M418" s="19"/>
      <c r="N418" s="2"/>
      <c r="O418" s="2"/>
      <c r="P418" s="2"/>
      <c r="Q418" s="2"/>
      <c r="R418" s="2"/>
      <c r="S418" s="2"/>
      <c r="T418" s="2"/>
      <c r="U418" s="2"/>
      <c r="V418" s="2"/>
      <c r="W418" s="2"/>
      <c r="X418" s="2"/>
      <c r="Y418" s="2"/>
      <c r="Z418" s="2"/>
    </row>
    <row r="419" customFormat="false" ht="12" hidden="false" customHeight="true" outlineLevel="0" collapsed="false">
      <c r="A419" s="2"/>
      <c r="B419" s="19"/>
      <c r="C419" s="19"/>
      <c r="D419" s="2"/>
      <c r="E419" s="2"/>
      <c r="F419" s="2"/>
      <c r="G419" s="2"/>
      <c r="H419" s="2"/>
      <c r="I419" s="2"/>
      <c r="J419" s="2"/>
      <c r="K419" s="2"/>
      <c r="L419" s="19"/>
      <c r="M419" s="19"/>
      <c r="N419" s="2"/>
      <c r="O419" s="2"/>
      <c r="P419" s="2"/>
      <c r="Q419" s="2"/>
      <c r="R419" s="2"/>
      <c r="S419" s="2"/>
      <c r="T419" s="2"/>
      <c r="U419" s="2"/>
      <c r="V419" s="2"/>
      <c r="W419" s="2"/>
      <c r="X419" s="2"/>
      <c r="Y419" s="2"/>
      <c r="Z419" s="2"/>
    </row>
    <row r="420" customFormat="false" ht="12" hidden="false" customHeight="true" outlineLevel="0" collapsed="false">
      <c r="A420" s="2"/>
      <c r="B420" s="19"/>
      <c r="C420" s="19"/>
      <c r="D420" s="2"/>
      <c r="E420" s="2"/>
      <c r="F420" s="2"/>
      <c r="G420" s="2"/>
      <c r="H420" s="2"/>
      <c r="I420" s="2"/>
      <c r="J420" s="2"/>
      <c r="K420" s="2"/>
      <c r="L420" s="19"/>
      <c r="M420" s="19"/>
      <c r="N420" s="2"/>
      <c r="O420" s="2"/>
      <c r="P420" s="2"/>
      <c r="Q420" s="2"/>
      <c r="R420" s="2"/>
      <c r="S420" s="2"/>
      <c r="T420" s="2"/>
      <c r="U420" s="2"/>
      <c r="V420" s="2"/>
      <c r="W420" s="2"/>
      <c r="X420" s="2"/>
      <c r="Y420" s="2"/>
      <c r="Z420" s="2"/>
    </row>
    <row r="421" customFormat="false" ht="12" hidden="false" customHeight="true" outlineLevel="0" collapsed="false">
      <c r="A421" s="2"/>
      <c r="B421" s="19"/>
      <c r="C421" s="19"/>
      <c r="D421" s="2"/>
      <c r="E421" s="2"/>
      <c r="F421" s="2"/>
      <c r="G421" s="2"/>
      <c r="H421" s="2"/>
      <c r="I421" s="2"/>
      <c r="J421" s="2"/>
      <c r="K421" s="2"/>
      <c r="L421" s="19"/>
      <c r="M421" s="19"/>
      <c r="N421" s="2"/>
      <c r="O421" s="2"/>
      <c r="P421" s="2"/>
      <c r="Q421" s="2"/>
      <c r="R421" s="2"/>
      <c r="S421" s="2"/>
      <c r="T421" s="2"/>
      <c r="U421" s="2"/>
      <c r="V421" s="2"/>
      <c r="W421" s="2"/>
      <c r="X421" s="2"/>
      <c r="Y421" s="2"/>
      <c r="Z421" s="2"/>
    </row>
    <row r="422" customFormat="false" ht="12" hidden="false" customHeight="true" outlineLevel="0" collapsed="false">
      <c r="A422" s="2"/>
      <c r="B422" s="19"/>
      <c r="C422" s="19"/>
      <c r="D422" s="2"/>
      <c r="E422" s="2"/>
      <c r="F422" s="2"/>
      <c r="G422" s="2"/>
      <c r="H422" s="2"/>
      <c r="I422" s="2"/>
      <c r="J422" s="2"/>
      <c r="K422" s="2"/>
      <c r="L422" s="19"/>
      <c r="M422" s="19"/>
      <c r="N422" s="2"/>
      <c r="O422" s="2"/>
      <c r="P422" s="2"/>
      <c r="Q422" s="2"/>
      <c r="R422" s="2"/>
      <c r="S422" s="2"/>
      <c r="T422" s="2"/>
      <c r="U422" s="2"/>
      <c r="V422" s="2"/>
      <c r="W422" s="2"/>
      <c r="X422" s="2"/>
      <c r="Y422" s="2"/>
      <c r="Z422" s="2"/>
    </row>
    <row r="423" customFormat="false" ht="12" hidden="false" customHeight="true" outlineLevel="0" collapsed="false">
      <c r="A423" s="2"/>
      <c r="B423" s="19"/>
      <c r="C423" s="19"/>
      <c r="D423" s="2"/>
      <c r="E423" s="2"/>
      <c r="F423" s="2"/>
      <c r="G423" s="2"/>
      <c r="H423" s="2"/>
      <c r="I423" s="2"/>
      <c r="J423" s="2"/>
      <c r="K423" s="2"/>
      <c r="L423" s="19"/>
      <c r="M423" s="19"/>
      <c r="N423" s="2"/>
      <c r="O423" s="2"/>
      <c r="P423" s="2"/>
      <c r="Q423" s="2"/>
      <c r="R423" s="2"/>
      <c r="S423" s="2"/>
      <c r="T423" s="2"/>
      <c r="U423" s="2"/>
      <c r="V423" s="2"/>
      <c r="W423" s="2"/>
      <c r="X423" s="2"/>
      <c r="Y423" s="2"/>
      <c r="Z423" s="2"/>
    </row>
    <row r="424" customFormat="false" ht="12" hidden="false" customHeight="true" outlineLevel="0" collapsed="false">
      <c r="A424" s="2"/>
      <c r="B424" s="19"/>
      <c r="C424" s="19"/>
      <c r="D424" s="2"/>
      <c r="E424" s="2"/>
      <c r="F424" s="2"/>
      <c r="G424" s="2"/>
      <c r="H424" s="2"/>
      <c r="I424" s="2"/>
      <c r="J424" s="2"/>
      <c r="K424" s="2"/>
      <c r="L424" s="19"/>
      <c r="M424" s="19"/>
      <c r="N424" s="2"/>
      <c r="O424" s="2"/>
      <c r="P424" s="2"/>
      <c r="Q424" s="2"/>
      <c r="R424" s="2"/>
      <c r="S424" s="2"/>
      <c r="T424" s="2"/>
      <c r="U424" s="2"/>
      <c r="V424" s="2"/>
      <c r="W424" s="2"/>
      <c r="X424" s="2"/>
      <c r="Y424" s="2"/>
      <c r="Z424" s="2"/>
    </row>
    <row r="425" customFormat="false" ht="12" hidden="false" customHeight="true" outlineLevel="0" collapsed="false">
      <c r="A425" s="2"/>
      <c r="B425" s="19"/>
      <c r="C425" s="19"/>
      <c r="D425" s="2"/>
      <c r="E425" s="2"/>
      <c r="F425" s="2"/>
      <c r="G425" s="2"/>
      <c r="H425" s="2"/>
      <c r="I425" s="2"/>
      <c r="J425" s="2"/>
      <c r="K425" s="2"/>
      <c r="L425" s="19"/>
      <c r="M425" s="19"/>
      <c r="N425" s="2"/>
      <c r="O425" s="2"/>
      <c r="P425" s="2"/>
      <c r="Q425" s="2"/>
      <c r="R425" s="2"/>
      <c r="S425" s="2"/>
      <c r="T425" s="2"/>
      <c r="U425" s="2"/>
      <c r="V425" s="2"/>
      <c r="W425" s="2"/>
      <c r="X425" s="2"/>
      <c r="Y425" s="2"/>
      <c r="Z425" s="2"/>
    </row>
    <row r="426" customFormat="false" ht="12" hidden="false" customHeight="true" outlineLevel="0" collapsed="false">
      <c r="A426" s="2"/>
      <c r="B426" s="19"/>
      <c r="C426" s="19"/>
      <c r="D426" s="2"/>
      <c r="E426" s="2"/>
      <c r="F426" s="2"/>
      <c r="G426" s="2"/>
      <c r="H426" s="2"/>
      <c r="I426" s="2"/>
      <c r="J426" s="2"/>
      <c r="K426" s="2"/>
      <c r="L426" s="19"/>
      <c r="M426" s="19"/>
      <c r="N426" s="2"/>
      <c r="O426" s="2"/>
      <c r="P426" s="2"/>
      <c r="Q426" s="2"/>
      <c r="R426" s="2"/>
      <c r="S426" s="2"/>
      <c r="T426" s="2"/>
      <c r="U426" s="2"/>
      <c r="V426" s="2"/>
      <c r="W426" s="2"/>
      <c r="X426" s="2"/>
      <c r="Y426" s="2"/>
      <c r="Z426" s="2"/>
    </row>
    <row r="427" customFormat="false" ht="12" hidden="false" customHeight="true" outlineLevel="0" collapsed="false">
      <c r="A427" s="2"/>
      <c r="B427" s="19"/>
      <c r="C427" s="19"/>
      <c r="D427" s="2"/>
      <c r="E427" s="2"/>
      <c r="F427" s="2"/>
      <c r="G427" s="2"/>
      <c r="H427" s="2"/>
      <c r="I427" s="2"/>
      <c r="J427" s="2"/>
      <c r="K427" s="2"/>
      <c r="L427" s="19"/>
      <c r="M427" s="19"/>
      <c r="N427" s="2"/>
      <c r="O427" s="2"/>
      <c r="P427" s="2"/>
      <c r="Q427" s="2"/>
      <c r="R427" s="2"/>
      <c r="S427" s="2"/>
      <c r="T427" s="2"/>
      <c r="U427" s="2"/>
      <c r="V427" s="2"/>
      <c r="W427" s="2"/>
      <c r="X427" s="2"/>
      <c r="Y427" s="2"/>
      <c r="Z427" s="2"/>
    </row>
    <row r="428" customFormat="false" ht="12" hidden="false" customHeight="true" outlineLevel="0" collapsed="false">
      <c r="A428" s="2"/>
      <c r="B428" s="19"/>
      <c r="C428" s="19"/>
      <c r="D428" s="2"/>
      <c r="E428" s="2"/>
      <c r="F428" s="2"/>
      <c r="G428" s="2"/>
      <c r="H428" s="2"/>
      <c r="I428" s="2"/>
      <c r="J428" s="2"/>
      <c r="K428" s="2"/>
      <c r="L428" s="19"/>
      <c r="M428" s="19"/>
      <c r="N428" s="2"/>
      <c r="O428" s="2"/>
      <c r="P428" s="2"/>
      <c r="Q428" s="2"/>
      <c r="R428" s="2"/>
      <c r="S428" s="2"/>
      <c r="T428" s="2"/>
      <c r="U428" s="2"/>
      <c r="V428" s="2"/>
      <c r="W428" s="2"/>
      <c r="X428" s="2"/>
      <c r="Y428" s="2"/>
      <c r="Z428" s="2"/>
    </row>
    <row r="429" customFormat="false" ht="12" hidden="false" customHeight="true" outlineLevel="0" collapsed="false">
      <c r="A429" s="2"/>
      <c r="B429" s="19"/>
      <c r="C429" s="19"/>
      <c r="D429" s="2"/>
      <c r="E429" s="2"/>
      <c r="F429" s="2"/>
      <c r="G429" s="2"/>
      <c r="H429" s="2"/>
      <c r="I429" s="2"/>
      <c r="J429" s="2"/>
      <c r="K429" s="2"/>
      <c r="L429" s="19"/>
      <c r="M429" s="19"/>
      <c r="N429" s="2"/>
      <c r="O429" s="2"/>
      <c r="P429" s="2"/>
      <c r="Q429" s="2"/>
      <c r="R429" s="2"/>
      <c r="S429" s="2"/>
      <c r="T429" s="2"/>
      <c r="U429" s="2"/>
      <c r="V429" s="2"/>
      <c r="W429" s="2"/>
      <c r="X429" s="2"/>
      <c r="Y429" s="2"/>
      <c r="Z429" s="2"/>
    </row>
    <row r="430" customFormat="false" ht="12" hidden="false" customHeight="true" outlineLevel="0" collapsed="false">
      <c r="A430" s="2"/>
      <c r="B430" s="19"/>
      <c r="C430" s="19"/>
      <c r="D430" s="2"/>
      <c r="E430" s="2"/>
      <c r="F430" s="2"/>
      <c r="G430" s="2"/>
      <c r="H430" s="2"/>
      <c r="I430" s="2"/>
      <c r="J430" s="2"/>
      <c r="K430" s="2"/>
      <c r="L430" s="19"/>
      <c r="M430" s="19"/>
      <c r="N430" s="2"/>
      <c r="O430" s="2"/>
      <c r="P430" s="2"/>
      <c r="Q430" s="2"/>
      <c r="R430" s="2"/>
      <c r="S430" s="2"/>
      <c r="T430" s="2"/>
      <c r="U430" s="2"/>
      <c r="V430" s="2"/>
      <c r="W430" s="2"/>
      <c r="X430" s="2"/>
      <c r="Y430" s="2"/>
      <c r="Z430" s="2"/>
    </row>
    <row r="431" customFormat="false" ht="12" hidden="false" customHeight="true" outlineLevel="0" collapsed="false">
      <c r="A431" s="2"/>
      <c r="B431" s="19"/>
      <c r="C431" s="19"/>
      <c r="D431" s="2"/>
      <c r="E431" s="2"/>
      <c r="F431" s="2"/>
      <c r="G431" s="2"/>
      <c r="H431" s="2"/>
      <c r="I431" s="2"/>
      <c r="J431" s="2"/>
      <c r="K431" s="2"/>
      <c r="L431" s="19"/>
      <c r="M431" s="19"/>
      <c r="N431" s="2"/>
      <c r="O431" s="2"/>
      <c r="P431" s="2"/>
      <c r="Q431" s="2"/>
      <c r="R431" s="2"/>
      <c r="S431" s="2"/>
      <c r="T431" s="2"/>
      <c r="U431" s="2"/>
      <c r="V431" s="2"/>
      <c r="W431" s="2"/>
      <c r="X431" s="2"/>
      <c r="Y431" s="2"/>
      <c r="Z431" s="2"/>
    </row>
    <row r="432" customFormat="false" ht="12" hidden="false" customHeight="true" outlineLevel="0" collapsed="false">
      <c r="A432" s="2"/>
      <c r="B432" s="19"/>
      <c r="C432" s="19"/>
      <c r="D432" s="2"/>
      <c r="E432" s="2"/>
      <c r="F432" s="2"/>
      <c r="G432" s="2"/>
      <c r="H432" s="2"/>
      <c r="I432" s="2"/>
      <c r="J432" s="2"/>
      <c r="K432" s="2"/>
      <c r="L432" s="19"/>
      <c r="M432" s="19"/>
      <c r="N432" s="2"/>
      <c r="O432" s="2"/>
      <c r="P432" s="2"/>
      <c r="Q432" s="2"/>
      <c r="R432" s="2"/>
      <c r="S432" s="2"/>
      <c r="T432" s="2"/>
      <c r="U432" s="2"/>
      <c r="V432" s="2"/>
      <c r="W432" s="2"/>
      <c r="X432" s="2"/>
      <c r="Y432" s="2"/>
      <c r="Z432" s="2"/>
    </row>
    <row r="433" customFormat="false" ht="12" hidden="false" customHeight="true" outlineLevel="0" collapsed="false">
      <c r="A433" s="2"/>
      <c r="B433" s="19"/>
      <c r="C433" s="19"/>
      <c r="D433" s="2"/>
      <c r="E433" s="2"/>
      <c r="F433" s="2"/>
      <c r="G433" s="2"/>
      <c r="H433" s="2"/>
      <c r="I433" s="2"/>
      <c r="J433" s="2"/>
      <c r="K433" s="2"/>
      <c r="L433" s="19"/>
      <c r="M433" s="19"/>
      <c r="N433" s="2"/>
      <c r="O433" s="2"/>
      <c r="P433" s="2"/>
      <c r="Q433" s="2"/>
      <c r="R433" s="2"/>
      <c r="S433" s="2"/>
      <c r="T433" s="2"/>
      <c r="U433" s="2"/>
      <c r="V433" s="2"/>
      <c r="W433" s="2"/>
      <c r="X433" s="2"/>
      <c r="Y433" s="2"/>
      <c r="Z433" s="2"/>
    </row>
    <row r="434" customFormat="false" ht="12" hidden="false" customHeight="true" outlineLevel="0" collapsed="false">
      <c r="A434" s="2"/>
      <c r="B434" s="19"/>
      <c r="C434" s="19"/>
      <c r="D434" s="2"/>
      <c r="E434" s="2"/>
      <c r="F434" s="2"/>
      <c r="G434" s="2"/>
      <c r="H434" s="2"/>
      <c r="I434" s="2"/>
      <c r="J434" s="2"/>
      <c r="K434" s="2"/>
      <c r="L434" s="19"/>
      <c r="M434" s="19"/>
      <c r="N434" s="2"/>
      <c r="O434" s="2"/>
      <c r="P434" s="2"/>
      <c r="Q434" s="2"/>
      <c r="R434" s="2"/>
      <c r="S434" s="2"/>
      <c r="T434" s="2"/>
      <c r="U434" s="2"/>
      <c r="V434" s="2"/>
      <c r="W434" s="2"/>
      <c r="X434" s="2"/>
      <c r="Y434" s="2"/>
      <c r="Z434" s="2"/>
    </row>
    <row r="435" customFormat="false" ht="12" hidden="false" customHeight="true" outlineLevel="0" collapsed="false">
      <c r="A435" s="2"/>
      <c r="B435" s="19"/>
      <c r="C435" s="19"/>
      <c r="D435" s="2"/>
      <c r="E435" s="2"/>
      <c r="F435" s="2"/>
      <c r="G435" s="2"/>
      <c r="H435" s="2"/>
      <c r="I435" s="2"/>
      <c r="J435" s="2"/>
      <c r="K435" s="2"/>
      <c r="L435" s="19"/>
      <c r="M435" s="19"/>
      <c r="N435" s="2"/>
      <c r="O435" s="2"/>
      <c r="P435" s="2"/>
      <c r="Q435" s="2"/>
      <c r="R435" s="2"/>
      <c r="S435" s="2"/>
      <c r="T435" s="2"/>
      <c r="U435" s="2"/>
      <c r="V435" s="2"/>
      <c r="W435" s="2"/>
      <c r="X435" s="2"/>
      <c r="Y435" s="2"/>
      <c r="Z435" s="2"/>
    </row>
    <row r="436" customFormat="false" ht="12" hidden="false" customHeight="true" outlineLevel="0" collapsed="false">
      <c r="A436" s="2"/>
      <c r="B436" s="19"/>
      <c r="C436" s="19"/>
      <c r="D436" s="2"/>
      <c r="E436" s="2"/>
      <c r="F436" s="2"/>
      <c r="G436" s="2"/>
      <c r="H436" s="2"/>
      <c r="I436" s="2"/>
      <c r="J436" s="2"/>
      <c r="K436" s="2"/>
      <c r="L436" s="19"/>
      <c r="M436" s="19"/>
      <c r="N436" s="2"/>
      <c r="O436" s="2"/>
      <c r="P436" s="2"/>
      <c r="Q436" s="2"/>
      <c r="R436" s="2"/>
      <c r="S436" s="2"/>
      <c r="T436" s="2"/>
      <c r="U436" s="2"/>
      <c r="V436" s="2"/>
      <c r="W436" s="2"/>
      <c r="X436" s="2"/>
      <c r="Y436" s="2"/>
      <c r="Z436" s="2"/>
    </row>
    <row r="437" customFormat="false" ht="12" hidden="false" customHeight="true" outlineLevel="0" collapsed="false">
      <c r="A437" s="2"/>
      <c r="B437" s="19"/>
      <c r="C437" s="19"/>
      <c r="D437" s="2"/>
      <c r="E437" s="2"/>
      <c r="F437" s="2"/>
      <c r="G437" s="2"/>
      <c r="H437" s="2"/>
      <c r="I437" s="2"/>
      <c r="J437" s="2"/>
      <c r="K437" s="2"/>
      <c r="L437" s="19"/>
      <c r="M437" s="19"/>
      <c r="N437" s="2"/>
      <c r="O437" s="2"/>
      <c r="P437" s="2"/>
      <c r="Q437" s="2"/>
      <c r="R437" s="2"/>
      <c r="S437" s="2"/>
      <c r="T437" s="2"/>
      <c r="U437" s="2"/>
      <c r="V437" s="2"/>
      <c r="W437" s="2"/>
      <c r="X437" s="2"/>
      <c r="Y437" s="2"/>
      <c r="Z437" s="2"/>
    </row>
    <row r="438" customFormat="false" ht="12" hidden="false" customHeight="true" outlineLevel="0" collapsed="false">
      <c r="A438" s="2"/>
      <c r="B438" s="19"/>
      <c r="C438" s="19"/>
      <c r="D438" s="2"/>
      <c r="E438" s="2"/>
      <c r="F438" s="2"/>
      <c r="G438" s="2"/>
      <c r="H438" s="2"/>
      <c r="I438" s="2"/>
      <c r="J438" s="2"/>
      <c r="K438" s="2"/>
      <c r="L438" s="19"/>
      <c r="M438" s="19"/>
      <c r="N438" s="2"/>
      <c r="O438" s="2"/>
      <c r="P438" s="2"/>
      <c r="Q438" s="2"/>
      <c r="R438" s="2"/>
      <c r="S438" s="2"/>
      <c r="T438" s="2"/>
      <c r="U438" s="2"/>
      <c r="V438" s="2"/>
      <c r="W438" s="2"/>
      <c r="X438" s="2"/>
      <c r="Y438" s="2"/>
      <c r="Z438" s="2"/>
    </row>
    <row r="439" customFormat="false" ht="12" hidden="false" customHeight="true" outlineLevel="0" collapsed="false">
      <c r="A439" s="2"/>
      <c r="B439" s="19"/>
      <c r="C439" s="19"/>
      <c r="D439" s="2"/>
      <c r="E439" s="2"/>
      <c r="F439" s="2"/>
      <c r="G439" s="2"/>
      <c r="H439" s="2"/>
      <c r="I439" s="2"/>
      <c r="J439" s="2"/>
      <c r="K439" s="2"/>
      <c r="L439" s="19"/>
      <c r="M439" s="19"/>
      <c r="N439" s="2"/>
      <c r="O439" s="2"/>
      <c r="P439" s="2"/>
      <c r="Q439" s="2"/>
      <c r="R439" s="2"/>
      <c r="S439" s="2"/>
      <c r="T439" s="2"/>
      <c r="U439" s="2"/>
      <c r="V439" s="2"/>
      <c r="W439" s="2"/>
      <c r="X439" s="2"/>
      <c r="Y439" s="2"/>
      <c r="Z439" s="2"/>
    </row>
    <row r="440" customFormat="false" ht="12" hidden="false" customHeight="true" outlineLevel="0" collapsed="false">
      <c r="A440" s="2"/>
      <c r="B440" s="19"/>
      <c r="C440" s="19"/>
      <c r="D440" s="2"/>
      <c r="E440" s="2"/>
      <c r="F440" s="2"/>
      <c r="G440" s="2"/>
      <c r="H440" s="2"/>
      <c r="I440" s="2"/>
      <c r="J440" s="2"/>
      <c r="K440" s="2"/>
      <c r="L440" s="19"/>
      <c r="M440" s="19"/>
      <c r="N440" s="2"/>
      <c r="O440" s="2"/>
      <c r="P440" s="2"/>
      <c r="Q440" s="2"/>
      <c r="R440" s="2"/>
      <c r="S440" s="2"/>
      <c r="T440" s="2"/>
      <c r="U440" s="2"/>
      <c r="V440" s="2"/>
      <c r="W440" s="2"/>
      <c r="X440" s="2"/>
      <c r="Y440" s="2"/>
      <c r="Z440" s="2"/>
    </row>
    <row r="441" customFormat="false" ht="12" hidden="false" customHeight="true" outlineLevel="0" collapsed="false">
      <c r="A441" s="2"/>
      <c r="B441" s="19"/>
      <c r="C441" s="19"/>
      <c r="D441" s="2"/>
      <c r="E441" s="2"/>
      <c r="F441" s="2"/>
      <c r="G441" s="2"/>
      <c r="H441" s="2"/>
      <c r="I441" s="2"/>
      <c r="J441" s="2"/>
      <c r="K441" s="2"/>
      <c r="L441" s="19"/>
      <c r="M441" s="19"/>
      <c r="N441" s="2"/>
      <c r="O441" s="2"/>
      <c r="P441" s="2"/>
      <c r="Q441" s="2"/>
      <c r="R441" s="2"/>
      <c r="S441" s="2"/>
      <c r="T441" s="2"/>
      <c r="U441" s="2"/>
      <c r="V441" s="2"/>
      <c r="W441" s="2"/>
      <c r="X441" s="2"/>
      <c r="Y441" s="2"/>
      <c r="Z441" s="2"/>
    </row>
    <row r="442" customFormat="false" ht="12" hidden="false" customHeight="true" outlineLevel="0" collapsed="false">
      <c r="A442" s="2"/>
      <c r="B442" s="19"/>
      <c r="C442" s="19"/>
      <c r="D442" s="2"/>
      <c r="E442" s="2"/>
      <c r="F442" s="2"/>
      <c r="G442" s="2"/>
      <c r="H442" s="2"/>
      <c r="I442" s="2"/>
      <c r="J442" s="2"/>
      <c r="K442" s="2"/>
      <c r="L442" s="19"/>
      <c r="M442" s="19"/>
      <c r="N442" s="2"/>
      <c r="O442" s="2"/>
      <c r="P442" s="2"/>
      <c r="Q442" s="2"/>
      <c r="R442" s="2"/>
      <c r="S442" s="2"/>
      <c r="T442" s="2"/>
      <c r="U442" s="2"/>
      <c r="V442" s="2"/>
      <c r="W442" s="2"/>
      <c r="X442" s="2"/>
      <c r="Y442" s="2"/>
      <c r="Z442" s="2"/>
    </row>
    <row r="443" customFormat="false" ht="12" hidden="false" customHeight="true" outlineLevel="0" collapsed="false">
      <c r="A443" s="2"/>
      <c r="B443" s="19"/>
      <c r="C443" s="19"/>
      <c r="D443" s="2"/>
      <c r="E443" s="2"/>
      <c r="F443" s="2"/>
      <c r="G443" s="2"/>
      <c r="H443" s="2"/>
      <c r="I443" s="2"/>
      <c r="J443" s="2"/>
      <c r="K443" s="2"/>
      <c r="L443" s="19"/>
      <c r="M443" s="19"/>
      <c r="N443" s="2"/>
      <c r="O443" s="2"/>
      <c r="P443" s="2"/>
      <c r="Q443" s="2"/>
      <c r="R443" s="2"/>
      <c r="S443" s="2"/>
      <c r="T443" s="2"/>
      <c r="U443" s="2"/>
      <c r="V443" s="2"/>
      <c r="W443" s="2"/>
      <c r="X443" s="2"/>
      <c r="Y443" s="2"/>
      <c r="Z443" s="2"/>
    </row>
    <row r="444" customFormat="false" ht="12" hidden="false" customHeight="true" outlineLevel="0" collapsed="false">
      <c r="A444" s="2"/>
      <c r="B444" s="19"/>
      <c r="C444" s="19"/>
      <c r="D444" s="2"/>
      <c r="E444" s="2"/>
      <c r="F444" s="2"/>
      <c r="G444" s="2"/>
      <c r="H444" s="2"/>
      <c r="I444" s="2"/>
      <c r="J444" s="2"/>
      <c r="K444" s="2"/>
      <c r="L444" s="19"/>
      <c r="M444" s="19"/>
      <c r="N444" s="2"/>
      <c r="O444" s="2"/>
      <c r="P444" s="2"/>
      <c r="Q444" s="2"/>
      <c r="R444" s="2"/>
      <c r="S444" s="2"/>
      <c r="T444" s="2"/>
      <c r="U444" s="2"/>
      <c r="V444" s="2"/>
      <c r="W444" s="2"/>
      <c r="X444" s="2"/>
      <c r="Y444" s="2"/>
      <c r="Z444" s="2"/>
    </row>
    <row r="445" customFormat="false" ht="12" hidden="false" customHeight="true" outlineLevel="0" collapsed="false">
      <c r="A445" s="2"/>
      <c r="B445" s="19"/>
      <c r="C445" s="19"/>
      <c r="D445" s="2"/>
      <c r="E445" s="2"/>
      <c r="F445" s="2"/>
      <c r="G445" s="2"/>
      <c r="H445" s="2"/>
      <c r="I445" s="2"/>
      <c r="J445" s="2"/>
      <c r="K445" s="2"/>
      <c r="L445" s="19"/>
      <c r="M445" s="19"/>
      <c r="N445" s="2"/>
      <c r="O445" s="2"/>
      <c r="P445" s="2"/>
      <c r="Q445" s="2"/>
      <c r="R445" s="2"/>
      <c r="S445" s="2"/>
      <c r="T445" s="2"/>
      <c r="U445" s="2"/>
      <c r="V445" s="2"/>
      <c r="W445" s="2"/>
      <c r="X445" s="2"/>
      <c r="Y445" s="2"/>
      <c r="Z445" s="2"/>
    </row>
    <row r="446" customFormat="false" ht="12" hidden="false" customHeight="true" outlineLevel="0" collapsed="false">
      <c r="A446" s="2"/>
      <c r="B446" s="19"/>
      <c r="C446" s="19"/>
      <c r="D446" s="2"/>
      <c r="E446" s="2"/>
      <c r="F446" s="2"/>
      <c r="G446" s="2"/>
      <c r="H446" s="2"/>
      <c r="I446" s="2"/>
      <c r="J446" s="2"/>
      <c r="K446" s="2"/>
      <c r="L446" s="19"/>
      <c r="M446" s="19"/>
      <c r="N446" s="2"/>
      <c r="O446" s="2"/>
      <c r="P446" s="2"/>
      <c r="Q446" s="2"/>
      <c r="R446" s="2"/>
      <c r="S446" s="2"/>
      <c r="T446" s="2"/>
      <c r="U446" s="2"/>
      <c r="V446" s="2"/>
      <c r="W446" s="2"/>
      <c r="X446" s="2"/>
      <c r="Y446" s="2"/>
      <c r="Z446" s="2"/>
    </row>
    <row r="447" customFormat="false" ht="12" hidden="false" customHeight="true" outlineLevel="0" collapsed="false">
      <c r="A447" s="2"/>
      <c r="B447" s="19"/>
      <c r="C447" s="19"/>
      <c r="D447" s="2"/>
      <c r="E447" s="2"/>
      <c r="F447" s="2"/>
      <c r="G447" s="2"/>
      <c r="H447" s="2"/>
      <c r="I447" s="2"/>
      <c r="J447" s="2"/>
      <c r="K447" s="2"/>
      <c r="L447" s="19"/>
      <c r="M447" s="19"/>
      <c r="N447" s="2"/>
      <c r="O447" s="2"/>
      <c r="P447" s="2"/>
      <c r="Q447" s="2"/>
      <c r="R447" s="2"/>
      <c r="S447" s="2"/>
      <c r="T447" s="2"/>
      <c r="U447" s="2"/>
      <c r="V447" s="2"/>
      <c r="W447" s="2"/>
      <c r="X447" s="2"/>
      <c r="Y447" s="2"/>
      <c r="Z447" s="2"/>
    </row>
    <row r="448" customFormat="false" ht="12" hidden="false" customHeight="true" outlineLevel="0" collapsed="false">
      <c r="A448" s="2"/>
      <c r="B448" s="19"/>
      <c r="C448" s="19"/>
      <c r="D448" s="2"/>
      <c r="E448" s="2"/>
      <c r="F448" s="2"/>
      <c r="G448" s="2"/>
      <c r="H448" s="2"/>
      <c r="I448" s="2"/>
      <c r="J448" s="2"/>
      <c r="K448" s="2"/>
      <c r="L448" s="19"/>
      <c r="M448" s="19"/>
      <c r="N448" s="2"/>
      <c r="O448" s="2"/>
      <c r="P448" s="2"/>
      <c r="Q448" s="2"/>
      <c r="R448" s="2"/>
      <c r="S448" s="2"/>
      <c r="T448" s="2"/>
      <c r="U448" s="2"/>
      <c r="V448" s="2"/>
      <c r="W448" s="2"/>
      <c r="X448" s="2"/>
      <c r="Y448" s="2"/>
      <c r="Z448" s="2"/>
    </row>
    <row r="449" customFormat="false" ht="12" hidden="false" customHeight="true" outlineLevel="0" collapsed="false">
      <c r="A449" s="2"/>
      <c r="B449" s="19"/>
      <c r="C449" s="19"/>
      <c r="D449" s="2"/>
      <c r="E449" s="2"/>
      <c r="F449" s="2"/>
      <c r="G449" s="2"/>
      <c r="H449" s="2"/>
      <c r="I449" s="2"/>
      <c r="J449" s="2"/>
      <c r="K449" s="2"/>
      <c r="L449" s="19"/>
      <c r="M449" s="19"/>
      <c r="N449" s="2"/>
      <c r="O449" s="2"/>
      <c r="P449" s="2"/>
      <c r="Q449" s="2"/>
      <c r="R449" s="2"/>
      <c r="S449" s="2"/>
      <c r="T449" s="2"/>
      <c r="U449" s="2"/>
      <c r="V449" s="2"/>
      <c r="W449" s="2"/>
      <c r="X449" s="2"/>
      <c r="Y449" s="2"/>
      <c r="Z449" s="2"/>
    </row>
    <row r="450" customFormat="false" ht="12" hidden="false" customHeight="true" outlineLevel="0" collapsed="false">
      <c r="A450" s="2"/>
      <c r="B450" s="19"/>
      <c r="C450" s="19"/>
      <c r="D450" s="2"/>
      <c r="E450" s="2"/>
      <c r="F450" s="2"/>
      <c r="G450" s="2"/>
      <c r="H450" s="2"/>
      <c r="I450" s="2"/>
      <c r="J450" s="2"/>
      <c r="K450" s="2"/>
      <c r="L450" s="19"/>
      <c r="M450" s="19"/>
      <c r="N450" s="2"/>
      <c r="O450" s="2"/>
      <c r="P450" s="2"/>
      <c r="Q450" s="2"/>
      <c r="R450" s="2"/>
      <c r="S450" s="2"/>
      <c r="T450" s="2"/>
      <c r="U450" s="2"/>
      <c r="V450" s="2"/>
      <c r="W450" s="2"/>
      <c r="X450" s="2"/>
      <c r="Y450" s="2"/>
      <c r="Z450" s="2"/>
    </row>
    <row r="451" customFormat="false" ht="12" hidden="false" customHeight="true" outlineLevel="0" collapsed="false">
      <c r="A451" s="2"/>
      <c r="B451" s="19"/>
      <c r="C451" s="19"/>
      <c r="D451" s="2"/>
      <c r="E451" s="2"/>
      <c r="F451" s="2"/>
      <c r="G451" s="2"/>
      <c r="H451" s="2"/>
      <c r="I451" s="2"/>
      <c r="J451" s="2"/>
      <c r="K451" s="2"/>
      <c r="L451" s="19"/>
      <c r="M451" s="19"/>
      <c r="N451" s="2"/>
      <c r="O451" s="2"/>
      <c r="P451" s="2"/>
      <c r="Q451" s="2"/>
      <c r="R451" s="2"/>
      <c r="S451" s="2"/>
      <c r="T451" s="2"/>
      <c r="U451" s="2"/>
      <c r="V451" s="2"/>
      <c r="W451" s="2"/>
      <c r="X451" s="2"/>
      <c r="Y451" s="2"/>
      <c r="Z451" s="2"/>
    </row>
    <row r="452" customFormat="false" ht="12" hidden="false" customHeight="true" outlineLevel="0" collapsed="false">
      <c r="A452" s="2"/>
      <c r="B452" s="19"/>
      <c r="C452" s="19"/>
      <c r="D452" s="2"/>
      <c r="E452" s="2"/>
      <c r="F452" s="2"/>
      <c r="G452" s="2"/>
      <c r="H452" s="2"/>
      <c r="I452" s="2"/>
      <c r="J452" s="2"/>
      <c r="K452" s="2"/>
      <c r="L452" s="19"/>
      <c r="M452" s="19"/>
      <c r="N452" s="2"/>
      <c r="O452" s="2"/>
      <c r="P452" s="2"/>
      <c r="Q452" s="2"/>
      <c r="R452" s="2"/>
      <c r="S452" s="2"/>
      <c r="T452" s="2"/>
      <c r="U452" s="2"/>
      <c r="V452" s="2"/>
      <c r="W452" s="2"/>
      <c r="X452" s="2"/>
      <c r="Y452" s="2"/>
      <c r="Z452" s="2"/>
    </row>
    <row r="453" customFormat="false" ht="12" hidden="false" customHeight="true" outlineLevel="0" collapsed="false">
      <c r="A453" s="2"/>
      <c r="B453" s="19"/>
      <c r="C453" s="19"/>
      <c r="D453" s="2"/>
      <c r="E453" s="2"/>
      <c r="F453" s="2"/>
      <c r="G453" s="2"/>
      <c r="H453" s="2"/>
      <c r="I453" s="2"/>
      <c r="J453" s="2"/>
      <c r="K453" s="2"/>
      <c r="L453" s="19"/>
      <c r="M453" s="19"/>
      <c r="N453" s="2"/>
      <c r="O453" s="2"/>
      <c r="P453" s="2"/>
      <c r="Q453" s="2"/>
      <c r="R453" s="2"/>
      <c r="S453" s="2"/>
      <c r="T453" s="2"/>
      <c r="U453" s="2"/>
      <c r="V453" s="2"/>
      <c r="W453" s="2"/>
      <c r="X453" s="2"/>
      <c r="Y453" s="2"/>
      <c r="Z453" s="2"/>
    </row>
    <row r="454" customFormat="false" ht="12" hidden="false" customHeight="true" outlineLevel="0" collapsed="false">
      <c r="A454" s="2"/>
      <c r="B454" s="19"/>
      <c r="C454" s="19"/>
      <c r="D454" s="2"/>
      <c r="E454" s="2"/>
      <c r="F454" s="2"/>
      <c r="G454" s="2"/>
      <c r="H454" s="2"/>
      <c r="I454" s="2"/>
      <c r="J454" s="2"/>
      <c r="K454" s="2"/>
      <c r="L454" s="19"/>
      <c r="M454" s="19"/>
      <c r="N454" s="2"/>
      <c r="O454" s="2"/>
      <c r="P454" s="2"/>
      <c r="Q454" s="2"/>
      <c r="R454" s="2"/>
      <c r="S454" s="2"/>
      <c r="T454" s="2"/>
      <c r="U454" s="2"/>
      <c r="V454" s="2"/>
      <c r="W454" s="2"/>
      <c r="X454" s="2"/>
      <c r="Y454" s="2"/>
      <c r="Z454" s="2"/>
    </row>
    <row r="455" customFormat="false" ht="12" hidden="false" customHeight="true" outlineLevel="0" collapsed="false">
      <c r="A455" s="2"/>
      <c r="B455" s="19"/>
      <c r="C455" s="19"/>
      <c r="D455" s="2"/>
      <c r="E455" s="2"/>
      <c r="F455" s="2"/>
      <c r="G455" s="2"/>
      <c r="H455" s="2"/>
      <c r="I455" s="2"/>
      <c r="J455" s="2"/>
      <c r="K455" s="2"/>
      <c r="L455" s="19"/>
      <c r="M455" s="19"/>
      <c r="N455" s="2"/>
      <c r="O455" s="2"/>
      <c r="P455" s="2"/>
      <c r="Q455" s="2"/>
      <c r="R455" s="2"/>
      <c r="S455" s="2"/>
      <c r="T455" s="2"/>
      <c r="U455" s="2"/>
      <c r="V455" s="2"/>
      <c r="W455" s="2"/>
      <c r="X455" s="2"/>
      <c r="Y455" s="2"/>
      <c r="Z455" s="2"/>
    </row>
    <row r="456" customFormat="false" ht="12" hidden="false" customHeight="true" outlineLevel="0" collapsed="false">
      <c r="A456" s="2"/>
      <c r="B456" s="19"/>
      <c r="C456" s="19"/>
      <c r="D456" s="2"/>
      <c r="E456" s="2"/>
      <c r="F456" s="2"/>
      <c r="G456" s="2"/>
      <c r="H456" s="2"/>
      <c r="I456" s="2"/>
      <c r="J456" s="2"/>
      <c r="K456" s="2"/>
      <c r="L456" s="19"/>
      <c r="M456" s="19"/>
      <c r="N456" s="2"/>
      <c r="O456" s="2"/>
      <c r="P456" s="2"/>
      <c r="Q456" s="2"/>
      <c r="R456" s="2"/>
      <c r="S456" s="2"/>
      <c r="T456" s="2"/>
      <c r="U456" s="2"/>
      <c r="V456" s="2"/>
      <c r="W456" s="2"/>
      <c r="X456" s="2"/>
      <c r="Y456" s="2"/>
      <c r="Z456" s="2"/>
    </row>
    <row r="457" customFormat="false" ht="12" hidden="false" customHeight="true" outlineLevel="0" collapsed="false">
      <c r="A457" s="2"/>
      <c r="B457" s="19"/>
      <c r="C457" s="19"/>
      <c r="D457" s="2"/>
      <c r="E457" s="2"/>
      <c r="F457" s="2"/>
      <c r="G457" s="2"/>
      <c r="H457" s="2"/>
      <c r="I457" s="2"/>
      <c r="J457" s="2"/>
      <c r="K457" s="2"/>
      <c r="L457" s="19"/>
      <c r="M457" s="19"/>
      <c r="N457" s="2"/>
      <c r="O457" s="2"/>
      <c r="P457" s="2"/>
      <c r="Q457" s="2"/>
      <c r="R457" s="2"/>
      <c r="S457" s="2"/>
      <c r="T457" s="2"/>
      <c r="U457" s="2"/>
      <c r="V457" s="2"/>
      <c r="W457" s="2"/>
      <c r="X457" s="2"/>
      <c r="Y457" s="2"/>
      <c r="Z457" s="2"/>
    </row>
    <row r="458" customFormat="false" ht="12" hidden="false" customHeight="true" outlineLevel="0" collapsed="false">
      <c r="A458" s="2"/>
      <c r="B458" s="19"/>
      <c r="C458" s="19"/>
      <c r="D458" s="2"/>
      <c r="E458" s="2"/>
      <c r="F458" s="2"/>
      <c r="G458" s="2"/>
      <c r="H458" s="2"/>
      <c r="I458" s="2"/>
      <c r="J458" s="2"/>
      <c r="K458" s="2"/>
      <c r="L458" s="19"/>
      <c r="M458" s="19"/>
      <c r="N458" s="2"/>
      <c r="O458" s="2"/>
      <c r="P458" s="2"/>
      <c r="Q458" s="2"/>
      <c r="R458" s="2"/>
      <c r="S458" s="2"/>
      <c r="T458" s="2"/>
      <c r="U458" s="2"/>
      <c r="V458" s="2"/>
      <c r="W458" s="2"/>
      <c r="X458" s="2"/>
      <c r="Y458" s="2"/>
      <c r="Z458" s="2"/>
    </row>
    <row r="459" customFormat="false" ht="12" hidden="false" customHeight="true" outlineLevel="0" collapsed="false">
      <c r="A459" s="2"/>
      <c r="B459" s="19"/>
      <c r="C459" s="19"/>
      <c r="D459" s="2"/>
      <c r="E459" s="2"/>
      <c r="F459" s="2"/>
      <c r="G459" s="2"/>
      <c r="H459" s="2"/>
      <c r="I459" s="2"/>
      <c r="J459" s="2"/>
      <c r="K459" s="2"/>
      <c r="L459" s="19"/>
      <c r="M459" s="19"/>
      <c r="N459" s="2"/>
      <c r="O459" s="2"/>
      <c r="P459" s="2"/>
      <c r="Q459" s="2"/>
      <c r="R459" s="2"/>
      <c r="S459" s="2"/>
      <c r="T459" s="2"/>
      <c r="U459" s="2"/>
      <c r="V459" s="2"/>
      <c r="W459" s="2"/>
      <c r="X459" s="2"/>
      <c r="Y459" s="2"/>
      <c r="Z459" s="2"/>
    </row>
    <row r="460" customFormat="false" ht="12" hidden="false" customHeight="true" outlineLevel="0" collapsed="false">
      <c r="A460" s="2"/>
      <c r="B460" s="19"/>
      <c r="C460" s="19"/>
      <c r="D460" s="2"/>
      <c r="E460" s="2"/>
      <c r="F460" s="2"/>
      <c r="G460" s="2"/>
      <c r="H460" s="2"/>
      <c r="I460" s="2"/>
      <c r="J460" s="2"/>
      <c r="K460" s="2"/>
      <c r="L460" s="19"/>
      <c r="M460" s="19"/>
      <c r="N460" s="2"/>
      <c r="O460" s="2"/>
      <c r="P460" s="2"/>
      <c r="Q460" s="2"/>
      <c r="R460" s="2"/>
      <c r="S460" s="2"/>
      <c r="T460" s="2"/>
      <c r="U460" s="2"/>
      <c r="V460" s="2"/>
      <c r="W460" s="2"/>
      <c r="X460" s="2"/>
      <c r="Y460" s="2"/>
      <c r="Z460" s="2"/>
    </row>
    <row r="461" customFormat="false" ht="12" hidden="false" customHeight="true" outlineLevel="0" collapsed="false">
      <c r="A461" s="2"/>
      <c r="B461" s="19"/>
      <c r="C461" s="19"/>
      <c r="D461" s="2"/>
      <c r="E461" s="2"/>
      <c r="F461" s="2"/>
      <c r="G461" s="2"/>
      <c r="H461" s="2"/>
      <c r="I461" s="2"/>
      <c r="J461" s="2"/>
      <c r="K461" s="2"/>
      <c r="L461" s="19"/>
      <c r="M461" s="19"/>
      <c r="N461" s="2"/>
      <c r="O461" s="2"/>
      <c r="P461" s="2"/>
      <c r="Q461" s="2"/>
      <c r="R461" s="2"/>
      <c r="S461" s="2"/>
      <c r="T461" s="2"/>
      <c r="U461" s="2"/>
      <c r="V461" s="2"/>
      <c r="W461" s="2"/>
      <c r="X461" s="2"/>
      <c r="Y461" s="2"/>
      <c r="Z461" s="2"/>
    </row>
    <row r="462" customFormat="false" ht="12" hidden="false" customHeight="true" outlineLevel="0" collapsed="false">
      <c r="A462" s="2"/>
      <c r="B462" s="19"/>
      <c r="C462" s="19"/>
      <c r="D462" s="2"/>
      <c r="E462" s="2"/>
      <c r="F462" s="2"/>
      <c r="G462" s="2"/>
      <c r="H462" s="2"/>
      <c r="I462" s="2"/>
      <c r="J462" s="2"/>
      <c r="K462" s="2"/>
      <c r="L462" s="19"/>
      <c r="M462" s="19"/>
      <c r="N462" s="2"/>
      <c r="O462" s="2"/>
      <c r="P462" s="2"/>
      <c r="Q462" s="2"/>
      <c r="R462" s="2"/>
      <c r="S462" s="2"/>
      <c r="T462" s="2"/>
      <c r="U462" s="2"/>
      <c r="V462" s="2"/>
      <c r="W462" s="2"/>
      <c r="X462" s="2"/>
      <c r="Y462" s="2"/>
      <c r="Z462" s="2"/>
    </row>
    <row r="463" customFormat="false" ht="12" hidden="false" customHeight="true" outlineLevel="0" collapsed="false">
      <c r="A463" s="2"/>
      <c r="B463" s="19"/>
      <c r="C463" s="19"/>
      <c r="D463" s="2"/>
      <c r="E463" s="2"/>
      <c r="F463" s="2"/>
      <c r="G463" s="2"/>
      <c r="H463" s="2"/>
      <c r="I463" s="2"/>
      <c r="J463" s="2"/>
      <c r="K463" s="2"/>
      <c r="L463" s="19"/>
      <c r="M463" s="19"/>
      <c r="N463" s="2"/>
      <c r="O463" s="2"/>
      <c r="P463" s="2"/>
      <c r="Q463" s="2"/>
      <c r="R463" s="2"/>
      <c r="S463" s="2"/>
      <c r="T463" s="2"/>
      <c r="U463" s="2"/>
      <c r="V463" s="2"/>
      <c r="W463" s="2"/>
      <c r="X463" s="2"/>
      <c r="Y463" s="2"/>
      <c r="Z463" s="2"/>
    </row>
    <row r="464" customFormat="false" ht="12" hidden="false" customHeight="true" outlineLevel="0" collapsed="false">
      <c r="A464" s="2"/>
      <c r="B464" s="19"/>
      <c r="C464" s="19"/>
      <c r="D464" s="2"/>
      <c r="E464" s="2"/>
      <c r="F464" s="2"/>
      <c r="G464" s="2"/>
      <c r="H464" s="2"/>
      <c r="I464" s="2"/>
      <c r="J464" s="2"/>
      <c r="K464" s="2"/>
      <c r="L464" s="19"/>
      <c r="M464" s="19"/>
      <c r="N464" s="2"/>
      <c r="O464" s="2"/>
      <c r="P464" s="2"/>
      <c r="Q464" s="2"/>
      <c r="R464" s="2"/>
      <c r="S464" s="2"/>
      <c r="T464" s="2"/>
      <c r="U464" s="2"/>
      <c r="V464" s="2"/>
      <c r="W464" s="2"/>
      <c r="X464" s="2"/>
      <c r="Y464" s="2"/>
      <c r="Z464" s="2"/>
    </row>
    <row r="465" customFormat="false" ht="12" hidden="false" customHeight="true" outlineLevel="0" collapsed="false">
      <c r="A465" s="2"/>
      <c r="B465" s="19"/>
      <c r="C465" s="19"/>
      <c r="D465" s="2"/>
      <c r="E465" s="2"/>
      <c r="F465" s="2"/>
      <c r="G465" s="2"/>
      <c r="H465" s="2"/>
      <c r="I465" s="2"/>
      <c r="J465" s="2"/>
      <c r="K465" s="2"/>
      <c r="L465" s="19"/>
      <c r="M465" s="19"/>
      <c r="N465" s="2"/>
      <c r="O465" s="2"/>
      <c r="P465" s="2"/>
      <c r="Q465" s="2"/>
      <c r="R465" s="2"/>
      <c r="S465" s="2"/>
      <c r="T465" s="2"/>
      <c r="U465" s="2"/>
      <c r="V465" s="2"/>
      <c r="W465" s="2"/>
      <c r="X465" s="2"/>
      <c r="Y465" s="2"/>
      <c r="Z465" s="2"/>
    </row>
    <row r="466" customFormat="false" ht="12" hidden="false" customHeight="true" outlineLevel="0" collapsed="false">
      <c r="A466" s="2"/>
      <c r="B466" s="19"/>
      <c r="C466" s="19"/>
      <c r="D466" s="2"/>
      <c r="E466" s="2"/>
      <c r="F466" s="2"/>
      <c r="G466" s="2"/>
      <c r="H466" s="2"/>
      <c r="I466" s="2"/>
      <c r="J466" s="2"/>
      <c r="K466" s="2"/>
      <c r="L466" s="19"/>
      <c r="M466" s="19"/>
      <c r="N466" s="2"/>
      <c r="O466" s="2"/>
      <c r="P466" s="2"/>
      <c r="Q466" s="2"/>
      <c r="R466" s="2"/>
      <c r="S466" s="2"/>
      <c r="T466" s="2"/>
      <c r="U466" s="2"/>
      <c r="V466" s="2"/>
      <c r="W466" s="2"/>
      <c r="X466" s="2"/>
      <c r="Y466" s="2"/>
      <c r="Z466" s="2"/>
    </row>
    <row r="467" customFormat="false" ht="12" hidden="false" customHeight="true" outlineLevel="0" collapsed="false">
      <c r="A467" s="2"/>
      <c r="B467" s="19"/>
      <c r="C467" s="19"/>
      <c r="D467" s="2"/>
      <c r="E467" s="2"/>
      <c r="F467" s="2"/>
      <c r="G467" s="2"/>
      <c r="H467" s="2"/>
      <c r="I467" s="2"/>
      <c r="J467" s="2"/>
      <c r="K467" s="2"/>
      <c r="L467" s="19"/>
      <c r="M467" s="19"/>
      <c r="N467" s="2"/>
      <c r="O467" s="2"/>
      <c r="P467" s="2"/>
      <c r="Q467" s="2"/>
      <c r="R467" s="2"/>
      <c r="S467" s="2"/>
      <c r="T467" s="2"/>
      <c r="U467" s="2"/>
      <c r="V467" s="2"/>
      <c r="W467" s="2"/>
      <c r="X467" s="2"/>
      <c r="Y467" s="2"/>
      <c r="Z467" s="2"/>
    </row>
    <row r="468" customFormat="false" ht="12" hidden="false" customHeight="true" outlineLevel="0" collapsed="false">
      <c r="A468" s="2"/>
      <c r="B468" s="19"/>
      <c r="C468" s="19"/>
      <c r="D468" s="2"/>
      <c r="E468" s="2"/>
      <c r="F468" s="2"/>
      <c r="G468" s="2"/>
      <c r="H468" s="2"/>
      <c r="I468" s="2"/>
      <c r="J468" s="2"/>
      <c r="K468" s="2"/>
      <c r="L468" s="19"/>
      <c r="M468" s="19"/>
      <c r="N468" s="2"/>
      <c r="O468" s="2"/>
      <c r="P468" s="2"/>
      <c r="Q468" s="2"/>
      <c r="R468" s="2"/>
      <c r="S468" s="2"/>
      <c r="T468" s="2"/>
      <c r="U468" s="2"/>
      <c r="V468" s="2"/>
      <c r="W468" s="2"/>
      <c r="X468" s="2"/>
      <c r="Y468" s="2"/>
      <c r="Z468" s="2"/>
    </row>
    <row r="469" customFormat="false" ht="12" hidden="false" customHeight="true" outlineLevel="0" collapsed="false">
      <c r="A469" s="2"/>
      <c r="B469" s="19"/>
      <c r="C469" s="19"/>
      <c r="D469" s="2"/>
      <c r="E469" s="2"/>
      <c r="F469" s="2"/>
      <c r="G469" s="2"/>
      <c r="H469" s="2"/>
      <c r="I469" s="2"/>
      <c r="J469" s="2"/>
      <c r="K469" s="2"/>
      <c r="L469" s="19"/>
      <c r="M469" s="19"/>
      <c r="N469" s="2"/>
      <c r="O469" s="2"/>
      <c r="P469" s="2"/>
      <c r="Q469" s="2"/>
      <c r="R469" s="2"/>
      <c r="S469" s="2"/>
      <c r="T469" s="2"/>
      <c r="U469" s="2"/>
      <c r="V469" s="2"/>
      <c r="W469" s="2"/>
      <c r="X469" s="2"/>
      <c r="Y469" s="2"/>
      <c r="Z469" s="2"/>
    </row>
    <row r="470" customFormat="false" ht="12" hidden="false" customHeight="true" outlineLevel="0" collapsed="false">
      <c r="A470" s="2"/>
      <c r="B470" s="19"/>
      <c r="C470" s="19"/>
      <c r="D470" s="2"/>
      <c r="E470" s="2"/>
      <c r="F470" s="2"/>
      <c r="G470" s="2"/>
      <c r="H470" s="2"/>
      <c r="I470" s="2"/>
      <c r="J470" s="2"/>
      <c r="K470" s="2"/>
      <c r="L470" s="19"/>
      <c r="M470" s="19"/>
      <c r="N470" s="2"/>
      <c r="O470" s="2"/>
      <c r="P470" s="2"/>
      <c r="Q470" s="2"/>
      <c r="R470" s="2"/>
      <c r="S470" s="2"/>
      <c r="T470" s="2"/>
      <c r="U470" s="2"/>
      <c r="V470" s="2"/>
      <c r="W470" s="2"/>
      <c r="X470" s="2"/>
      <c r="Y470" s="2"/>
      <c r="Z470" s="2"/>
    </row>
    <row r="471" customFormat="false" ht="12" hidden="false" customHeight="true" outlineLevel="0" collapsed="false">
      <c r="A471" s="2"/>
      <c r="B471" s="19"/>
      <c r="C471" s="19"/>
      <c r="D471" s="2"/>
      <c r="E471" s="2"/>
      <c r="F471" s="2"/>
      <c r="G471" s="2"/>
      <c r="H471" s="2"/>
      <c r="I471" s="2"/>
      <c r="J471" s="2"/>
      <c r="K471" s="2"/>
      <c r="L471" s="19"/>
      <c r="M471" s="19"/>
      <c r="N471" s="2"/>
      <c r="O471" s="2"/>
      <c r="P471" s="2"/>
      <c r="Q471" s="2"/>
      <c r="R471" s="2"/>
      <c r="S471" s="2"/>
      <c r="T471" s="2"/>
      <c r="U471" s="2"/>
      <c r="V471" s="2"/>
      <c r="W471" s="2"/>
      <c r="X471" s="2"/>
      <c r="Y471" s="2"/>
      <c r="Z471" s="2"/>
    </row>
    <row r="472" customFormat="false" ht="12" hidden="false" customHeight="true" outlineLevel="0" collapsed="false">
      <c r="A472" s="2"/>
      <c r="B472" s="19"/>
      <c r="C472" s="19"/>
      <c r="D472" s="2"/>
      <c r="E472" s="2"/>
      <c r="F472" s="2"/>
      <c r="G472" s="2"/>
      <c r="H472" s="2"/>
      <c r="I472" s="2"/>
      <c r="J472" s="2"/>
      <c r="K472" s="2"/>
      <c r="L472" s="19"/>
      <c r="M472" s="19"/>
      <c r="N472" s="2"/>
      <c r="O472" s="2"/>
      <c r="P472" s="2"/>
      <c r="Q472" s="2"/>
      <c r="R472" s="2"/>
      <c r="S472" s="2"/>
      <c r="T472" s="2"/>
      <c r="U472" s="2"/>
      <c r="V472" s="2"/>
      <c r="W472" s="2"/>
      <c r="X472" s="2"/>
      <c r="Y472" s="2"/>
      <c r="Z472" s="2"/>
    </row>
    <row r="473" customFormat="false" ht="12" hidden="false" customHeight="true" outlineLevel="0" collapsed="false">
      <c r="A473" s="2"/>
      <c r="B473" s="19"/>
      <c r="C473" s="19"/>
      <c r="D473" s="2"/>
      <c r="E473" s="2"/>
      <c r="F473" s="2"/>
      <c r="G473" s="2"/>
      <c r="H473" s="2"/>
      <c r="I473" s="2"/>
      <c r="J473" s="2"/>
      <c r="K473" s="2"/>
      <c r="L473" s="19"/>
      <c r="M473" s="19"/>
      <c r="N473" s="2"/>
      <c r="O473" s="2"/>
      <c r="P473" s="2"/>
      <c r="Q473" s="2"/>
      <c r="R473" s="2"/>
      <c r="S473" s="2"/>
      <c r="T473" s="2"/>
      <c r="U473" s="2"/>
      <c r="V473" s="2"/>
      <c r="W473" s="2"/>
      <c r="X473" s="2"/>
      <c r="Y473" s="2"/>
      <c r="Z473" s="2"/>
    </row>
    <row r="474" customFormat="false" ht="12" hidden="false" customHeight="true" outlineLevel="0" collapsed="false">
      <c r="A474" s="2"/>
      <c r="B474" s="19"/>
      <c r="C474" s="19"/>
      <c r="D474" s="2"/>
      <c r="E474" s="2"/>
      <c r="F474" s="2"/>
      <c r="G474" s="2"/>
      <c r="H474" s="2"/>
      <c r="I474" s="2"/>
      <c r="J474" s="2"/>
      <c r="K474" s="2"/>
      <c r="L474" s="19"/>
      <c r="M474" s="19"/>
      <c r="N474" s="2"/>
      <c r="O474" s="2"/>
      <c r="P474" s="2"/>
      <c r="Q474" s="2"/>
      <c r="R474" s="2"/>
      <c r="S474" s="2"/>
      <c r="T474" s="2"/>
      <c r="U474" s="2"/>
      <c r="V474" s="2"/>
      <c r="W474" s="2"/>
      <c r="X474" s="2"/>
      <c r="Y474" s="2"/>
      <c r="Z474" s="2"/>
    </row>
    <row r="475" customFormat="false" ht="12" hidden="false" customHeight="true" outlineLevel="0" collapsed="false">
      <c r="A475" s="2"/>
      <c r="B475" s="19"/>
      <c r="C475" s="19"/>
      <c r="D475" s="2"/>
      <c r="E475" s="2"/>
      <c r="F475" s="2"/>
      <c r="G475" s="2"/>
      <c r="H475" s="2"/>
      <c r="I475" s="2"/>
      <c r="J475" s="2"/>
      <c r="K475" s="2"/>
      <c r="L475" s="19"/>
      <c r="M475" s="19"/>
      <c r="N475" s="2"/>
      <c r="O475" s="2"/>
      <c r="P475" s="2"/>
      <c r="Q475" s="2"/>
      <c r="R475" s="2"/>
      <c r="S475" s="2"/>
      <c r="T475" s="2"/>
      <c r="U475" s="2"/>
      <c r="V475" s="2"/>
      <c r="W475" s="2"/>
      <c r="X475" s="2"/>
      <c r="Y475" s="2"/>
      <c r="Z475" s="2"/>
    </row>
    <row r="476" customFormat="false" ht="12" hidden="false" customHeight="true" outlineLevel="0" collapsed="false">
      <c r="A476" s="2"/>
      <c r="B476" s="19"/>
      <c r="C476" s="19"/>
      <c r="D476" s="2"/>
      <c r="E476" s="2"/>
      <c r="F476" s="2"/>
      <c r="G476" s="2"/>
      <c r="H476" s="2"/>
      <c r="I476" s="2"/>
      <c r="J476" s="2"/>
      <c r="K476" s="2"/>
      <c r="L476" s="19"/>
      <c r="M476" s="19"/>
      <c r="N476" s="2"/>
      <c r="O476" s="2"/>
      <c r="P476" s="2"/>
      <c r="Q476" s="2"/>
      <c r="R476" s="2"/>
      <c r="S476" s="2"/>
      <c r="T476" s="2"/>
      <c r="U476" s="2"/>
      <c r="V476" s="2"/>
      <c r="W476" s="2"/>
      <c r="X476" s="2"/>
      <c r="Y476" s="2"/>
      <c r="Z476" s="2"/>
    </row>
    <row r="477" customFormat="false" ht="12" hidden="false" customHeight="true" outlineLevel="0" collapsed="false">
      <c r="A477" s="2"/>
      <c r="B477" s="19"/>
      <c r="C477" s="19"/>
      <c r="D477" s="2"/>
      <c r="E477" s="2"/>
      <c r="F477" s="2"/>
      <c r="G477" s="2"/>
      <c r="H477" s="2"/>
      <c r="I477" s="2"/>
      <c r="J477" s="2"/>
      <c r="K477" s="2"/>
      <c r="L477" s="19"/>
      <c r="M477" s="19"/>
      <c r="N477" s="2"/>
      <c r="O477" s="2"/>
      <c r="P477" s="2"/>
      <c r="Q477" s="2"/>
      <c r="R477" s="2"/>
      <c r="S477" s="2"/>
      <c r="T477" s="2"/>
      <c r="U477" s="2"/>
      <c r="V477" s="2"/>
      <c r="W477" s="2"/>
      <c r="X477" s="2"/>
      <c r="Y477" s="2"/>
      <c r="Z477" s="2"/>
    </row>
    <row r="478" customFormat="false" ht="12" hidden="false" customHeight="true" outlineLevel="0" collapsed="false">
      <c r="A478" s="2"/>
      <c r="B478" s="19"/>
      <c r="C478" s="19"/>
      <c r="D478" s="2"/>
      <c r="E478" s="2"/>
      <c r="F478" s="2"/>
      <c r="G478" s="2"/>
      <c r="H478" s="2"/>
      <c r="I478" s="2"/>
      <c r="J478" s="2"/>
      <c r="K478" s="2"/>
      <c r="L478" s="19"/>
      <c r="M478" s="19"/>
      <c r="N478" s="2"/>
      <c r="O478" s="2"/>
      <c r="P478" s="2"/>
      <c r="Q478" s="2"/>
      <c r="R478" s="2"/>
      <c r="S478" s="2"/>
      <c r="T478" s="2"/>
      <c r="U478" s="2"/>
      <c r="V478" s="2"/>
      <c r="W478" s="2"/>
      <c r="X478" s="2"/>
      <c r="Y478" s="2"/>
      <c r="Z478" s="2"/>
    </row>
    <row r="479" customFormat="false" ht="12" hidden="false" customHeight="true" outlineLevel="0" collapsed="false">
      <c r="A479" s="2"/>
      <c r="B479" s="19"/>
      <c r="C479" s="19"/>
      <c r="D479" s="2"/>
      <c r="E479" s="2"/>
      <c r="F479" s="2"/>
      <c r="G479" s="2"/>
      <c r="H479" s="2"/>
      <c r="I479" s="2"/>
      <c r="J479" s="2"/>
      <c r="K479" s="2"/>
      <c r="L479" s="19"/>
      <c r="M479" s="19"/>
      <c r="N479" s="2"/>
      <c r="O479" s="2"/>
      <c r="P479" s="2"/>
      <c r="Q479" s="2"/>
      <c r="R479" s="2"/>
      <c r="S479" s="2"/>
      <c r="T479" s="2"/>
      <c r="U479" s="2"/>
      <c r="V479" s="2"/>
      <c r="W479" s="2"/>
      <c r="X479" s="2"/>
      <c r="Y479" s="2"/>
      <c r="Z479" s="2"/>
    </row>
    <row r="480" customFormat="false" ht="12" hidden="false" customHeight="true" outlineLevel="0" collapsed="false">
      <c r="A480" s="2"/>
      <c r="B480" s="19"/>
      <c r="C480" s="19"/>
      <c r="D480" s="2"/>
      <c r="E480" s="2"/>
      <c r="F480" s="2"/>
      <c r="G480" s="2"/>
      <c r="H480" s="2"/>
      <c r="I480" s="2"/>
      <c r="J480" s="2"/>
      <c r="K480" s="2"/>
      <c r="L480" s="19"/>
      <c r="M480" s="19"/>
      <c r="N480" s="2"/>
      <c r="O480" s="2"/>
      <c r="P480" s="2"/>
      <c r="Q480" s="2"/>
      <c r="R480" s="2"/>
      <c r="S480" s="2"/>
      <c r="T480" s="2"/>
      <c r="U480" s="2"/>
      <c r="V480" s="2"/>
      <c r="W480" s="2"/>
      <c r="X480" s="2"/>
      <c r="Y480" s="2"/>
      <c r="Z480" s="2"/>
    </row>
    <row r="481" customFormat="false" ht="12" hidden="false" customHeight="true" outlineLevel="0" collapsed="false">
      <c r="A481" s="2"/>
      <c r="B481" s="19"/>
      <c r="C481" s="19"/>
      <c r="D481" s="2"/>
      <c r="E481" s="2"/>
      <c r="F481" s="2"/>
      <c r="G481" s="2"/>
      <c r="H481" s="2"/>
      <c r="I481" s="2"/>
      <c r="J481" s="2"/>
      <c r="K481" s="2"/>
      <c r="L481" s="19"/>
      <c r="M481" s="19"/>
      <c r="N481" s="2"/>
      <c r="O481" s="2"/>
      <c r="P481" s="2"/>
      <c r="Q481" s="2"/>
      <c r="R481" s="2"/>
      <c r="S481" s="2"/>
      <c r="T481" s="2"/>
      <c r="U481" s="2"/>
      <c r="V481" s="2"/>
      <c r="W481" s="2"/>
      <c r="X481" s="2"/>
      <c r="Y481" s="2"/>
      <c r="Z481" s="2"/>
    </row>
    <row r="482" customFormat="false" ht="12" hidden="false" customHeight="true" outlineLevel="0" collapsed="false">
      <c r="A482" s="2"/>
      <c r="B482" s="19"/>
      <c r="C482" s="19"/>
      <c r="D482" s="2"/>
      <c r="E482" s="2"/>
      <c r="F482" s="2"/>
      <c r="G482" s="2"/>
      <c r="H482" s="2"/>
      <c r="I482" s="2"/>
      <c r="J482" s="2"/>
      <c r="K482" s="2"/>
      <c r="L482" s="19"/>
      <c r="M482" s="19"/>
      <c r="N482" s="2"/>
      <c r="O482" s="2"/>
      <c r="P482" s="2"/>
      <c r="Q482" s="2"/>
      <c r="R482" s="2"/>
      <c r="S482" s="2"/>
      <c r="T482" s="2"/>
      <c r="U482" s="2"/>
      <c r="V482" s="2"/>
      <c r="W482" s="2"/>
      <c r="X482" s="2"/>
      <c r="Y482" s="2"/>
      <c r="Z482" s="2"/>
    </row>
    <row r="483" customFormat="false" ht="12" hidden="false" customHeight="true" outlineLevel="0" collapsed="false">
      <c r="A483" s="2"/>
      <c r="B483" s="19"/>
      <c r="C483" s="19"/>
      <c r="D483" s="2"/>
      <c r="E483" s="2"/>
      <c r="F483" s="2"/>
      <c r="G483" s="2"/>
      <c r="H483" s="2"/>
      <c r="I483" s="2"/>
      <c r="J483" s="2"/>
      <c r="K483" s="2"/>
      <c r="L483" s="19"/>
      <c r="M483" s="19"/>
      <c r="N483" s="2"/>
      <c r="O483" s="2"/>
      <c r="P483" s="2"/>
      <c r="Q483" s="2"/>
      <c r="R483" s="2"/>
      <c r="S483" s="2"/>
      <c r="T483" s="2"/>
      <c r="U483" s="2"/>
      <c r="V483" s="2"/>
      <c r="W483" s="2"/>
      <c r="X483" s="2"/>
      <c r="Y483" s="2"/>
      <c r="Z483" s="2"/>
    </row>
    <row r="484" customFormat="false" ht="12" hidden="false" customHeight="true" outlineLevel="0" collapsed="false">
      <c r="A484" s="2"/>
      <c r="B484" s="19"/>
      <c r="C484" s="19"/>
      <c r="D484" s="2"/>
      <c r="E484" s="2"/>
      <c r="F484" s="2"/>
      <c r="G484" s="2"/>
      <c r="H484" s="2"/>
      <c r="I484" s="2"/>
      <c r="J484" s="2"/>
      <c r="K484" s="2"/>
      <c r="L484" s="19"/>
      <c r="M484" s="19"/>
      <c r="N484" s="2"/>
      <c r="O484" s="2"/>
      <c r="P484" s="2"/>
      <c r="Q484" s="2"/>
      <c r="R484" s="2"/>
      <c r="S484" s="2"/>
      <c r="T484" s="2"/>
      <c r="U484" s="2"/>
      <c r="V484" s="2"/>
      <c r="W484" s="2"/>
      <c r="X484" s="2"/>
      <c r="Y484" s="2"/>
      <c r="Z484" s="2"/>
    </row>
    <row r="485" customFormat="false" ht="12" hidden="false" customHeight="true" outlineLevel="0" collapsed="false">
      <c r="A485" s="2"/>
      <c r="B485" s="19"/>
      <c r="C485" s="19"/>
      <c r="D485" s="2"/>
      <c r="E485" s="2"/>
      <c r="F485" s="2"/>
      <c r="G485" s="2"/>
      <c r="H485" s="2"/>
      <c r="I485" s="2"/>
      <c r="J485" s="2"/>
      <c r="K485" s="2"/>
      <c r="L485" s="19"/>
      <c r="M485" s="19"/>
      <c r="N485" s="2"/>
      <c r="O485" s="2"/>
      <c r="P485" s="2"/>
      <c r="Q485" s="2"/>
      <c r="R485" s="2"/>
      <c r="S485" s="2"/>
      <c r="T485" s="2"/>
      <c r="U485" s="2"/>
      <c r="V485" s="2"/>
      <c r="W485" s="2"/>
      <c r="X485" s="2"/>
      <c r="Y485" s="2"/>
      <c r="Z485" s="2"/>
    </row>
    <row r="486" customFormat="false" ht="12" hidden="false" customHeight="true" outlineLevel="0" collapsed="false">
      <c r="A486" s="2"/>
      <c r="B486" s="19"/>
      <c r="C486" s="19"/>
      <c r="D486" s="2"/>
      <c r="E486" s="2"/>
      <c r="F486" s="2"/>
      <c r="G486" s="2"/>
      <c r="H486" s="2"/>
      <c r="I486" s="2"/>
      <c r="J486" s="2"/>
      <c r="K486" s="2"/>
      <c r="L486" s="19"/>
      <c r="M486" s="19"/>
      <c r="N486" s="2"/>
      <c r="O486" s="2"/>
      <c r="P486" s="2"/>
      <c r="Q486" s="2"/>
      <c r="R486" s="2"/>
      <c r="S486" s="2"/>
      <c r="T486" s="2"/>
      <c r="U486" s="2"/>
      <c r="V486" s="2"/>
      <c r="W486" s="2"/>
      <c r="X486" s="2"/>
      <c r="Y486" s="2"/>
      <c r="Z486" s="2"/>
    </row>
    <row r="487" customFormat="false" ht="12" hidden="false" customHeight="true" outlineLevel="0" collapsed="false">
      <c r="A487" s="2"/>
      <c r="B487" s="19"/>
      <c r="C487" s="19"/>
      <c r="D487" s="2"/>
      <c r="E487" s="2"/>
      <c r="F487" s="2"/>
      <c r="G487" s="2"/>
      <c r="H487" s="2"/>
      <c r="I487" s="2"/>
      <c r="J487" s="2"/>
      <c r="K487" s="2"/>
      <c r="L487" s="19"/>
      <c r="M487" s="19"/>
      <c r="N487" s="2"/>
      <c r="O487" s="2"/>
      <c r="P487" s="2"/>
      <c r="Q487" s="2"/>
      <c r="R487" s="2"/>
      <c r="S487" s="2"/>
      <c r="T487" s="2"/>
      <c r="U487" s="2"/>
      <c r="V487" s="2"/>
      <c r="W487" s="2"/>
      <c r="X487" s="2"/>
      <c r="Y487" s="2"/>
      <c r="Z487" s="2"/>
    </row>
    <row r="488" customFormat="false" ht="12" hidden="false" customHeight="true" outlineLevel="0" collapsed="false">
      <c r="A488" s="2"/>
      <c r="B488" s="19"/>
      <c r="C488" s="19"/>
      <c r="D488" s="2"/>
      <c r="E488" s="2"/>
      <c r="F488" s="2"/>
      <c r="G488" s="2"/>
      <c r="H488" s="2"/>
      <c r="I488" s="2"/>
      <c r="J488" s="2"/>
      <c r="K488" s="2"/>
      <c r="L488" s="19"/>
      <c r="M488" s="19"/>
      <c r="N488" s="2"/>
      <c r="O488" s="2"/>
      <c r="P488" s="2"/>
      <c r="Q488" s="2"/>
      <c r="R488" s="2"/>
      <c r="S488" s="2"/>
      <c r="T488" s="2"/>
      <c r="U488" s="2"/>
      <c r="V488" s="2"/>
      <c r="W488" s="2"/>
      <c r="X488" s="2"/>
      <c r="Y488" s="2"/>
      <c r="Z488" s="2"/>
    </row>
    <row r="489" customFormat="false" ht="12" hidden="false" customHeight="true" outlineLevel="0" collapsed="false">
      <c r="A489" s="2"/>
      <c r="B489" s="19"/>
      <c r="C489" s="19"/>
      <c r="D489" s="2"/>
      <c r="E489" s="2"/>
      <c r="F489" s="2"/>
      <c r="G489" s="2"/>
      <c r="H489" s="2"/>
      <c r="I489" s="2"/>
      <c r="J489" s="2"/>
      <c r="K489" s="2"/>
      <c r="L489" s="19"/>
      <c r="M489" s="19"/>
      <c r="N489" s="2"/>
      <c r="O489" s="2"/>
      <c r="P489" s="2"/>
      <c r="Q489" s="2"/>
      <c r="R489" s="2"/>
      <c r="S489" s="2"/>
      <c r="T489" s="2"/>
      <c r="U489" s="2"/>
      <c r="V489" s="2"/>
      <c r="W489" s="2"/>
      <c r="X489" s="2"/>
      <c r="Y489" s="2"/>
      <c r="Z489" s="2"/>
    </row>
    <row r="490" customFormat="false" ht="12" hidden="false" customHeight="true" outlineLevel="0" collapsed="false">
      <c r="A490" s="2"/>
      <c r="B490" s="19"/>
      <c r="C490" s="19"/>
      <c r="D490" s="2"/>
      <c r="E490" s="2"/>
      <c r="F490" s="2"/>
      <c r="G490" s="2"/>
      <c r="H490" s="2"/>
      <c r="I490" s="2"/>
      <c r="J490" s="2"/>
      <c r="K490" s="2"/>
      <c r="L490" s="19"/>
      <c r="M490" s="19"/>
      <c r="N490" s="2"/>
      <c r="O490" s="2"/>
      <c r="P490" s="2"/>
      <c r="Q490" s="2"/>
      <c r="R490" s="2"/>
      <c r="S490" s="2"/>
      <c r="T490" s="2"/>
      <c r="U490" s="2"/>
      <c r="V490" s="2"/>
      <c r="W490" s="2"/>
      <c r="X490" s="2"/>
      <c r="Y490" s="2"/>
      <c r="Z490" s="2"/>
    </row>
    <row r="491" customFormat="false" ht="12" hidden="false" customHeight="true" outlineLevel="0" collapsed="false">
      <c r="A491" s="2"/>
      <c r="B491" s="19"/>
      <c r="C491" s="19"/>
      <c r="D491" s="2"/>
      <c r="E491" s="2"/>
      <c r="F491" s="2"/>
      <c r="G491" s="2"/>
      <c r="H491" s="2"/>
      <c r="I491" s="2"/>
      <c r="J491" s="2"/>
      <c r="K491" s="2"/>
      <c r="L491" s="19"/>
      <c r="M491" s="19"/>
      <c r="N491" s="2"/>
      <c r="O491" s="2"/>
      <c r="P491" s="2"/>
      <c r="Q491" s="2"/>
      <c r="R491" s="2"/>
      <c r="S491" s="2"/>
      <c r="T491" s="2"/>
      <c r="U491" s="2"/>
      <c r="V491" s="2"/>
      <c r="W491" s="2"/>
      <c r="X491" s="2"/>
      <c r="Y491" s="2"/>
      <c r="Z491" s="2"/>
    </row>
    <row r="492" customFormat="false" ht="12" hidden="false" customHeight="true" outlineLevel="0" collapsed="false">
      <c r="A492" s="2"/>
      <c r="B492" s="19"/>
      <c r="C492" s="19"/>
      <c r="D492" s="2"/>
      <c r="E492" s="2"/>
      <c r="F492" s="2"/>
      <c r="G492" s="2"/>
      <c r="H492" s="2"/>
      <c r="I492" s="2"/>
      <c r="J492" s="2"/>
      <c r="K492" s="2"/>
      <c r="L492" s="19"/>
      <c r="M492" s="19"/>
      <c r="N492" s="2"/>
      <c r="O492" s="2"/>
      <c r="P492" s="2"/>
      <c r="Q492" s="2"/>
      <c r="R492" s="2"/>
      <c r="S492" s="2"/>
      <c r="T492" s="2"/>
      <c r="U492" s="2"/>
      <c r="V492" s="2"/>
      <c r="W492" s="2"/>
      <c r="X492" s="2"/>
      <c r="Y492" s="2"/>
      <c r="Z492" s="2"/>
    </row>
    <row r="493" customFormat="false" ht="12" hidden="false" customHeight="true" outlineLevel="0" collapsed="false">
      <c r="A493" s="2"/>
      <c r="B493" s="19"/>
      <c r="C493" s="19"/>
      <c r="D493" s="2"/>
      <c r="E493" s="2"/>
      <c r="F493" s="2"/>
      <c r="G493" s="2"/>
      <c r="H493" s="2"/>
      <c r="I493" s="2"/>
      <c r="J493" s="2"/>
      <c r="K493" s="2"/>
      <c r="L493" s="19"/>
      <c r="M493" s="19"/>
      <c r="N493" s="2"/>
      <c r="O493" s="2"/>
      <c r="P493" s="2"/>
      <c r="Q493" s="2"/>
      <c r="R493" s="2"/>
      <c r="S493" s="2"/>
      <c r="T493" s="2"/>
      <c r="U493" s="2"/>
      <c r="V493" s="2"/>
      <c r="W493" s="2"/>
      <c r="X493" s="2"/>
      <c r="Y493" s="2"/>
      <c r="Z493" s="2"/>
    </row>
    <row r="494" customFormat="false" ht="12" hidden="false" customHeight="true" outlineLevel="0" collapsed="false">
      <c r="A494" s="2"/>
      <c r="B494" s="19"/>
      <c r="C494" s="19"/>
      <c r="D494" s="2"/>
      <c r="E494" s="2"/>
      <c r="F494" s="2"/>
      <c r="G494" s="2"/>
      <c r="H494" s="2"/>
      <c r="I494" s="2"/>
      <c r="J494" s="2"/>
      <c r="K494" s="2"/>
      <c r="L494" s="19"/>
      <c r="M494" s="19"/>
      <c r="N494" s="2"/>
      <c r="O494" s="2"/>
      <c r="P494" s="2"/>
      <c r="Q494" s="2"/>
      <c r="R494" s="2"/>
      <c r="S494" s="2"/>
      <c r="T494" s="2"/>
      <c r="U494" s="2"/>
      <c r="V494" s="2"/>
      <c r="W494" s="2"/>
      <c r="X494" s="2"/>
      <c r="Y494" s="2"/>
      <c r="Z494" s="2"/>
    </row>
    <row r="495" customFormat="false" ht="12" hidden="false" customHeight="true" outlineLevel="0" collapsed="false">
      <c r="A495" s="2"/>
      <c r="B495" s="19"/>
      <c r="C495" s="19"/>
      <c r="D495" s="2"/>
      <c r="E495" s="2"/>
      <c r="F495" s="2"/>
      <c r="G495" s="2"/>
      <c r="H495" s="2"/>
      <c r="I495" s="2"/>
      <c r="J495" s="2"/>
      <c r="K495" s="2"/>
      <c r="L495" s="19"/>
      <c r="M495" s="19"/>
      <c r="N495" s="2"/>
      <c r="O495" s="2"/>
      <c r="P495" s="2"/>
      <c r="Q495" s="2"/>
      <c r="R495" s="2"/>
      <c r="S495" s="2"/>
      <c r="T495" s="2"/>
      <c r="U495" s="2"/>
      <c r="V495" s="2"/>
      <c r="W495" s="2"/>
      <c r="X495" s="2"/>
      <c r="Y495" s="2"/>
      <c r="Z495" s="2"/>
    </row>
    <row r="496" customFormat="false" ht="12" hidden="false" customHeight="true" outlineLevel="0" collapsed="false">
      <c r="A496" s="2"/>
      <c r="B496" s="19"/>
      <c r="C496" s="19"/>
      <c r="D496" s="2"/>
      <c r="E496" s="2"/>
      <c r="F496" s="2"/>
      <c r="G496" s="2"/>
      <c r="H496" s="2"/>
      <c r="I496" s="2"/>
      <c r="J496" s="2"/>
      <c r="K496" s="2"/>
      <c r="L496" s="19"/>
      <c r="M496" s="19"/>
      <c r="N496" s="2"/>
      <c r="O496" s="2"/>
      <c r="P496" s="2"/>
      <c r="Q496" s="2"/>
      <c r="R496" s="2"/>
      <c r="S496" s="2"/>
      <c r="T496" s="2"/>
      <c r="U496" s="2"/>
      <c r="V496" s="2"/>
      <c r="W496" s="2"/>
      <c r="X496" s="2"/>
      <c r="Y496" s="2"/>
      <c r="Z496" s="2"/>
    </row>
    <row r="497" customFormat="false" ht="12" hidden="false" customHeight="true" outlineLevel="0" collapsed="false">
      <c r="A497" s="2"/>
      <c r="B497" s="19"/>
      <c r="C497" s="19"/>
      <c r="D497" s="2"/>
      <c r="E497" s="2"/>
      <c r="F497" s="2"/>
      <c r="G497" s="2"/>
      <c r="H497" s="2"/>
      <c r="I497" s="2"/>
      <c r="J497" s="2"/>
      <c r="K497" s="2"/>
      <c r="L497" s="19"/>
      <c r="M497" s="19"/>
      <c r="N497" s="2"/>
      <c r="O497" s="2"/>
      <c r="P497" s="2"/>
      <c r="Q497" s="2"/>
      <c r="R497" s="2"/>
      <c r="S497" s="2"/>
      <c r="T497" s="2"/>
      <c r="U497" s="2"/>
      <c r="V497" s="2"/>
      <c r="W497" s="2"/>
      <c r="X497" s="2"/>
      <c r="Y497" s="2"/>
      <c r="Z497" s="2"/>
    </row>
    <row r="498" customFormat="false" ht="12" hidden="false" customHeight="true" outlineLevel="0" collapsed="false">
      <c r="A498" s="2"/>
      <c r="B498" s="19"/>
      <c r="C498" s="19"/>
      <c r="D498" s="2"/>
      <c r="E498" s="2"/>
      <c r="F498" s="2"/>
      <c r="G498" s="2"/>
      <c r="H498" s="2"/>
      <c r="I498" s="2"/>
      <c r="J498" s="2"/>
      <c r="K498" s="2"/>
      <c r="L498" s="19"/>
      <c r="M498" s="19"/>
      <c r="N498" s="2"/>
      <c r="O498" s="2"/>
      <c r="P498" s="2"/>
      <c r="Q498" s="2"/>
      <c r="R498" s="2"/>
      <c r="S498" s="2"/>
      <c r="T498" s="2"/>
      <c r="U498" s="2"/>
      <c r="V498" s="2"/>
      <c r="W498" s="2"/>
      <c r="X498" s="2"/>
      <c r="Y498" s="2"/>
      <c r="Z498" s="2"/>
    </row>
    <row r="499" customFormat="false" ht="12" hidden="false" customHeight="true" outlineLevel="0" collapsed="false">
      <c r="A499" s="2"/>
      <c r="B499" s="19"/>
      <c r="C499" s="19"/>
      <c r="D499" s="2"/>
      <c r="E499" s="2"/>
      <c r="F499" s="2"/>
      <c r="G499" s="2"/>
      <c r="H499" s="2"/>
      <c r="I499" s="2"/>
      <c r="J499" s="2"/>
      <c r="K499" s="2"/>
      <c r="L499" s="19"/>
      <c r="M499" s="19"/>
      <c r="N499" s="2"/>
      <c r="O499" s="2"/>
      <c r="P499" s="2"/>
      <c r="Q499" s="2"/>
      <c r="R499" s="2"/>
      <c r="S499" s="2"/>
      <c r="T499" s="2"/>
      <c r="U499" s="2"/>
      <c r="V499" s="2"/>
      <c r="W499" s="2"/>
      <c r="X499" s="2"/>
      <c r="Y499" s="2"/>
      <c r="Z499" s="2"/>
    </row>
    <row r="500" customFormat="false" ht="12" hidden="false" customHeight="true" outlineLevel="0" collapsed="false">
      <c r="A500" s="2"/>
      <c r="B500" s="19"/>
      <c r="C500" s="19"/>
      <c r="D500" s="2"/>
      <c r="E500" s="2"/>
      <c r="F500" s="2"/>
      <c r="G500" s="2"/>
      <c r="H500" s="2"/>
      <c r="I500" s="2"/>
      <c r="J500" s="2"/>
      <c r="K500" s="2"/>
      <c r="L500" s="19"/>
      <c r="M500" s="19"/>
      <c r="N500" s="2"/>
      <c r="O500" s="2"/>
      <c r="P500" s="2"/>
      <c r="Q500" s="2"/>
      <c r="R500" s="2"/>
      <c r="S500" s="2"/>
      <c r="T500" s="2"/>
      <c r="U500" s="2"/>
      <c r="V500" s="2"/>
      <c r="W500" s="2"/>
      <c r="X500" s="2"/>
      <c r="Y500" s="2"/>
      <c r="Z500" s="2"/>
    </row>
    <row r="501" customFormat="false" ht="12" hidden="false" customHeight="true" outlineLevel="0" collapsed="false">
      <c r="A501" s="2"/>
      <c r="B501" s="19"/>
      <c r="C501" s="19"/>
      <c r="D501" s="2"/>
      <c r="E501" s="2"/>
      <c r="F501" s="2"/>
      <c r="G501" s="2"/>
      <c r="H501" s="2"/>
      <c r="I501" s="2"/>
      <c r="J501" s="2"/>
      <c r="K501" s="2"/>
      <c r="L501" s="19"/>
      <c r="M501" s="19"/>
      <c r="N501" s="2"/>
      <c r="O501" s="2"/>
      <c r="P501" s="2"/>
      <c r="Q501" s="2"/>
      <c r="R501" s="2"/>
      <c r="S501" s="2"/>
      <c r="T501" s="2"/>
      <c r="U501" s="2"/>
      <c r="V501" s="2"/>
      <c r="W501" s="2"/>
      <c r="X501" s="2"/>
      <c r="Y501" s="2"/>
      <c r="Z501" s="2"/>
    </row>
    <row r="502" customFormat="false" ht="12" hidden="false" customHeight="true" outlineLevel="0" collapsed="false">
      <c r="A502" s="2"/>
      <c r="B502" s="19"/>
      <c r="C502" s="19"/>
      <c r="D502" s="2"/>
      <c r="E502" s="2"/>
      <c r="F502" s="2"/>
      <c r="G502" s="2"/>
      <c r="H502" s="2"/>
      <c r="I502" s="2"/>
      <c r="J502" s="2"/>
      <c r="K502" s="2"/>
      <c r="L502" s="19"/>
      <c r="M502" s="19"/>
      <c r="N502" s="2"/>
      <c r="O502" s="2"/>
      <c r="P502" s="2"/>
      <c r="Q502" s="2"/>
      <c r="R502" s="2"/>
      <c r="S502" s="2"/>
      <c r="T502" s="2"/>
      <c r="U502" s="2"/>
      <c r="V502" s="2"/>
      <c r="W502" s="2"/>
      <c r="X502" s="2"/>
      <c r="Y502" s="2"/>
      <c r="Z502" s="2"/>
    </row>
    <row r="503" customFormat="false" ht="12" hidden="false" customHeight="true" outlineLevel="0" collapsed="false">
      <c r="A503" s="2"/>
      <c r="B503" s="19"/>
      <c r="C503" s="19"/>
      <c r="D503" s="2"/>
      <c r="E503" s="2"/>
      <c r="F503" s="2"/>
      <c r="G503" s="2"/>
      <c r="H503" s="2"/>
      <c r="I503" s="2"/>
      <c r="J503" s="2"/>
      <c r="K503" s="2"/>
      <c r="L503" s="19"/>
      <c r="M503" s="19"/>
      <c r="N503" s="2"/>
      <c r="O503" s="2"/>
      <c r="P503" s="2"/>
      <c r="Q503" s="2"/>
      <c r="R503" s="2"/>
      <c r="S503" s="2"/>
      <c r="T503" s="2"/>
      <c r="U503" s="2"/>
      <c r="V503" s="2"/>
      <c r="W503" s="2"/>
      <c r="X503" s="2"/>
      <c r="Y503" s="2"/>
      <c r="Z503" s="2"/>
    </row>
    <row r="504" customFormat="false" ht="12" hidden="false" customHeight="true" outlineLevel="0" collapsed="false">
      <c r="A504" s="2"/>
      <c r="B504" s="19"/>
      <c r="C504" s="19"/>
      <c r="D504" s="2"/>
      <c r="E504" s="2"/>
      <c r="F504" s="2"/>
      <c r="G504" s="2"/>
      <c r="H504" s="2"/>
      <c r="I504" s="2"/>
      <c r="J504" s="2"/>
      <c r="K504" s="2"/>
      <c r="L504" s="19"/>
      <c r="M504" s="19"/>
      <c r="N504" s="2"/>
      <c r="O504" s="2"/>
      <c r="P504" s="2"/>
      <c r="Q504" s="2"/>
      <c r="R504" s="2"/>
      <c r="S504" s="2"/>
      <c r="T504" s="2"/>
      <c r="U504" s="2"/>
      <c r="V504" s="2"/>
      <c r="W504" s="2"/>
      <c r="X504" s="2"/>
      <c r="Y504" s="2"/>
      <c r="Z504" s="2"/>
    </row>
    <row r="505" customFormat="false" ht="12" hidden="false" customHeight="true" outlineLevel="0" collapsed="false">
      <c r="A505" s="2"/>
      <c r="B505" s="19"/>
      <c r="C505" s="19"/>
      <c r="D505" s="2"/>
      <c r="E505" s="2"/>
      <c r="F505" s="2"/>
      <c r="G505" s="2"/>
      <c r="H505" s="2"/>
      <c r="I505" s="2"/>
      <c r="J505" s="2"/>
      <c r="K505" s="2"/>
      <c r="L505" s="19"/>
      <c r="M505" s="19"/>
      <c r="N505" s="2"/>
      <c r="O505" s="2"/>
      <c r="P505" s="2"/>
      <c r="Q505" s="2"/>
      <c r="R505" s="2"/>
      <c r="S505" s="2"/>
      <c r="T505" s="2"/>
      <c r="U505" s="2"/>
      <c r="V505" s="2"/>
      <c r="W505" s="2"/>
      <c r="X505" s="2"/>
      <c r="Y505" s="2"/>
      <c r="Z505" s="2"/>
    </row>
    <row r="506" customFormat="false" ht="12" hidden="false" customHeight="true" outlineLevel="0" collapsed="false">
      <c r="A506" s="2"/>
      <c r="B506" s="19"/>
      <c r="C506" s="19"/>
      <c r="D506" s="2"/>
      <c r="E506" s="2"/>
      <c r="F506" s="2"/>
      <c r="G506" s="2"/>
      <c r="H506" s="2"/>
      <c r="I506" s="2"/>
      <c r="J506" s="2"/>
      <c r="K506" s="2"/>
      <c r="L506" s="19"/>
      <c r="M506" s="19"/>
      <c r="N506" s="2"/>
      <c r="O506" s="2"/>
      <c r="P506" s="2"/>
      <c r="Q506" s="2"/>
      <c r="R506" s="2"/>
      <c r="S506" s="2"/>
      <c r="T506" s="2"/>
      <c r="U506" s="2"/>
      <c r="V506" s="2"/>
      <c r="W506" s="2"/>
      <c r="X506" s="2"/>
      <c r="Y506" s="2"/>
      <c r="Z506" s="2"/>
    </row>
    <row r="507" customFormat="false" ht="12" hidden="false" customHeight="true" outlineLevel="0" collapsed="false">
      <c r="A507" s="2"/>
      <c r="B507" s="19"/>
      <c r="C507" s="19"/>
      <c r="D507" s="2"/>
      <c r="E507" s="2"/>
      <c r="F507" s="2"/>
      <c r="G507" s="2"/>
      <c r="H507" s="2"/>
      <c r="I507" s="2"/>
      <c r="J507" s="2"/>
      <c r="K507" s="2"/>
      <c r="L507" s="19"/>
      <c r="M507" s="19"/>
      <c r="N507" s="2"/>
      <c r="O507" s="2"/>
      <c r="P507" s="2"/>
      <c r="Q507" s="2"/>
      <c r="R507" s="2"/>
      <c r="S507" s="2"/>
      <c r="T507" s="2"/>
      <c r="U507" s="2"/>
      <c r="V507" s="2"/>
      <c r="W507" s="2"/>
      <c r="X507" s="2"/>
      <c r="Y507" s="2"/>
      <c r="Z507" s="2"/>
    </row>
    <row r="508" customFormat="false" ht="12" hidden="false" customHeight="true" outlineLevel="0" collapsed="false">
      <c r="A508" s="2"/>
      <c r="B508" s="19"/>
      <c r="C508" s="19"/>
      <c r="D508" s="2"/>
      <c r="E508" s="2"/>
      <c r="F508" s="2"/>
      <c r="G508" s="2"/>
      <c r="H508" s="2"/>
      <c r="I508" s="2"/>
      <c r="J508" s="2"/>
      <c r="K508" s="2"/>
      <c r="L508" s="19"/>
      <c r="M508" s="19"/>
      <c r="N508" s="2"/>
      <c r="O508" s="2"/>
      <c r="P508" s="2"/>
      <c r="Q508" s="2"/>
      <c r="R508" s="2"/>
      <c r="S508" s="2"/>
      <c r="T508" s="2"/>
      <c r="U508" s="2"/>
      <c r="V508" s="2"/>
      <c r="W508" s="2"/>
      <c r="X508" s="2"/>
      <c r="Y508" s="2"/>
      <c r="Z508" s="2"/>
    </row>
    <row r="509" customFormat="false" ht="12" hidden="false" customHeight="true" outlineLevel="0" collapsed="false">
      <c r="A509" s="2"/>
      <c r="B509" s="19"/>
      <c r="C509" s="19"/>
      <c r="D509" s="2"/>
      <c r="E509" s="2"/>
      <c r="F509" s="2"/>
      <c r="G509" s="2"/>
      <c r="H509" s="2"/>
      <c r="I509" s="2"/>
      <c r="J509" s="2"/>
      <c r="K509" s="2"/>
      <c r="L509" s="19"/>
      <c r="M509" s="19"/>
      <c r="N509" s="2"/>
      <c r="O509" s="2"/>
      <c r="P509" s="2"/>
      <c r="Q509" s="2"/>
      <c r="R509" s="2"/>
      <c r="S509" s="2"/>
      <c r="T509" s="2"/>
      <c r="U509" s="2"/>
      <c r="V509" s="2"/>
      <c r="W509" s="2"/>
      <c r="X509" s="2"/>
      <c r="Y509" s="2"/>
      <c r="Z509" s="2"/>
    </row>
    <row r="510" customFormat="false" ht="12" hidden="false" customHeight="true" outlineLevel="0" collapsed="false">
      <c r="A510" s="2"/>
      <c r="B510" s="19"/>
      <c r="C510" s="19"/>
      <c r="D510" s="2"/>
      <c r="E510" s="2"/>
      <c r="F510" s="2"/>
      <c r="G510" s="2"/>
      <c r="H510" s="2"/>
      <c r="I510" s="2"/>
      <c r="J510" s="2"/>
      <c r="K510" s="2"/>
      <c r="L510" s="19"/>
      <c r="M510" s="19"/>
      <c r="N510" s="2"/>
      <c r="O510" s="2"/>
      <c r="P510" s="2"/>
      <c r="Q510" s="2"/>
      <c r="R510" s="2"/>
      <c r="S510" s="2"/>
      <c r="T510" s="2"/>
      <c r="U510" s="2"/>
      <c r="V510" s="2"/>
      <c r="W510" s="2"/>
      <c r="X510" s="2"/>
      <c r="Y510" s="2"/>
      <c r="Z510" s="2"/>
    </row>
    <row r="511" customFormat="false" ht="12" hidden="false" customHeight="true" outlineLevel="0" collapsed="false">
      <c r="A511" s="2"/>
      <c r="B511" s="19"/>
      <c r="C511" s="19"/>
      <c r="D511" s="2"/>
      <c r="E511" s="2"/>
      <c r="F511" s="2"/>
      <c r="G511" s="2"/>
      <c r="H511" s="2"/>
      <c r="I511" s="2"/>
      <c r="J511" s="2"/>
      <c r="K511" s="2"/>
      <c r="L511" s="19"/>
      <c r="M511" s="19"/>
      <c r="N511" s="2"/>
      <c r="O511" s="2"/>
      <c r="P511" s="2"/>
      <c r="Q511" s="2"/>
      <c r="R511" s="2"/>
      <c r="S511" s="2"/>
      <c r="T511" s="2"/>
      <c r="U511" s="2"/>
      <c r="V511" s="2"/>
      <c r="W511" s="2"/>
      <c r="X511" s="2"/>
      <c r="Y511" s="2"/>
      <c r="Z511" s="2"/>
    </row>
    <row r="512" customFormat="false" ht="12" hidden="false" customHeight="true" outlineLevel="0" collapsed="false">
      <c r="A512" s="2"/>
      <c r="B512" s="19"/>
      <c r="C512" s="19"/>
      <c r="D512" s="2"/>
      <c r="E512" s="2"/>
      <c r="F512" s="2"/>
      <c r="G512" s="2"/>
      <c r="H512" s="2"/>
      <c r="I512" s="2"/>
      <c r="J512" s="2"/>
      <c r="K512" s="2"/>
      <c r="L512" s="19"/>
      <c r="M512" s="19"/>
      <c r="N512" s="2"/>
      <c r="O512" s="2"/>
      <c r="P512" s="2"/>
      <c r="Q512" s="2"/>
      <c r="R512" s="2"/>
      <c r="S512" s="2"/>
      <c r="T512" s="2"/>
      <c r="U512" s="2"/>
      <c r="V512" s="2"/>
      <c r="W512" s="2"/>
      <c r="X512" s="2"/>
      <c r="Y512" s="2"/>
      <c r="Z512" s="2"/>
    </row>
    <row r="513" customFormat="false" ht="12" hidden="false" customHeight="true" outlineLevel="0" collapsed="false">
      <c r="A513" s="2"/>
      <c r="B513" s="19"/>
      <c r="C513" s="19"/>
      <c r="D513" s="2"/>
      <c r="E513" s="2"/>
      <c r="F513" s="2"/>
      <c r="G513" s="2"/>
      <c r="H513" s="2"/>
      <c r="I513" s="2"/>
      <c r="J513" s="2"/>
      <c r="K513" s="2"/>
      <c r="L513" s="19"/>
      <c r="M513" s="19"/>
      <c r="N513" s="2"/>
      <c r="O513" s="2"/>
      <c r="P513" s="2"/>
      <c r="Q513" s="2"/>
      <c r="R513" s="2"/>
      <c r="S513" s="2"/>
      <c r="T513" s="2"/>
      <c r="U513" s="2"/>
      <c r="V513" s="2"/>
      <c r="W513" s="2"/>
      <c r="X513" s="2"/>
      <c r="Y513" s="2"/>
      <c r="Z513" s="2"/>
    </row>
    <row r="514" customFormat="false" ht="12" hidden="false" customHeight="true" outlineLevel="0" collapsed="false">
      <c r="A514" s="2"/>
      <c r="B514" s="19"/>
      <c r="C514" s="19"/>
      <c r="D514" s="2"/>
      <c r="E514" s="2"/>
      <c r="F514" s="2"/>
      <c r="G514" s="2"/>
      <c r="H514" s="2"/>
      <c r="I514" s="2"/>
      <c r="J514" s="2"/>
      <c r="K514" s="2"/>
      <c r="L514" s="19"/>
      <c r="M514" s="19"/>
      <c r="N514" s="2"/>
      <c r="O514" s="2"/>
      <c r="P514" s="2"/>
      <c r="Q514" s="2"/>
      <c r="R514" s="2"/>
      <c r="S514" s="2"/>
      <c r="T514" s="2"/>
      <c r="U514" s="2"/>
      <c r="V514" s="2"/>
      <c r="W514" s="2"/>
      <c r="X514" s="2"/>
      <c r="Y514" s="2"/>
      <c r="Z514" s="2"/>
    </row>
    <row r="515" customFormat="false" ht="12" hidden="false" customHeight="true" outlineLevel="0" collapsed="false">
      <c r="A515" s="2"/>
      <c r="B515" s="19"/>
      <c r="C515" s="19"/>
      <c r="D515" s="2"/>
      <c r="E515" s="2"/>
      <c r="F515" s="2"/>
      <c r="G515" s="2"/>
      <c r="H515" s="2"/>
      <c r="I515" s="2"/>
      <c r="J515" s="2"/>
      <c r="K515" s="2"/>
      <c r="L515" s="19"/>
      <c r="M515" s="19"/>
      <c r="N515" s="2"/>
      <c r="O515" s="2"/>
      <c r="P515" s="2"/>
      <c r="Q515" s="2"/>
      <c r="R515" s="2"/>
      <c r="S515" s="2"/>
      <c r="T515" s="2"/>
      <c r="U515" s="2"/>
      <c r="V515" s="2"/>
      <c r="W515" s="2"/>
      <c r="X515" s="2"/>
      <c r="Y515" s="2"/>
      <c r="Z515" s="2"/>
    </row>
    <row r="516" customFormat="false" ht="12" hidden="false" customHeight="true" outlineLevel="0" collapsed="false">
      <c r="A516" s="2"/>
      <c r="B516" s="19"/>
      <c r="C516" s="19"/>
      <c r="D516" s="2"/>
      <c r="E516" s="2"/>
      <c r="F516" s="2"/>
      <c r="G516" s="2"/>
      <c r="H516" s="2"/>
      <c r="I516" s="2"/>
      <c r="J516" s="2"/>
      <c r="K516" s="2"/>
      <c r="L516" s="19"/>
      <c r="M516" s="19"/>
      <c r="N516" s="2"/>
      <c r="O516" s="2"/>
      <c r="P516" s="2"/>
      <c r="Q516" s="2"/>
      <c r="R516" s="2"/>
      <c r="S516" s="2"/>
      <c r="T516" s="2"/>
      <c r="U516" s="2"/>
      <c r="V516" s="2"/>
      <c r="W516" s="2"/>
      <c r="X516" s="2"/>
      <c r="Y516" s="2"/>
      <c r="Z516" s="2"/>
    </row>
    <row r="517" customFormat="false" ht="12" hidden="false" customHeight="true" outlineLevel="0" collapsed="false">
      <c r="A517" s="2"/>
      <c r="B517" s="19"/>
      <c r="C517" s="19"/>
      <c r="D517" s="2"/>
      <c r="E517" s="2"/>
      <c r="F517" s="2"/>
      <c r="G517" s="2"/>
      <c r="H517" s="2"/>
      <c r="I517" s="2"/>
      <c r="J517" s="2"/>
      <c r="K517" s="2"/>
      <c r="L517" s="19"/>
      <c r="M517" s="19"/>
      <c r="N517" s="2"/>
      <c r="O517" s="2"/>
      <c r="P517" s="2"/>
      <c r="Q517" s="2"/>
      <c r="R517" s="2"/>
      <c r="S517" s="2"/>
      <c r="T517" s="2"/>
      <c r="U517" s="2"/>
      <c r="V517" s="2"/>
      <c r="W517" s="2"/>
      <c r="X517" s="2"/>
      <c r="Y517" s="2"/>
      <c r="Z517" s="2"/>
    </row>
    <row r="518" customFormat="false" ht="12" hidden="false" customHeight="true" outlineLevel="0" collapsed="false">
      <c r="A518" s="2"/>
      <c r="B518" s="19"/>
      <c r="C518" s="19"/>
      <c r="D518" s="2"/>
      <c r="E518" s="2"/>
      <c r="F518" s="2"/>
      <c r="G518" s="2"/>
      <c r="H518" s="2"/>
      <c r="I518" s="2"/>
      <c r="J518" s="2"/>
      <c r="K518" s="2"/>
      <c r="L518" s="19"/>
      <c r="M518" s="19"/>
      <c r="N518" s="2"/>
      <c r="O518" s="2"/>
      <c r="P518" s="2"/>
      <c r="Q518" s="2"/>
      <c r="R518" s="2"/>
      <c r="S518" s="2"/>
      <c r="T518" s="2"/>
      <c r="U518" s="2"/>
      <c r="V518" s="2"/>
      <c r="W518" s="2"/>
      <c r="X518" s="2"/>
      <c r="Y518" s="2"/>
      <c r="Z518" s="2"/>
    </row>
    <row r="519" customFormat="false" ht="12" hidden="false" customHeight="true" outlineLevel="0" collapsed="false">
      <c r="A519" s="2"/>
      <c r="B519" s="19"/>
      <c r="C519" s="19"/>
      <c r="D519" s="2"/>
      <c r="E519" s="2"/>
      <c r="F519" s="2"/>
      <c r="G519" s="2"/>
      <c r="H519" s="2"/>
      <c r="I519" s="2"/>
      <c r="J519" s="2"/>
      <c r="K519" s="2"/>
      <c r="L519" s="19"/>
      <c r="M519" s="19"/>
      <c r="N519" s="2"/>
      <c r="O519" s="2"/>
      <c r="P519" s="2"/>
      <c r="Q519" s="2"/>
      <c r="R519" s="2"/>
      <c r="S519" s="2"/>
      <c r="T519" s="2"/>
      <c r="U519" s="2"/>
      <c r="V519" s="2"/>
      <c r="W519" s="2"/>
      <c r="X519" s="2"/>
      <c r="Y519" s="2"/>
      <c r="Z519" s="2"/>
    </row>
    <row r="520" customFormat="false" ht="12" hidden="false" customHeight="true" outlineLevel="0" collapsed="false">
      <c r="A520" s="2"/>
      <c r="B520" s="19"/>
      <c r="C520" s="19"/>
      <c r="D520" s="2"/>
      <c r="E520" s="2"/>
      <c r="F520" s="2"/>
      <c r="G520" s="2"/>
      <c r="H520" s="2"/>
      <c r="I520" s="2"/>
      <c r="J520" s="2"/>
      <c r="K520" s="2"/>
      <c r="L520" s="19"/>
      <c r="M520" s="19"/>
      <c r="N520" s="2"/>
      <c r="O520" s="2"/>
      <c r="P520" s="2"/>
      <c r="Q520" s="2"/>
      <c r="R520" s="2"/>
      <c r="S520" s="2"/>
      <c r="T520" s="2"/>
      <c r="U520" s="2"/>
      <c r="V520" s="2"/>
      <c r="W520" s="2"/>
      <c r="X520" s="2"/>
      <c r="Y520" s="2"/>
      <c r="Z520" s="2"/>
    </row>
    <row r="521" customFormat="false" ht="12" hidden="false" customHeight="true" outlineLevel="0" collapsed="false">
      <c r="A521" s="2"/>
      <c r="B521" s="19"/>
      <c r="C521" s="19"/>
      <c r="D521" s="2"/>
      <c r="E521" s="2"/>
      <c r="F521" s="2"/>
      <c r="G521" s="2"/>
      <c r="H521" s="2"/>
      <c r="I521" s="2"/>
      <c r="J521" s="2"/>
      <c r="K521" s="2"/>
      <c r="L521" s="19"/>
      <c r="M521" s="19"/>
      <c r="N521" s="2"/>
      <c r="O521" s="2"/>
      <c r="P521" s="2"/>
      <c r="Q521" s="2"/>
      <c r="R521" s="2"/>
      <c r="S521" s="2"/>
      <c r="T521" s="2"/>
      <c r="U521" s="2"/>
      <c r="V521" s="2"/>
      <c r="W521" s="2"/>
      <c r="X521" s="2"/>
      <c r="Y521" s="2"/>
      <c r="Z521" s="2"/>
    </row>
    <row r="522" customFormat="false" ht="12" hidden="false" customHeight="true" outlineLevel="0" collapsed="false">
      <c r="A522" s="2"/>
      <c r="B522" s="19"/>
      <c r="C522" s="19"/>
      <c r="D522" s="2"/>
      <c r="E522" s="2"/>
      <c r="F522" s="2"/>
      <c r="G522" s="2"/>
      <c r="H522" s="2"/>
      <c r="I522" s="2"/>
      <c r="J522" s="2"/>
      <c r="K522" s="2"/>
      <c r="L522" s="19"/>
      <c r="M522" s="19"/>
      <c r="N522" s="2"/>
      <c r="O522" s="2"/>
      <c r="P522" s="2"/>
      <c r="Q522" s="2"/>
      <c r="R522" s="2"/>
      <c r="S522" s="2"/>
      <c r="T522" s="2"/>
      <c r="U522" s="2"/>
      <c r="V522" s="2"/>
      <c r="W522" s="2"/>
      <c r="X522" s="2"/>
      <c r="Y522" s="2"/>
      <c r="Z522" s="2"/>
    </row>
    <row r="523" customFormat="false" ht="12" hidden="false" customHeight="true" outlineLevel="0" collapsed="false">
      <c r="A523" s="2"/>
      <c r="B523" s="19"/>
      <c r="C523" s="19"/>
      <c r="D523" s="2"/>
      <c r="E523" s="2"/>
      <c r="F523" s="2"/>
      <c r="G523" s="2"/>
      <c r="H523" s="2"/>
      <c r="I523" s="2"/>
      <c r="J523" s="2"/>
      <c r="K523" s="2"/>
      <c r="L523" s="19"/>
      <c r="M523" s="19"/>
      <c r="N523" s="2"/>
      <c r="O523" s="2"/>
      <c r="P523" s="2"/>
      <c r="Q523" s="2"/>
      <c r="R523" s="2"/>
      <c r="S523" s="2"/>
      <c r="T523" s="2"/>
      <c r="U523" s="2"/>
      <c r="V523" s="2"/>
      <c r="W523" s="2"/>
      <c r="X523" s="2"/>
      <c r="Y523" s="2"/>
      <c r="Z523" s="2"/>
    </row>
    <row r="524" customFormat="false" ht="12" hidden="false" customHeight="true" outlineLevel="0" collapsed="false">
      <c r="A524" s="2"/>
      <c r="B524" s="19"/>
      <c r="C524" s="19"/>
      <c r="D524" s="2"/>
      <c r="E524" s="2"/>
      <c r="F524" s="2"/>
      <c r="G524" s="2"/>
      <c r="H524" s="2"/>
      <c r="I524" s="2"/>
      <c r="J524" s="2"/>
      <c r="K524" s="2"/>
      <c r="L524" s="19"/>
      <c r="M524" s="19"/>
      <c r="N524" s="2"/>
      <c r="O524" s="2"/>
      <c r="P524" s="2"/>
      <c r="Q524" s="2"/>
      <c r="R524" s="2"/>
      <c r="S524" s="2"/>
      <c r="T524" s="2"/>
      <c r="U524" s="2"/>
      <c r="V524" s="2"/>
      <c r="W524" s="2"/>
      <c r="X524" s="2"/>
      <c r="Y524" s="2"/>
      <c r="Z524" s="2"/>
    </row>
    <row r="525" customFormat="false" ht="12" hidden="false" customHeight="true" outlineLevel="0" collapsed="false">
      <c r="A525" s="2"/>
      <c r="B525" s="19"/>
      <c r="C525" s="19"/>
      <c r="D525" s="2"/>
      <c r="E525" s="2"/>
      <c r="F525" s="2"/>
      <c r="G525" s="2"/>
      <c r="H525" s="2"/>
      <c r="I525" s="2"/>
      <c r="J525" s="2"/>
      <c r="K525" s="2"/>
      <c r="L525" s="19"/>
      <c r="M525" s="19"/>
      <c r="N525" s="2"/>
      <c r="O525" s="2"/>
      <c r="P525" s="2"/>
      <c r="Q525" s="2"/>
      <c r="R525" s="2"/>
      <c r="S525" s="2"/>
      <c r="T525" s="2"/>
      <c r="U525" s="2"/>
      <c r="V525" s="2"/>
      <c r="W525" s="2"/>
      <c r="X525" s="2"/>
      <c r="Y525" s="2"/>
      <c r="Z525" s="2"/>
    </row>
    <row r="526" customFormat="false" ht="12" hidden="false" customHeight="true" outlineLevel="0" collapsed="false">
      <c r="A526" s="2"/>
      <c r="B526" s="19"/>
      <c r="C526" s="19"/>
      <c r="D526" s="2"/>
      <c r="E526" s="2"/>
      <c r="F526" s="2"/>
      <c r="G526" s="2"/>
      <c r="H526" s="2"/>
      <c r="I526" s="2"/>
      <c r="J526" s="2"/>
      <c r="K526" s="2"/>
      <c r="L526" s="19"/>
      <c r="M526" s="19"/>
      <c r="N526" s="2"/>
      <c r="O526" s="2"/>
      <c r="P526" s="2"/>
      <c r="Q526" s="2"/>
      <c r="R526" s="2"/>
      <c r="S526" s="2"/>
      <c r="T526" s="2"/>
      <c r="U526" s="2"/>
      <c r="V526" s="2"/>
      <c r="W526" s="2"/>
      <c r="X526" s="2"/>
      <c r="Y526" s="2"/>
      <c r="Z526" s="2"/>
    </row>
    <row r="527" customFormat="false" ht="12" hidden="false" customHeight="true" outlineLevel="0" collapsed="false">
      <c r="A527" s="2"/>
      <c r="B527" s="19"/>
      <c r="C527" s="19"/>
      <c r="D527" s="2"/>
      <c r="E527" s="2"/>
      <c r="F527" s="2"/>
      <c r="G527" s="2"/>
      <c r="H527" s="2"/>
      <c r="I527" s="2"/>
      <c r="J527" s="2"/>
      <c r="K527" s="2"/>
      <c r="L527" s="19"/>
      <c r="M527" s="19"/>
      <c r="N527" s="2"/>
      <c r="O527" s="2"/>
      <c r="P527" s="2"/>
      <c r="Q527" s="2"/>
      <c r="R527" s="2"/>
      <c r="S527" s="2"/>
      <c r="T527" s="2"/>
      <c r="U527" s="2"/>
      <c r="V527" s="2"/>
      <c r="W527" s="2"/>
      <c r="X527" s="2"/>
      <c r="Y527" s="2"/>
      <c r="Z527" s="2"/>
    </row>
    <row r="528" customFormat="false" ht="12" hidden="false" customHeight="true" outlineLevel="0" collapsed="false">
      <c r="A528" s="2"/>
      <c r="B528" s="19"/>
      <c r="C528" s="19"/>
      <c r="D528" s="2"/>
      <c r="E528" s="2"/>
      <c r="F528" s="2"/>
      <c r="G528" s="2"/>
      <c r="H528" s="2"/>
      <c r="I528" s="2"/>
      <c r="J528" s="2"/>
      <c r="K528" s="2"/>
      <c r="L528" s="19"/>
      <c r="M528" s="19"/>
      <c r="N528" s="2"/>
      <c r="O528" s="2"/>
      <c r="P528" s="2"/>
      <c r="Q528" s="2"/>
      <c r="R528" s="2"/>
      <c r="S528" s="2"/>
      <c r="T528" s="2"/>
      <c r="U528" s="2"/>
      <c r="V528" s="2"/>
      <c r="W528" s="2"/>
      <c r="X528" s="2"/>
      <c r="Y528" s="2"/>
      <c r="Z528" s="2"/>
    </row>
    <row r="529" customFormat="false" ht="12" hidden="false" customHeight="true" outlineLevel="0" collapsed="false">
      <c r="A529" s="2"/>
      <c r="B529" s="19"/>
      <c r="C529" s="19"/>
      <c r="D529" s="2"/>
      <c r="E529" s="2"/>
      <c r="F529" s="2"/>
      <c r="G529" s="2"/>
      <c r="H529" s="2"/>
      <c r="I529" s="2"/>
      <c r="J529" s="2"/>
      <c r="K529" s="2"/>
      <c r="L529" s="19"/>
      <c r="M529" s="19"/>
      <c r="N529" s="2"/>
      <c r="O529" s="2"/>
      <c r="P529" s="2"/>
      <c r="Q529" s="2"/>
      <c r="R529" s="2"/>
      <c r="S529" s="2"/>
      <c r="T529" s="2"/>
      <c r="U529" s="2"/>
      <c r="V529" s="2"/>
      <c r="W529" s="2"/>
      <c r="X529" s="2"/>
      <c r="Y529" s="2"/>
      <c r="Z529" s="2"/>
    </row>
    <row r="530" customFormat="false" ht="12" hidden="false" customHeight="true" outlineLevel="0" collapsed="false">
      <c r="A530" s="2"/>
      <c r="B530" s="19"/>
      <c r="C530" s="19"/>
      <c r="D530" s="2"/>
      <c r="E530" s="2"/>
      <c r="F530" s="2"/>
      <c r="G530" s="2"/>
      <c r="H530" s="2"/>
      <c r="I530" s="2"/>
      <c r="J530" s="2"/>
      <c r="K530" s="2"/>
      <c r="L530" s="19"/>
      <c r="M530" s="19"/>
      <c r="N530" s="2"/>
      <c r="O530" s="2"/>
      <c r="P530" s="2"/>
      <c r="Q530" s="2"/>
      <c r="R530" s="2"/>
      <c r="S530" s="2"/>
      <c r="T530" s="2"/>
      <c r="U530" s="2"/>
      <c r="V530" s="2"/>
      <c r="W530" s="2"/>
      <c r="X530" s="2"/>
      <c r="Y530" s="2"/>
      <c r="Z530" s="2"/>
    </row>
    <row r="531" customFormat="false" ht="12" hidden="false" customHeight="true" outlineLevel="0" collapsed="false">
      <c r="A531" s="2"/>
      <c r="B531" s="19"/>
      <c r="C531" s="19"/>
      <c r="D531" s="2"/>
      <c r="E531" s="2"/>
      <c r="F531" s="2"/>
      <c r="G531" s="2"/>
      <c r="H531" s="2"/>
      <c r="I531" s="2"/>
      <c r="J531" s="2"/>
      <c r="K531" s="2"/>
      <c r="L531" s="19"/>
      <c r="M531" s="19"/>
      <c r="N531" s="2"/>
      <c r="O531" s="2"/>
      <c r="P531" s="2"/>
      <c r="Q531" s="2"/>
      <c r="R531" s="2"/>
      <c r="S531" s="2"/>
      <c r="T531" s="2"/>
      <c r="U531" s="2"/>
      <c r="V531" s="2"/>
      <c r="W531" s="2"/>
      <c r="X531" s="2"/>
      <c r="Y531" s="2"/>
      <c r="Z531" s="2"/>
    </row>
    <row r="532" customFormat="false" ht="12" hidden="false" customHeight="true" outlineLevel="0" collapsed="false">
      <c r="A532" s="2"/>
      <c r="B532" s="19"/>
      <c r="C532" s="19"/>
      <c r="D532" s="2"/>
      <c r="E532" s="2"/>
      <c r="F532" s="2"/>
      <c r="G532" s="2"/>
      <c r="H532" s="2"/>
      <c r="I532" s="2"/>
      <c r="J532" s="2"/>
      <c r="K532" s="2"/>
      <c r="L532" s="19"/>
      <c r="M532" s="19"/>
      <c r="N532" s="2"/>
      <c r="O532" s="2"/>
      <c r="P532" s="2"/>
      <c r="Q532" s="2"/>
      <c r="R532" s="2"/>
      <c r="S532" s="2"/>
      <c r="T532" s="2"/>
      <c r="U532" s="2"/>
      <c r="V532" s="2"/>
      <c r="W532" s="2"/>
      <c r="X532" s="2"/>
      <c r="Y532" s="2"/>
      <c r="Z532" s="2"/>
    </row>
    <row r="533" customFormat="false" ht="12" hidden="false" customHeight="true" outlineLevel="0" collapsed="false">
      <c r="A533" s="2"/>
      <c r="B533" s="19"/>
      <c r="C533" s="19"/>
      <c r="D533" s="2"/>
      <c r="E533" s="2"/>
      <c r="F533" s="2"/>
      <c r="G533" s="2"/>
      <c r="H533" s="2"/>
      <c r="I533" s="2"/>
      <c r="J533" s="2"/>
      <c r="K533" s="2"/>
      <c r="L533" s="19"/>
      <c r="M533" s="19"/>
      <c r="N533" s="2"/>
      <c r="O533" s="2"/>
      <c r="P533" s="2"/>
      <c r="Q533" s="2"/>
      <c r="R533" s="2"/>
      <c r="S533" s="2"/>
      <c r="T533" s="2"/>
      <c r="U533" s="2"/>
      <c r="V533" s="2"/>
      <c r="W533" s="2"/>
      <c r="X533" s="2"/>
      <c r="Y533" s="2"/>
      <c r="Z533" s="2"/>
    </row>
    <row r="534" customFormat="false" ht="12" hidden="false" customHeight="true" outlineLevel="0" collapsed="false">
      <c r="A534" s="2"/>
      <c r="B534" s="19"/>
      <c r="C534" s="19"/>
      <c r="D534" s="2"/>
      <c r="E534" s="2"/>
      <c r="F534" s="2"/>
      <c r="G534" s="2"/>
      <c r="H534" s="2"/>
      <c r="I534" s="2"/>
      <c r="J534" s="2"/>
      <c r="K534" s="2"/>
      <c r="L534" s="19"/>
      <c r="M534" s="19"/>
      <c r="N534" s="2"/>
      <c r="O534" s="2"/>
      <c r="P534" s="2"/>
      <c r="Q534" s="2"/>
      <c r="R534" s="2"/>
      <c r="S534" s="2"/>
      <c r="T534" s="2"/>
      <c r="U534" s="2"/>
      <c r="V534" s="2"/>
      <c r="W534" s="2"/>
      <c r="X534" s="2"/>
      <c r="Y534" s="2"/>
      <c r="Z534" s="2"/>
    </row>
    <row r="535" customFormat="false" ht="12" hidden="false" customHeight="true" outlineLevel="0" collapsed="false">
      <c r="A535" s="2"/>
      <c r="B535" s="19"/>
      <c r="C535" s="19"/>
      <c r="D535" s="2"/>
      <c r="E535" s="2"/>
      <c r="F535" s="2"/>
      <c r="G535" s="2"/>
      <c r="H535" s="2"/>
      <c r="I535" s="2"/>
      <c r="J535" s="2"/>
      <c r="K535" s="2"/>
      <c r="L535" s="19"/>
      <c r="M535" s="19"/>
      <c r="N535" s="2"/>
      <c r="O535" s="2"/>
      <c r="P535" s="2"/>
      <c r="Q535" s="2"/>
      <c r="R535" s="2"/>
      <c r="S535" s="2"/>
      <c r="T535" s="2"/>
      <c r="U535" s="2"/>
      <c r="V535" s="2"/>
      <c r="W535" s="2"/>
      <c r="X535" s="2"/>
      <c r="Y535" s="2"/>
      <c r="Z535" s="2"/>
    </row>
    <row r="536" customFormat="false" ht="12" hidden="false" customHeight="true" outlineLevel="0" collapsed="false">
      <c r="A536" s="2"/>
      <c r="B536" s="19"/>
      <c r="C536" s="19"/>
      <c r="D536" s="2"/>
      <c r="E536" s="2"/>
      <c r="F536" s="2"/>
      <c r="G536" s="2"/>
      <c r="H536" s="2"/>
      <c r="I536" s="2"/>
      <c r="J536" s="2"/>
      <c r="K536" s="2"/>
      <c r="L536" s="19"/>
      <c r="M536" s="19"/>
      <c r="N536" s="2"/>
      <c r="O536" s="2"/>
      <c r="P536" s="2"/>
      <c r="Q536" s="2"/>
      <c r="R536" s="2"/>
      <c r="S536" s="2"/>
      <c r="T536" s="2"/>
      <c r="U536" s="2"/>
      <c r="V536" s="2"/>
      <c r="W536" s="2"/>
      <c r="X536" s="2"/>
      <c r="Y536" s="2"/>
      <c r="Z536" s="2"/>
    </row>
    <row r="537" customFormat="false" ht="12" hidden="false" customHeight="true" outlineLevel="0" collapsed="false">
      <c r="A537" s="2"/>
      <c r="B537" s="19"/>
      <c r="C537" s="19"/>
      <c r="D537" s="2"/>
      <c r="E537" s="2"/>
      <c r="F537" s="2"/>
      <c r="G537" s="2"/>
      <c r="H537" s="2"/>
      <c r="I537" s="2"/>
      <c r="J537" s="2"/>
      <c r="K537" s="2"/>
      <c r="L537" s="19"/>
      <c r="M537" s="19"/>
      <c r="N537" s="2"/>
      <c r="O537" s="2"/>
      <c r="P537" s="2"/>
      <c r="Q537" s="2"/>
      <c r="R537" s="2"/>
      <c r="S537" s="2"/>
      <c r="T537" s="2"/>
      <c r="U537" s="2"/>
      <c r="V537" s="2"/>
      <c r="W537" s="2"/>
      <c r="X537" s="2"/>
      <c r="Y537" s="2"/>
      <c r="Z537" s="2"/>
    </row>
    <row r="538" customFormat="false" ht="12" hidden="false" customHeight="true" outlineLevel="0" collapsed="false">
      <c r="A538" s="2"/>
      <c r="B538" s="19"/>
      <c r="C538" s="19"/>
      <c r="D538" s="2"/>
      <c r="E538" s="2"/>
      <c r="F538" s="2"/>
      <c r="G538" s="2"/>
      <c r="H538" s="2"/>
      <c r="I538" s="2"/>
      <c r="J538" s="2"/>
      <c r="K538" s="2"/>
      <c r="L538" s="19"/>
      <c r="M538" s="19"/>
      <c r="N538" s="2"/>
      <c r="O538" s="2"/>
      <c r="P538" s="2"/>
      <c r="Q538" s="2"/>
      <c r="R538" s="2"/>
      <c r="S538" s="2"/>
      <c r="T538" s="2"/>
      <c r="U538" s="2"/>
      <c r="V538" s="2"/>
      <c r="W538" s="2"/>
      <c r="X538" s="2"/>
      <c r="Y538" s="2"/>
      <c r="Z538" s="2"/>
    </row>
    <row r="539" customFormat="false" ht="12" hidden="false" customHeight="true" outlineLevel="0" collapsed="false">
      <c r="A539" s="2"/>
      <c r="B539" s="19"/>
      <c r="C539" s="19"/>
      <c r="D539" s="2"/>
      <c r="E539" s="2"/>
      <c r="F539" s="2"/>
      <c r="G539" s="2"/>
      <c r="H539" s="2"/>
      <c r="I539" s="2"/>
      <c r="J539" s="2"/>
      <c r="K539" s="2"/>
      <c r="L539" s="19"/>
      <c r="M539" s="19"/>
      <c r="N539" s="2"/>
      <c r="O539" s="2"/>
      <c r="P539" s="2"/>
      <c r="Q539" s="2"/>
      <c r="R539" s="2"/>
      <c r="S539" s="2"/>
      <c r="T539" s="2"/>
      <c r="U539" s="2"/>
      <c r="V539" s="2"/>
      <c r="W539" s="2"/>
      <c r="X539" s="2"/>
      <c r="Y539" s="2"/>
      <c r="Z539" s="2"/>
    </row>
    <row r="540" customFormat="false" ht="12" hidden="false" customHeight="true" outlineLevel="0" collapsed="false">
      <c r="A540" s="2"/>
      <c r="B540" s="19"/>
      <c r="C540" s="19"/>
      <c r="D540" s="2"/>
      <c r="E540" s="2"/>
      <c r="F540" s="2"/>
      <c r="G540" s="2"/>
      <c r="H540" s="2"/>
      <c r="I540" s="2"/>
      <c r="J540" s="2"/>
      <c r="K540" s="2"/>
      <c r="L540" s="19"/>
      <c r="M540" s="19"/>
      <c r="N540" s="2"/>
      <c r="O540" s="2"/>
      <c r="P540" s="2"/>
      <c r="Q540" s="2"/>
      <c r="R540" s="2"/>
      <c r="S540" s="2"/>
      <c r="T540" s="2"/>
      <c r="U540" s="2"/>
      <c r="V540" s="2"/>
      <c r="W540" s="2"/>
      <c r="X540" s="2"/>
      <c r="Y540" s="2"/>
      <c r="Z540" s="2"/>
    </row>
    <row r="541" customFormat="false" ht="12" hidden="false" customHeight="true" outlineLevel="0" collapsed="false">
      <c r="A541" s="2"/>
      <c r="B541" s="19"/>
      <c r="C541" s="19"/>
      <c r="D541" s="2"/>
      <c r="E541" s="2"/>
      <c r="F541" s="2"/>
      <c r="G541" s="2"/>
      <c r="H541" s="2"/>
      <c r="I541" s="2"/>
      <c r="J541" s="2"/>
      <c r="K541" s="2"/>
      <c r="L541" s="19"/>
      <c r="M541" s="19"/>
      <c r="N541" s="2"/>
      <c r="O541" s="2"/>
      <c r="P541" s="2"/>
      <c r="Q541" s="2"/>
      <c r="R541" s="2"/>
      <c r="S541" s="2"/>
      <c r="T541" s="2"/>
      <c r="U541" s="2"/>
      <c r="V541" s="2"/>
      <c r="W541" s="2"/>
      <c r="X541" s="2"/>
      <c r="Y541" s="2"/>
      <c r="Z541" s="2"/>
    </row>
    <row r="542" customFormat="false" ht="12" hidden="false" customHeight="true" outlineLevel="0" collapsed="false">
      <c r="A542" s="2"/>
      <c r="B542" s="19"/>
      <c r="C542" s="19"/>
      <c r="D542" s="2"/>
      <c r="E542" s="2"/>
      <c r="F542" s="2"/>
      <c r="G542" s="2"/>
      <c r="H542" s="2"/>
      <c r="I542" s="2"/>
      <c r="J542" s="2"/>
      <c r="K542" s="2"/>
      <c r="L542" s="19"/>
      <c r="M542" s="19"/>
      <c r="N542" s="2"/>
      <c r="O542" s="2"/>
      <c r="P542" s="2"/>
      <c r="Q542" s="2"/>
      <c r="R542" s="2"/>
      <c r="S542" s="2"/>
      <c r="T542" s="2"/>
      <c r="U542" s="2"/>
      <c r="V542" s="2"/>
      <c r="W542" s="2"/>
      <c r="X542" s="2"/>
      <c r="Y542" s="2"/>
      <c r="Z542" s="2"/>
    </row>
    <row r="543" customFormat="false" ht="12" hidden="false" customHeight="true" outlineLevel="0" collapsed="false">
      <c r="A543" s="2"/>
      <c r="B543" s="19"/>
      <c r="C543" s="19"/>
      <c r="D543" s="2"/>
      <c r="E543" s="2"/>
      <c r="F543" s="2"/>
      <c r="G543" s="2"/>
      <c r="H543" s="2"/>
      <c r="I543" s="2"/>
      <c r="J543" s="2"/>
      <c r="K543" s="2"/>
      <c r="L543" s="19"/>
      <c r="M543" s="19"/>
      <c r="N543" s="2"/>
      <c r="O543" s="2"/>
      <c r="P543" s="2"/>
      <c r="Q543" s="2"/>
      <c r="R543" s="2"/>
      <c r="S543" s="2"/>
      <c r="T543" s="2"/>
      <c r="U543" s="2"/>
      <c r="V543" s="2"/>
      <c r="W543" s="2"/>
      <c r="X543" s="2"/>
      <c r="Y543" s="2"/>
      <c r="Z543" s="2"/>
    </row>
    <row r="544" customFormat="false" ht="12" hidden="false" customHeight="true" outlineLevel="0" collapsed="false">
      <c r="A544" s="2"/>
      <c r="B544" s="19"/>
      <c r="C544" s="19"/>
      <c r="D544" s="2"/>
      <c r="E544" s="2"/>
      <c r="F544" s="2"/>
      <c r="G544" s="2"/>
      <c r="H544" s="2"/>
      <c r="I544" s="2"/>
      <c r="J544" s="2"/>
      <c r="K544" s="2"/>
      <c r="L544" s="19"/>
      <c r="M544" s="19"/>
      <c r="N544" s="2"/>
      <c r="O544" s="2"/>
      <c r="P544" s="2"/>
      <c r="Q544" s="2"/>
      <c r="R544" s="2"/>
      <c r="S544" s="2"/>
      <c r="T544" s="2"/>
      <c r="U544" s="2"/>
      <c r="V544" s="2"/>
      <c r="W544" s="2"/>
      <c r="X544" s="2"/>
      <c r="Y544" s="2"/>
      <c r="Z544" s="2"/>
    </row>
    <row r="545" customFormat="false" ht="12" hidden="false" customHeight="true" outlineLevel="0" collapsed="false">
      <c r="A545" s="2"/>
      <c r="B545" s="19"/>
      <c r="C545" s="19"/>
      <c r="D545" s="2"/>
      <c r="E545" s="2"/>
      <c r="F545" s="2"/>
      <c r="G545" s="2"/>
      <c r="H545" s="2"/>
      <c r="I545" s="2"/>
      <c r="J545" s="2"/>
      <c r="K545" s="2"/>
      <c r="L545" s="19"/>
      <c r="M545" s="19"/>
      <c r="N545" s="2"/>
      <c r="O545" s="2"/>
      <c r="P545" s="2"/>
      <c r="Q545" s="2"/>
      <c r="R545" s="2"/>
      <c r="S545" s="2"/>
      <c r="T545" s="2"/>
      <c r="U545" s="2"/>
      <c r="V545" s="2"/>
      <c r="W545" s="2"/>
      <c r="X545" s="2"/>
      <c r="Y545" s="2"/>
      <c r="Z545" s="2"/>
    </row>
    <row r="546" customFormat="false" ht="12" hidden="false" customHeight="true" outlineLevel="0" collapsed="false">
      <c r="A546" s="2"/>
      <c r="B546" s="19"/>
      <c r="C546" s="19"/>
      <c r="D546" s="2"/>
      <c r="E546" s="2"/>
      <c r="F546" s="2"/>
      <c r="G546" s="2"/>
      <c r="H546" s="2"/>
      <c r="I546" s="2"/>
      <c r="J546" s="2"/>
      <c r="K546" s="2"/>
      <c r="L546" s="19"/>
      <c r="M546" s="19"/>
      <c r="N546" s="2"/>
      <c r="O546" s="2"/>
      <c r="P546" s="2"/>
      <c r="Q546" s="2"/>
      <c r="R546" s="2"/>
      <c r="S546" s="2"/>
      <c r="T546" s="2"/>
      <c r="U546" s="2"/>
      <c r="V546" s="2"/>
      <c r="W546" s="2"/>
      <c r="X546" s="2"/>
      <c r="Y546" s="2"/>
      <c r="Z546" s="2"/>
    </row>
    <row r="547" customFormat="false" ht="12" hidden="false" customHeight="true" outlineLevel="0" collapsed="false">
      <c r="A547" s="2"/>
      <c r="B547" s="19"/>
      <c r="C547" s="19"/>
      <c r="D547" s="2"/>
      <c r="E547" s="2"/>
      <c r="F547" s="2"/>
      <c r="G547" s="2"/>
      <c r="H547" s="2"/>
      <c r="I547" s="2"/>
      <c r="J547" s="2"/>
      <c r="K547" s="2"/>
      <c r="L547" s="19"/>
      <c r="M547" s="19"/>
      <c r="N547" s="2"/>
      <c r="O547" s="2"/>
      <c r="P547" s="2"/>
      <c r="Q547" s="2"/>
      <c r="R547" s="2"/>
      <c r="S547" s="2"/>
      <c r="T547" s="2"/>
      <c r="U547" s="2"/>
      <c r="V547" s="2"/>
      <c r="W547" s="2"/>
      <c r="X547" s="2"/>
      <c r="Y547" s="2"/>
      <c r="Z547" s="2"/>
    </row>
    <row r="548" customFormat="false" ht="12" hidden="false" customHeight="true" outlineLevel="0" collapsed="false">
      <c r="A548" s="2"/>
      <c r="B548" s="19"/>
      <c r="C548" s="19"/>
      <c r="D548" s="2"/>
      <c r="E548" s="2"/>
      <c r="F548" s="2"/>
      <c r="G548" s="2"/>
      <c r="H548" s="2"/>
      <c r="I548" s="2"/>
      <c r="J548" s="2"/>
      <c r="K548" s="2"/>
      <c r="L548" s="19"/>
      <c r="M548" s="19"/>
      <c r="N548" s="2"/>
      <c r="O548" s="2"/>
      <c r="P548" s="2"/>
      <c r="Q548" s="2"/>
      <c r="R548" s="2"/>
      <c r="S548" s="2"/>
      <c r="T548" s="2"/>
      <c r="U548" s="2"/>
      <c r="V548" s="2"/>
      <c r="W548" s="2"/>
      <c r="X548" s="2"/>
      <c r="Y548" s="2"/>
      <c r="Z548" s="2"/>
    </row>
    <row r="549" customFormat="false" ht="12" hidden="false" customHeight="true" outlineLevel="0" collapsed="false">
      <c r="A549" s="2"/>
      <c r="B549" s="19"/>
      <c r="C549" s="19"/>
      <c r="D549" s="2"/>
      <c r="E549" s="2"/>
      <c r="F549" s="2"/>
      <c r="G549" s="2"/>
      <c r="H549" s="2"/>
      <c r="I549" s="2"/>
      <c r="J549" s="2"/>
      <c r="K549" s="2"/>
      <c r="L549" s="19"/>
      <c r="M549" s="19"/>
      <c r="N549" s="2"/>
      <c r="O549" s="2"/>
      <c r="P549" s="2"/>
      <c r="Q549" s="2"/>
      <c r="R549" s="2"/>
      <c r="S549" s="2"/>
      <c r="T549" s="2"/>
      <c r="U549" s="2"/>
      <c r="V549" s="2"/>
      <c r="W549" s="2"/>
      <c r="X549" s="2"/>
      <c r="Y549" s="2"/>
      <c r="Z549" s="2"/>
    </row>
    <row r="550" customFormat="false" ht="12" hidden="false" customHeight="true" outlineLevel="0" collapsed="false">
      <c r="A550" s="2"/>
      <c r="B550" s="19"/>
      <c r="C550" s="19"/>
      <c r="D550" s="2"/>
      <c r="E550" s="2"/>
      <c r="F550" s="2"/>
      <c r="G550" s="2"/>
      <c r="H550" s="2"/>
      <c r="I550" s="2"/>
      <c r="J550" s="2"/>
      <c r="K550" s="2"/>
      <c r="L550" s="19"/>
      <c r="M550" s="19"/>
      <c r="N550" s="2"/>
      <c r="O550" s="2"/>
      <c r="P550" s="2"/>
      <c r="Q550" s="2"/>
      <c r="R550" s="2"/>
      <c r="S550" s="2"/>
      <c r="T550" s="2"/>
      <c r="U550" s="2"/>
      <c r="V550" s="2"/>
      <c r="W550" s="2"/>
      <c r="X550" s="2"/>
      <c r="Y550" s="2"/>
      <c r="Z550" s="2"/>
    </row>
    <row r="551" customFormat="false" ht="12" hidden="false" customHeight="true" outlineLevel="0" collapsed="false">
      <c r="A551" s="2"/>
      <c r="B551" s="19"/>
      <c r="C551" s="19"/>
      <c r="D551" s="2"/>
      <c r="E551" s="2"/>
      <c r="F551" s="2"/>
      <c r="G551" s="2"/>
      <c r="H551" s="2"/>
      <c r="I551" s="2"/>
      <c r="J551" s="2"/>
      <c r="K551" s="2"/>
      <c r="L551" s="19"/>
      <c r="M551" s="19"/>
      <c r="N551" s="2"/>
      <c r="O551" s="2"/>
      <c r="P551" s="2"/>
      <c r="Q551" s="2"/>
      <c r="R551" s="2"/>
      <c r="S551" s="2"/>
      <c r="T551" s="2"/>
      <c r="U551" s="2"/>
      <c r="V551" s="2"/>
      <c r="W551" s="2"/>
      <c r="X551" s="2"/>
      <c r="Y551" s="2"/>
      <c r="Z551" s="2"/>
    </row>
    <row r="552" customFormat="false" ht="12" hidden="false" customHeight="true" outlineLevel="0" collapsed="false">
      <c r="A552" s="2"/>
      <c r="B552" s="19"/>
      <c r="C552" s="19"/>
      <c r="D552" s="2"/>
      <c r="E552" s="2"/>
      <c r="F552" s="2"/>
      <c r="G552" s="2"/>
      <c r="H552" s="2"/>
      <c r="I552" s="2"/>
      <c r="J552" s="2"/>
      <c r="K552" s="2"/>
      <c r="L552" s="19"/>
      <c r="M552" s="19"/>
      <c r="N552" s="2"/>
      <c r="O552" s="2"/>
      <c r="P552" s="2"/>
      <c r="Q552" s="2"/>
      <c r="R552" s="2"/>
      <c r="S552" s="2"/>
      <c r="T552" s="2"/>
      <c r="U552" s="2"/>
      <c r="V552" s="2"/>
      <c r="W552" s="2"/>
      <c r="X552" s="2"/>
      <c r="Y552" s="2"/>
      <c r="Z552" s="2"/>
    </row>
    <row r="553" customFormat="false" ht="12" hidden="false" customHeight="true" outlineLevel="0" collapsed="false">
      <c r="A553" s="2"/>
      <c r="B553" s="19"/>
      <c r="C553" s="19"/>
      <c r="D553" s="2"/>
      <c r="E553" s="2"/>
      <c r="F553" s="2"/>
      <c r="G553" s="2"/>
      <c r="H553" s="2"/>
      <c r="I553" s="2"/>
      <c r="J553" s="2"/>
      <c r="K553" s="2"/>
      <c r="L553" s="19"/>
      <c r="M553" s="19"/>
      <c r="N553" s="2"/>
      <c r="O553" s="2"/>
      <c r="P553" s="2"/>
      <c r="Q553" s="2"/>
      <c r="R553" s="2"/>
      <c r="S553" s="2"/>
      <c r="T553" s="2"/>
      <c r="U553" s="2"/>
      <c r="V553" s="2"/>
      <c r="W553" s="2"/>
      <c r="X553" s="2"/>
      <c r="Y553" s="2"/>
      <c r="Z553" s="2"/>
    </row>
    <row r="554" customFormat="false" ht="12" hidden="false" customHeight="true" outlineLevel="0" collapsed="false">
      <c r="A554" s="2"/>
      <c r="B554" s="19"/>
      <c r="C554" s="19"/>
      <c r="D554" s="2"/>
      <c r="E554" s="2"/>
      <c r="F554" s="2"/>
      <c r="G554" s="2"/>
      <c r="H554" s="2"/>
      <c r="I554" s="2"/>
      <c r="J554" s="2"/>
      <c r="K554" s="2"/>
      <c r="L554" s="19"/>
      <c r="M554" s="19"/>
      <c r="N554" s="2"/>
      <c r="O554" s="2"/>
      <c r="P554" s="2"/>
      <c r="Q554" s="2"/>
      <c r="R554" s="2"/>
      <c r="S554" s="2"/>
      <c r="T554" s="2"/>
      <c r="U554" s="2"/>
      <c r="V554" s="2"/>
      <c r="W554" s="2"/>
      <c r="X554" s="2"/>
      <c r="Y554" s="2"/>
      <c r="Z554" s="2"/>
    </row>
    <row r="555" customFormat="false" ht="12" hidden="false" customHeight="true" outlineLevel="0" collapsed="false">
      <c r="A555" s="2"/>
      <c r="B555" s="19"/>
      <c r="C555" s="19"/>
      <c r="D555" s="2"/>
      <c r="E555" s="2"/>
      <c r="F555" s="2"/>
      <c r="G555" s="2"/>
      <c r="H555" s="2"/>
      <c r="I555" s="2"/>
      <c r="J555" s="2"/>
      <c r="K555" s="2"/>
      <c r="L555" s="19"/>
      <c r="M555" s="19"/>
      <c r="N555" s="2"/>
      <c r="O555" s="2"/>
      <c r="P555" s="2"/>
      <c r="Q555" s="2"/>
      <c r="R555" s="2"/>
      <c r="S555" s="2"/>
      <c r="T555" s="2"/>
      <c r="U555" s="2"/>
      <c r="V555" s="2"/>
      <c r="W555" s="2"/>
      <c r="X555" s="2"/>
      <c r="Y555" s="2"/>
      <c r="Z555" s="2"/>
    </row>
    <row r="556" customFormat="false" ht="12" hidden="false" customHeight="true" outlineLevel="0" collapsed="false">
      <c r="A556" s="2"/>
      <c r="B556" s="19"/>
      <c r="C556" s="19"/>
      <c r="D556" s="2"/>
      <c r="E556" s="2"/>
      <c r="F556" s="2"/>
      <c r="G556" s="2"/>
      <c r="H556" s="2"/>
      <c r="I556" s="2"/>
      <c r="J556" s="2"/>
      <c r="K556" s="2"/>
      <c r="L556" s="19"/>
      <c r="M556" s="19"/>
      <c r="N556" s="2"/>
      <c r="O556" s="2"/>
      <c r="P556" s="2"/>
      <c r="Q556" s="2"/>
      <c r="R556" s="2"/>
      <c r="S556" s="2"/>
      <c r="T556" s="2"/>
      <c r="U556" s="2"/>
      <c r="V556" s="2"/>
      <c r="W556" s="2"/>
      <c r="X556" s="2"/>
      <c r="Y556" s="2"/>
      <c r="Z556" s="2"/>
    </row>
    <row r="557" customFormat="false" ht="12" hidden="false" customHeight="true" outlineLevel="0" collapsed="false">
      <c r="A557" s="2"/>
      <c r="B557" s="19"/>
      <c r="C557" s="19"/>
      <c r="D557" s="2"/>
      <c r="E557" s="2"/>
      <c r="F557" s="2"/>
      <c r="G557" s="2"/>
      <c r="H557" s="2"/>
      <c r="I557" s="2"/>
      <c r="J557" s="2"/>
      <c r="K557" s="2"/>
      <c r="L557" s="19"/>
      <c r="M557" s="19"/>
      <c r="N557" s="2"/>
      <c r="O557" s="2"/>
      <c r="P557" s="2"/>
      <c r="Q557" s="2"/>
      <c r="R557" s="2"/>
      <c r="S557" s="2"/>
      <c r="T557" s="2"/>
      <c r="U557" s="2"/>
      <c r="V557" s="2"/>
      <c r="W557" s="2"/>
      <c r="X557" s="2"/>
      <c r="Y557" s="2"/>
      <c r="Z557" s="2"/>
    </row>
    <row r="558" customFormat="false" ht="12" hidden="false" customHeight="true" outlineLevel="0" collapsed="false">
      <c r="A558" s="2"/>
      <c r="B558" s="19"/>
      <c r="C558" s="19"/>
      <c r="D558" s="2"/>
      <c r="E558" s="2"/>
      <c r="F558" s="2"/>
      <c r="G558" s="2"/>
      <c r="H558" s="2"/>
      <c r="I558" s="2"/>
      <c r="J558" s="2"/>
      <c r="K558" s="2"/>
      <c r="L558" s="19"/>
      <c r="M558" s="19"/>
      <c r="N558" s="2"/>
      <c r="O558" s="2"/>
      <c r="P558" s="2"/>
      <c r="Q558" s="2"/>
      <c r="R558" s="2"/>
      <c r="S558" s="2"/>
      <c r="T558" s="2"/>
      <c r="U558" s="2"/>
      <c r="V558" s="2"/>
      <c r="W558" s="2"/>
      <c r="X558" s="2"/>
      <c r="Y558" s="2"/>
      <c r="Z558" s="2"/>
    </row>
    <row r="559" customFormat="false" ht="12" hidden="false" customHeight="true" outlineLevel="0" collapsed="false">
      <c r="A559" s="2"/>
      <c r="B559" s="19"/>
      <c r="C559" s="19"/>
      <c r="D559" s="2"/>
      <c r="E559" s="2"/>
      <c r="F559" s="2"/>
      <c r="G559" s="2"/>
      <c r="H559" s="2"/>
      <c r="I559" s="2"/>
      <c r="J559" s="2"/>
      <c r="K559" s="2"/>
      <c r="L559" s="19"/>
      <c r="M559" s="19"/>
      <c r="N559" s="2"/>
      <c r="O559" s="2"/>
      <c r="P559" s="2"/>
      <c r="Q559" s="2"/>
      <c r="R559" s="2"/>
      <c r="S559" s="2"/>
      <c r="T559" s="2"/>
      <c r="U559" s="2"/>
      <c r="V559" s="2"/>
      <c r="W559" s="2"/>
      <c r="X559" s="2"/>
      <c r="Y559" s="2"/>
      <c r="Z559" s="2"/>
    </row>
    <row r="560" customFormat="false" ht="12" hidden="false" customHeight="true" outlineLevel="0" collapsed="false">
      <c r="A560" s="2"/>
      <c r="B560" s="19"/>
      <c r="C560" s="19"/>
      <c r="D560" s="2"/>
      <c r="E560" s="2"/>
      <c r="F560" s="2"/>
      <c r="G560" s="2"/>
      <c r="H560" s="2"/>
      <c r="I560" s="2"/>
      <c r="J560" s="2"/>
      <c r="K560" s="2"/>
      <c r="L560" s="19"/>
      <c r="M560" s="19"/>
      <c r="N560" s="2"/>
      <c r="O560" s="2"/>
      <c r="P560" s="2"/>
      <c r="Q560" s="2"/>
      <c r="R560" s="2"/>
      <c r="S560" s="2"/>
      <c r="T560" s="2"/>
      <c r="U560" s="2"/>
      <c r="V560" s="2"/>
      <c r="W560" s="2"/>
      <c r="X560" s="2"/>
      <c r="Y560" s="2"/>
      <c r="Z560" s="2"/>
    </row>
    <row r="561" customFormat="false" ht="12" hidden="false" customHeight="true" outlineLevel="0" collapsed="false">
      <c r="A561" s="2"/>
      <c r="B561" s="19"/>
      <c r="C561" s="19"/>
      <c r="D561" s="2"/>
      <c r="E561" s="2"/>
      <c r="F561" s="2"/>
      <c r="G561" s="2"/>
      <c r="H561" s="2"/>
      <c r="I561" s="2"/>
      <c r="J561" s="2"/>
      <c r="K561" s="2"/>
      <c r="L561" s="19"/>
      <c r="M561" s="19"/>
      <c r="N561" s="2"/>
      <c r="O561" s="2"/>
      <c r="P561" s="2"/>
      <c r="Q561" s="2"/>
      <c r="R561" s="2"/>
      <c r="S561" s="2"/>
      <c r="T561" s="2"/>
      <c r="U561" s="2"/>
      <c r="V561" s="2"/>
      <c r="W561" s="2"/>
      <c r="X561" s="2"/>
      <c r="Y561" s="2"/>
      <c r="Z561" s="2"/>
    </row>
    <row r="562" customFormat="false" ht="12" hidden="false" customHeight="true" outlineLevel="0" collapsed="false">
      <c r="A562" s="2"/>
      <c r="B562" s="19"/>
      <c r="C562" s="19"/>
      <c r="D562" s="2"/>
      <c r="E562" s="2"/>
      <c r="F562" s="2"/>
      <c r="G562" s="2"/>
      <c r="H562" s="2"/>
      <c r="I562" s="2"/>
      <c r="J562" s="2"/>
      <c r="K562" s="2"/>
      <c r="L562" s="19"/>
      <c r="M562" s="19"/>
      <c r="N562" s="2"/>
      <c r="O562" s="2"/>
      <c r="P562" s="2"/>
      <c r="Q562" s="2"/>
      <c r="R562" s="2"/>
      <c r="S562" s="2"/>
      <c r="T562" s="2"/>
      <c r="U562" s="2"/>
      <c r="V562" s="2"/>
      <c r="W562" s="2"/>
      <c r="X562" s="2"/>
      <c r="Y562" s="2"/>
      <c r="Z562" s="2"/>
    </row>
    <row r="563" customFormat="false" ht="12" hidden="false" customHeight="true" outlineLevel="0" collapsed="false">
      <c r="A563" s="2"/>
      <c r="B563" s="19"/>
      <c r="C563" s="19"/>
      <c r="D563" s="2"/>
      <c r="E563" s="2"/>
      <c r="F563" s="2"/>
      <c r="G563" s="2"/>
      <c r="H563" s="2"/>
      <c r="I563" s="2"/>
      <c r="J563" s="2"/>
      <c r="K563" s="2"/>
      <c r="L563" s="19"/>
      <c r="M563" s="19"/>
      <c r="N563" s="2"/>
      <c r="O563" s="2"/>
      <c r="P563" s="2"/>
      <c r="Q563" s="2"/>
      <c r="R563" s="2"/>
      <c r="S563" s="2"/>
      <c r="T563" s="2"/>
      <c r="U563" s="2"/>
      <c r="V563" s="2"/>
      <c r="W563" s="2"/>
      <c r="X563" s="2"/>
      <c r="Y563" s="2"/>
      <c r="Z563" s="2"/>
    </row>
    <row r="564" customFormat="false" ht="12" hidden="false" customHeight="true" outlineLevel="0" collapsed="false">
      <c r="A564" s="2"/>
      <c r="B564" s="19"/>
      <c r="C564" s="19"/>
      <c r="D564" s="2"/>
      <c r="E564" s="2"/>
      <c r="F564" s="2"/>
      <c r="G564" s="2"/>
      <c r="H564" s="2"/>
      <c r="I564" s="2"/>
      <c r="J564" s="2"/>
      <c r="K564" s="2"/>
      <c r="L564" s="19"/>
      <c r="M564" s="19"/>
      <c r="N564" s="2"/>
      <c r="O564" s="2"/>
      <c r="P564" s="2"/>
      <c r="Q564" s="2"/>
      <c r="R564" s="2"/>
      <c r="S564" s="2"/>
      <c r="T564" s="2"/>
      <c r="U564" s="2"/>
      <c r="V564" s="2"/>
      <c r="W564" s="2"/>
      <c r="X564" s="2"/>
      <c r="Y564" s="2"/>
      <c r="Z564" s="2"/>
    </row>
    <row r="565" customFormat="false" ht="12" hidden="false" customHeight="true" outlineLevel="0" collapsed="false">
      <c r="A565" s="2"/>
      <c r="B565" s="19"/>
      <c r="C565" s="19"/>
      <c r="D565" s="2"/>
      <c r="E565" s="2"/>
      <c r="F565" s="2"/>
      <c r="G565" s="2"/>
      <c r="H565" s="2"/>
      <c r="I565" s="2"/>
      <c r="J565" s="2"/>
      <c r="K565" s="2"/>
      <c r="L565" s="19"/>
      <c r="M565" s="19"/>
      <c r="N565" s="2"/>
      <c r="O565" s="2"/>
      <c r="P565" s="2"/>
      <c r="Q565" s="2"/>
      <c r="R565" s="2"/>
      <c r="S565" s="2"/>
      <c r="T565" s="2"/>
      <c r="U565" s="2"/>
      <c r="V565" s="2"/>
      <c r="W565" s="2"/>
      <c r="X565" s="2"/>
      <c r="Y565" s="2"/>
      <c r="Z565" s="2"/>
    </row>
    <row r="566" customFormat="false" ht="12" hidden="false" customHeight="true" outlineLevel="0" collapsed="false">
      <c r="A566" s="2"/>
      <c r="B566" s="19"/>
      <c r="C566" s="19"/>
      <c r="D566" s="2"/>
      <c r="E566" s="2"/>
      <c r="F566" s="2"/>
      <c r="G566" s="2"/>
      <c r="H566" s="2"/>
      <c r="I566" s="2"/>
      <c r="J566" s="2"/>
      <c r="K566" s="2"/>
      <c r="L566" s="19"/>
      <c r="M566" s="19"/>
      <c r="N566" s="2"/>
      <c r="O566" s="2"/>
      <c r="P566" s="2"/>
      <c r="Q566" s="2"/>
      <c r="R566" s="2"/>
      <c r="S566" s="2"/>
      <c r="T566" s="2"/>
      <c r="U566" s="2"/>
      <c r="V566" s="2"/>
      <c r="W566" s="2"/>
      <c r="X566" s="2"/>
      <c r="Y566" s="2"/>
      <c r="Z566" s="2"/>
    </row>
    <row r="567" customFormat="false" ht="12" hidden="false" customHeight="true" outlineLevel="0" collapsed="false">
      <c r="A567" s="2"/>
      <c r="B567" s="19"/>
      <c r="C567" s="19"/>
      <c r="D567" s="2"/>
      <c r="E567" s="2"/>
      <c r="F567" s="2"/>
      <c r="G567" s="2"/>
      <c r="H567" s="2"/>
      <c r="I567" s="2"/>
      <c r="J567" s="2"/>
      <c r="K567" s="2"/>
      <c r="L567" s="19"/>
      <c r="M567" s="19"/>
      <c r="N567" s="2"/>
      <c r="O567" s="2"/>
      <c r="P567" s="2"/>
      <c r="Q567" s="2"/>
      <c r="R567" s="2"/>
      <c r="S567" s="2"/>
      <c r="T567" s="2"/>
      <c r="U567" s="2"/>
      <c r="V567" s="2"/>
      <c r="W567" s="2"/>
      <c r="X567" s="2"/>
      <c r="Y567" s="2"/>
      <c r="Z567" s="2"/>
    </row>
    <row r="568" customFormat="false" ht="12" hidden="false" customHeight="true" outlineLevel="0" collapsed="false">
      <c r="A568" s="2"/>
      <c r="B568" s="19"/>
      <c r="C568" s="19"/>
      <c r="D568" s="2"/>
      <c r="E568" s="2"/>
      <c r="F568" s="2"/>
      <c r="G568" s="2"/>
      <c r="H568" s="2"/>
      <c r="I568" s="2"/>
      <c r="J568" s="2"/>
      <c r="K568" s="2"/>
      <c r="L568" s="19"/>
      <c r="M568" s="19"/>
      <c r="N568" s="2"/>
      <c r="O568" s="2"/>
      <c r="P568" s="2"/>
      <c r="Q568" s="2"/>
      <c r="R568" s="2"/>
      <c r="S568" s="2"/>
      <c r="T568" s="2"/>
      <c r="U568" s="2"/>
      <c r="V568" s="2"/>
      <c r="W568" s="2"/>
      <c r="X568" s="2"/>
      <c r="Y568" s="2"/>
      <c r="Z568" s="2"/>
    </row>
    <row r="569" customFormat="false" ht="12" hidden="false" customHeight="true" outlineLevel="0" collapsed="false">
      <c r="A569" s="2"/>
      <c r="B569" s="19"/>
      <c r="C569" s="19"/>
      <c r="D569" s="2"/>
      <c r="E569" s="2"/>
      <c r="F569" s="2"/>
      <c r="G569" s="2"/>
      <c r="H569" s="2"/>
      <c r="I569" s="2"/>
      <c r="J569" s="2"/>
      <c r="K569" s="2"/>
      <c r="L569" s="19"/>
      <c r="M569" s="19"/>
      <c r="N569" s="2"/>
      <c r="O569" s="2"/>
      <c r="P569" s="2"/>
      <c r="Q569" s="2"/>
      <c r="R569" s="2"/>
      <c r="S569" s="2"/>
      <c r="T569" s="2"/>
      <c r="U569" s="2"/>
      <c r="V569" s="2"/>
      <c r="W569" s="2"/>
      <c r="X569" s="2"/>
      <c r="Y569" s="2"/>
      <c r="Z569" s="2"/>
    </row>
    <row r="570" customFormat="false" ht="12" hidden="false" customHeight="true" outlineLevel="0" collapsed="false">
      <c r="A570" s="2"/>
      <c r="B570" s="19"/>
      <c r="C570" s="19"/>
      <c r="D570" s="2"/>
      <c r="E570" s="2"/>
      <c r="F570" s="2"/>
      <c r="G570" s="2"/>
      <c r="H570" s="2"/>
      <c r="I570" s="2"/>
      <c r="J570" s="2"/>
      <c r="K570" s="2"/>
      <c r="L570" s="19"/>
      <c r="M570" s="19"/>
      <c r="N570" s="2"/>
      <c r="O570" s="2"/>
      <c r="P570" s="2"/>
      <c r="Q570" s="2"/>
      <c r="R570" s="2"/>
      <c r="S570" s="2"/>
      <c r="T570" s="2"/>
      <c r="U570" s="2"/>
      <c r="V570" s="2"/>
      <c r="W570" s="2"/>
      <c r="X570" s="2"/>
      <c r="Y570" s="2"/>
      <c r="Z570" s="2"/>
    </row>
    <row r="571" customFormat="false" ht="12" hidden="false" customHeight="true" outlineLevel="0" collapsed="false">
      <c r="A571" s="2"/>
      <c r="B571" s="19"/>
      <c r="C571" s="19"/>
      <c r="D571" s="2"/>
      <c r="E571" s="2"/>
      <c r="F571" s="2"/>
      <c r="G571" s="2"/>
      <c r="H571" s="2"/>
      <c r="I571" s="2"/>
      <c r="J571" s="2"/>
      <c r="K571" s="2"/>
      <c r="L571" s="19"/>
      <c r="M571" s="19"/>
      <c r="N571" s="2"/>
      <c r="O571" s="2"/>
      <c r="P571" s="2"/>
      <c r="Q571" s="2"/>
      <c r="R571" s="2"/>
      <c r="S571" s="2"/>
      <c r="T571" s="2"/>
      <c r="U571" s="2"/>
      <c r="V571" s="2"/>
      <c r="W571" s="2"/>
      <c r="X571" s="2"/>
      <c r="Y571" s="2"/>
      <c r="Z571" s="2"/>
    </row>
    <row r="572" customFormat="false" ht="12" hidden="false" customHeight="true" outlineLevel="0" collapsed="false">
      <c r="A572" s="2"/>
      <c r="B572" s="19"/>
      <c r="C572" s="19"/>
      <c r="D572" s="2"/>
      <c r="E572" s="2"/>
      <c r="F572" s="2"/>
      <c r="G572" s="2"/>
      <c r="H572" s="2"/>
      <c r="I572" s="2"/>
      <c r="J572" s="2"/>
      <c r="K572" s="2"/>
      <c r="L572" s="19"/>
      <c r="M572" s="19"/>
      <c r="N572" s="2"/>
      <c r="O572" s="2"/>
      <c r="P572" s="2"/>
      <c r="Q572" s="2"/>
      <c r="R572" s="2"/>
      <c r="S572" s="2"/>
      <c r="T572" s="2"/>
      <c r="U572" s="2"/>
      <c r="V572" s="2"/>
      <c r="W572" s="2"/>
      <c r="X572" s="2"/>
      <c r="Y572" s="2"/>
      <c r="Z572" s="2"/>
    </row>
    <row r="573" customFormat="false" ht="12" hidden="false" customHeight="true" outlineLevel="0" collapsed="false">
      <c r="A573" s="2"/>
      <c r="B573" s="19"/>
      <c r="C573" s="19"/>
      <c r="D573" s="2"/>
      <c r="E573" s="2"/>
      <c r="F573" s="2"/>
      <c r="G573" s="2"/>
      <c r="H573" s="2"/>
      <c r="I573" s="2"/>
      <c r="J573" s="2"/>
      <c r="K573" s="2"/>
      <c r="L573" s="19"/>
      <c r="M573" s="19"/>
      <c r="N573" s="2"/>
      <c r="O573" s="2"/>
      <c r="P573" s="2"/>
      <c r="Q573" s="2"/>
      <c r="R573" s="2"/>
      <c r="S573" s="2"/>
      <c r="T573" s="2"/>
      <c r="U573" s="2"/>
      <c r="V573" s="2"/>
      <c r="W573" s="2"/>
      <c r="X573" s="2"/>
      <c r="Y573" s="2"/>
      <c r="Z573" s="2"/>
    </row>
    <row r="574" customFormat="false" ht="12" hidden="false" customHeight="true" outlineLevel="0" collapsed="false">
      <c r="A574" s="2"/>
      <c r="B574" s="19"/>
      <c r="C574" s="19"/>
      <c r="D574" s="2"/>
      <c r="E574" s="2"/>
      <c r="F574" s="2"/>
      <c r="G574" s="2"/>
      <c r="H574" s="2"/>
      <c r="I574" s="2"/>
      <c r="J574" s="2"/>
      <c r="K574" s="2"/>
      <c r="L574" s="19"/>
      <c r="M574" s="19"/>
      <c r="N574" s="2"/>
      <c r="O574" s="2"/>
      <c r="P574" s="2"/>
      <c r="Q574" s="2"/>
      <c r="R574" s="2"/>
      <c r="S574" s="2"/>
      <c r="T574" s="2"/>
      <c r="U574" s="2"/>
      <c r="V574" s="2"/>
      <c r="W574" s="2"/>
      <c r="X574" s="2"/>
      <c r="Y574" s="2"/>
      <c r="Z574" s="2"/>
    </row>
    <row r="575" customFormat="false" ht="12" hidden="false" customHeight="true" outlineLevel="0" collapsed="false">
      <c r="A575" s="2"/>
      <c r="B575" s="19"/>
      <c r="C575" s="19"/>
      <c r="D575" s="2"/>
      <c r="E575" s="2"/>
      <c r="F575" s="2"/>
      <c r="G575" s="2"/>
      <c r="H575" s="2"/>
      <c r="I575" s="2"/>
      <c r="J575" s="2"/>
      <c r="K575" s="2"/>
      <c r="L575" s="19"/>
      <c r="M575" s="19"/>
      <c r="N575" s="2"/>
      <c r="O575" s="2"/>
      <c r="P575" s="2"/>
      <c r="Q575" s="2"/>
      <c r="R575" s="2"/>
      <c r="S575" s="2"/>
      <c r="T575" s="2"/>
      <c r="U575" s="2"/>
      <c r="V575" s="2"/>
      <c r="W575" s="2"/>
      <c r="X575" s="2"/>
      <c r="Y575" s="2"/>
      <c r="Z575" s="2"/>
    </row>
    <row r="576" customFormat="false" ht="12" hidden="false" customHeight="true" outlineLevel="0" collapsed="false">
      <c r="A576" s="2"/>
      <c r="B576" s="19"/>
      <c r="C576" s="19"/>
      <c r="D576" s="2"/>
      <c r="E576" s="2"/>
      <c r="F576" s="2"/>
      <c r="G576" s="2"/>
      <c r="H576" s="2"/>
      <c r="I576" s="2"/>
      <c r="J576" s="2"/>
      <c r="K576" s="2"/>
      <c r="L576" s="19"/>
      <c r="M576" s="19"/>
      <c r="N576" s="2"/>
      <c r="O576" s="2"/>
      <c r="P576" s="2"/>
      <c r="Q576" s="2"/>
      <c r="R576" s="2"/>
      <c r="S576" s="2"/>
      <c r="T576" s="2"/>
      <c r="U576" s="2"/>
      <c r="V576" s="2"/>
      <c r="W576" s="2"/>
      <c r="X576" s="2"/>
      <c r="Y576" s="2"/>
      <c r="Z576" s="2"/>
    </row>
    <row r="577" customFormat="false" ht="12" hidden="false" customHeight="true" outlineLevel="0" collapsed="false">
      <c r="A577" s="2"/>
      <c r="B577" s="19"/>
      <c r="C577" s="19"/>
      <c r="D577" s="2"/>
      <c r="E577" s="2"/>
      <c r="F577" s="2"/>
      <c r="G577" s="2"/>
      <c r="H577" s="2"/>
      <c r="I577" s="2"/>
      <c r="J577" s="2"/>
      <c r="K577" s="2"/>
      <c r="L577" s="19"/>
      <c r="M577" s="19"/>
      <c r="N577" s="2"/>
      <c r="O577" s="2"/>
      <c r="P577" s="2"/>
      <c r="Q577" s="2"/>
      <c r="R577" s="2"/>
      <c r="S577" s="2"/>
      <c r="T577" s="2"/>
      <c r="U577" s="2"/>
      <c r="V577" s="2"/>
      <c r="W577" s="2"/>
      <c r="X577" s="2"/>
      <c r="Y577" s="2"/>
      <c r="Z577" s="2"/>
    </row>
    <row r="578" customFormat="false" ht="12" hidden="false" customHeight="true" outlineLevel="0" collapsed="false">
      <c r="A578" s="2"/>
      <c r="B578" s="19"/>
      <c r="C578" s="19"/>
      <c r="D578" s="2"/>
      <c r="E578" s="2"/>
      <c r="F578" s="2"/>
      <c r="G578" s="2"/>
      <c r="H578" s="2"/>
      <c r="I578" s="2"/>
      <c r="J578" s="2"/>
      <c r="K578" s="2"/>
      <c r="L578" s="19"/>
      <c r="M578" s="19"/>
      <c r="N578" s="2"/>
      <c r="O578" s="2"/>
      <c r="P578" s="2"/>
      <c r="Q578" s="2"/>
      <c r="R578" s="2"/>
      <c r="S578" s="2"/>
      <c r="T578" s="2"/>
      <c r="U578" s="2"/>
      <c r="V578" s="2"/>
      <c r="W578" s="2"/>
      <c r="X578" s="2"/>
      <c r="Y578" s="2"/>
      <c r="Z578" s="2"/>
    </row>
    <row r="579" customFormat="false" ht="12" hidden="false" customHeight="true" outlineLevel="0" collapsed="false">
      <c r="A579" s="2"/>
      <c r="B579" s="19"/>
      <c r="C579" s="19"/>
      <c r="D579" s="2"/>
      <c r="E579" s="2"/>
      <c r="F579" s="2"/>
      <c r="G579" s="2"/>
      <c r="H579" s="2"/>
      <c r="I579" s="2"/>
      <c r="J579" s="2"/>
      <c r="K579" s="2"/>
      <c r="L579" s="19"/>
      <c r="M579" s="19"/>
      <c r="N579" s="2"/>
      <c r="O579" s="2"/>
      <c r="P579" s="2"/>
      <c r="Q579" s="2"/>
      <c r="R579" s="2"/>
      <c r="S579" s="2"/>
      <c r="T579" s="2"/>
      <c r="U579" s="2"/>
      <c r="V579" s="2"/>
      <c r="W579" s="2"/>
      <c r="X579" s="2"/>
      <c r="Y579" s="2"/>
      <c r="Z579" s="2"/>
    </row>
    <row r="580" customFormat="false" ht="12" hidden="false" customHeight="true" outlineLevel="0" collapsed="false">
      <c r="A580" s="2"/>
      <c r="B580" s="19"/>
      <c r="C580" s="19"/>
      <c r="D580" s="2"/>
      <c r="E580" s="2"/>
      <c r="F580" s="2"/>
      <c r="G580" s="2"/>
      <c r="H580" s="2"/>
      <c r="I580" s="2"/>
      <c r="J580" s="2"/>
      <c r="K580" s="2"/>
      <c r="L580" s="19"/>
      <c r="M580" s="19"/>
      <c r="N580" s="2"/>
      <c r="O580" s="2"/>
      <c r="P580" s="2"/>
      <c r="Q580" s="2"/>
      <c r="R580" s="2"/>
      <c r="S580" s="2"/>
      <c r="T580" s="2"/>
      <c r="U580" s="2"/>
      <c r="V580" s="2"/>
      <c r="W580" s="2"/>
      <c r="X580" s="2"/>
      <c r="Y580" s="2"/>
      <c r="Z580" s="2"/>
    </row>
    <row r="581" customFormat="false" ht="12" hidden="false" customHeight="true" outlineLevel="0" collapsed="false">
      <c r="A581" s="2"/>
      <c r="B581" s="19"/>
      <c r="C581" s="19"/>
      <c r="D581" s="2"/>
      <c r="E581" s="2"/>
      <c r="F581" s="2"/>
      <c r="G581" s="2"/>
      <c r="H581" s="2"/>
      <c r="I581" s="2"/>
      <c r="J581" s="2"/>
      <c r="K581" s="2"/>
      <c r="L581" s="19"/>
      <c r="M581" s="19"/>
      <c r="N581" s="2"/>
      <c r="O581" s="2"/>
      <c r="P581" s="2"/>
      <c r="Q581" s="2"/>
      <c r="R581" s="2"/>
      <c r="S581" s="2"/>
      <c r="T581" s="2"/>
      <c r="U581" s="2"/>
      <c r="V581" s="2"/>
      <c r="W581" s="2"/>
      <c r="X581" s="2"/>
      <c r="Y581" s="2"/>
      <c r="Z581" s="2"/>
    </row>
    <row r="582" customFormat="false" ht="12" hidden="false" customHeight="true" outlineLevel="0" collapsed="false">
      <c r="A582" s="2"/>
      <c r="B582" s="19"/>
      <c r="C582" s="19"/>
      <c r="D582" s="2"/>
      <c r="E582" s="2"/>
      <c r="F582" s="2"/>
      <c r="G582" s="2"/>
      <c r="H582" s="2"/>
      <c r="I582" s="2"/>
      <c r="J582" s="2"/>
      <c r="K582" s="2"/>
      <c r="L582" s="19"/>
      <c r="M582" s="19"/>
      <c r="N582" s="2"/>
      <c r="O582" s="2"/>
      <c r="P582" s="2"/>
      <c r="Q582" s="2"/>
      <c r="R582" s="2"/>
      <c r="S582" s="2"/>
      <c r="T582" s="2"/>
      <c r="U582" s="2"/>
      <c r="V582" s="2"/>
      <c r="W582" s="2"/>
      <c r="X582" s="2"/>
      <c r="Y582" s="2"/>
      <c r="Z582" s="2"/>
    </row>
    <row r="583" customFormat="false" ht="12" hidden="false" customHeight="true" outlineLevel="0" collapsed="false">
      <c r="A583" s="2"/>
      <c r="B583" s="19"/>
      <c r="C583" s="19"/>
      <c r="D583" s="2"/>
      <c r="E583" s="2"/>
      <c r="F583" s="2"/>
      <c r="G583" s="2"/>
      <c r="H583" s="2"/>
      <c r="I583" s="2"/>
      <c r="J583" s="2"/>
      <c r="K583" s="2"/>
      <c r="L583" s="19"/>
      <c r="M583" s="19"/>
      <c r="N583" s="2"/>
      <c r="O583" s="2"/>
      <c r="P583" s="2"/>
      <c r="Q583" s="2"/>
      <c r="R583" s="2"/>
      <c r="S583" s="2"/>
      <c r="T583" s="2"/>
      <c r="U583" s="2"/>
      <c r="V583" s="2"/>
      <c r="W583" s="2"/>
      <c r="X583" s="2"/>
      <c r="Y583" s="2"/>
      <c r="Z583" s="2"/>
    </row>
    <row r="584" customFormat="false" ht="12" hidden="false" customHeight="true" outlineLevel="0" collapsed="false">
      <c r="A584" s="2"/>
      <c r="B584" s="19"/>
      <c r="C584" s="19"/>
      <c r="D584" s="2"/>
      <c r="E584" s="2"/>
      <c r="F584" s="2"/>
      <c r="G584" s="2"/>
      <c r="H584" s="2"/>
      <c r="I584" s="2"/>
      <c r="J584" s="2"/>
      <c r="K584" s="2"/>
      <c r="L584" s="19"/>
      <c r="M584" s="19"/>
      <c r="N584" s="2"/>
      <c r="O584" s="2"/>
      <c r="P584" s="2"/>
      <c r="Q584" s="2"/>
      <c r="R584" s="2"/>
      <c r="S584" s="2"/>
      <c r="T584" s="2"/>
      <c r="U584" s="2"/>
      <c r="V584" s="2"/>
      <c r="W584" s="2"/>
      <c r="X584" s="2"/>
      <c r="Y584" s="2"/>
      <c r="Z584" s="2"/>
    </row>
    <row r="585" customFormat="false" ht="12" hidden="false" customHeight="true" outlineLevel="0" collapsed="false">
      <c r="A585" s="2"/>
      <c r="B585" s="19"/>
      <c r="C585" s="19"/>
      <c r="D585" s="2"/>
      <c r="E585" s="2"/>
      <c r="F585" s="2"/>
      <c r="G585" s="2"/>
      <c r="H585" s="2"/>
      <c r="I585" s="2"/>
      <c r="J585" s="2"/>
      <c r="K585" s="2"/>
      <c r="L585" s="19"/>
      <c r="M585" s="19"/>
      <c r="N585" s="2"/>
      <c r="O585" s="2"/>
      <c r="P585" s="2"/>
      <c r="Q585" s="2"/>
      <c r="R585" s="2"/>
      <c r="S585" s="2"/>
      <c r="T585" s="2"/>
      <c r="U585" s="2"/>
      <c r="V585" s="2"/>
      <c r="W585" s="2"/>
      <c r="X585" s="2"/>
      <c r="Y585" s="2"/>
      <c r="Z585" s="2"/>
    </row>
    <row r="586" customFormat="false" ht="12" hidden="false" customHeight="true" outlineLevel="0" collapsed="false">
      <c r="A586" s="2"/>
      <c r="B586" s="19"/>
      <c r="C586" s="19"/>
      <c r="D586" s="2"/>
      <c r="E586" s="2"/>
      <c r="F586" s="2"/>
      <c r="G586" s="2"/>
      <c r="H586" s="2"/>
      <c r="I586" s="2"/>
      <c r="J586" s="2"/>
      <c r="K586" s="2"/>
      <c r="L586" s="19"/>
      <c r="M586" s="19"/>
      <c r="N586" s="2"/>
      <c r="O586" s="2"/>
      <c r="P586" s="2"/>
      <c r="Q586" s="2"/>
      <c r="R586" s="2"/>
      <c r="S586" s="2"/>
      <c r="T586" s="2"/>
      <c r="U586" s="2"/>
      <c r="V586" s="2"/>
      <c r="W586" s="2"/>
      <c r="X586" s="2"/>
      <c r="Y586" s="2"/>
      <c r="Z586" s="2"/>
    </row>
    <row r="587" customFormat="false" ht="12" hidden="false" customHeight="true" outlineLevel="0" collapsed="false">
      <c r="A587" s="2"/>
      <c r="B587" s="19"/>
      <c r="C587" s="19"/>
      <c r="D587" s="2"/>
      <c r="E587" s="2"/>
      <c r="F587" s="2"/>
      <c r="G587" s="2"/>
      <c r="H587" s="2"/>
      <c r="I587" s="2"/>
      <c r="J587" s="2"/>
      <c r="K587" s="2"/>
      <c r="L587" s="19"/>
      <c r="M587" s="19"/>
      <c r="N587" s="2"/>
      <c r="O587" s="2"/>
      <c r="P587" s="2"/>
      <c r="Q587" s="2"/>
      <c r="R587" s="2"/>
      <c r="S587" s="2"/>
      <c r="T587" s="2"/>
      <c r="U587" s="2"/>
      <c r="V587" s="2"/>
      <c r="W587" s="2"/>
      <c r="X587" s="2"/>
      <c r="Y587" s="2"/>
      <c r="Z587" s="2"/>
    </row>
    <row r="588" customFormat="false" ht="12" hidden="false" customHeight="true" outlineLevel="0" collapsed="false">
      <c r="A588" s="2"/>
      <c r="B588" s="19"/>
      <c r="C588" s="19"/>
      <c r="D588" s="2"/>
      <c r="E588" s="2"/>
      <c r="F588" s="2"/>
      <c r="G588" s="2"/>
      <c r="H588" s="2"/>
      <c r="I588" s="2"/>
      <c r="J588" s="2"/>
      <c r="K588" s="2"/>
      <c r="L588" s="19"/>
      <c r="M588" s="19"/>
      <c r="N588" s="2"/>
      <c r="O588" s="2"/>
      <c r="P588" s="2"/>
      <c r="Q588" s="2"/>
      <c r="R588" s="2"/>
      <c r="S588" s="2"/>
      <c r="T588" s="2"/>
      <c r="U588" s="2"/>
      <c r="V588" s="2"/>
      <c r="W588" s="2"/>
      <c r="X588" s="2"/>
      <c r="Y588" s="2"/>
      <c r="Z588" s="2"/>
    </row>
    <row r="589" customFormat="false" ht="12" hidden="false" customHeight="true" outlineLevel="0" collapsed="false">
      <c r="A589" s="2"/>
      <c r="B589" s="19"/>
      <c r="C589" s="19"/>
      <c r="D589" s="2"/>
      <c r="E589" s="2"/>
      <c r="F589" s="2"/>
      <c r="G589" s="2"/>
      <c r="H589" s="2"/>
      <c r="I589" s="2"/>
      <c r="J589" s="2"/>
      <c r="K589" s="2"/>
      <c r="L589" s="19"/>
      <c r="M589" s="19"/>
      <c r="N589" s="2"/>
      <c r="O589" s="2"/>
      <c r="P589" s="2"/>
      <c r="Q589" s="2"/>
      <c r="R589" s="2"/>
      <c r="S589" s="2"/>
      <c r="T589" s="2"/>
      <c r="U589" s="2"/>
      <c r="V589" s="2"/>
      <c r="W589" s="2"/>
      <c r="X589" s="2"/>
      <c r="Y589" s="2"/>
      <c r="Z589" s="2"/>
    </row>
    <row r="590" customFormat="false" ht="12" hidden="false" customHeight="true" outlineLevel="0" collapsed="false">
      <c r="A590" s="2"/>
      <c r="B590" s="19"/>
      <c r="C590" s="19"/>
      <c r="D590" s="2"/>
      <c r="E590" s="2"/>
      <c r="F590" s="2"/>
      <c r="G590" s="2"/>
      <c r="H590" s="2"/>
      <c r="I590" s="2"/>
      <c r="J590" s="2"/>
      <c r="K590" s="2"/>
      <c r="L590" s="19"/>
      <c r="M590" s="19"/>
      <c r="N590" s="2"/>
      <c r="O590" s="2"/>
      <c r="P590" s="2"/>
      <c r="Q590" s="2"/>
      <c r="R590" s="2"/>
      <c r="S590" s="2"/>
      <c r="T590" s="2"/>
      <c r="U590" s="2"/>
      <c r="V590" s="2"/>
      <c r="W590" s="2"/>
      <c r="X590" s="2"/>
      <c r="Y590" s="2"/>
      <c r="Z590" s="2"/>
    </row>
    <row r="591" customFormat="false" ht="12" hidden="false" customHeight="true" outlineLevel="0" collapsed="false">
      <c r="A591" s="2"/>
      <c r="B591" s="19"/>
      <c r="C591" s="19"/>
      <c r="D591" s="2"/>
      <c r="E591" s="2"/>
      <c r="F591" s="2"/>
      <c r="G591" s="2"/>
      <c r="H591" s="2"/>
      <c r="I591" s="2"/>
      <c r="J591" s="2"/>
      <c r="K591" s="2"/>
      <c r="L591" s="19"/>
      <c r="M591" s="19"/>
      <c r="N591" s="2"/>
      <c r="O591" s="2"/>
      <c r="P591" s="2"/>
      <c r="Q591" s="2"/>
      <c r="R591" s="2"/>
      <c r="S591" s="2"/>
      <c r="T591" s="2"/>
      <c r="U591" s="2"/>
      <c r="V591" s="2"/>
      <c r="W591" s="2"/>
      <c r="X591" s="2"/>
      <c r="Y591" s="2"/>
      <c r="Z591" s="2"/>
    </row>
    <row r="592" customFormat="false" ht="12" hidden="false" customHeight="true" outlineLevel="0" collapsed="false">
      <c r="A592" s="2"/>
      <c r="B592" s="19"/>
      <c r="C592" s="19"/>
      <c r="D592" s="2"/>
      <c r="E592" s="2"/>
      <c r="F592" s="2"/>
      <c r="G592" s="2"/>
      <c r="H592" s="2"/>
      <c r="I592" s="2"/>
      <c r="J592" s="2"/>
      <c r="K592" s="2"/>
      <c r="L592" s="19"/>
      <c r="M592" s="19"/>
      <c r="N592" s="2"/>
      <c r="O592" s="2"/>
      <c r="P592" s="2"/>
      <c r="Q592" s="2"/>
      <c r="R592" s="2"/>
      <c r="S592" s="2"/>
      <c r="T592" s="2"/>
      <c r="U592" s="2"/>
      <c r="V592" s="2"/>
      <c r="W592" s="2"/>
      <c r="X592" s="2"/>
      <c r="Y592" s="2"/>
      <c r="Z592" s="2"/>
    </row>
    <row r="593" customFormat="false" ht="12" hidden="false" customHeight="true" outlineLevel="0" collapsed="false">
      <c r="A593" s="2"/>
      <c r="B593" s="19"/>
      <c r="C593" s="19"/>
      <c r="D593" s="2"/>
      <c r="E593" s="2"/>
      <c r="F593" s="2"/>
      <c r="G593" s="2"/>
      <c r="H593" s="2"/>
      <c r="I593" s="2"/>
      <c r="J593" s="2"/>
      <c r="K593" s="2"/>
      <c r="L593" s="19"/>
      <c r="M593" s="19"/>
      <c r="N593" s="2"/>
      <c r="O593" s="2"/>
      <c r="P593" s="2"/>
      <c r="Q593" s="2"/>
      <c r="R593" s="2"/>
      <c r="S593" s="2"/>
      <c r="T593" s="2"/>
      <c r="U593" s="2"/>
      <c r="V593" s="2"/>
      <c r="W593" s="2"/>
      <c r="X593" s="2"/>
      <c r="Y593" s="2"/>
      <c r="Z593" s="2"/>
    </row>
    <row r="594" customFormat="false" ht="12" hidden="false" customHeight="true" outlineLevel="0" collapsed="false">
      <c r="A594" s="2"/>
      <c r="B594" s="19"/>
      <c r="C594" s="19"/>
      <c r="D594" s="2"/>
      <c r="E594" s="2"/>
      <c r="F594" s="2"/>
      <c r="G594" s="2"/>
      <c r="H594" s="2"/>
      <c r="I594" s="2"/>
      <c r="J594" s="2"/>
      <c r="K594" s="2"/>
      <c r="L594" s="19"/>
      <c r="M594" s="19"/>
      <c r="N594" s="2"/>
      <c r="O594" s="2"/>
      <c r="P594" s="2"/>
      <c r="Q594" s="2"/>
      <c r="R594" s="2"/>
      <c r="S594" s="2"/>
      <c r="T594" s="2"/>
      <c r="U594" s="2"/>
      <c r="V594" s="2"/>
      <c r="W594" s="2"/>
      <c r="X594" s="2"/>
      <c r="Y594" s="2"/>
      <c r="Z594" s="2"/>
    </row>
    <row r="595" customFormat="false" ht="12" hidden="false" customHeight="true" outlineLevel="0" collapsed="false">
      <c r="A595" s="2"/>
      <c r="B595" s="19"/>
      <c r="C595" s="19"/>
      <c r="D595" s="2"/>
      <c r="E595" s="2"/>
      <c r="F595" s="2"/>
      <c r="G595" s="2"/>
      <c r="H595" s="2"/>
      <c r="I595" s="2"/>
      <c r="J595" s="2"/>
      <c r="K595" s="2"/>
      <c r="L595" s="19"/>
      <c r="M595" s="19"/>
      <c r="N595" s="2"/>
      <c r="O595" s="2"/>
      <c r="P595" s="2"/>
      <c r="Q595" s="2"/>
      <c r="R595" s="2"/>
      <c r="S595" s="2"/>
      <c r="T595" s="2"/>
      <c r="U595" s="2"/>
      <c r="V595" s="2"/>
      <c r="W595" s="2"/>
      <c r="X595" s="2"/>
      <c r="Y595" s="2"/>
      <c r="Z595" s="2"/>
    </row>
    <row r="596" customFormat="false" ht="12" hidden="false" customHeight="true" outlineLevel="0" collapsed="false">
      <c r="A596" s="2"/>
      <c r="B596" s="19"/>
      <c r="C596" s="19"/>
      <c r="D596" s="2"/>
      <c r="E596" s="2"/>
      <c r="F596" s="2"/>
      <c r="G596" s="2"/>
      <c r="H596" s="2"/>
      <c r="I596" s="2"/>
      <c r="J596" s="2"/>
      <c r="K596" s="2"/>
      <c r="L596" s="19"/>
      <c r="M596" s="19"/>
      <c r="N596" s="2"/>
      <c r="O596" s="2"/>
      <c r="P596" s="2"/>
      <c r="Q596" s="2"/>
      <c r="R596" s="2"/>
      <c r="S596" s="2"/>
      <c r="T596" s="2"/>
      <c r="U596" s="2"/>
      <c r="V596" s="2"/>
      <c r="W596" s="2"/>
      <c r="X596" s="2"/>
      <c r="Y596" s="2"/>
      <c r="Z596" s="2"/>
    </row>
    <row r="597" customFormat="false" ht="12" hidden="false" customHeight="true" outlineLevel="0" collapsed="false">
      <c r="A597" s="2"/>
      <c r="B597" s="19"/>
      <c r="C597" s="19"/>
      <c r="D597" s="2"/>
      <c r="E597" s="2"/>
      <c r="F597" s="2"/>
      <c r="G597" s="2"/>
      <c r="H597" s="2"/>
      <c r="I597" s="2"/>
      <c r="J597" s="2"/>
      <c r="K597" s="2"/>
      <c r="L597" s="19"/>
      <c r="M597" s="19"/>
      <c r="N597" s="2"/>
      <c r="O597" s="2"/>
      <c r="P597" s="2"/>
      <c r="Q597" s="2"/>
      <c r="R597" s="2"/>
      <c r="S597" s="2"/>
      <c r="T597" s="2"/>
      <c r="U597" s="2"/>
      <c r="V597" s="2"/>
      <c r="W597" s="2"/>
      <c r="X597" s="2"/>
      <c r="Y597" s="2"/>
      <c r="Z597" s="2"/>
    </row>
    <row r="598" customFormat="false" ht="12" hidden="false" customHeight="true" outlineLevel="0" collapsed="false">
      <c r="A598" s="2"/>
      <c r="B598" s="19"/>
      <c r="C598" s="19"/>
      <c r="D598" s="2"/>
      <c r="E598" s="2"/>
      <c r="F598" s="2"/>
      <c r="G598" s="2"/>
      <c r="H598" s="2"/>
      <c r="I598" s="2"/>
      <c r="J598" s="2"/>
      <c r="K598" s="2"/>
      <c r="L598" s="19"/>
      <c r="M598" s="19"/>
      <c r="N598" s="2"/>
      <c r="O598" s="2"/>
      <c r="P598" s="2"/>
      <c r="Q598" s="2"/>
      <c r="R598" s="2"/>
      <c r="S598" s="2"/>
      <c r="T598" s="2"/>
      <c r="U598" s="2"/>
      <c r="V598" s="2"/>
      <c r="W598" s="2"/>
      <c r="X598" s="2"/>
      <c r="Y598" s="2"/>
      <c r="Z598" s="2"/>
    </row>
    <row r="599" customFormat="false" ht="12" hidden="false" customHeight="true" outlineLevel="0" collapsed="false">
      <c r="A599" s="2"/>
      <c r="B599" s="19"/>
      <c r="C599" s="19"/>
      <c r="D599" s="2"/>
      <c r="E599" s="2"/>
      <c r="F599" s="2"/>
      <c r="G599" s="2"/>
      <c r="H599" s="2"/>
      <c r="I599" s="2"/>
      <c r="J599" s="2"/>
      <c r="K599" s="2"/>
      <c r="L599" s="19"/>
      <c r="M599" s="19"/>
      <c r="N599" s="2"/>
      <c r="O599" s="2"/>
      <c r="P599" s="2"/>
      <c r="Q599" s="2"/>
      <c r="R599" s="2"/>
      <c r="S599" s="2"/>
      <c r="T599" s="2"/>
      <c r="U599" s="2"/>
      <c r="V599" s="2"/>
      <c r="W599" s="2"/>
      <c r="X599" s="2"/>
      <c r="Y599" s="2"/>
      <c r="Z599" s="2"/>
    </row>
    <row r="600" customFormat="false" ht="12" hidden="false" customHeight="true" outlineLevel="0" collapsed="false">
      <c r="A600" s="2"/>
      <c r="B600" s="19"/>
      <c r="C600" s="19"/>
      <c r="D600" s="2"/>
      <c r="E600" s="2"/>
      <c r="F600" s="2"/>
      <c r="G600" s="2"/>
      <c r="H600" s="2"/>
      <c r="I600" s="2"/>
      <c r="J600" s="2"/>
      <c r="K600" s="2"/>
      <c r="L600" s="19"/>
      <c r="M600" s="19"/>
      <c r="N600" s="2"/>
      <c r="O600" s="2"/>
      <c r="P600" s="2"/>
      <c r="Q600" s="2"/>
      <c r="R600" s="2"/>
      <c r="S600" s="2"/>
      <c r="T600" s="2"/>
      <c r="U600" s="2"/>
      <c r="V600" s="2"/>
      <c r="W600" s="2"/>
      <c r="X600" s="2"/>
      <c r="Y600" s="2"/>
      <c r="Z600" s="2"/>
    </row>
    <row r="601" customFormat="false" ht="12" hidden="false" customHeight="true" outlineLevel="0" collapsed="false">
      <c r="A601" s="2"/>
      <c r="B601" s="19"/>
      <c r="C601" s="19"/>
      <c r="D601" s="2"/>
      <c r="E601" s="2"/>
      <c r="F601" s="2"/>
      <c r="G601" s="2"/>
      <c r="H601" s="2"/>
      <c r="I601" s="2"/>
      <c r="J601" s="2"/>
      <c r="K601" s="2"/>
      <c r="L601" s="19"/>
      <c r="M601" s="19"/>
      <c r="N601" s="2"/>
      <c r="O601" s="2"/>
      <c r="P601" s="2"/>
      <c r="Q601" s="2"/>
      <c r="R601" s="2"/>
      <c r="S601" s="2"/>
      <c r="T601" s="2"/>
      <c r="U601" s="2"/>
      <c r="V601" s="2"/>
      <c r="W601" s="2"/>
      <c r="X601" s="2"/>
      <c r="Y601" s="2"/>
      <c r="Z601" s="2"/>
    </row>
    <row r="602" customFormat="false" ht="12" hidden="false" customHeight="true" outlineLevel="0" collapsed="false">
      <c r="A602" s="2"/>
      <c r="B602" s="19"/>
      <c r="C602" s="19"/>
      <c r="D602" s="2"/>
      <c r="E602" s="2"/>
      <c r="F602" s="2"/>
      <c r="G602" s="2"/>
      <c r="H602" s="2"/>
      <c r="I602" s="2"/>
      <c r="J602" s="2"/>
      <c r="K602" s="2"/>
      <c r="L602" s="19"/>
      <c r="M602" s="19"/>
      <c r="N602" s="2"/>
      <c r="O602" s="2"/>
      <c r="P602" s="2"/>
      <c r="Q602" s="2"/>
      <c r="R602" s="2"/>
      <c r="S602" s="2"/>
      <c r="T602" s="2"/>
      <c r="U602" s="2"/>
      <c r="V602" s="2"/>
      <c r="W602" s="2"/>
      <c r="X602" s="2"/>
      <c r="Y602" s="2"/>
      <c r="Z602" s="2"/>
    </row>
    <row r="603" customFormat="false" ht="12" hidden="false" customHeight="true" outlineLevel="0" collapsed="false">
      <c r="A603" s="2"/>
      <c r="B603" s="19"/>
      <c r="C603" s="19"/>
      <c r="D603" s="2"/>
      <c r="E603" s="2"/>
      <c r="F603" s="2"/>
      <c r="G603" s="2"/>
      <c r="H603" s="2"/>
      <c r="I603" s="2"/>
      <c r="J603" s="2"/>
      <c r="K603" s="2"/>
      <c r="L603" s="19"/>
      <c r="M603" s="19"/>
      <c r="N603" s="2"/>
      <c r="O603" s="2"/>
      <c r="P603" s="2"/>
      <c r="Q603" s="2"/>
      <c r="R603" s="2"/>
      <c r="S603" s="2"/>
      <c r="T603" s="2"/>
      <c r="U603" s="2"/>
      <c r="V603" s="2"/>
      <c r="W603" s="2"/>
      <c r="X603" s="2"/>
      <c r="Y603" s="2"/>
      <c r="Z603" s="2"/>
    </row>
    <row r="604" customFormat="false" ht="12" hidden="false" customHeight="true" outlineLevel="0" collapsed="false">
      <c r="A604" s="2"/>
      <c r="B604" s="19"/>
      <c r="C604" s="19"/>
      <c r="D604" s="2"/>
      <c r="E604" s="2"/>
      <c r="F604" s="2"/>
      <c r="G604" s="2"/>
      <c r="H604" s="2"/>
      <c r="I604" s="2"/>
      <c r="J604" s="2"/>
      <c r="K604" s="2"/>
      <c r="L604" s="19"/>
      <c r="M604" s="19"/>
      <c r="N604" s="2"/>
      <c r="O604" s="2"/>
      <c r="P604" s="2"/>
      <c r="Q604" s="2"/>
      <c r="R604" s="2"/>
      <c r="S604" s="2"/>
      <c r="T604" s="2"/>
      <c r="U604" s="2"/>
      <c r="V604" s="2"/>
      <c r="W604" s="2"/>
      <c r="X604" s="2"/>
      <c r="Y604" s="2"/>
      <c r="Z604" s="2"/>
    </row>
    <row r="605" customFormat="false" ht="12" hidden="false" customHeight="true" outlineLevel="0" collapsed="false">
      <c r="A605" s="2"/>
      <c r="B605" s="19"/>
      <c r="C605" s="19"/>
      <c r="D605" s="2"/>
      <c r="E605" s="2"/>
      <c r="F605" s="2"/>
      <c r="G605" s="2"/>
      <c r="H605" s="2"/>
      <c r="I605" s="2"/>
      <c r="J605" s="2"/>
      <c r="K605" s="2"/>
      <c r="L605" s="19"/>
      <c r="M605" s="19"/>
      <c r="N605" s="2"/>
      <c r="O605" s="2"/>
      <c r="P605" s="2"/>
      <c r="Q605" s="2"/>
      <c r="R605" s="2"/>
      <c r="S605" s="2"/>
      <c r="T605" s="2"/>
      <c r="U605" s="2"/>
      <c r="V605" s="2"/>
      <c r="W605" s="2"/>
      <c r="X605" s="2"/>
      <c r="Y605" s="2"/>
      <c r="Z605" s="2"/>
    </row>
    <row r="606" customFormat="false" ht="12" hidden="false" customHeight="true" outlineLevel="0" collapsed="false">
      <c r="A606" s="2"/>
      <c r="B606" s="19"/>
      <c r="C606" s="19"/>
      <c r="D606" s="2"/>
      <c r="E606" s="2"/>
      <c r="F606" s="2"/>
      <c r="G606" s="2"/>
      <c r="H606" s="2"/>
      <c r="I606" s="2"/>
      <c r="J606" s="2"/>
      <c r="K606" s="2"/>
      <c r="L606" s="19"/>
      <c r="M606" s="19"/>
      <c r="N606" s="2"/>
      <c r="O606" s="2"/>
      <c r="P606" s="2"/>
      <c r="Q606" s="2"/>
      <c r="R606" s="2"/>
      <c r="S606" s="2"/>
      <c r="T606" s="2"/>
      <c r="U606" s="2"/>
      <c r="V606" s="2"/>
      <c r="W606" s="2"/>
      <c r="X606" s="2"/>
      <c r="Y606" s="2"/>
      <c r="Z606" s="2"/>
    </row>
    <row r="607" customFormat="false" ht="12" hidden="false" customHeight="true" outlineLevel="0" collapsed="false">
      <c r="A607" s="2"/>
      <c r="B607" s="19"/>
      <c r="C607" s="19"/>
      <c r="D607" s="2"/>
      <c r="E607" s="2"/>
      <c r="F607" s="2"/>
      <c r="G607" s="2"/>
      <c r="H607" s="2"/>
      <c r="I607" s="2"/>
      <c r="J607" s="2"/>
      <c r="K607" s="2"/>
      <c r="L607" s="19"/>
      <c r="M607" s="19"/>
      <c r="N607" s="2"/>
      <c r="O607" s="2"/>
      <c r="P607" s="2"/>
      <c r="Q607" s="2"/>
      <c r="R607" s="2"/>
      <c r="S607" s="2"/>
      <c r="T607" s="2"/>
      <c r="U607" s="2"/>
      <c r="V607" s="2"/>
      <c r="W607" s="2"/>
      <c r="X607" s="2"/>
      <c r="Y607" s="2"/>
      <c r="Z607" s="2"/>
    </row>
    <row r="608" customFormat="false" ht="12" hidden="false" customHeight="true" outlineLevel="0" collapsed="false">
      <c r="A608" s="2"/>
      <c r="B608" s="19"/>
      <c r="C608" s="19"/>
      <c r="D608" s="2"/>
      <c r="E608" s="2"/>
      <c r="F608" s="2"/>
      <c r="G608" s="2"/>
      <c r="H608" s="2"/>
      <c r="I608" s="2"/>
      <c r="J608" s="2"/>
      <c r="K608" s="2"/>
      <c r="L608" s="19"/>
      <c r="M608" s="19"/>
      <c r="N608" s="2"/>
      <c r="O608" s="2"/>
      <c r="P608" s="2"/>
      <c r="Q608" s="2"/>
      <c r="R608" s="2"/>
      <c r="S608" s="2"/>
      <c r="T608" s="2"/>
      <c r="U608" s="2"/>
      <c r="V608" s="2"/>
      <c r="W608" s="2"/>
      <c r="X608" s="2"/>
      <c r="Y608" s="2"/>
      <c r="Z608" s="2"/>
    </row>
    <row r="609" customFormat="false" ht="12" hidden="false" customHeight="true" outlineLevel="0" collapsed="false">
      <c r="A609" s="2"/>
      <c r="B609" s="19"/>
      <c r="C609" s="19"/>
      <c r="D609" s="2"/>
      <c r="E609" s="2"/>
      <c r="F609" s="2"/>
      <c r="G609" s="2"/>
      <c r="H609" s="2"/>
      <c r="I609" s="2"/>
      <c r="J609" s="2"/>
      <c r="K609" s="2"/>
      <c r="L609" s="19"/>
      <c r="M609" s="19"/>
      <c r="N609" s="2"/>
      <c r="O609" s="2"/>
      <c r="P609" s="2"/>
      <c r="Q609" s="2"/>
      <c r="R609" s="2"/>
      <c r="S609" s="2"/>
      <c r="T609" s="2"/>
      <c r="U609" s="2"/>
      <c r="V609" s="2"/>
      <c r="W609" s="2"/>
      <c r="X609" s="2"/>
      <c r="Y609" s="2"/>
      <c r="Z609" s="2"/>
    </row>
    <row r="610" customFormat="false" ht="12" hidden="false" customHeight="true" outlineLevel="0" collapsed="false">
      <c r="A610" s="2"/>
      <c r="B610" s="19"/>
      <c r="C610" s="19"/>
      <c r="D610" s="2"/>
      <c r="E610" s="2"/>
      <c r="F610" s="2"/>
      <c r="G610" s="2"/>
      <c r="H610" s="2"/>
      <c r="I610" s="2"/>
      <c r="J610" s="2"/>
      <c r="K610" s="2"/>
      <c r="L610" s="19"/>
      <c r="M610" s="19"/>
      <c r="N610" s="2"/>
      <c r="O610" s="2"/>
      <c r="P610" s="2"/>
      <c r="Q610" s="2"/>
      <c r="R610" s="2"/>
      <c r="S610" s="2"/>
      <c r="T610" s="2"/>
      <c r="U610" s="2"/>
      <c r="V610" s="2"/>
      <c r="W610" s="2"/>
      <c r="X610" s="2"/>
      <c r="Y610" s="2"/>
      <c r="Z610" s="2"/>
    </row>
    <row r="611" customFormat="false" ht="12" hidden="false" customHeight="true" outlineLevel="0" collapsed="false">
      <c r="A611" s="2"/>
      <c r="B611" s="19"/>
      <c r="C611" s="19"/>
      <c r="D611" s="2"/>
      <c r="E611" s="2"/>
      <c r="F611" s="2"/>
      <c r="G611" s="2"/>
      <c r="H611" s="2"/>
      <c r="I611" s="2"/>
      <c r="J611" s="2"/>
      <c r="K611" s="2"/>
      <c r="L611" s="19"/>
      <c r="M611" s="19"/>
      <c r="N611" s="2"/>
      <c r="O611" s="2"/>
      <c r="P611" s="2"/>
      <c r="Q611" s="2"/>
      <c r="R611" s="2"/>
      <c r="S611" s="2"/>
      <c r="T611" s="2"/>
      <c r="U611" s="2"/>
      <c r="V611" s="2"/>
      <c r="W611" s="2"/>
      <c r="X611" s="2"/>
      <c r="Y611" s="2"/>
      <c r="Z611" s="2"/>
    </row>
    <row r="612" customFormat="false" ht="12" hidden="false" customHeight="true" outlineLevel="0" collapsed="false">
      <c r="A612" s="2"/>
      <c r="B612" s="19"/>
      <c r="C612" s="19"/>
      <c r="D612" s="2"/>
      <c r="E612" s="2"/>
      <c r="F612" s="2"/>
      <c r="G612" s="2"/>
      <c r="H612" s="2"/>
      <c r="I612" s="2"/>
      <c r="J612" s="2"/>
      <c r="K612" s="2"/>
      <c r="L612" s="19"/>
      <c r="M612" s="19"/>
      <c r="N612" s="2"/>
      <c r="O612" s="2"/>
      <c r="P612" s="2"/>
      <c r="Q612" s="2"/>
      <c r="R612" s="2"/>
      <c r="S612" s="2"/>
      <c r="T612" s="2"/>
      <c r="U612" s="2"/>
      <c r="V612" s="2"/>
      <c r="W612" s="2"/>
      <c r="X612" s="2"/>
      <c r="Y612" s="2"/>
      <c r="Z612" s="2"/>
    </row>
    <row r="613" customFormat="false" ht="12" hidden="false" customHeight="true" outlineLevel="0" collapsed="false">
      <c r="A613" s="2"/>
      <c r="B613" s="19"/>
      <c r="C613" s="19"/>
      <c r="D613" s="2"/>
      <c r="E613" s="2"/>
      <c r="F613" s="2"/>
      <c r="G613" s="2"/>
      <c r="H613" s="2"/>
      <c r="I613" s="2"/>
      <c r="J613" s="2"/>
      <c r="K613" s="2"/>
      <c r="L613" s="19"/>
      <c r="M613" s="19"/>
      <c r="N613" s="2"/>
      <c r="O613" s="2"/>
      <c r="P613" s="2"/>
      <c r="Q613" s="2"/>
      <c r="R613" s="2"/>
      <c r="S613" s="2"/>
      <c r="T613" s="2"/>
      <c r="U613" s="2"/>
      <c r="V613" s="2"/>
      <c r="W613" s="2"/>
      <c r="X613" s="2"/>
      <c r="Y613" s="2"/>
      <c r="Z613" s="2"/>
    </row>
    <row r="614" customFormat="false" ht="12" hidden="false" customHeight="true" outlineLevel="0" collapsed="false">
      <c r="A614" s="2"/>
      <c r="B614" s="19"/>
      <c r="C614" s="19"/>
      <c r="D614" s="2"/>
      <c r="E614" s="2"/>
      <c r="F614" s="2"/>
      <c r="G614" s="2"/>
      <c r="H614" s="2"/>
      <c r="I614" s="2"/>
      <c r="J614" s="2"/>
      <c r="K614" s="2"/>
      <c r="L614" s="19"/>
      <c r="M614" s="19"/>
      <c r="N614" s="2"/>
      <c r="O614" s="2"/>
      <c r="P614" s="2"/>
      <c r="Q614" s="2"/>
      <c r="R614" s="2"/>
      <c r="S614" s="2"/>
      <c r="T614" s="2"/>
      <c r="U614" s="2"/>
      <c r="V614" s="2"/>
      <c r="W614" s="2"/>
      <c r="X614" s="2"/>
      <c r="Y614" s="2"/>
      <c r="Z614" s="2"/>
    </row>
    <row r="615" customFormat="false" ht="12" hidden="false" customHeight="true" outlineLevel="0" collapsed="false">
      <c r="A615" s="2"/>
      <c r="B615" s="19"/>
      <c r="C615" s="19"/>
      <c r="D615" s="2"/>
      <c r="E615" s="2"/>
      <c r="F615" s="2"/>
      <c r="G615" s="2"/>
      <c r="H615" s="2"/>
      <c r="I615" s="2"/>
      <c r="J615" s="2"/>
      <c r="K615" s="2"/>
      <c r="L615" s="19"/>
      <c r="M615" s="19"/>
      <c r="N615" s="2"/>
      <c r="O615" s="2"/>
      <c r="P615" s="2"/>
      <c r="Q615" s="2"/>
      <c r="R615" s="2"/>
      <c r="S615" s="2"/>
      <c r="T615" s="2"/>
      <c r="U615" s="2"/>
      <c r="V615" s="2"/>
      <c r="W615" s="2"/>
      <c r="X615" s="2"/>
      <c r="Y615" s="2"/>
      <c r="Z615" s="2"/>
    </row>
    <row r="616" customFormat="false" ht="12" hidden="false" customHeight="true" outlineLevel="0" collapsed="false">
      <c r="A616" s="2"/>
      <c r="B616" s="19"/>
      <c r="C616" s="19"/>
      <c r="D616" s="2"/>
      <c r="E616" s="2"/>
      <c r="F616" s="2"/>
      <c r="G616" s="2"/>
      <c r="H616" s="2"/>
      <c r="I616" s="2"/>
      <c r="J616" s="2"/>
      <c r="K616" s="2"/>
      <c r="L616" s="19"/>
      <c r="M616" s="19"/>
      <c r="N616" s="2"/>
      <c r="O616" s="2"/>
      <c r="P616" s="2"/>
      <c r="Q616" s="2"/>
      <c r="R616" s="2"/>
      <c r="S616" s="2"/>
      <c r="T616" s="2"/>
      <c r="U616" s="2"/>
      <c r="V616" s="2"/>
      <c r="W616" s="2"/>
      <c r="X616" s="2"/>
      <c r="Y616" s="2"/>
      <c r="Z616" s="2"/>
    </row>
    <row r="617" customFormat="false" ht="12" hidden="false" customHeight="true" outlineLevel="0" collapsed="false">
      <c r="A617" s="2"/>
      <c r="B617" s="19"/>
      <c r="C617" s="19"/>
      <c r="D617" s="2"/>
      <c r="E617" s="2"/>
      <c r="F617" s="2"/>
      <c r="G617" s="2"/>
      <c r="H617" s="2"/>
      <c r="I617" s="2"/>
      <c r="J617" s="2"/>
      <c r="K617" s="2"/>
      <c r="L617" s="19"/>
      <c r="M617" s="19"/>
      <c r="N617" s="2"/>
      <c r="O617" s="2"/>
      <c r="P617" s="2"/>
      <c r="Q617" s="2"/>
      <c r="R617" s="2"/>
      <c r="S617" s="2"/>
      <c r="T617" s="2"/>
      <c r="U617" s="2"/>
      <c r="V617" s="2"/>
      <c r="W617" s="2"/>
      <c r="X617" s="2"/>
      <c r="Y617" s="2"/>
      <c r="Z617" s="2"/>
    </row>
    <row r="618" customFormat="false" ht="12" hidden="false" customHeight="true" outlineLevel="0" collapsed="false">
      <c r="A618" s="2"/>
      <c r="B618" s="19"/>
      <c r="C618" s="19"/>
      <c r="D618" s="2"/>
      <c r="E618" s="2"/>
      <c r="F618" s="2"/>
      <c r="G618" s="2"/>
      <c r="H618" s="2"/>
      <c r="I618" s="2"/>
      <c r="J618" s="2"/>
      <c r="K618" s="2"/>
      <c r="L618" s="19"/>
      <c r="M618" s="19"/>
      <c r="N618" s="2"/>
      <c r="O618" s="2"/>
      <c r="P618" s="2"/>
      <c r="Q618" s="2"/>
      <c r="R618" s="2"/>
      <c r="S618" s="2"/>
      <c r="T618" s="2"/>
      <c r="U618" s="2"/>
      <c r="V618" s="2"/>
      <c r="W618" s="2"/>
      <c r="X618" s="2"/>
      <c r="Y618" s="2"/>
      <c r="Z618" s="2"/>
    </row>
    <row r="619" customFormat="false" ht="12" hidden="false" customHeight="true" outlineLevel="0" collapsed="false">
      <c r="A619" s="2"/>
      <c r="B619" s="19"/>
      <c r="C619" s="19"/>
      <c r="D619" s="2"/>
      <c r="E619" s="2"/>
      <c r="F619" s="2"/>
      <c r="G619" s="2"/>
      <c r="H619" s="2"/>
      <c r="I619" s="2"/>
      <c r="J619" s="2"/>
      <c r="K619" s="2"/>
      <c r="L619" s="19"/>
      <c r="M619" s="19"/>
      <c r="N619" s="2"/>
      <c r="O619" s="2"/>
      <c r="P619" s="2"/>
      <c r="Q619" s="2"/>
      <c r="R619" s="2"/>
      <c r="S619" s="2"/>
      <c r="T619" s="2"/>
      <c r="U619" s="2"/>
      <c r="V619" s="2"/>
      <c r="W619" s="2"/>
      <c r="X619" s="2"/>
      <c r="Y619" s="2"/>
      <c r="Z619" s="2"/>
    </row>
    <row r="620" customFormat="false" ht="12" hidden="false" customHeight="true" outlineLevel="0" collapsed="false">
      <c r="A620" s="2"/>
      <c r="B620" s="19"/>
      <c r="C620" s="19"/>
      <c r="D620" s="2"/>
      <c r="E620" s="2"/>
      <c r="F620" s="2"/>
      <c r="G620" s="2"/>
      <c r="H620" s="2"/>
      <c r="I620" s="2"/>
      <c r="J620" s="2"/>
      <c r="K620" s="2"/>
      <c r="L620" s="19"/>
      <c r="M620" s="19"/>
      <c r="N620" s="2"/>
      <c r="O620" s="2"/>
      <c r="P620" s="2"/>
      <c r="Q620" s="2"/>
      <c r="R620" s="2"/>
      <c r="S620" s="2"/>
      <c r="T620" s="2"/>
      <c r="U620" s="2"/>
      <c r="V620" s="2"/>
      <c r="W620" s="2"/>
      <c r="X620" s="2"/>
      <c r="Y620" s="2"/>
      <c r="Z620" s="2"/>
    </row>
    <row r="621" customFormat="false" ht="12" hidden="false" customHeight="true" outlineLevel="0" collapsed="false">
      <c r="A621" s="2"/>
      <c r="B621" s="19"/>
      <c r="C621" s="19"/>
      <c r="D621" s="2"/>
      <c r="E621" s="2"/>
      <c r="F621" s="2"/>
      <c r="G621" s="2"/>
      <c r="H621" s="2"/>
      <c r="I621" s="2"/>
      <c r="J621" s="2"/>
      <c r="K621" s="2"/>
      <c r="L621" s="19"/>
      <c r="M621" s="19"/>
      <c r="N621" s="2"/>
      <c r="O621" s="2"/>
      <c r="P621" s="2"/>
      <c r="Q621" s="2"/>
      <c r="R621" s="2"/>
      <c r="S621" s="2"/>
      <c r="T621" s="2"/>
      <c r="U621" s="2"/>
      <c r="V621" s="2"/>
      <c r="W621" s="2"/>
      <c r="X621" s="2"/>
      <c r="Y621" s="2"/>
      <c r="Z621" s="2"/>
    </row>
    <row r="622" customFormat="false" ht="12" hidden="false" customHeight="true" outlineLevel="0" collapsed="false">
      <c r="A622" s="2"/>
      <c r="B622" s="19"/>
      <c r="C622" s="19"/>
      <c r="D622" s="2"/>
      <c r="E622" s="2"/>
      <c r="F622" s="2"/>
      <c r="G622" s="2"/>
      <c r="H622" s="2"/>
      <c r="I622" s="2"/>
      <c r="J622" s="2"/>
      <c r="K622" s="2"/>
      <c r="L622" s="19"/>
      <c r="M622" s="19"/>
      <c r="N622" s="2"/>
      <c r="O622" s="2"/>
      <c r="P622" s="2"/>
      <c r="Q622" s="2"/>
      <c r="R622" s="2"/>
      <c r="S622" s="2"/>
      <c r="T622" s="2"/>
      <c r="U622" s="2"/>
      <c r="V622" s="2"/>
      <c r="W622" s="2"/>
      <c r="X622" s="2"/>
      <c r="Y622" s="2"/>
      <c r="Z622" s="2"/>
    </row>
    <row r="623" customFormat="false" ht="12" hidden="false" customHeight="true" outlineLevel="0" collapsed="false">
      <c r="A623" s="2"/>
      <c r="B623" s="19"/>
      <c r="C623" s="19"/>
      <c r="D623" s="2"/>
      <c r="E623" s="2"/>
      <c r="F623" s="2"/>
      <c r="G623" s="2"/>
      <c r="H623" s="2"/>
      <c r="I623" s="2"/>
      <c r="J623" s="2"/>
      <c r="K623" s="2"/>
      <c r="L623" s="19"/>
      <c r="M623" s="19"/>
      <c r="N623" s="2"/>
      <c r="O623" s="2"/>
      <c r="P623" s="2"/>
      <c r="Q623" s="2"/>
      <c r="R623" s="2"/>
      <c r="S623" s="2"/>
      <c r="T623" s="2"/>
      <c r="U623" s="2"/>
      <c r="V623" s="2"/>
      <c r="W623" s="2"/>
      <c r="X623" s="2"/>
      <c r="Y623" s="2"/>
      <c r="Z623" s="2"/>
    </row>
    <row r="624" customFormat="false" ht="12" hidden="false" customHeight="true" outlineLevel="0" collapsed="false">
      <c r="A624" s="2"/>
      <c r="B624" s="19"/>
      <c r="C624" s="19"/>
      <c r="D624" s="2"/>
      <c r="E624" s="2"/>
      <c r="F624" s="2"/>
      <c r="G624" s="2"/>
      <c r="H624" s="2"/>
      <c r="I624" s="2"/>
      <c r="J624" s="2"/>
      <c r="K624" s="2"/>
      <c r="L624" s="19"/>
      <c r="M624" s="19"/>
      <c r="N624" s="2"/>
      <c r="O624" s="2"/>
      <c r="P624" s="2"/>
      <c r="Q624" s="2"/>
      <c r="R624" s="2"/>
      <c r="S624" s="2"/>
      <c r="T624" s="2"/>
      <c r="U624" s="2"/>
      <c r="V624" s="2"/>
      <c r="W624" s="2"/>
      <c r="X624" s="2"/>
      <c r="Y624" s="2"/>
      <c r="Z624" s="2"/>
    </row>
    <row r="625" customFormat="false" ht="12" hidden="false" customHeight="true" outlineLevel="0" collapsed="false">
      <c r="A625" s="2"/>
      <c r="B625" s="19"/>
      <c r="C625" s="19"/>
      <c r="D625" s="2"/>
      <c r="E625" s="2"/>
      <c r="F625" s="2"/>
      <c r="G625" s="2"/>
      <c r="H625" s="2"/>
      <c r="I625" s="2"/>
      <c r="J625" s="2"/>
      <c r="K625" s="2"/>
      <c r="L625" s="19"/>
      <c r="M625" s="19"/>
      <c r="N625" s="2"/>
      <c r="O625" s="2"/>
      <c r="P625" s="2"/>
      <c r="Q625" s="2"/>
      <c r="R625" s="2"/>
      <c r="S625" s="2"/>
      <c r="T625" s="2"/>
      <c r="U625" s="2"/>
      <c r="V625" s="2"/>
      <c r="W625" s="2"/>
      <c r="X625" s="2"/>
      <c r="Y625" s="2"/>
      <c r="Z625" s="2"/>
    </row>
    <row r="626" customFormat="false" ht="12" hidden="false" customHeight="true" outlineLevel="0" collapsed="false">
      <c r="A626" s="2"/>
      <c r="B626" s="19"/>
      <c r="C626" s="19"/>
      <c r="D626" s="2"/>
      <c r="E626" s="2"/>
      <c r="F626" s="2"/>
      <c r="G626" s="2"/>
      <c r="H626" s="2"/>
      <c r="I626" s="2"/>
      <c r="J626" s="2"/>
      <c r="K626" s="2"/>
      <c r="L626" s="19"/>
      <c r="M626" s="19"/>
      <c r="N626" s="2"/>
      <c r="O626" s="2"/>
      <c r="P626" s="2"/>
      <c r="Q626" s="2"/>
      <c r="R626" s="2"/>
      <c r="S626" s="2"/>
      <c r="T626" s="2"/>
      <c r="U626" s="2"/>
      <c r="V626" s="2"/>
      <c r="W626" s="2"/>
      <c r="X626" s="2"/>
      <c r="Y626" s="2"/>
      <c r="Z626" s="2"/>
    </row>
    <row r="627" customFormat="false" ht="12" hidden="false" customHeight="true" outlineLevel="0" collapsed="false">
      <c r="A627" s="2"/>
      <c r="B627" s="19"/>
      <c r="C627" s="19"/>
      <c r="D627" s="2"/>
      <c r="E627" s="2"/>
      <c r="F627" s="2"/>
      <c r="G627" s="2"/>
      <c r="H627" s="2"/>
      <c r="I627" s="2"/>
      <c r="J627" s="2"/>
      <c r="K627" s="2"/>
      <c r="L627" s="19"/>
      <c r="M627" s="19"/>
      <c r="N627" s="2"/>
      <c r="O627" s="2"/>
      <c r="P627" s="2"/>
      <c r="Q627" s="2"/>
      <c r="R627" s="2"/>
      <c r="S627" s="2"/>
      <c r="T627" s="2"/>
      <c r="U627" s="2"/>
      <c r="V627" s="2"/>
      <c r="W627" s="2"/>
      <c r="X627" s="2"/>
      <c r="Y627" s="2"/>
      <c r="Z627" s="2"/>
    </row>
    <row r="628" customFormat="false" ht="12" hidden="false" customHeight="true" outlineLevel="0" collapsed="false">
      <c r="A628" s="2"/>
      <c r="B628" s="19"/>
      <c r="C628" s="19"/>
      <c r="D628" s="2"/>
      <c r="E628" s="2"/>
      <c r="F628" s="2"/>
      <c r="G628" s="2"/>
      <c r="H628" s="2"/>
      <c r="I628" s="2"/>
      <c r="J628" s="2"/>
      <c r="K628" s="2"/>
      <c r="L628" s="19"/>
      <c r="M628" s="19"/>
      <c r="N628" s="2"/>
      <c r="O628" s="2"/>
      <c r="P628" s="2"/>
      <c r="Q628" s="2"/>
      <c r="R628" s="2"/>
      <c r="S628" s="2"/>
      <c r="T628" s="2"/>
      <c r="U628" s="2"/>
      <c r="V628" s="2"/>
      <c r="W628" s="2"/>
      <c r="X628" s="2"/>
      <c r="Y628" s="2"/>
      <c r="Z628" s="2"/>
    </row>
    <row r="629" customFormat="false" ht="12" hidden="false" customHeight="true" outlineLevel="0" collapsed="false">
      <c r="A629" s="2"/>
      <c r="B629" s="19"/>
      <c r="C629" s="19"/>
      <c r="D629" s="2"/>
      <c r="E629" s="2"/>
      <c r="F629" s="2"/>
      <c r="G629" s="2"/>
      <c r="H629" s="2"/>
      <c r="I629" s="2"/>
      <c r="J629" s="2"/>
      <c r="K629" s="2"/>
      <c r="L629" s="19"/>
      <c r="M629" s="19"/>
      <c r="N629" s="2"/>
      <c r="O629" s="2"/>
      <c r="P629" s="2"/>
      <c r="Q629" s="2"/>
      <c r="R629" s="2"/>
      <c r="S629" s="2"/>
      <c r="T629" s="2"/>
      <c r="U629" s="2"/>
      <c r="V629" s="2"/>
      <c r="W629" s="2"/>
      <c r="X629" s="2"/>
      <c r="Y629" s="2"/>
      <c r="Z629" s="2"/>
    </row>
    <row r="630" customFormat="false" ht="12" hidden="false" customHeight="true" outlineLevel="0" collapsed="false">
      <c r="A630" s="2"/>
      <c r="B630" s="19"/>
      <c r="C630" s="19"/>
      <c r="D630" s="2"/>
      <c r="E630" s="2"/>
      <c r="F630" s="2"/>
      <c r="G630" s="2"/>
      <c r="H630" s="2"/>
      <c r="I630" s="2"/>
      <c r="J630" s="2"/>
      <c r="K630" s="2"/>
      <c r="L630" s="19"/>
      <c r="M630" s="19"/>
      <c r="N630" s="2"/>
      <c r="O630" s="2"/>
      <c r="P630" s="2"/>
      <c r="Q630" s="2"/>
      <c r="R630" s="2"/>
      <c r="S630" s="2"/>
      <c r="T630" s="2"/>
      <c r="U630" s="2"/>
      <c r="V630" s="2"/>
      <c r="W630" s="2"/>
      <c r="X630" s="2"/>
      <c r="Y630" s="2"/>
      <c r="Z630" s="2"/>
    </row>
    <row r="631" customFormat="false" ht="12" hidden="false" customHeight="true" outlineLevel="0" collapsed="false">
      <c r="A631" s="2"/>
      <c r="B631" s="19"/>
      <c r="C631" s="19"/>
      <c r="D631" s="2"/>
      <c r="E631" s="2"/>
      <c r="F631" s="2"/>
      <c r="G631" s="2"/>
      <c r="H631" s="2"/>
      <c r="I631" s="2"/>
      <c r="J631" s="2"/>
      <c r="K631" s="2"/>
      <c r="L631" s="19"/>
      <c r="M631" s="19"/>
      <c r="N631" s="2"/>
      <c r="O631" s="2"/>
      <c r="P631" s="2"/>
      <c r="Q631" s="2"/>
      <c r="R631" s="2"/>
      <c r="S631" s="2"/>
      <c r="T631" s="2"/>
      <c r="U631" s="2"/>
      <c r="V631" s="2"/>
      <c r="W631" s="2"/>
      <c r="X631" s="2"/>
      <c r="Y631" s="2"/>
      <c r="Z631" s="2"/>
    </row>
    <row r="632" customFormat="false" ht="12" hidden="false" customHeight="true" outlineLevel="0" collapsed="false">
      <c r="A632" s="2"/>
      <c r="B632" s="19"/>
      <c r="C632" s="19"/>
      <c r="D632" s="2"/>
      <c r="E632" s="2"/>
      <c r="F632" s="2"/>
      <c r="G632" s="2"/>
      <c r="H632" s="2"/>
      <c r="I632" s="2"/>
      <c r="J632" s="2"/>
      <c r="K632" s="2"/>
      <c r="L632" s="19"/>
      <c r="M632" s="19"/>
      <c r="N632" s="2"/>
      <c r="O632" s="2"/>
      <c r="P632" s="2"/>
      <c r="Q632" s="2"/>
      <c r="R632" s="2"/>
      <c r="S632" s="2"/>
      <c r="T632" s="2"/>
      <c r="U632" s="2"/>
      <c r="V632" s="2"/>
      <c r="W632" s="2"/>
      <c r="X632" s="2"/>
      <c r="Y632" s="2"/>
      <c r="Z632" s="2"/>
    </row>
    <row r="633" customFormat="false" ht="12" hidden="false" customHeight="true" outlineLevel="0" collapsed="false">
      <c r="A633" s="2"/>
      <c r="B633" s="19"/>
      <c r="C633" s="19"/>
      <c r="D633" s="2"/>
      <c r="E633" s="2"/>
      <c r="F633" s="2"/>
      <c r="G633" s="2"/>
      <c r="H633" s="2"/>
      <c r="I633" s="2"/>
      <c r="J633" s="2"/>
      <c r="K633" s="2"/>
      <c r="L633" s="19"/>
      <c r="M633" s="19"/>
      <c r="N633" s="2"/>
      <c r="O633" s="2"/>
      <c r="P633" s="2"/>
      <c r="Q633" s="2"/>
      <c r="R633" s="2"/>
      <c r="S633" s="2"/>
      <c r="T633" s="2"/>
      <c r="U633" s="2"/>
      <c r="V633" s="2"/>
      <c r="W633" s="2"/>
      <c r="X633" s="2"/>
      <c r="Y633" s="2"/>
      <c r="Z633" s="2"/>
    </row>
    <row r="634" customFormat="false" ht="12" hidden="false" customHeight="true" outlineLevel="0" collapsed="false">
      <c r="A634" s="2"/>
      <c r="B634" s="19"/>
      <c r="C634" s="19"/>
      <c r="D634" s="2"/>
      <c r="E634" s="2"/>
      <c r="F634" s="2"/>
      <c r="G634" s="2"/>
      <c r="H634" s="2"/>
      <c r="I634" s="2"/>
      <c r="J634" s="2"/>
      <c r="K634" s="2"/>
      <c r="L634" s="19"/>
      <c r="M634" s="19"/>
      <c r="N634" s="2"/>
      <c r="O634" s="2"/>
      <c r="P634" s="2"/>
      <c r="Q634" s="2"/>
      <c r="R634" s="2"/>
      <c r="S634" s="2"/>
      <c r="T634" s="2"/>
      <c r="U634" s="2"/>
      <c r="V634" s="2"/>
      <c r="W634" s="2"/>
      <c r="X634" s="2"/>
      <c r="Y634" s="2"/>
      <c r="Z634" s="2"/>
    </row>
    <row r="635" customFormat="false" ht="12" hidden="false" customHeight="true" outlineLevel="0" collapsed="false">
      <c r="A635" s="2"/>
      <c r="B635" s="19"/>
      <c r="C635" s="19"/>
      <c r="D635" s="2"/>
      <c r="E635" s="2"/>
      <c r="F635" s="2"/>
      <c r="G635" s="2"/>
      <c r="H635" s="2"/>
      <c r="I635" s="2"/>
      <c r="J635" s="2"/>
      <c r="K635" s="2"/>
      <c r="L635" s="19"/>
      <c r="M635" s="19"/>
      <c r="N635" s="2"/>
      <c r="O635" s="2"/>
      <c r="P635" s="2"/>
      <c r="Q635" s="2"/>
      <c r="R635" s="2"/>
      <c r="S635" s="2"/>
      <c r="T635" s="2"/>
      <c r="U635" s="2"/>
      <c r="V635" s="2"/>
      <c r="W635" s="2"/>
      <c r="X635" s="2"/>
      <c r="Y635" s="2"/>
      <c r="Z635" s="2"/>
    </row>
    <row r="636" customFormat="false" ht="12" hidden="false" customHeight="true" outlineLevel="0" collapsed="false">
      <c r="A636" s="2"/>
      <c r="B636" s="19"/>
      <c r="C636" s="19"/>
      <c r="D636" s="2"/>
      <c r="E636" s="2"/>
      <c r="F636" s="2"/>
      <c r="G636" s="2"/>
      <c r="H636" s="2"/>
      <c r="I636" s="2"/>
      <c r="J636" s="2"/>
      <c r="K636" s="2"/>
      <c r="L636" s="19"/>
      <c r="M636" s="19"/>
      <c r="N636" s="2"/>
      <c r="O636" s="2"/>
      <c r="P636" s="2"/>
      <c r="Q636" s="2"/>
      <c r="R636" s="2"/>
      <c r="S636" s="2"/>
      <c r="T636" s="2"/>
      <c r="U636" s="2"/>
      <c r="V636" s="2"/>
      <c r="W636" s="2"/>
      <c r="X636" s="2"/>
      <c r="Y636" s="2"/>
      <c r="Z636" s="2"/>
    </row>
    <row r="637" customFormat="false" ht="12" hidden="false" customHeight="true" outlineLevel="0" collapsed="false">
      <c r="A637" s="2"/>
      <c r="B637" s="19"/>
      <c r="C637" s="19"/>
      <c r="D637" s="2"/>
      <c r="E637" s="2"/>
      <c r="F637" s="2"/>
      <c r="G637" s="2"/>
      <c r="H637" s="2"/>
      <c r="I637" s="2"/>
      <c r="J637" s="2"/>
      <c r="K637" s="2"/>
      <c r="L637" s="19"/>
      <c r="M637" s="19"/>
      <c r="N637" s="2"/>
      <c r="O637" s="2"/>
      <c r="P637" s="2"/>
      <c r="Q637" s="2"/>
      <c r="R637" s="2"/>
      <c r="S637" s="2"/>
      <c r="T637" s="2"/>
      <c r="U637" s="2"/>
      <c r="V637" s="2"/>
      <c r="W637" s="2"/>
      <c r="X637" s="2"/>
      <c r="Y637" s="2"/>
      <c r="Z637" s="2"/>
    </row>
    <row r="638" customFormat="false" ht="12" hidden="false" customHeight="true" outlineLevel="0" collapsed="false">
      <c r="A638" s="2"/>
      <c r="B638" s="19"/>
      <c r="C638" s="19"/>
      <c r="D638" s="2"/>
      <c r="E638" s="2"/>
      <c r="F638" s="2"/>
      <c r="G638" s="2"/>
      <c r="H638" s="2"/>
      <c r="I638" s="2"/>
      <c r="J638" s="2"/>
      <c r="K638" s="2"/>
      <c r="L638" s="19"/>
      <c r="M638" s="19"/>
      <c r="N638" s="2"/>
      <c r="O638" s="2"/>
      <c r="P638" s="2"/>
      <c r="Q638" s="2"/>
      <c r="R638" s="2"/>
      <c r="S638" s="2"/>
      <c r="T638" s="2"/>
      <c r="U638" s="2"/>
      <c r="V638" s="2"/>
      <c r="W638" s="2"/>
      <c r="X638" s="2"/>
      <c r="Y638" s="2"/>
      <c r="Z638" s="2"/>
    </row>
    <row r="639" customFormat="false" ht="12" hidden="false" customHeight="true" outlineLevel="0" collapsed="false">
      <c r="A639" s="2"/>
      <c r="B639" s="19"/>
      <c r="C639" s="19"/>
      <c r="D639" s="2"/>
      <c r="E639" s="2"/>
      <c r="F639" s="2"/>
      <c r="G639" s="2"/>
      <c r="H639" s="2"/>
      <c r="I639" s="2"/>
      <c r="J639" s="2"/>
      <c r="K639" s="2"/>
      <c r="L639" s="19"/>
      <c r="M639" s="19"/>
      <c r="N639" s="2"/>
      <c r="O639" s="2"/>
      <c r="P639" s="2"/>
      <c r="Q639" s="2"/>
      <c r="R639" s="2"/>
      <c r="S639" s="2"/>
      <c r="T639" s="2"/>
      <c r="U639" s="2"/>
      <c r="V639" s="2"/>
      <c r="W639" s="2"/>
      <c r="X639" s="2"/>
      <c r="Y639" s="2"/>
      <c r="Z639" s="2"/>
    </row>
    <row r="640" customFormat="false" ht="12" hidden="false" customHeight="true" outlineLevel="0" collapsed="false">
      <c r="A640" s="2"/>
      <c r="B640" s="19"/>
      <c r="C640" s="19"/>
      <c r="D640" s="2"/>
      <c r="E640" s="2"/>
      <c r="F640" s="2"/>
      <c r="G640" s="2"/>
      <c r="H640" s="2"/>
      <c r="I640" s="2"/>
      <c r="J640" s="2"/>
      <c r="K640" s="2"/>
      <c r="L640" s="19"/>
      <c r="M640" s="19"/>
      <c r="N640" s="2"/>
      <c r="O640" s="2"/>
      <c r="P640" s="2"/>
      <c r="Q640" s="2"/>
      <c r="R640" s="2"/>
      <c r="S640" s="2"/>
      <c r="T640" s="2"/>
      <c r="U640" s="2"/>
      <c r="V640" s="2"/>
      <c r="W640" s="2"/>
      <c r="X640" s="2"/>
      <c r="Y640" s="2"/>
      <c r="Z640" s="2"/>
    </row>
    <row r="641" customFormat="false" ht="12" hidden="false" customHeight="true" outlineLevel="0" collapsed="false">
      <c r="A641" s="2"/>
      <c r="B641" s="19"/>
      <c r="C641" s="19"/>
      <c r="D641" s="2"/>
      <c r="E641" s="2"/>
      <c r="F641" s="2"/>
      <c r="G641" s="2"/>
      <c r="H641" s="2"/>
      <c r="I641" s="2"/>
      <c r="J641" s="2"/>
      <c r="K641" s="2"/>
      <c r="L641" s="19"/>
      <c r="M641" s="19"/>
      <c r="N641" s="2"/>
      <c r="O641" s="2"/>
      <c r="P641" s="2"/>
      <c r="Q641" s="2"/>
      <c r="R641" s="2"/>
      <c r="S641" s="2"/>
      <c r="T641" s="2"/>
      <c r="U641" s="2"/>
      <c r="V641" s="2"/>
      <c r="W641" s="2"/>
      <c r="X641" s="2"/>
      <c r="Y641" s="2"/>
      <c r="Z641" s="2"/>
    </row>
    <row r="642" customFormat="false" ht="12" hidden="false" customHeight="true" outlineLevel="0" collapsed="false">
      <c r="A642" s="2"/>
      <c r="B642" s="19"/>
      <c r="C642" s="19"/>
      <c r="D642" s="2"/>
      <c r="E642" s="2"/>
      <c r="F642" s="2"/>
      <c r="G642" s="2"/>
      <c r="H642" s="2"/>
      <c r="I642" s="2"/>
      <c r="J642" s="2"/>
      <c r="K642" s="2"/>
      <c r="L642" s="19"/>
      <c r="M642" s="19"/>
      <c r="N642" s="2"/>
      <c r="O642" s="2"/>
      <c r="P642" s="2"/>
      <c r="Q642" s="2"/>
      <c r="R642" s="2"/>
      <c r="S642" s="2"/>
      <c r="T642" s="2"/>
      <c r="U642" s="2"/>
      <c r="V642" s="2"/>
      <c r="W642" s="2"/>
      <c r="X642" s="2"/>
      <c r="Y642" s="2"/>
      <c r="Z642" s="2"/>
    </row>
    <row r="643" customFormat="false" ht="12" hidden="false" customHeight="true" outlineLevel="0" collapsed="false">
      <c r="A643" s="2"/>
      <c r="B643" s="19"/>
      <c r="C643" s="19"/>
      <c r="D643" s="2"/>
      <c r="E643" s="2"/>
      <c r="F643" s="2"/>
      <c r="G643" s="2"/>
      <c r="H643" s="2"/>
      <c r="I643" s="2"/>
      <c r="J643" s="2"/>
      <c r="K643" s="2"/>
      <c r="L643" s="19"/>
      <c r="M643" s="19"/>
      <c r="N643" s="2"/>
      <c r="O643" s="2"/>
      <c r="P643" s="2"/>
      <c r="Q643" s="2"/>
      <c r="R643" s="2"/>
      <c r="S643" s="2"/>
      <c r="T643" s="2"/>
      <c r="U643" s="2"/>
      <c r="V643" s="2"/>
      <c r="W643" s="2"/>
      <c r="X643" s="2"/>
      <c r="Y643" s="2"/>
      <c r="Z643" s="2"/>
    </row>
    <row r="644" customFormat="false" ht="12" hidden="false" customHeight="true" outlineLevel="0" collapsed="false">
      <c r="A644" s="2"/>
      <c r="B644" s="19"/>
      <c r="C644" s="19"/>
      <c r="D644" s="2"/>
      <c r="E644" s="2"/>
      <c r="F644" s="2"/>
      <c r="G644" s="2"/>
      <c r="H644" s="2"/>
      <c r="I644" s="2"/>
      <c r="J644" s="2"/>
      <c r="K644" s="2"/>
      <c r="L644" s="19"/>
      <c r="M644" s="19"/>
      <c r="N644" s="2"/>
      <c r="O644" s="2"/>
      <c r="P644" s="2"/>
      <c r="Q644" s="2"/>
      <c r="R644" s="2"/>
      <c r="S644" s="2"/>
      <c r="T644" s="2"/>
      <c r="U644" s="2"/>
      <c r="V644" s="2"/>
      <c r="W644" s="2"/>
      <c r="X644" s="2"/>
      <c r="Y644" s="2"/>
      <c r="Z644" s="2"/>
    </row>
    <row r="645" customFormat="false" ht="12" hidden="false" customHeight="true" outlineLevel="0" collapsed="false">
      <c r="A645" s="2"/>
      <c r="B645" s="19"/>
      <c r="C645" s="19"/>
      <c r="D645" s="2"/>
      <c r="E645" s="2"/>
      <c r="F645" s="2"/>
      <c r="G645" s="2"/>
      <c r="H645" s="2"/>
      <c r="I645" s="2"/>
      <c r="J645" s="2"/>
      <c r="K645" s="2"/>
      <c r="L645" s="19"/>
      <c r="M645" s="19"/>
      <c r="N645" s="2"/>
      <c r="O645" s="2"/>
      <c r="P645" s="2"/>
      <c r="Q645" s="2"/>
      <c r="R645" s="2"/>
      <c r="S645" s="2"/>
      <c r="T645" s="2"/>
      <c r="U645" s="2"/>
      <c r="V645" s="2"/>
      <c r="W645" s="2"/>
      <c r="X645" s="2"/>
      <c r="Y645" s="2"/>
      <c r="Z645" s="2"/>
    </row>
    <row r="646" customFormat="false" ht="12" hidden="false" customHeight="true" outlineLevel="0" collapsed="false">
      <c r="A646" s="2"/>
      <c r="B646" s="19"/>
      <c r="C646" s="19"/>
      <c r="D646" s="2"/>
      <c r="E646" s="2"/>
      <c r="F646" s="2"/>
      <c r="G646" s="2"/>
      <c r="H646" s="2"/>
      <c r="I646" s="2"/>
      <c r="J646" s="2"/>
      <c r="K646" s="2"/>
      <c r="L646" s="19"/>
      <c r="M646" s="19"/>
      <c r="N646" s="2"/>
      <c r="O646" s="2"/>
      <c r="P646" s="2"/>
      <c r="Q646" s="2"/>
      <c r="R646" s="2"/>
      <c r="S646" s="2"/>
      <c r="T646" s="2"/>
      <c r="U646" s="2"/>
      <c r="V646" s="2"/>
      <c r="W646" s="2"/>
      <c r="X646" s="2"/>
      <c r="Y646" s="2"/>
      <c r="Z646" s="2"/>
    </row>
    <row r="647" customFormat="false" ht="12" hidden="false" customHeight="true" outlineLevel="0" collapsed="false">
      <c r="A647" s="2"/>
      <c r="B647" s="19"/>
      <c r="C647" s="19"/>
      <c r="D647" s="2"/>
      <c r="E647" s="2"/>
      <c r="F647" s="2"/>
      <c r="G647" s="2"/>
      <c r="H647" s="2"/>
      <c r="I647" s="2"/>
      <c r="J647" s="2"/>
      <c r="K647" s="2"/>
      <c r="L647" s="19"/>
      <c r="M647" s="19"/>
      <c r="N647" s="2"/>
      <c r="O647" s="2"/>
      <c r="P647" s="2"/>
      <c r="Q647" s="2"/>
      <c r="R647" s="2"/>
      <c r="S647" s="2"/>
      <c r="T647" s="2"/>
      <c r="U647" s="2"/>
      <c r="V647" s="2"/>
      <c r="W647" s="2"/>
      <c r="X647" s="2"/>
      <c r="Y647" s="2"/>
      <c r="Z647" s="2"/>
    </row>
    <row r="648" customFormat="false" ht="12" hidden="false" customHeight="true" outlineLevel="0" collapsed="false">
      <c r="A648" s="2"/>
      <c r="B648" s="19"/>
      <c r="C648" s="19"/>
      <c r="D648" s="2"/>
      <c r="E648" s="2"/>
      <c r="F648" s="2"/>
      <c r="G648" s="2"/>
      <c r="H648" s="2"/>
      <c r="I648" s="2"/>
      <c r="J648" s="2"/>
      <c r="K648" s="2"/>
      <c r="L648" s="19"/>
      <c r="M648" s="19"/>
      <c r="N648" s="2"/>
      <c r="O648" s="2"/>
      <c r="P648" s="2"/>
      <c r="Q648" s="2"/>
      <c r="R648" s="2"/>
      <c r="S648" s="2"/>
      <c r="T648" s="2"/>
      <c r="U648" s="2"/>
      <c r="V648" s="2"/>
      <c r="W648" s="2"/>
      <c r="X648" s="2"/>
      <c r="Y648" s="2"/>
      <c r="Z648" s="2"/>
    </row>
    <row r="649" customFormat="false" ht="12" hidden="false" customHeight="true" outlineLevel="0" collapsed="false">
      <c r="A649" s="2"/>
      <c r="B649" s="19"/>
      <c r="C649" s="19"/>
      <c r="D649" s="2"/>
      <c r="E649" s="2"/>
      <c r="F649" s="2"/>
      <c r="G649" s="2"/>
      <c r="H649" s="2"/>
      <c r="I649" s="2"/>
      <c r="J649" s="2"/>
      <c r="K649" s="2"/>
      <c r="L649" s="19"/>
      <c r="M649" s="19"/>
      <c r="N649" s="2"/>
      <c r="O649" s="2"/>
      <c r="P649" s="2"/>
      <c r="Q649" s="2"/>
      <c r="R649" s="2"/>
      <c r="S649" s="2"/>
      <c r="T649" s="2"/>
      <c r="U649" s="2"/>
      <c r="V649" s="2"/>
      <c r="W649" s="2"/>
      <c r="X649" s="2"/>
      <c r="Y649" s="2"/>
      <c r="Z649" s="2"/>
    </row>
    <row r="650" customFormat="false" ht="12" hidden="false" customHeight="true" outlineLevel="0" collapsed="false">
      <c r="A650" s="2"/>
      <c r="B650" s="19"/>
      <c r="C650" s="19"/>
      <c r="D650" s="2"/>
      <c r="E650" s="2"/>
      <c r="F650" s="2"/>
      <c r="G650" s="2"/>
      <c r="H650" s="2"/>
      <c r="I650" s="2"/>
      <c r="J650" s="2"/>
      <c r="K650" s="2"/>
      <c r="L650" s="19"/>
      <c r="M650" s="19"/>
      <c r="N650" s="2"/>
      <c r="O650" s="2"/>
      <c r="P650" s="2"/>
      <c r="Q650" s="2"/>
      <c r="R650" s="2"/>
      <c r="S650" s="2"/>
      <c r="T650" s="2"/>
      <c r="U650" s="2"/>
      <c r="V650" s="2"/>
      <c r="W650" s="2"/>
      <c r="X650" s="2"/>
      <c r="Y650" s="2"/>
      <c r="Z650" s="2"/>
    </row>
    <row r="651" customFormat="false" ht="12" hidden="false" customHeight="true" outlineLevel="0" collapsed="false">
      <c r="A651" s="2"/>
      <c r="B651" s="19"/>
      <c r="C651" s="19"/>
      <c r="D651" s="2"/>
      <c r="E651" s="2"/>
      <c r="F651" s="2"/>
      <c r="G651" s="2"/>
      <c r="H651" s="2"/>
      <c r="I651" s="2"/>
      <c r="J651" s="2"/>
      <c r="K651" s="2"/>
      <c r="L651" s="19"/>
      <c r="M651" s="19"/>
      <c r="N651" s="2"/>
      <c r="O651" s="2"/>
      <c r="P651" s="2"/>
      <c r="Q651" s="2"/>
      <c r="R651" s="2"/>
      <c r="S651" s="2"/>
      <c r="T651" s="2"/>
      <c r="U651" s="2"/>
      <c r="V651" s="2"/>
      <c r="W651" s="2"/>
      <c r="X651" s="2"/>
      <c r="Y651" s="2"/>
      <c r="Z651" s="2"/>
    </row>
    <row r="652" customFormat="false" ht="12" hidden="false" customHeight="true" outlineLevel="0" collapsed="false">
      <c r="A652" s="2"/>
      <c r="B652" s="19"/>
      <c r="C652" s="19"/>
      <c r="D652" s="2"/>
      <c r="E652" s="2"/>
      <c r="F652" s="2"/>
      <c r="G652" s="2"/>
      <c r="H652" s="2"/>
      <c r="I652" s="2"/>
      <c r="J652" s="2"/>
      <c r="K652" s="2"/>
      <c r="L652" s="19"/>
      <c r="M652" s="19"/>
      <c r="N652" s="2"/>
      <c r="O652" s="2"/>
      <c r="P652" s="2"/>
      <c r="Q652" s="2"/>
      <c r="R652" s="2"/>
      <c r="S652" s="2"/>
      <c r="T652" s="2"/>
      <c r="U652" s="2"/>
      <c r="V652" s="2"/>
      <c r="W652" s="2"/>
      <c r="X652" s="2"/>
      <c r="Y652" s="2"/>
      <c r="Z652" s="2"/>
    </row>
    <row r="653" customFormat="false" ht="12" hidden="false" customHeight="true" outlineLevel="0" collapsed="false">
      <c r="A653" s="2"/>
      <c r="B653" s="19"/>
      <c r="C653" s="19"/>
      <c r="D653" s="2"/>
      <c r="E653" s="2"/>
      <c r="F653" s="2"/>
      <c r="G653" s="2"/>
      <c r="H653" s="2"/>
      <c r="I653" s="2"/>
      <c r="J653" s="2"/>
      <c r="K653" s="2"/>
      <c r="L653" s="19"/>
      <c r="M653" s="19"/>
      <c r="N653" s="2"/>
      <c r="O653" s="2"/>
      <c r="P653" s="2"/>
      <c r="Q653" s="2"/>
      <c r="R653" s="2"/>
      <c r="S653" s="2"/>
      <c r="T653" s="2"/>
      <c r="U653" s="2"/>
      <c r="V653" s="2"/>
      <c r="W653" s="2"/>
      <c r="X653" s="2"/>
      <c r="Y653" s="2"/>
      <c r="Z653" s="2"/>
    </row>
    <row r="654" customFormat="false" ht="12" hidden="false" customHeight="true" outlineLevel="0" collapsed="false">
      <c r="A654" s="2"/>
      <c r="B654" s="19"/>
      <c r="C654" s="19"/>
      <c r="D654" s="2"/>
      <c r="E654" s="2"/>
      <c r="F654" s="2"/>
      <c r="G654" s="2"/>
      <c r="H654" s="2"/>
      <c r="I654" s="2"/>
      <c r="J654" s="2"/>
      <c r="K654" s="2"/>
      <c r="L654" s="19"/>
      <c r="M654" s="19"/>
      <c r="N654" s="2"/>
      <c r="O654" s="2"/>
      <c r="P654" s="2"/>
      <c r="Q654" s="2"/>
      <c r="R654" s="2"/>
      <c r="S654" s="2"/>
      <c r="T654" s="2"/>
      <c r="U654" s="2"/>
      <c r="V654" s="2"/>
      <c r="W654" s="2"/>
      <c r="X654" s="2"/>
      <c r="Y654" s="2"/>
      <c r="Z654" s="2"/>
    </row>
    <row r="655" customFormat="false" ht="12" hidden="false" customHeight="true" outlineLevel="0" collapsed="false">
      <c r="A655" s="2"/>
      <c r="B655" s="19"/>
      <c r="C655" s="19"/>
      <c r="D655" s="2"/>
      <c r="E655" s="2"/>
      <c r="F655" s="2"/>
      <c r="G655" s="2"/>
      <c r="H655" s="2"/>
      <c r="I655" s="2"/>
      <c r="J655" s="2"/>
      <c r="K655" s="2"/>
      <c r="L655" s="19"/>
      <c r="M655" s="19"/>
      <c r="N655" s="2"/>
      <c r="O655" s="2"/>
      <c r="P655" s="2"/>
      <c r="Q655" s="2"/>
      <c r="R655" s="2"/>
      <c r="S655" s="2"/>
      <c r="T655" s="2"/>
      <c r="U655" s="2"/>
      <c r="V655" s="2"/>
      <c r="W655" s="2"/>
      <c r="X655" s="2"/>
      <c r="Y655" s="2"/>
      <c r="Z655" s="2"/>
    </row>
    <row r="656" customFormat="false" ht="12" hidden="false" customHeight="true" outlineLevel="0" collapsed="false">
      <c r="A656" s="2"/>
      <c r="B656" s="19"/>
      <c r="C656" s="19"/>
      <c r="D656" s="2"/>
      <c r="E656" s="2"/>
      <c r="F656" s="2"/>
      <c r="G656" s="2"/>
      <c r="H656" s="2"/>
      <c r="I656" s="2"/>
      <c r="J656" s="2"/>
      <c r="K656" s="2"/>
      <c r="L656" s="19"/>
      <c r="M656" s="19"/>
      <c r="N656" s="2"/>
      <c r="O656" s="2"/>
      <c r="P656" s="2"/>
      <c r="Q656" s="2"/>
      <c r="R656" s="2"/>
      <c r="S656" s="2"/>
      <c r="T656" s="2"/>
      <c r="U656" s="2"/>
      <c r="V656" s="2"/>
      <c r="W656" s="2"/>
      <c r="X656" s="2"/>
      <c r="Y656" s="2"/>
      <c r="Z656" s="2"/>
    </row>
    <row r="657" customFormat="false" ht="12" hidden="false" customHeight="true" outlineLevel="0" collapsed="false">
      <c r="A657" s="2"/>
      <c r="B657" s="19"/>
      <c r="C657" s="19"/>
      <c r="D657" s="2"/>
      <c r="E657" s="2"/>
      <c r="F657" s="2"/>
      <c r="G657" s="2"/>
      <c r="H657" s="2"/>
      <c r="I657" s="2"/>
      <c r="J657" s="2"/>
      <c r="K657" s="2"/>
      <c r="L657" s="19"/>
      <c r="M657" s="19"/>
      <c r="N657" s="2"/>
      <c r="O657" s="2"/>
      <c r="P657" s="2"/>
      <c r="Q657" s="2"/>
      <c r="R657" s="2"/>
      <c r="S657" s="2"/>
      <c r="T657" s="2"/>
      <c r="U657" s="2"/>
      <c r="V657" s="2"/>
      <c r="W657" s="2"/>
      <c r="X657" s="2"/>
      <c r="Y657" s="2"/>
      <c r="Z657" s="2"/>
    </row>
    <row r="658" customFormat="false" ht="12" hidden="false" customHeight="true" outlineLevel="0" collapsed="false">
      <c r="A658" s="2"/>
      <c r="B658" s="19"/>
      <c r="C658" s="19"/>
      <c r="D658" s="2"/>
      <c r="E658" s="2"/>
      <c r="F658" s="2"/>
      <c r="G658" s="2"/>
      <c r="H658" s="2"/>
      <c r="I658" s="2"/>
      <c r="J658" s="2"/>
      <c r="K658" s="2"/>
      <c r="L658" s="19"/>
      <c r="M658" s="19"/>
      <c r="N658" s="2"/>
      <c r="O658" s="2"/>
      <c r="P658" s="2"/>
      <c r="Q658" s="2"/>
      <c r="R658" s="2"/>
      <c r="S658" s="2"/>
      <c r="T658" s="2"/>
      <c r="U658" s="2"/>
      <c r="V658" s="2"/>
      <c r="W658" s="2"/>
      <c r="X658" s="2"/>
      <c r="Y658" s="2"/>
      <c r="Z658" s="2"/>
    </row>
    <row r="659" customFormat="false" ht="12" hidden="false" customHeight="true" outlineLevel="0" collapsed="false">
      <c r="A659" s="2"/>
      <c r="B659" s="19"/>
      <c r="C659" s="19"/>
      <c r="D659" s="2"/>
      <c r="E659" s="2"/>
      <c r="F659" s="2"/>
      <c r="G659" s="2"/>
      <c r="H659" s="2"/>
      <c r="I659" s="2"/>
      <c r="J659" s="2"/>
      <c r="K659" s="2"/>
      <c r="L659" s="19"/>
      <c r="M659" s="19"/>
      <c r="N659" s="2"/>
      <c r="O659" s="2"/>
      <c r="P659" s="2"/>
      <c r="Q659" s="2"/>
      <c r="R659" s="2"/>
      <c r="S659" s="2"/>
      <c r="T659" s="2"/>
      <c r="U659" s="2"/>
      <c r="V659" s="2"/>
      <c r="W659" s="2"/>
      <c r="X659" s="2"/>
      <c r="Y659" s="2"/>
      <c r="Z659" s="2"/>
    </row>
    <row r="660" customFormat="false" ht="12" hidden="false" customHeight="true" outlineLevel="0" collapsed="false">
      <c r="A660" s="2"/>
      <c r="B660" s="19"/>
      <c r="C660" s="19"/>
      <c r="D660" s="2"/>
      <c r="E660" s="2"/>
      <c r="F660" s="2"/>
      <c r="G660" s="2"/>
      <c r="H660" s="2"/>
      <c r="I660" s="2"/>
      <c r="J660" s="2"/>
      <c r="K660" s="2"/>
      <c r="L660" s="19"/>
      <c r="M660" s="19"/>
      <c r="N660" s="2"/>
      <c r="O660" s="2"/>
      <c r="P660" s="2"/>
      <c r="Q660" s="2"/>
      <c r="R660" s="2"/>
      <c r="S660" s="2"/>
      <c r="T660" s="2"/>
      <c r="U660" s="2"/>
      <c r="V660" s="2"/>
      <c r="W660" s="2"/>
      <c r="X660" s="2"/>
      <c r="Y660" s="2"/>
      <c r="Z660" s="2"/>
    </row>
    <row r="661" customFormat="false" ht="12" hidden="false" customHeight="true" outlineLevel="0" collapsed="false">
      <c r="A661" s="2"/>
      <c r="B661" s="19"/>
      <c r="C661" s="19"/>
      <c r="D661" s="2"/>
      <c r="E661" s="2"/>
      <c r="F661" s="2"/>
      <c r="G661" s="2"/>
      <c r="H661" s="2"/>
      <c r="I661" s="2"/>
      <c r="J661" s="2"/>
      <c r="K661" s="2"/>
      <c r="L661" s="19"/>
      <c r="M661" s="19"/>
      <c r="N661" s="2"/>
      <c r="O661" s="2"/>
      <c r="P661" s="2"/>
      <c r="Q661" s="2"/>
      <c r="R661" s="2"/>
      <c r="S661" s="2"/>
      <c r="T661" s="2"/>
      <c r="U661" s="2"/>
      <c r="V661" s="2"/>
      <c r="W661" s="2"/>
      <c r="X661" s="2"/>
      <c r="Y661" s="2"/>
      <c r="Z661" s="2"/>
    </row>
    <row r="662" customFormat="false" ht="12" hidden="false" customHeight="true" outlineLevel="0" collapsed="false">
      <c r="A662" s="2"/>
      <c r="B662" s="19"/>
      <c r="C662" s="19"/>
      <c r="D662" s="2"/>
      <c r="E662" s="2"/>
      <c r="F662" s="2"/>
      <c r="G662" s="2"/>
      <c r="H662" s="2"/>
      <c r="I662" s="2"/>
      <c r="J662" s="2"/>
      <c r="K662" s="2"/>
      <c r="L662" s="19"/>
      <c r="M662" s="19"/>
      <c r="N662" s="2"/>
      <c r="O662" s="2"/>
      <c r="P662" s="2"/>
      <c r="Q662" s="2"/>
      <c r="R662" s="2"/>
      <c r="S662" s="2"/>
      <c r="T662" s="2"/>
      <c r="U662" s="2"/>
      <c r="V662" s="2"/>
      <c r="W662" s="2"/>
      <c r="X662" s="2"/>
      <c r="Y662" s="2"/>
      <c r="Z662" s="2"/>
    </row>
    <row r="663" customFormat="false" ht="12" hidden="false" customHeight="true" outlineLevel="0" collapsed="false">
      <c r="A663" s="2"/>
      <c r="B663" s="19"/>
      <c r="C663" s="19"/>
      <c r="D663" s="2"/>
      <c r="E663" s="2"/>
      <c r="F663" s="2"/>
      <c r="G663" s="2"/>
      <c r="H663" s="2"/>
      <c r="I663" s="2"/>
      <c r="J663" s="2"/>
      <c r="K663" s="2"/>
      <c r="L663" s="19"/>
      <c r="M663" s="19"/>
      <c r="N663" s="2"/>
      <c r="O663" s="2"/>
      <c r="P663" s="2"/>
      <c r="Q663" s="2"/>
      <c r="R663" s="2"/>
      <c r="S663" s="2"/>
      <c r="T663" s="2"/>
      <c r="U663" s="2"/>
      <c r="V663" s="2"/>
      <c r="W663" s="2"/>
      <c r="X663" s="2"/>
      <c r="Y663" s="2"/>
      <c r="Z663" s="2"/>
    </row>
    <row r="664" customFormat="false" ht="12" hidden="false" customHeight="true" outlineLevel="0" collapsed="false">
      <c r="A664" s="2"/>
      <c r="B664" s="19"/>
      <c r="C664" s="19"/>
      <c r="D664" s="2"/>
      <c r="E664" s="2"/>
      <c r="F664" s="2"/>
      <c r="G664" s="2"/>
      <c r="H664" s="2"/>
      <c r="I664" s="2"/>
      <c r="J664" s="2"/>
      <c r="K664" s="2"/>
      <c r="L664" s="19"/>
      <c r="M664" s="19"/>
      <c r="N664" s="2"/>
      <c r="O664" s="2"/>
      <c r="P664" s="2"/>
      <c r="Q664" s="2"/>
      <c r="R664" s="2"/>
      <c r="S664" s="2"/>
      <c r="T664" s="2"/>
      <c r="U664" s="2"/>
      <c r="V664" s="2"/>
      <c r="W664" s="2"/>
      <c r="X664" s="2"/>
      <c r="Y664" s="2"/>
      <c r="Z664" s="2"/>
    </row>
    <row r="665" customFormat="false" ht="12" hidden="false" customHeight="true" outlineLevel="0" collapsed="false">
      <c r="A665" s="2"/>
      <c r="B665" s="19"/>
      <c r="C665" s="19"/>
      <c r="D665" s="2"/>
      <c r="E665" s="2"/>
      <c r="F665" s="2"/>
      <c r="G665" s="2"/>
      <c r="H665" s="2"/>
      <c r="I665" s="2"/>
      <c r="J665" s="2"/>
      <c r="K665" s="2"/>
      <c r="L665" s="19"/>
      <c r="M665" s="19"/>
      <c r="N665" s="2"/>
      <c r="O665" s="2"/>
      <c r="P665" s="2"/>
      <c r="Q665" s="2"/>
      <c r="R665" s="2"/>
      <c r="S665" s="2"/>
      <c r="T665" s="2"/>
      <c r="U665" s="2"/>
      <c r="V665" s="2"/>
      <c r="W665" s="2"/>
      <c r="X665" s="2"/>
      <c r="Y665" s="2"/>
      <c r="Z665" s="2"/>
    </row>
    <row r="666" customFormat="false" ht="12" hidden="false" customHeight="true" outlineLevel="0" collapsed="false">
      <c r="A666" s="2"/>
      <c r="B666" s="19"/>
      <c r="C666" s="19"/>
      <c r="D666" s="2"/>
      <c r="E666" s="2"/>
      <c r="F666" s="2"/>
      <c r="G666" s="2"/>
      <c r="H666" s="2"/>
      <c r="I666" s="2"/>
      <c r="J666" s="2"/>
      <c r="K666" s="2"/>
      <c r="L666" s="19"/>
      <c r="M666" s="19"/>
      <c r="N666" s="2"/>
      <c r="O666" s="2"/>
      <c r="P666" s="2"/>
      <c r="Q666" s="2"/>
      <c r="R666" s="2"/>
      <c r="S666" s="2"/>
      <c r="T666" s="2"/>
      <c r="U666" s="2"/>
      <c r="V666" s="2"/>
      <c r="W666" s="2"/>
      <c r="X666" s="2"/>
      <c r="Y666" s="2"/>
      <c r="Z666" s="2"/>
    </row>
    <row r="667" customFormat="false" ht="12" hidden="false" customHeight="true" outlineLevel="0" collapsed="false">
      <c r="A667" s="2"/>
      <c r="B667" s="19"/>
      <c r="C667" s="19"/>
      <c r="D667" s="2"/>
      <c r="E667" s="2"/>
      <c r="F667" s="2"/>
      <c r="G667" s="2"/>
      <c r="H667" s="2"/>
      <c r="I667" s="2"/>
      <c r="J667" s="2"/>
      <c r="K667" s="2"/>
      <c r="L667" s="19"/>
      <c r="M667" s="19"/>
      <c r="N667" s="2"/>
      <c r="O667" s="2"/>
      <c r="P667" s="2"/>
      <c r="Q667" s="2"/>
      <c r="R667" s="2"/>
      <c r="S667" s="2"/>
      <c r="T667" s="2"/>
      <c r="U667" s="2"/>
      <c r="V667" s="2"/>
      <c r="W667" s="2"/>
      <c r="X667" s="2"/>
      <c r="Y667" s="2"/>
      <c r="Z667" s="2"/>
    </row>
    <row r="668" customFormat="false" ht="12" hidden="false" customHeight="true" outlineLevel="0" collapsed="false">
      <c r="A668" s="2"/>
      <c r="B668" s="19"/>
      <c r="C668" s="19"/>
      <c r="D668" s="2"/>
      <c r="E668" s="2"/>
      <c r="F668" s="2"/>
      <c r="G668" s="2"/>
      <c r="H668" s="2"/>
      <c r="I668" s="2"/>
      <c r="J668" s="2"/>
      <c r="K668" s="2"/>
      <c r="L668" s="19"/>
      <c r="M668" s="19"/>
      <c r="N668" s="2"/>
      <c r="O668" s="2"/>
      <c r="P668" s="2"/>
      <c r="Q668" s="2"/>
      <c r="R668" s="2"/>
      <c r="S668" s="2"/>
      <c r="T668" s="2"/>
      <c r="U668" s="2"/>
      <c r="V668" s="2"/>
      <c r="W668" s="2"/>
      <c r="X668" s="2"/>
      <c r="Y668" s="2"/>
      <c r="Z668" s="2"/>
    </row>
    <row r="669" customFormat="false" ht="12" hidden="false" customHeight="true" outlineLevel="0" collapsed="false">
      <c r="A669" s="2"/>
      <c r="B669" s="19"/>
      <c r="C669" s="19"/>
      <c r="D669" s="2"/>
      <c r="E669" s="2"/>
      <c r="F669" s="2"/>
      <c r="G669" s="2"/>
      <c r="H669" s="2"/>
      <c r="I669" s="2"/>
      <c r="J669" s="2"/>
      <c r="K669" s="2"/>
      <c r="L669" s="19"/>
      <c r="M669" s="19"/>
      <c r="N669" s="2"/>
      <c r="O669" s="2"/>
      <c r="P669" s="2"/>
      <c r="Q669" s="2"/>
      <c r="R669" s="2"/>
      <c r="S669" s="2"/>
      <c r="T669" s="2"/>
      <c r="U669" s="2"/>
      <c r="V669" s="2"/>
      <c r="W669" s="2"/>
      <c r="X669" s="2"/>
      <c r="Y669" s="2"/>
      <c r="Z669" s="2"/>
    </row>
    <row r="670" customFormat="false" ht="12" hidden="false" customHeight="true" outlineLevel="0" collapsed="false">
      <c r="A670" s="2"/>
      <c r="B670" s="19"/>
      <c r="C670" s="19"/>
      <c r="D670" s="2"/>
      <c r="E670" s="2"/>
      <c r="F670" s="2"/>
      <c r="G670" s="2"/>
      <c r="H670" s="2"/>
      <c r="I670" s="2"/>
      <c r="J670" s="2"/>
      <c r="K670" s="2"/>
      <c r="L670" s="19"/>
      <c r="M670" s="19"/>
      <c r="N670" s="2"/>
      <c r="O670" s="2"/>
      <c r="P670" s="2"/>
      <c r="Q670" s="2"/>
      <c r="R670" s="2"/>
      <c r="S670" s="2"/>
      <c r="T670" s="2"/>
      <c r="U670" s="2"/>
      <c r="V670" s="2"/>
      <c r="W670" s="2"/>
      <c r="X670" s="2"/>
      <c r="Y670" s="2"/>
      <c r="Z670" s="2"/>
    </row>
    <row r="671" customFormat="false" ht="12" hidden="false" customHeight="true" outlineLevel="0" collapsed="false">
      <c r="A671" s="2"/>
      <c r="B671" s="19"/>
      <c r="C671" s="19"/>
      <c r="D671" s="2"/>
      <c r="E671" s="2"/>
      <c r="F671" s="2"/>
      <c r="G671" s="2"/>
      <c r="H671" s="2"/>
      <c r="I671" s="2"/>
      <c r="J671" s="2"/>
      <c r="K671" s="2"/>
      <c r="L671" s="19"/>
      <c r="M671" s="19"/>
      <c r="N671" s="2"/>
      <c r="O671" s="2"/>
      <c r="P671" s="2"/>
      <c r="Q671" s="2"/>
      <c r="R671" s="2"/>
      <c r="S671" s="2"/>
      <c r="T671" s="2"/>
      <c r="U671" s="2"/>
      <c r="V671" s="2"/>
      <c r="W671" s="2"/>
      <c r="X671" s="2"/>
      <c r="Y671" s="2"/>
      <c r="Z671" s="2"/>
    </row>
    <row r="672" customFormat="false" ht="12" hidden="false" customHeight="true" outlineLevel="0" collapsed="false">
      <c r="A672" s="2"/>
      <c r="B672" s="19"/>
      <c r="C672" s="19"/>
      <c r="D672" s="2"/>
      <c r="E672" s="2"/>
      <c r="F672" s="2"/>
      <c r="G672" s="2"/>
      <c r="H672" s="2"/>
      <c r="I672" s="2"/>
      <c r="J672" s="2"/>
      <c r="K672" s="2"/>
      <c r="L672" s="19"/>
      <c r="M672" s="19"/>
      <c r="N672" s="2"/>
      <c r="O672" s="2"/>
      <c r="P672" s="2"/>
      <c r="Q672" s="2"/>
      <c r="R672" s="2"/>
      <c r="S672" s="2"/>
      <c r="T672" s="2"/>
      <c r="U672" s="2"/>
      <c r="V672" s="2"/>
      <c r="W672" s="2"/>
      <c r="X672" s="2"/>
      <c r="Y672" s="2"/>
      <c r="Z672" s="2"/>
    </row>
    <row r="673" customFormat="false" ht="12" hidden="false" customHeight="true" outlineLevel="0" collapsed="false">
      <c r="A673" s="2"/>
      <c r="B673" s="19"/>
      <c r="C673" s="19"/>
      <c r="D673" s="2"/>
      <c r="E673" s="2"/>
      <c r="F673" s="2"/>
      <c r="G673" s="2"/>
      <c r="H673" s="2"/>
      <c r="I673" s="2"/>
      <c r="J673" s="2"/>
      <c r="K673" s="2"/>
      <c r="L673" s="19"/>
      <c r="M673" s="19"/>
      <c r="N673" s="2"/>
      <c r="O673" s="2"/>
      <c r="P673" s="2"/>
      <c r="Q673" s="2"/>
      <c r="R673" s="2"/>
      <c r="S673" s="2"/>
      <c r="T673" s="2"/>
      <c r="U673" s="2"/>
      <c r="V673" s="2"/>
      <c r="W673" s="2"/>
      <c r="X673" s="2"/>
      <c r="Y673" s="2"/>
      <c r="Z673" s="2"/>
    </row>
    <row r="674" customFormat="false" ht="12" hidden="false" customHeight="true" outlineLevel="0" collapsed="false">
      <c r="A674" s="2"/>
      <c r="B674" s="19"/>
      <c r="C674" s="19"/>
      <c r="D674" s="2"/>
      <c r="E674" s="2"/>
      <c r="F674" s="2"/>
      <c r="G674" s="2"/>
      <c r="H674" s="2"/>
      <c r="I674" s="2"/>
      <c r="J674" s="2"/>
      <c r="K674" s="2"/>
      <c r="L674" s="19"/>
      <c r="M674" s="19"/>
      <c r="N674" s="2"/>
      <c r="O674" s="2"/>
      <c r="P674" s="2"/>
      <c r="Q674" s="2"/>
      <c r="R674" s="2"/>
      <c r="S674" s="2"/>
      <c r="T674" s="2"/>
      <c r="U674" s="2"/>
      <c r="V674" s="2"/>
      <c r="W674" s="2"/>
      <c r="X674" s="2"/>
      <c r="Y674" s="2"/>
      <c r="Z674" s="2"/>
    </row>
    <row r="675" customFormat="false" ht="12" hidden="false" customHeight="true" outlineLevel="0" collapsed="false">
      <c r="A675" s="2"/>
      <c r="B675" s="19"/>
      <c r="C675" s="19"/>
      <c r="D675" s="2"/>
      <c r="E675" s="2"/>
      <c r="F675" s="2"/>
      <c r="G675" s="2"/>
      <c r="H675" s="2"/>
      <c r="I675" s="2"/>
      <c r="J675" s="2"/>
      <c r="K675" s="2"/>
      <c r="L675" s="19"/>
      <c r="M675" s="19"/>
      <c r="N675" s="2"/>
      <c r="O675" s="2"/>
      <c r="P675" s="2"/>
      <c r="Q675" s="2"/>
      <c r="R675" s="2"/>
      <c r="S675" s="2"/>
      <c r="T675" s="2"/>
      <c r="U675" s="2"/>
      <c r="V675" s="2"/>
      <c r="W675" s="2"/>
      <c r="X675" s="2"/>
      <c r="Y675" s="2"/>
      <c r="Z675" s="2"/>
    </row>
    <row r="676" customFormat="false" ht="12" hidden="false" customHeight="true" outlineLevel="0" collapsed="false">
      <c r="A676" s="2"/>
      <c r="B676" s="19"/>
      <c r="C676" s="19"/>
      <c r="D676" s="2"/>
      <c r="E676" s="2"/>
      <c r="F676" s="2"/>
      <c r="G676" s="2"/>
      <c r="H676" s="2"/>
      <c r="I676" s="2"/>
      <c r="J676" s="2"/>
      <c r="K676" s="2"/>
      <c r="L676" s="19"/>
      <c r="M676" s="19"/>
      <c r="N676" s="2"/>
      <c r="O676" s="2"/>
      <c r="P676" s="2"/>
      <c r="Q676" s="2"/>
      <c r="R676" s="2"/>
      <c r="S676" s="2"/>
      <c r="T676" s="2"/>
      <c r="U676" s="2"/>
      <c r="V676" s="2"/>
      <c r="W676" s="2"/>
      <c r="X676" s="2"/>
      <c r="Y676" s="2"/>
      <c r="Z676" s="2"/>
    </row>
    <row r="677" customFormat="false" ht="12" hidden="false" customHeight="true" outlineLevel="0" collapsed="false">
      <c r="A677" s="2"/>
      <c r="B677" s="19"/>
      <c r="C677" s="19"/>
      <c r="D677" s="2"/>
      <c r="E677" s="2"/>
      <c r="F677" s="2"/>
      <c r="G677" s="2"/>
      <c r="H677" s="2"/>
      <c r="I677" s="2"/>
      <c r="J677" s="2"/>
      <c r="K677" s="2"/>
      <c r="L677" s="19"/>
      <c r="M677" s="19"/>
      <c r="N677" s="2"/>
      <c r="O677" s="2"/>
      <c r="P677" s="2"/>
      <c r="Q677" s="2"/>
      <c r="R677" s="2"/>
      <c r="S677" s="2"/>
      <c r="T677" s="2"/>
      <c r="U677" s="2"/>
      <c r="V677" s="2"/>
      <c r="W677" s="2"/>
      <c r="X677" s="2"/>
      <c r="Y677" s="2"/>
      <c r="Z677" s="2"/>
    </row>
    <row r="678" customFormat="false" ht="12" hidden="false" customHeight="true" outlineLevel="0" collapsed="false">
      <c r="A678" s="2"/>
      <c r="B678" s="19"/>
      <c r="C678" s="19"/>
      <c r="D678" s="2"/>
      <c r="E678" s="2"/>
      <c r="F678" s="2"/>
      <c r="G678" s="2"/>
      <c r="H678" s="2"/>
      <c r="I678" s="2"/>
      <c r="J678" s="2"/>
      <c r="K678" s="2"/>
      <c r="L678" s="19"/>
      <c r="M678" s="19"/>
      <c r="N678" s="2"/>
      <c r="O678" s="2"/>
      <c r="P678" s="2"/>
      <c r="Q678" s="2"/>
      <c r="R678" s="2"/>
      <c r="S678" s="2"/>
      <c r="T678" s="2"/>
      <c r="U678" s="2"/>
      <c r="V678" s="2"/>
      <c r="W678" s="2"/>
      <c r="X678" s="2"/>
      <c r="Y678" s="2"/>
      <c r="Z678" s="2"/>
    </row>
    <row r="679" customFormat="false" ht="12" hidden="false" customHeight="true" outlineLevel="0" collapsed="false">
      <c r="A679" s="2"/>
      <c r="B679" s="19"/>
      <c r="C679" s="19"/>
      <c r="D679" s="2"/>
      <c r="E679" s="2"/>
      <c r="F679" s="2"/>
      <c r="G679" s="2"/>
      <c r="H679" s="2"/>
      <c r="I679" s="2"/>
      <c r="J679" s="2"/>
      <c r="K679" s="2"/>
      <c r="L679" s="19"/>
      <c r="M679" s="19"/>
      <c r="N679" s="2"/>
      <c r="O679" s="2"/>
      <c r="P679" s="2"/>
      <c r="Q679" s="2"/>
      <c r="R679" s="2"/>
      <c r="S679" s="2"/>
      <c r="T679" s="2"/>
      <c r="U679" s="2"/>
      <c r="V679" s="2"/>
      <c r="W679" s="2"/>
      <c r="X679" s="2"/>
      <c r="Y679" s="2"/>
      <c r="Z679" s="2"/>
    </row>
    <row r="680" customFormat="false" ht="12" hidden="false" customHeight="true" outlineLevel="0" collapsed="false">
      <c r="A680" s="2"/>
      <c r="B680" s="19"/>
      <c r="C680" s="19"/>
      <c r="D680" s="2"/>
      <c r="E680" s="2"/>
      <c r="F680" s="2"/>
      <c r="G680" s="2"/>
      <c r="H680" s="2"/>
      <c r="I680" s="2"/>
      <c r="J680" s="2"/>
      <c r="K680" s="2"/>
      <c r="L680" s="19"/>
      <c r="M680" s="19"/>
      <c r="N680" s="2"/>
      <c r="O680" s="2"/>
      <c r="P680" s="2"/>
      <c r="Q680" s="2"/>
      <c r="R680" s="2"/>
      <c r="S680" s="2"/>
      <c r="T680" s="2"/>
      <c r="U680" s="2"/>
      <c r="V680" s="2"/>
      <c r="W680" s="2"/>
      <c r="X680" s="2"/>
      <c r="Y680" s="2"/>
      <c r="Z680" s="2"/>
    </row>
    <row r="681" customFormat="false" ht="12" hidden="false" customHeight="true" outlineLevel="0" collapsed="false">
      <c r="A681" s="2"/>
      <c r="B681" s="19"/>
      <c r="C681" s="19"/>
      <c r="D681" s="2"/>
      <c r="E681" s="2"/>
      <c r="F681" s="2"/>
      <c r="G681" s="2"/>
      <c r="H681" s="2"/>
      <c r="I681" s="2"/>
      <c r="J681" s="2"/>
      <c r="K681" s="2"/>
      <c r="L681" s="19"/>
      <c r="M681" s="19"/>
      <c r="N681" s="2"/>
      <c r="O681" s="2"/>
      <c r="P681" s="2"/>
      <c r="Q681" s="2"/>
      <c r="R681" s="2"/>
      <c r="S681" s="2"/>
      <c r="T681" s="2"/>
      <c r="U681" s="2"/>
      <c r="V681" s="2"/>
      <c r="W681" s="2"/>
      <c r="X681" s="2"/>
      <c r="Y681" s="2"/>
      <c r="Z681" s="2"/>
    </row>
    <row r="682" customFormat="false" ht="12" hidden="false" customHeight="true" outlineLevel="0" collapsed="false">
      <c r="A682" s="2"/>
      <c r="B682" s="19"/>
      <c r="C682" s="19"/>
      <c r="D682" s="2"/>
      <c r="E682" s="2"/>
      <c r="F682" s="2"/>
      <c r="G682" s="2"/>
      <c r="H682" s="2"/>
      <c r="I682" s="2"/>
      <c r="J682" s="2"/>
      <c r="K682" s="2"/>
      <c r="L682" s="19"/>
      <c r="M682" s="19"/>
      <c r="N682" s="2"/>
      <c r="O682" s="2"/>
      <c r="P682" s="2"/>
      <c r="Q682" s="2"/>
      <c r="R682" s="2"/>
      <c r="S682" s="2"/>
      <c r="T682" s="2"/>
      <c r="U682" s="2"/>
      <c r="V682" s="2"/>
      <c r="W682" s="2"/>
      <c r="X682" s="2"/>
      <c r="Y682" s="2"/>
      <c r="Z682" s="2"/>
    </row>
    <row r="683" customFormat="false" ht="12" hidden="false" customHeight="true" outlineLevel="0" collapsed="false">
      <c r="A683" s="2"/>
      <c r="B683" s="19"/>
      <c r="C683" s="19"/>
      <c r="D683" s="2"/>
      <c r="E683" s="2"/>
      <c r="F683" s="2"/>
      <c r="G683" s="2"/>
      <c r="H683" s="2"/>
      <c r="I683" s="2"/>
      <c r="J683" s="2"/>
      <c r="K683" s="2"/>
      <c r="L683" s="19"/>
      <c r="M683" s="19"/>
      <c r="N683" s="2"/>
      <c r="O683" s="2"/>
      <c r="P683" s="2"/>
      <c r="Q683" s="2"/>
      <c r="R683" s="2"/>
      <c r="S683" s="2"/>
      <c r="T683" s="2"/>
      <c r="U683" s="2"/>
      <c r="V683" s="2"/>
      <c r="W683" s="2"/>
      <c r="X683" s="2"/>
      <c r="Y683" s="2"/>
      <c r="Z683" s="2"/>
    </row>
    <row r="684" customFormat="false" ht="12" hidden="false" customHeight="true" outlineLevel="0" collapsed="false">
      <c r="A684" s="2"/>
      <c r="B684" s="19"/>
      <c r="C684" s="19"/>
      <c r="D684" s="2"/>
      <c r="E684" s="2"/>
      <c r="F684" s="2"/>
      <c r="G684" s="2"/>
      <c r="H684" s="2"/>
      <c r="I684" s="2"/>
      <c r="J684" s="2"/>
      <c r="K684" s="2"/>
      <c r="L684" s="19"/>
      <c r="M684" s="19"/>
      <c r="N684" s="2"/>
      <c r="O684" s="2"/>
      <c r="P684" s="2"/>
      <c r="Q684" s="2"/>
      <c r="R684" s="2"/>
      <c r="S684" s="2"/>
      <c r="T684" s="2"/>
      <c r="U684" s="2"/>
      <c r="V684" s="2"/>
      <c r="W684" s="2"/>
      <c r="X684" s="2"/>
      <c r="Y684" s="2"/>
      <c r="Z684" s="2"/>
    </row>
    <row r="685" customFormat="false" ht="12" hidden="false" customHeight="true" outlineLevel="0" collapsed="false">
      <c r="A685" s="2"/>
      <c r="B685" s="19"/>
      <c r="C685" s="19"/>
      <c r="D685" s="2"/>
      <c r="E685" s="2"/>
      <c r="F685" s="2"/>
      <c r="G685" s="2"/>
      <c r="H685" s="2"/>
      <c r="I685" s="2"/>
      <c r="J685" s="2"/>
      <c r="K685" s="2"/>
      <c r="L685" s="19"/>
      <c r="M685" s="19"/>
      <c r="N685" s="2"/>
      <c r="O685" s="2"/>
      <c r="P685" s="2"/>
      <c r="Q685" s="2"/>
      <c r="R685" s="2"/>
      <c r="S685" s="2"/>
      <c r="T685" s="2"/>
      <c r="U685" s="2"/>
      <c r="V685" s="2"/>
      <c r="W685" s="2"/>
      <c r="X685" s="2"/>
      <c r="Y685" s="2"/>
      <c r="Z685" s="2"/>
    </row>
    <row r="686" customFormat="false" ht="12" hidden="false" customHeight="true" outlineLevel="0" collapsed="false">
      <c r="A686" s="2"/>
      <c r="B686" s="19"/>
      <c r="C686" s="19"/>
      <c r="D686" s="2"/>
      <c r="E686" s="2"/>
      <c r="F686" s="2"/>
      <c r="G686" s="2"/>
      <c r="H686" s="2"/>
      <c r="I686" s="2"/>
      <c r="J686" s="2"/>
      <c r="K686" s="2"/>
      <c r="L686" s="19"/>
      <c r="M686" s="19"/>
      <c r="N686" s="2"/>
      <c r="O686" s="2"/>
      <c r="P686" s="2"/>
      <c r="Q686" s="2"/>
      <c r="R686" s="2"/>
      <c r="S686" s="2"/>
      <c r="T686" s="2"/>
      <c r="U686" s="2"/>
      <c r="V686" s="2"/>
      <c r="W686" s="2"/>
      <c r="X686" s="2"/>
      <c r="Y686" s="2"/>
      <c r="Z686" s="2"/>
    </row>
    <row r="687" customFormat="false" ht="12" hidden="false" customHeight="true" outlineLevel="0" collapsed="false">
      <c r="A687" s="2"/>
      <c r="B687" s="19"/>
      <c r="C687" s="19"/>
      <c r="D687" s="2"/>
      <c r="E687" s="2"/>
      <c r="F687" s="2"/>
      <c r="G687" s="2"/>
      <c r="H687" s="2"/>
      <c r="I687" s="2"/>
      <c r="J687" s="2"/>
      <c r="K687" s="2"/>
      <c r="L687" s="19"/>
      <c r="M687" s="19"/>
      <c r="N687" s="2"/>
      <c r="O687" s="2"/>
      <c r="P687" s="2"/>
      <c r="Q687" s="2"/>
      <c r="R687" s="2"/>
      <c r="S687" s="2"/>
      <c r="T687" s="2"/>
      <c r="U687" s="2"/>
      <c r="V687" s="2"/>
      <c r="W687" s="2"/>
      <c r="X687" s="2"/>
      <c r="Y687" s="2"/>
      <c r="Z687" s="2"/>
    </row>
    <row r="688" customFormat="false" ht="12" hidden="false" customHeight="true" outlineLevel="0" collapsed="false">
      <c r="A688" s="2"/>
      <c r="B688" s="19"/>
      <c r="C688" s="19"/>
      <c r="D688" s="2"/>
      <c r="E688" s="2"/>
      <c r="F688" s="2"/>
      <c r="G688" s="2"/>
      <c r="H688" s="2"/>
      <c r="I688" s="2"/>
      <c r="J688" s="2"/>
      <c r="K688" s="2"/>
      <c r="L688" s="19"/>
      <c r="M688" s="19"/>
      <c r="N688" s="2"/>
      <c r="O688" s="2"/>
      <c r="P688" s="2"/>
      <c r="Q688" s="2"/>
      <c r="R688" s="2"/>
      <c r="S688" s="2"/>
      <c r="T688" s="2"/>
      <c r="U688" s="2"/>
      <c r="V688" s="2"/>
      <c r="W688" s="2"/>
      <c r="X688" s="2"/>
      <c r="Y688" s="2"/>
      <c r="Z688" s="2"/>
    </row>
    <row r="689" customFormat="false" ht="12" hidden="false" customHeight="true" outlineLevel="0" collapsed="false">
      <c r="A689" s="2"/>
      <c r="B689" s="19"/>
      <c r="C689" s="19"/>
      <c r="D689" s="2"/>
      <c r="E689" s="2"/>
      <c r="F689" s="2"/>
      <c r="G689" s="2"/>
      <c r="H689" s="2"/>
      <c r="I689" s="2"/>
      <c r="J689" s="2"/>
      <c r="K689" s="2"/>
      <c r="L689" s="19"/>
      <c r="M689" s="19"/>
      <c r="N689" s="2"/>
      <c r="O689" s="2"/>
      <c r="P689" s="2"/>
      <c r="Q689" s="2"/>
      <c r="R689" s="2"/>
      <c r="S689" s="2"/>
      <c r="T689" s="2"/>
      <c r="U689" s="2"/>
      <c r="V689" s="2"/>
      <c r="W689" s="2"/>
      <c r="X689" s="2"/>
      <c r="Y689" s="2"/>
      <c r="Z689" s="2"/>
    </row>
    <row r="690" customFormat="false" ht="12" hidden="false" customHeight="true" outlineLevel="0" collapsed="false">
      <c r="A690" s="2"/>
      <c r="B690" s="19"/>
      <c r="C690" s="19"/>
      <c r="D690" s="2"/>
      <c r="E690" s="2"/>
      <c r="F690" s="2"/>
      <c r="G690" s="2"/>
      <c r="H690" s="2"/>
      <c r="I690" s="2"/>
      <c r="J690" s="2"/>
      <c r="K690" s="2"/>
      <c r="L690" s="19"/>
      <c r="M690" s="19"/>
      <c r="N690" s="2"/>
      <c r="O690" s="2"/>
      <c r="P690" s="2"/>
      <c r="Q690" s="2"/>
      <c r="R690" s="2"/>
      <c r="S690" s="2"/>
      <c r="T690" s="2"/>
      <c r="U690" s="2"/>
      <c r="V690" s="2"/>
      <c r="W690" s="2"/>
      <c r="X690" s="2"/>
      <c r="Y690" s="2"/>
      <c r="Z690" s="2"/>
    </row>
    <row r="691" customFormat="false" ht="12" hidden="false" customHeight="true" outlineLevel="0" collapsed="false">
      <c r="A691" s="2"/>
      <c r="B691" s="19"/>
      <c r="C691" s="19"/>
      <c r="D691" s="2"/>
      <c r="E691" s="2"/>
      <c r="F691" s="2"/>
      <c r="G691" s="2"/>
      <c r="H691" s="2"/>
      <c r="I691" s="2"/>
      <c r="J691" s="2"/>
      <c r="K691" s="2"/>
      <c r="L691" s="19"/>
      <c r="M691" s="19"/>
      <c r="N691" s="2"/>
      <c r="O691" s="2"/>
      <c r="P691" s="2"/>
      <c r="Q691" s="2"/>
      <c r="R691" s="2"/>
      <c r="S691" s="2"/>
      <c r="T691" s="2"/>
      <c r="U691" s="2"/>
      <c r="V691" s="2"/>
      <c r="W691" s="2"/>
      <c r="X691" s="2"/>
      <c r="Y691" s="2"/>
      <c r="Z691" s="2"/>
    </row>
    <row r="692" customFormat="false" ht="12" hidden="false" customHeight="true" outlineLevel="0" collapsed="false">
      <c r="A692" s="2"/>
      <c r="B692" s="19"/>
      <c r="C692" s="19"/>
      <c r="D692" s="2"/>
      <c r="E692" s="2"/>
      <c r="F692" s="2"/>
      <c r="G692" s="2"/>
      <c r="H692" s="2"/>
      <c r="I692" s="2"/>
      <c r="J692" s="2"/>
      <c r="K692" s="2"/>
      <c r="L692" s="19"/>
      <c r="M692" s="19"/>
      <c r="N692" s="2"/>
      <c r="O692" s="2"/>
      <c r="P692" s="2"/>
      <c r="Q692" s="2"/>
      <c r="R692" s="2"/>
      <c r="S692" s="2"/>
      <c r="T692" s="2"/>
      <c r="U692" s="2"/>
      <c r="V692" s="2"/>
      <c r="W692" s="2"/>
      <c r="X692" s="2"/>
      <c r="Y692" s="2"/>
      <c r="Z692" s="2"/>
    </row>
    <row r="693" customFormat="false" ht="12" hidden="false" customHeight="true" outlineLevel="0" collapsed="false">
      <c r="A693" s="2"/>
      <c r="B693" s="19"/>
      <c r="C693" s="19"/>
      <c r="D693" s="2"/>
      <c r="E693" s="2"/>
      <c r="F693" s="2"/>
      <c r="G693" s="2"/>
      <c r="H693" s="2"/>
      <c r="I693" s="2"/>
      <c r="J693" s="2"/>
      <c r="K693" s="2"/>
      <c r="L693" s="19"/>
      <c r="M693" s="19"/>
      <c r="N693" s="2"/>
      <c r="O693" s="2"/>
      <c r="P693" s="2"/>
      <c r="Q693" s="2"/>
      <c r="R693" s="2"/>
      <c r="S693" s="2"/>
      <c r="T693" s="2"/>
      <c r="U693" s="2"/>
      <c r="V693" s="2"/>
      <c r="W693" s="2"/>
      <c r="X693" s="2"/>
      <c r="Y693" s="2"/>
      <c r="Z693" s="2"/>
    </row>
    <row r="694" customFormat="false" ht="12" hidden="false" customHeight="true" outlineLevel="0" collapsed="false">
      <c r="A694" s="2"/>
      <c r="B694" s="19"/>
      <c r="C694" s="19"/>
      <c r="D694" s="2"/>
      <c r="E694" s="2"/>
      <c r="F694" s="2"/>
      <c r="G694" s="2"/>
      <c r="H694" s="2"/>
      <c r="I694" s="2"/>
      <c r="J694" s="2"/>
      <c r="K694" s="2"/>
      <c r="L694" s="19"/>
      <c r="M694" s="19"/>
      <c r="N694" s="2"/>
      <c r="O694" s="2"/>
      <c r="P694" s="2"/>
      <c r="Q694" s="2"/>
      <c r="R694" s="2"/>
      <c r="S694" s="2"/>
      <c r="T694" s="2"/>
      <c r="U694" s="2"/>
      <c r="V694" s="2"/>
      <c r="W694" s="2"/>
      <c r="X694" s="2"/>
      <c r="Y694" s="2"/>
      <c r="Z694" s="2"/>
    </row>
    <row r="695" customFormat="false" ht="12" hidden="false" customHeight="true" outlineLevel="0" collapsed="false">
      <c r="A695" s="2"/>
      <c r="B695" s="19"/>
      <c r="C695" s="19"/>
      <c r="D695" s="2"/>
      <c r="E695" s="2"/>
      <c r="F695" s="2"/>
      <c r="G695" s="2"/>
      <c r="H695" s="2"/>
      <c r="I695" s="2"/>
      <c r="J695" s="2"/>
      <c r="K695" s="2"/>
      <c r="L695" s="19"/>
      <c r="M695" s="19"/>
      <c r="N695" s="2"/>
      <c r="O695" s="2"/>
      <c r="P695" s="2"/>
      <c r="Q695" s="2"/>
      <c r="R695" s="2"/>
      <c r="S695" s="2"/>
      <c r="T695" s="2"/>
      <c r="U695" s="2"/>
      <c r="V695" s="2"/>
      <c r="W695" s="2"/>
      <c r="X695" s="2"/>
      <c r="Y695" s="2"/>
      <c r="Z695" s="2"/>
    </row>
    <row r="696" customFormat="false" ht="12" hidden="false" customHeight="true" outlineLevel="0" collapsed="false">
      <c r="A696" s="2"/>
      <c r="B696" s="19"/>
      <c r="C696" s="19"/>
      <c r="D696" s="2"/>
      <c r="E696" s="2"/>
      <c r="F696" s="2"/>
      <c r="G696" s="2"/>
      <c r="H696" s="2"/>
      <c r="I696" s="2"/>
      <c r="J696" s="2"/>
      <c r="K696" s="2"/>
      <c r="L696" s="19"/>
      <c r="M696" s="19"/>
      <c r="N696" s="2"/>
      <c r="O696" s="2"/>
      <c r="P696" s="2"/>
      <c r="Q696" s="2"/>
      <c r="R696" s="2"/>
      <c r="S696" s="2"/>
      <c r="T696" s="2"/>
      <c r="U696" s="2"/>
      <c r="V696" s="2"/>
      <c r="W696" s="2"/>
      <c r="X696" s="2"/>
      <c r="Y696" s="2"/>
      <c r="Z696" s="2"/>
    </row>
    <row r="697" customFormat="false" ht="12" hidden="false" customHeight="true" outlineLevel="0" collapsed="false">
      <c r="A697" s="2"/>
      <c r="B697" s="19"/>
      <c r="C697" s="19"/>
      <c r="D697" s="2"/>
      <c r="E697" s="2"/>
      <c r="F697" s="2"/>
      <c r="G697" s="2"/>
      <c r="H697" s="2"/>
      <c r="I697" s="2"/>
      <c r="J697" s="2"/>
      <c r="K697" s="2"/>
      <c r="L697" s="19"/>
      <c r="M697" s="19"/>
      <c r="N697" s="2"/>
      <c r="O697" s="2"/>
      <c r="P697" s="2"/>
      <c r="Q697" s="2"/>
      <c r="R697" s="2"/>
      <c r="S697" s="2"/>
      <c r="T697" s="2"/>
      <c r="U697" s="2"/>
      <c r="V697" s="2"/>
      <c r="W697" s="2"/>
      <c r="X697" s="2"/>
      <c r="Y697" s="2"/>
      <c r="Z697" s="2"/>
    </row>
    <row r="698" customFormat="false" ht="12" hidden="false" customHeight="true" outlineLevel="0" collapsed="false">
      <c r="A698" s="2"/>
      <c r="B698" s="19"/>
      <c r="C698" s="19"/>
      <c r="D698" s="2"/>
      <c r="E698" s="2"/>
      <c r="F698" s="2"/>
      <c r="G698" s="2"/>
      <c r="H698" s="2"/>
      <c r="I698" s="2"/>
      <c r="J698" s="2"/>
      <c r="K698" s="2"/>
      <c r="L698" s="19"/>
      <c r="M698" s="19"/>
      <c r="N698" s="2"/>
      <c r="O698" s="2"/>
      <c r="P698" s="2"/>
      <c r="Q698" s="2"/>
      <c r="R698" s="2"/>
      <c r="S698" s="2"/>
      <c r="T698" s="2"/>
      <c r="U698" s="2"/>
      <c r="V698" s="2"/>
      <c r="W698" s="2"/>
      <c r="X698" s="2"/>
      <c r="Y698" s="2"/>
      <c r="Z698" s="2"/>
    </row>
    <row r="699" customFormat="false" ht="12" hidden="false" customHeight="true" outlineLevel="0" collapsed="false">
      <c r="A699" s="2"/>
      <c r="B699" s="19"/>
      <c r="C699" s="19"/>
      <c r="D699" s="2"/>
      <c r="E699" s="2"/>
      <c r="F699" s="2"/>
      <c r="G699" s="2"/>
      <c r="H699" s="2"/>
      <c r="I699" s="2"/>
      <c r="J699" s="2"/>
      <c r="K699" s="2"/>
      <c r="L699" s="19"/>
      <c r="M699" s="19"/>
      <c r="N699" s="2"/>
      <c r="O699" s="2"/>
      <c r="P699" s="2"/>
      <c r="Q699" s="2"/>
      <c r="R699" s="2"/>
      <c r="S699" s="2"/>
      <c r="T699" s="2"/>
      <c r="U699" s="2"/>
      <c r="V699" s="2"/>
      <c r="W699" s="2"/>
      <c r="X699" s="2"/>
      <c r="Y699" s="2"/>
      <c r="Z699" s="2"/>
    </row>
    <row r="700" customFormat="false" ht="12" hidden="false" customHeight="true" outlineLevel="0" collapsed="false">
      <c r="A700" s="2"/>
      <c r="B700" s="19"/>
      <c r="C700" s="19"/>
      <c r="D700" s="2"/>
      <c r="E700" s="2"/>
      <c r="F700" s="2"/>
      <c r="G700" s="2"/>
      <c r="H700" s="2"/>
      <c r="I700" s="2"/>
      <c r="J700" s="2"/>
      <c r="K700" s="2"/>
      <c r="L700" s="19"/>
      <c r="M700" s="19"/>
      <c r="N700" s="2"/>
      <c r="O700" s="2"/>
      <c r="P700" s="2"/>
      <c r="Q700" s="2"/>
      <c r="R700" s="2"/>
      <c r="S700" s="2"/>
      <c r="T700" s="2"/>
      <c r="U700" s="2"/>
      <c r="V700" s="2"/>
      <c r="W700" s="2"/>
      <c r="X700" s="2"/>
      <c r="Y700" s="2"/>
      <c r="Z700" s="2"/>
    </row>
    <row r="701" customFormat="false" ht="12" hidden="false" customHeight="true" outlineLevel="0" collapsed="false">
      <c r="A701" s="2"/>
      <c r="B701" s="19"/>
      <c r="C701" s="19"/>
      <c r="D701" s="2"/>
      <c r="E701" s="2"/>
      <c r="F701" s="2"/>
      <c r="G701" s="2"/>
      <c r="H701" s="2"/>
      <c r="I701" s="2"/>
      <c r="J701" s="2"/>
      <c r="K701" s="2"/>
      <c r="L701" s="19"/>
      <c r="M701" s="19"/>
      <c r="N701" s="2"/>
      <c r="O701" s="2"/>
      <c r="P701" s="2"/>
      <c r="Q701" s="2"/>
      <c r="R701" s="2"/>
      <c r="S701" s="2"/>
      <c r="T701" s="2"/>
      <c r="U701" s="2"/>
      <c r="V701" s="2"/>
      <c r="W701" s="2"/>
      <c r="X701" s="2"/>
      <c r="Y701" s="2"/>
      <c r="Z701" s="2"/>
    </row>
    <row r="702" customFormat="false" ht="12" hidden="false" customHeight="true" outlineLevel="0" collapsed="false">
      <c r="A702" s="2"/>
      <c r="B702" s="19"/>
      <c r="C702" s="19"/>
      <c r="D702" s="2"/>
      <c r="E702" s="2"/>
      <c r="F702" s="2"/>
      <c r="G702" s="2"/>
      <c r="H702" s="2"/>
      <c r="I702" s="2"/>
      <c r="J702" s="2"/>
      <c r="K702" s="2"/>
      <c r="L702" s="19"/>
      <c r="M702" s="19"/>
      <c r="N702" s="2"/>
      <c r="O702" s="2"/>
      <c r="P702" s="2"/>
      <c r="Q702" s="2"/>
      <c r="R702" s="2"/>
      <c r="S702" s="2"/>
      <c r="T702" s="2"/>
      <c r="U702" s="2"/>
      <c r="V702" s="2"/>
      <c r="W702" s="2"/>
      <c r="X702" s="2"/>
      <c r="Y702" s="2"/>
      <c r="Z702" s="2"/>
    </row>
    <row r="703" customFormat="false" ht="12" hidden="false" customHeight="true" outlineLevel="0" collapsed="false">
      <c r="A703" s="2"/>
      <c r="B703" s="19"/>
      <c r="C703" s="19"/>
      <c r="D703" s="2"/>
      <c r="E703" s="2"/>
      <c r="F703" s="2"/>
      <c r="G703" s="2"/>
      <c r="H703" s="2"/>
      <c r="I703" s="2"/>
      <c r="J703" s="2"/>
      <c r="K703" s="2"/>
      <c r="L703" s="19"/>
      <c r="M703" s="19"/>
      <c r="N703" s="2"/>
      <c r="O703" s="2"/>
      <c r="P703" s="2"/>
      <c r="Q703" s="2"/>
      <c r="R703" s="2"/>
      <c r="S703" s="2"/>
      <c r="T703" s="2"/>
      <c r="U703" s="2"/>
      <c r="V703" s="2"/>
      <c r="W703" s="2"/>
      <c r="X703" s="2"/>
      <c r="Y703" s="2"/>
      <c r="Z703" s="2"/>
    </row>
    <row r="704" customFormat="false" ht="12" hidden="false" customHeight="true" outlineLevel="0" collapsed="false">
      <c r="A704" s="2"/>
      <c r="B704" s="19"/>
      <c r="C704" s="19"/>
      <c r="D704" s="2"/>
      <c r="E704" s="2"/>
      <c r="F704" s="2"/>
      <c r="G704" s="2"/>
      <c r="H704" s="2"/>
      <c r="I704" s="2"/>
      <c r="J704" s="2"/>
      <c r="K704" s="2"/>
      <c r="L704" s="19"/>
      <c r="M704" s="19"/>
      <c r="N704" s="2"/>
      <c r="O704" s="2"/>
      <c r="P704" s="2"/>
      <c r="Q704" s="2"/>
      <c r="R704" s="2"/>
      <c r="S704" s="2"/>
      <c r="T704" s="2"/>
      <c r="U704" s="2"/>
      <c r="V704" s="2"/>
      <c r="W704" s="2"/>
      <c r="X704" s="2"/>
      <c r="Y704" s="2"/>
      <c r="Z704" s="2"/>
    </row>
    <row r="705" customFormat="false" ht="12" hidden="false" customHeight="true" outlineLevel="0" collapsed="false">
      <c r="A705" s="2"/>
      <c r="B705" s="19"/>
      <c r="C705" s="19"/>
      <c r="D705" s="2"/>
      <c r="E705" s="2"/>
      <c r="F705" s="2"/>
      <c r="G705" s="2"/>
      <c r="H705" s="2"/>
      <c r="I705" s="2"/>
      <c r="J705" s="2"/>
      <c r="K705" s="2"/>
      <c r="L705" s="19"/>
      <c r="M705" s="19"/>
      <c r="N705" s="2"/>
      <c r="O705" s="2"/>
      <c r="P705" s="2"/>
      <c r="Q705" s="2"/>
      <c r="R705" s="2"/>
      <c r="S705" s="2"/>
      <c r="T705" s="2"/>
      <c r="U705" s="2"/>
      <c r="V705" s="2"/>
      <c r="W705" s="2"/>
      <c r="X705" s="2"/>
      <c r="Y705" s="2"/>
      <c r="Z705" s="2"/>
    </row>
    <row r="706" customFormat="false" ht="12" hidden="false" customHeight="true" outlineLevel="0" collapsed="false">
      <c r="A706" s="2"/>
      <c r="B706" s="19"/>
      <c r="C706" s="19"/>
      <c r="D706" s="2"/>
      <c r="E706" s="2"/>
      <c r="F706" s="2"/>
      <c r="G706" s="2"/>
      <c r="H706" s="2"/>
      <c r="I706" s="2"/>
      <c r="J706" s="2"/>
      <c r="K706" s="2"/>
      <c r="L706" s="19"/>
      <c r="M706" s="19"/>
      <c r="N706" s="2"/>
      <c r="O706" s="2"/>
      <c r="P706" s="2"/>
      <c r="Q706" s="2"/>
      <c r="R706" s="2"/>
      <c r="S706" s="2"/>
      <c r="T706" s="2"/>
      <c r="U706" s="2"/>
      <c r="V706" s="2"/>
      <c r="W706" s="2"/>
      <c r="X706" s="2"/>
      <c r="Y706" s="2"/>
      <c r="Z706" s="2"/>
    </row>
    <row r="707" customFormat="false" ht="12" hidden="false" customHeight="true" outlineLevel="0" collapsed="false">
      <c r="A707" s="2"/>
      <c r="B707" s="19"/>
      <c r="C707" s="19"/>
      <c r="D707" s="2"/>
      <c r="E707" s="2"/>
      <c r="F707" s="2"/>
      <c r="G707" s="2"/>
      <c r="H707" s="2"/>
      <c r="I707" s="2"/>
      <c r="J707" s="2"/>
      <c r="K707" s="2"/>
      <c r="L707" s="19"/>
      <c r="M707" s="19"/>
      <c r="N707" s="2"/>
      <c r="O707" s="2"/>
      <c r="P707" s="2"/>
      <c r="Q707" s="2"/>
      <c r="R707" s="2"/>
      <c r="S707" s="2"/>
      <c r="T707" s="2"/>
      <c r="U707" s="2"/>
      <c r="V707" s="2"/>
      <c r="W707" s="2"/>
      <c r="X707" s="2"/>
      <c r="Y707" s="2"/>
      <c r="Z707" s="2"/>
    </row>
    <row r="708" customFormat="false" ht="12" hidden="false" customHeight="true" outlineLevel="0" collapsed="false">
      <c r="A708" s="2"/>
      <c r="B708" s="19"/>
      <c r="C708" s="19"/>
      <c r="D708" s="2"/>
      <c r="E708" s="2"/>
      <c r="F708" s="2"/>
      <c r="G708" s="2"/>
      <c r="H708" s="2"/>
      <c r="I708" s="2"/>
      <c r="J708" s="2"/>
      <c r="K708" s="2"/>
      <c r="L708" s="19"/>
      <c r="M708" s="19"/>
      <c r="N708" s="2"/>
      <c r="O708" s="2"/>
      <c r="P708" s="2"/>
      <c r="Q708" s="2"/>
      <c r="R708" s="2"/>
      <c r="S708" s="2"/>
      <c r="T708" s="2"/>
      <c r="U708" s="2"/>
      <c r="V708" s="2"/>
      <c r="W708" s="2"/>
      <c r="X708" s="2"/>
      <c r="Y708" s="2"/>
      <c r="Z708" s="2"/>
    </row>
    <row r="709" customFormat="false" ht="12" hidden="false" customHeight="true" outlineLevel="0" collapsed="false">
      <c r="A709" s="2"/>
      <c r="B709" s="19"/>
      <c r="C709" s="19"/>
      <c r="D709" s="2"/>
      <c r="E709" s="2"/>
      <c r="F709" s="2"/>
      <c r="G709" s="2"/>
      <c r="H709" s="2"/>
      <c r="I709" s="2"/>
      <c r="J709" s="2"/>
      <c r="K709" s="2"/>
      <c r="L709" s="19"/>
      <c r="M709" s="19"/>
      <c r="N709" s="2"/>
      <c r="O709" s="2"/>
      <c r="P709" s="2"/>
      <c r="Q709" s="2"/>
      <c r="R709" s="2"/>
      <c r="S709" s="2"/>
      <c r="T709" s="2"/>
      <c r="U709" s="2"/>
      <c r="V709" s="2"/>
      <c r="W709" s="2"/>
      <c r="X709" s="2"/>
      <c r="Y709" s="2"/>
      <c r="Z709" s="2"/>
    </row>
    <row r="710" customFormat="false" ht="12" hidden="false" customHeight="true" outlineLevel="0" collapsed="false">
      <c r="A710" s="2"/>
      <c r="B710" s="19"/>
      <c r="C710" s="19"/>
      <c r="D710" s="2"/>
      <c r="E710" s="2"/>
      <c r="F710" s="2"/>
      <c r="G710" s="2"/>
      <c r="H710" s="2"/>
      <c r="I710" s="2"/>
      <c r="J710" s="2"/>
      <c r="K710" s="2"/>
      <c r="L710" s="19"/>
      <c r="M710" s="19"/>
      <c r="N710" s="2"/>
      <c r="O710" s="2"/>
      <c r="P710" s="2"/>
      <c r="Q710" s="2"/>
      <c r="R710" s="2"/>
      <c r="S710" s="2"/>
      <c r="T710" s="2"/>
      <c r="U710" s="2"/>
      <c r="V710" s="2"/>
      <c r="W710" s="2"/>
      <c r="X710" s="2"/>
      <c r="Y710" s="2"/>
      <c r="Z710" s="2"/>
    </row>
    <row r="711" customFormat="false" ht="12" hidden="false" customHeight="true" outlineLevel="0" collapsed="false">
      <c r="A711" s="2"/>
      <c r="B711" s="19"/>
      <c r="C711" s="19"/>
      <c r="D711" s="2"/>
      <c r="E711" s="2"/>
      <c r="F711" s="2"/>
      <c r="G711" s="2"/>
      <c r="H711" s="2"/>
      <c r="I711" s="2"/>
      <c r="J711" s="2"/>
      <c r="K711" s="2"/>
      <c r="L711" s="19"/>
      <c r="M711" s="19"/>
      <c r="N711" s="2"/>
      <c r="O711" s="2"/>
      <c r="P711" s="2"/>
      <c r="Q711" s="2"/>
      <c r="R711" s="2"/>
      <c r="S711" s="2"/>
      <c r="T711" s="2"/>
      <c r="U711" s="2"/>
      <c r="V711" s="2"/>
      <c r="W711" s="2"/>
      <c r="X711" s="2"/>
      <c r="Y711" s="2"/>
      <c r="Z711" s="2"/>
    </row>
    <row r="712" customFormat="false" ht="12" hidden="false" customHeight="true" outlineLevel="0" collapsed="false">
      <c r="A712" s="2"/>
      <c r="B712" s="19"/>
      <c r="C712" s="19"/>
      <c r="D712" s="2"/>
      <c r="E712" s="2"/>
      <c r="F712" s="2"/>
      <c r="G712" s="2"/>
      <c r="H712" s="2"/>
      <c r="I712" s="2"/>
      <c r="J712" s="2"/>
      <c r="K712" s="2"/>
      <c r="L712" s="19"/>
      <c r="M712" s="19"/>
      <c r="N712" s="2"/>
      <c r="O712" s="2"/>
      <c r="P712" s="2"/>
      <c r="Q712" s="2"/>
      <c r="R712" s="2"/>
      <c r="S712" s="2"/>
      <c r="T712" s="2"/>
      <c r="U712" s="2"/>
      <c r="V712" s="2"/>
      <c r="W712" s="2"/>
      <c r="X712" s="2"/>
      <c r="Y712" s="2"/>
      <c r="Z712" s="2"/>
    </row>
    <row r="713" customFormat="false" ht="12" hidden="false" customHeight="true" outlineLevel="0" collapsed="false">
      <c r="A713" s="2"/>
      <c r="B713" s="19"/>
      <c r="C713" s="19"/>
      <c r="D713" s="2"/>
      <c r="E713" s="2"/>
      <c r="F713" s="2"/>
      <c r="G713" s="2"/>
      <c r="H713" s="2"/>
      <c r="I713" s="2"/>
      <c r="J713" s="2"/>
      <c r="K713" s="2"/>
      <c r="L713" s="19"/>
      <c r="M713" s="19"/>
      <c r="N713" s="2"/>
      <c r="O713" s="2"/>
      <c r="P713" s="2"/>
      <c r="Q713" s="2"/>
      <c r="R713" s="2"/>
      <c r="S713" s="2"/>
      <c r="T713" s="2"/>
      <c r="U713" s="2"/>
      <c r="V713" s="2"/>
      <c r="W713" s="2"/>
      <c r="X713" s="2"/>
      <c r="Y713" s="2"/>
      <c r="Z713" s="2"/>
    </row>
    <row r="714" customFormat="false" ht="12" hidden="false" customHeight="true" outlineLevel="0" collapsed="false">
      <c r="A714" s="2"/>
      <c r="B714" s="19"/>
      <c r="C714" s="19"/>
      <c r="D714" s="2"/>
      <c r="E714" s="2"/>
      <c r="F714" s="2"/>
      <c r="G714" s="2"/>
      <c r="H714" s="2"/>
      <c r="I714" s="2"/>
      <c r="J714" s="2"/>
      <c r="K714" s="2"/>
      <c r="L714" s="19"/>
      <c r="M714" s="19"/>
      <c r="N714" s="2"/>
      <c r="O714" s="2"/>
      <c r="P714" s="2"/>
      <c r="Q714" s="2"/>
      <c r="R714" s="2"/>
      <c r="S714" s="2"/>
      <c r="T714" s="2"/>
      <c r="U714" s="2"/>
      <c r="V714" s="2"/>
      <c r="W714" s="2"/>
      <c r="X714" s="2"/>
      <c r="Y714" s="2"/>
      <c r="Z714" s="2"/>
    </row>
    <row r="715" customFormat="false" ht="12" hidden="false" customHeight="true" outlineLevel="0" collapsed="false">
      <c r="A715" s="2"/>
      <c r="B715" s="19"/>
      <c r="C715" s="19"/>
      <c r="D715" s="2"/>
      <c r="E715" s="2"/>
      <c r="F715" s="2"/>
      <c r="G715" s="2"/>
      <c r="H715" s="2"/>
      <c r="I715" s="2"/>
      <c r="J715" s="2"/>
      <c r="K715" s="2"/>
      <c r="L715" s="19"/>
      <c r="M715" s="19"/>
      <c r="N715" s="2"/>
      <c r="O715" s="2"/>
      <c r="P715" s="2"/>
      <c r="Q715" s="2"/>
      <c r="R715" s="2"/>
      <c r="S715" s="2"/>
      <c r="T715" s="2"/>
      <c r="U715" s="2"/>
      <c r="V715" s="2"/>
      <c r="W715" s="2"/>
      <c r="X715" s="2"/>
      <c r="Y715" s="2"/>
      <c r="Z715" s="2"/>
    </row>
    <row r="716" customFormat="false" ht="12" hidden="false" customHeight="true" outlineLevel="0" collapsed="false">
      <c r="A716" s="2"/>
      <c r="B716" s="19"/>
      <c r="C716" s="19"/>
      <c r="D716" s="2"/>
      <c r="E716" s="2"/>
      <c r="F716" s="2"/>
      <c r="G716" s="2"/>
      <c r="H716" s="2"/>
      <c r="I716" s="2"/>
      <c r="J716" s="2"/>
      <c r="K716" s="2"/>
      <c r="L716" s="19"/>
      <c r="M716" s="19"/>
      <c r="N716" s="2"/>
      <c r="O716" s="2"/>
      <c r="P716" s="2"/>
      <c r="Q716" s="2"/>
      <c r="R716" s="2"/>
      <c r="S716" s="2"/>
      <c r="T716" s="2"/>
      <c r="U716" s="2"/>
      <c r="V716" s="2"/>
      <c r="W716" s="2"/>
      <c r="X716" s="2"/>
      <c r="Y716" s="2"/>
      <c r="Z716" s="2"/>
    </row>
    <row r="717" customFormat="false" ht="12" hidden="false" customHeight="true" outlineLevel="0" collapsed="false">
      <c r="A717" s="2"/>
      <c r="B717" s="19"/>
      <c r="C717" s="19"/>
      <c r="D717" s="2"/>
      <c r="E717" s="2"/>
      <c r="F717" s="2"/>
      <c r="G717" s="2"/>
      <c r="H717" s="2"/>
      <c r="I717" s="2"/>
      <c r="J717" s="2"/>
      <c r="K717" s="2"/>
      <c r="L717" s="19"/>
      <c r="M717" s="19"/>
      <c r="N717" s="2"/>
      <c r="O717" s="2"/>
      <c r="P717" s="2"/>
      <c r="Q717" s="2"/>
      <c r="R717" s="2"/>
      <c r="S717" s="2"/>
      <c r="T717" s="2"/>
      <c r="U717" s="2"/>
      <c r="V717" s="2"/>
      <c r="W717" s="2"/>
      <c r="X717" s="2"/>
      <c r="Y717" s="2"/>
      <c r="Z717" s="2"/>
    </row>
    <row r="718" customFormat="false" ht="12" hidden="false" customHeight="true" outlineLevel="0" collapsed="false">
      <c r="A718" s="2"/>
      <c r="B718" s="19"/>
      <c r="C718" s="19"/>
      <c r="D718" s="2"/>
      <c r="E718" s="2"/>
      <c r="F718" s="2"/>
      <c r="G718" s="2"/>
      <c r="H718" s="2"/>
      <c r="I718" s="2"/>
      <c r="J718" s="2"/>
      <c r="K718" s="2"/>
      <c r="L718" s="19"/>
      <c r="M718" s="19"/>
      <c r="N718" s="2"/>
      <c r="O718" s="2"/>
      <c r="P718" s="2"/>
      <c r="Q718" s="2"/>
      <c r="R718" s="2"/>
      <c r="S718" s="2"/>
      <c r="T718" s="2"/>
      <c r="U718" s="2"/>
      <c r="V718" s="2"/>
      <c r="W718" s="2"/>
      <c r="X718" s="2"/>
      <c r="Y718" s="2"/>
      <c r="Z718" s="2"/>
    </row>
    <row r="719" customFormat="false" ht="12" hidden="false" customHeight="true" outlineLevel="0" collapsed="false">
      <c r="A719" s="2"/>
      <c r="B719" s="19"/>
      <c r="C719" s="19"/>
      <c r="D719" s="2"/>
      <c r="E719" s="2"/>
      <c r="F719" s="2"/>
      <c r="G719" s="2"/>
      <c r="H719" s="2"/>
      <c r="I719" s="2"/>
      <c r="J719" s="2"/>
      <c r="K719" s="2"/>
      <c r="L719" s="19"/>
      <c r="M719" s="19"/>
      <c r="N719" s="2"/>
      <c r="O719" s="2"/>
      <c r="P719" s="2"/>
      <c r="Q719" s="2"/>
      <c r="R719" s="2"/>
      <c r="S719" s="2"/>
      <c r="T719" s="2"/>
      <c r="U719" s="2"/>
      <c r="V719" s="2"/>
      <c r="W719" s="2"/>
      <c r="X719" s="2"/>
      <c r="Y719" s="2"/>
      <c r="Z719" s="2"/>
    </row>
    <row r="720" customFormat="false" ht="12" hidden="false" customHeight="true" outlineLevel="0" collapsed="false">
      <c r="A720" s="2"/>
      <c r="B720" s="19"/>
      <c r="C720" s="19"/>
      <c r="D720" s="2"/>
      <c r="E720" s="2"/>
      <c r="F720" s="2"/>
      <c r="G720" s="2"/>
      <c r="H720" s="2"/>
      <c r="I720" s="2"/>
      <c r="J720" s="2"/>
      <c r="K720" s="2"/>
      <c r="L720" s="19"/>
      <c r="M720" s="19"/>
      <c r="N720" s="2"/>
      <c r="O720" s="2"/>
      <c r="P720" s="2"/>
      <c r="Q720" s="2"/>
      <c r="R720" s="2"/>
      <c r="S720" s="2"/>
      <c r="T720" s="2"/>
      <c r="U720" s="2"/>
      <c r="V720" s="2"/>
      <c r="W720" s="2"/>
      <c r="X720" s="2"/>
      <c r="Y720" s="2"/>
      <c r="Z720" s="2"/>
    </row>
    <row r="721" customFormat="false" ht="12" hidden="false" customHeight="true" outlineLevel="0" collapsed="false">
      <c r="A721" s="2"/>
      <c r="B721" s="19"/>
      <c r="C721" s="19"/>
      <c r="D721" s="2"/>
      <c r="E721" s="2"/>
      <c r="F721" s="2"/>
      <c r="G721" s="2"/>
      <c r="H721" s="2"/>
      <c r="I721" s="2"/>
      <c r="J721" s="2"/>
      <c r="K721" s="2"/>
      <c r="L721" s="19"/>
      <c r="M721" s="19"/>
      <c r="N721" s="2"/>
      <c r="O721" s="2"/>
      <c r="P721" s="2"/>
      <c r="Q721" s="2"/>
      <c r="R721" s="2"/>
      <c r="S721" s="2"/>
      <c r="T721" s="2"/>
      <c r="U721" s="2"/>
      <c r="V721" s="2"/>
      <c r="W721" s="2"/>
      <c r="X721" s="2"/>
      <c r="Y721" s="2"/>
      <c r="Z721" s="2"/>
    </row>
    <row r="722" customFormat="false" ht="12" hidden="false" customHeight="true" outlineLevel="0" collapsed="false">
      <c r="A722" s="2"/>
      <c r="B722" s="19"/>
      <c r="C722" s="19"/>
      <c r="D722" s="2"/>
      <c r="E722" s="2"/>
      <c r="F722" s="2"/>
      <c r="G722" s="2"/>
      <c r="H722" s="2"/>
      <c r="I722" s="2"/>
      <c r="J722" s="2"/>
      <c r="K722" s="2"/>
      <c r="L722" s="19"/>
      <c r="M722" s="19"/>
      <c r="N722" s="2"/>
      <c r="O722" s="2"/>
      <c r="P722" s="2"/>
      <c r="Q722" s="2"/>
      <c r="R722" s="2"/>
      <c r="S722" s="2"/>
      <c r="T722" s="2"/>
      <c r="U722" s="2"/>
      <c r="V722" s="2"/>
      <c r="W722" s="2"/>
      <c r="X722" s="2"/>
      <c r="Y722" s="2"/>
      <c r="Z722" s="2"/>
    </row>
    <row r="723" customFormat="false" ht="12" hidden="false" customHeight="true" outlineLevel="0" collapsed="false">
      <c r="A723" s="2"/>
      <c r="B723" s="19"/>
      <c r="C723" s="19"/>
      <c r="D723" s="2"/>
      <c r="E723" s="2"/>
      <c r="F723" s="2"/>
      <c r="G723" s="2"/>
      <c r="H723" s="2"/>
      <c r="I723" s="2"/>
      <c r="J723" s="2"/>
      <c r="K723" s="2"/>
      <c r="L723" s="19"/>
      <c r="M723" s="19"/>
      <c r="N723" s="2"/>
      <c r="O723" s="2"/>
      <c r="P723" s="2"/>
      <c r="Q723" s="2"/>
      <c r="R723" s="2"/>
      <c r="S723" s="2"/>
      <c r="T723" s="2"/>
      <c r="U723" s="2"/>
      <c r="V723" s="2"/>
      <c r="W723" s="2"/>
      <c r="X723" s="2"/>
      <c r="Y723" s="2"/>
      <c r="Z723" s="2"/>
    </row>
    <row r="724" customFormat="false" ht="12" hidden="false" customHeight="true" outlineLevel="0" collapsed="false">
      <c r="A724" s="2"/>
      <c r="B724" s="19"/>
      <c r="C724" s="19"/>
      <c r="D724" s="2"/>
      <c r="E724" s="2"/>
      <c r="F724" s="2"/>
      <c r="G724" s="2"/>
      <c r="H724" s="2"/>
      <c r="I724" s="2"/>
      <c r="J724" s="2"/>
      <c r="K724" s="2"/>
      <c r="L724" s="19"/>
      <c r="M724" s="19"/>
      <c r="N724" s="2"/>
      <c r="O724" s="2"/>
      <c r="P724" s="2"/>
      <c r="Q724" s="2"/>
      <c r="R724" s="2"/>
      <c r="S724" s="2"/>
      <c r="T724" s="2"/>
      <c r="U724" s="2"/>
      <c r="V724" s="2"/>
      <c r="W724" s="2"/>
      <c r="X724" s="2"/>
      <c r="Y724" s="2"/>
      <c r="Z724" s="2"/>
    </row>
    <row r="725" customFormat="false" ht="12" hidden="false" customHeight="true" outlineLevel="0" collapsed="false">
      <c r="A725" s="2"/>
      <c r="B725" s="19"/>
      <c r="C725" s="19"/>
      <c r="D725" s="2"/>
      <c r="E725" s="2"/>
      <c r="F725" s="2"/>
      <c r="G725" s="2"/>
      <c r="H725" s="2"/>
      <c r="I725" s="2"/>
      <c r="J725" s="2"/>
      <c r="K725" s="2"/>
      <c r="L725" s="19"/>
      <c r="M725" s="19"/>
      <c r="N725" s="2"/>
      <c r="O725" s="2"/>
      <c r="P725" s="2"/>
      <c r="Q725" s="2"/>
      <c r="R725" s="2"/>
      <c r="S725" s="2"/>
      <c r="T725" s="2"/>
      <c r="U725" s="2"/>
      <c r="V725" s="2"/>
      <c r="W725" s="2"/>
      <c r="X725" s="2"/>
      <c r="Y725" s="2"/>
      <c r="Z725" s="2"/>
    </row>
    <row r="726" customFormat="false" ht="12" hidden="false" customHeight="true" outlineLevel="0" collapsed="false">
      <c r="A726" s="2"/>
      <c r="B726" s="19"/>
      <c r="C726" s="19"/>
      <c r="D726" s="2"/>
      <c r="E726" s="2"/>
      <c r="F726" s="2"/>
      <c r="G726" s="2"/>
      <c r="H726" s="2"/>
      <c r="I726" s="2"/>
      <c r="J726" s="2"/>
      <c r="K726" s="2"/>
      <c r="L726" s="19"/>
      <c r="M726" s="19"/>
      <c r="N726" s="2"/>
      <c r="O726" s="2"/>
      <c r="P726" s="2"/>
      <c r="Q726" s="2"/>
      <c r="R726" s="2"/>
      <c r="S726" s="2"/>
      <c r="T726" s="2"/>
      <c r="U726" s="2"/>
      <c r="V726" s="2"/>
      <c r="W726" s="2"/>
      <c r="X726" s="2"/>
      <c r="Y726" s="2"/>
      <c r="Z726" s="2"/>
    </row>
    <row r="727" customFormat="false" ht="12" hidden="false" customHeight="true" outlineLevel="0" collapsed="false">
      <c r="A727" s="2"/>
      <c r="B727" s="19"/>
      <c r="C727" s="19"/>
      <c r="D727" s="2"/>
      <c r="E727" s="2"/>
      <c r="F727" s="2"/>
      <c r="G727" s="2"/>
      <c r="H727" s="2"/>
      <c r="I727" s="2"/>
      <c r="J727" s="2"/>
      <c r="K727" s="2"/>
      <c r="L727" s="19"/>
      <c r="M727" s="19"/>
      <c r="N727" s="2"/>
      <c r="O727" s="2"/>
      <c r="P727" s="2"/>
      <c r="Q727" s="2"/>
      <c r="R727" s="2"/>
      <c r="S727" s="2"/>
      <c r="T727" s="2"/>
      <c r="U727" s="2"/>
      <c r="V727" s="2"/>
      <c r="W727" s="2"/>
      <c r="X727" s="2"/>
      <c r="Y727" s="2"/>
      <c r="Z727" s="2"/>
    </row>
    <row r="728" customFormat="false" ht="12" hidden="false" customHeight="true" outlineLevel="0" collapsed="false">
      <c r="A728" s="2"/>
      <c r="B728" s="19"/>
      <c r="C728" s="19"/>
      <c r="D728" s="2"/>
      <c r="E728" s="2"/>
      <c r="F728" s="2"/>
      <c r="G728" s="2"/>
      <c r="H728" s="2"/>
      <c r="I728" s="2"/>
      <c r="J728" s="2"/>
      <c r="K728" s="2"/>
      <c r="L728" s="19"/>
      <c r="M728" s="19"/>
      <c r="N728" s="2"/>
      <c r="O728" s="2"/>
      <c r="P728" s="2"/>
      <c r="Q728" s="2"/>
      <c r="R728" s="2"/>
      <c r="S728" s="2"/>
      <c r="T728" s="2"/>
      <c r="U728" s="2"/>
      <c r="V728" s="2"/>
      <c r="W728" s="2"/>
      <c r="X728" s="2"/>
      <c r="Y728" s="2"/>
      <c r="Z728" s="2"/>
    </row>
    <row r="729" customFormat="false" ht="12" hidden="false" customHeight="true" outlineLevel="0" collapsed="false">
      <c r="A729" s="2"/>
      <c r="B729" s="19"/>
      <c r="C729" s="19"/>
      <c r="D729" s="2"/>
      <c r="E729" s="2"/>
      <c r="F729" s="2"/>
      <c r="G729" s="2"/>
      <c r="H729" s="2"/>
      <c r="I729" s="2"/>
      <c r="J729" s="2"/>
      <c r="K729" s="2"/>
      <c r="L729" s="19"/>
      <c r="M729" s="19"/>
      <c r="N729" s="2"/>
      <c r="O729" s="2"/>
      <c r="P729" s="2"/>
      <c r="Q729" s="2"/>
      <c r="R729" s="2"/>
      <c r="S729" s="2"/>
      <c r="T729" s="2"/>
      <c r="U729" s="2"/>
      <c r="V729" s="2"/>
      <c r="W729" s="2"/>
      <c r="X729" s="2"/>
      <c r="Y729" s="2"/>
      <c r="Z729" s="2"/>
    </row>
    <row r="730" customFormat="false" ht="12" hidden="false" customHeight="true" outlineLevel="0" collapsed="false">
      <c r="A730" s="2"/>
      <c r="B730" s="19"/>
      <c r="C730" s="19"/>
      <c r="D730" s="2"/>
      <c r="E730" s="2"/>
      <c r="F730" s="2"/>
      <c r="G730" s="2"/>
      <c r="H730" s="2"/>
      <c r="I730" s="2"/>
      <c r="J730" s="2"/>
      <c r="K730" s="2"/>
      <c r="L730" s="19"/>
      <c r="M730" s="19"/>
      <c r="N730" s="2"/>
      <c r="O730" s="2"/>
      <c r="P730" s="2"/>
      <c r="Q730" s="2"/>
      <c r="R730" s="2"/>
      <c r="S730" s="2"/>
      <c r="T730" s="2"/>
      <c r="U730" s="2"/>
      <c r="V730" s="2"/>
      <c r="W730" s="2"/>
      <c r="X730" s="2"/>
      <c r="Y730" s="2"/>
      <c r="Z730" s="2"/>
    </row>
    <row r="731" customFormat="false" ht="12" hidden="false" customHeight="true" outlineLevel="0" collapsed="false">
      <c r="A731" s="2"/>
      <c r="B731" s="19"/>
      <c r="C731" s="19"/>
      <c r="D731" s="2"/>
      <c r="E731" s="2"/>
      <c r="F731" s="2"/>
      <c r="G731" s="2"/>
      <c r="H731" s="2"/>
      <c r="I731" s="2"/>
      <c r="J731" s="2"/>
      <c r="K731" s="2"/>
      <c r="L731" s="19"/>
      <c r="M731" s="19"/>
      <c r="N731" s="2"/>
      <c r="O731" s="2"/>
      <c r="P731" s="2"/>
      <c r="Q731" s="2"/>
      <c r="R731" s="2"/>
      <c r="S731" s="2"/>
      <c r="T731" s="2"/>
      <c r="U731" s="2"/>
      <c r="V731" s="2"/>
      <c r="W731" s="2"/>
      <c r="X731" s="2"/>
      <c r="Y731" s="2"/>
      <c r="Z731" s="2"/>
    </row>
    <row r="732" customFormat="false" ht="12" hidden="false" customHeight="true" outlineLevel="0" collapsed="false">
      <c r="A732" s="2"/>
      <c r="B732" s="19"/>
      <c r="C732" s="19"/>
      <c r="D732" s="2"/>
      <c r="E732" s="2"/>
      <c r="F732" s="2"/>
      <c r="G732" s="2"/>
      <c r="H732" s="2"/>
      <c r="I732" s="2"/>
      <c r="J732" s="2"/>
      <c r="K732" s="2"/>
      <c r="L732" s="19"/>
      <c r="M732" s="19"/>
      <c r="N732" s="2"/>
      <c r="O732" s="2"/>
      <c r="P732" s="2"/>
      <c r="Q732" s="2"/>
      <c r="R732" s="2"/>
      <c r="S732" s="2"/>
      <c r="T732" s="2"/>
      <c r="U732" s="2"/>
      <c r="V732" s="2"/>
      <c r="W732" s="2"/>
      <c r="X732" s="2"/>
      <c r="Y732" s="2"/>
      <c r="Z732" s="2"/>
    </row>
    <row r="733" customFormat="false" ht="12" hidden="false" customHeight="true" outlineLevel="0" collapsed="false">
      <c r="A733" s="2"/>
      <c r="B733" s="19"/>
      <c r="C733" s="19"/>
      <c r="D733" s="2"/>
      <c r="E733" s="2"/>
      <c r="F733" s="2"/>
      <c r="G733" s="2"/>
      <c r="H733" s="2"/>
      <c r="I733" s="2"/>
      <c r="J733" s="2"/>
      <c r="K733" s="2"/>
      <c r="L733" s="19"/>
      <c r="M733" s="19"/>
      <c r="N733" s="2"/>
      <c r="O733" s="2"/>
      <c r="P733" s="2"/>
      <c r="Q733" s="2"/>
      <c r="R733" s="2"/>
      <c r="S733" s="2"/>
      <c r="T733" s="2"/>
      <c r="U733" s="2"/>
      <c r="V733" s="2"/>
      <c r="W733" s="2"/>
      <c r="X733" s="2"/>
      <c r="Y733" s="2"/>
      <c r="Z733" s="2"/>
    </row>
    <row r="734" customFormat="false" ht="12" hidden="false" customHeight="true" outlineLevel="0" collapsed="false">
      <c r="A734" s="2"/>
      <c r="B734" s="19"/>
      <c r="C734" s="19"/>
      <c r="D734" s="2"/>
      <c r="E734" s="2"/>
      <c r="F734" s="2"/>
      <c r="G734" s="2"/>
      <c r="H734" s="2"/>
      <c r="I734" s="2"/>
      <c r="J734" s="2"/>
      <c r="K734" s="2"/>
      <c r="L734" s="19"/>
      <c r="M734" s="19"/>
      <c r="N734" s="2"/>
      <c r="O734" s="2"/>
      <c r="P734" s="2"/>
      <c r="Q734" s="2"/>
      <c r="R734" s="2"/>
      <c r="S734" s="2"/>
      <c r="T734" s="2"/>
      <c r="U734" s="2"/>
      <c r="V734" s="2"/>
      <c r="W734" s="2"/>
      <c r="X734" s="2"/>
      <c r="Y734" s="2"/>
      <c r="Z734" s="2"/>
    </row>
    <row r="735" customFormat="false" ht="12" hidden="false" customHeight="true" outlineLevel="0" collapsed="false">
      <c r="A735" s="2"/>
      <c r="B735" s="19"/>
      <c r="C735" s="19"/>
      <c r="D735" s="2"/>
      <c r="E735" s="2"/>
      <c r="F735" s="2"/>
      <c r="G735" s="2"/>
      <c r="H735" s="2"/>
      <c r="I735" s="2"/>
      <c r="J735" s="2"/>
      <c r="K735" s="2"/>
      <c r="L735" s="19"/>
      <c r="M735" s="19"/>
      <c r="N735" s="2"/>
      <c r="O735" s="2"/>
      <c r="P735" s="2"/>
      <c r="Q735" s="2"/>
      <c r="R735" s="2"/>
      <c r="S735" s="2"/>
      <c r="T735" s="2"/>
      <c r="U735" s="2"/>
      <c r="V735" s="2"/>
      <c r="W735" s="2"/>
      <c r="X735" s="2"/>
      <c r="Y735" s="2"/>
      <c r="Z735" s="2"/>
    </row>
    <row r="736" customFormat="false" ht="12" hidden="false" customHeight="true" outlineLevel="0" collapsed="false">
      <c r="A736" s="2"/>
      <c r="B736" s="19"/>
      <c r="C736" s="19"/>
      <c r="D736" s="2"/>
      <c r="E736" s="2"/>
      <c r="F736" s="2"/>
      <c r="G736" s="2"/>
      <c r="H736" s="2"/>
      <c r="I736" s="2"/>
      <c r="J736" s="2"/>
      <c r="K736" s="2"/>
      <c r="L736" s="19"/>
      <c r="M736" s="19"/>
      <c r="N736" s="2"/>
      <c r="O736" s="2"/>
      <c r="P736" s="2"/>
      <c r="Q736" s="2"/>
      <c r="R736" s="2"/>
      <c r="S736" s="2"/>
      <c r="T736" s="2"/>
      <c r="U736" s="2"/>
      <c r="V736" s="2"/>
      <c r="W736" s="2"/>
      <c r="X736" s="2"/>
      <c r="Y736" s="2"/>
      <c r="Z736" s="2"/>
    </row>
    <row r="737" customFormat="false" ht="12" hidden="false" customHeight="true" outlineLevel="0" collapsed="false">
      <c r="A737" s="2"/>
      <c r="B737" s="19"/>
      <c r="C737" s="19"/>
      <c r="D737" s="2"/>
      <c r="E737" s="2"/>
      <c r="F737" s="2"/>
      <c r="G737" s="2"/>
      <c r="H737" s="2"/>
      <c r="I737" s="2"/>
      <c r="J737" s="2"/>
      <c r="K737" s="2"/>
      <c r="L737" s="19"/>
      <c r="M737" s="19"/>
      <c r="N737" s="2"/>
      <c r="O737" s="2"/>
      <c r="P737" s="2"/>
      <c r="Q737" s="2"/>
      <c r="R737" s="2"/>
      <c r="S737" s="2"/>
      <c r="T737" s="2"/>
      <c r="U737" s="2"/>
      <c r="V737" s="2"/>
      <c r="W737" s="2"/>
      <c r="X737" s="2"/>
      <c r="Y737" s="2"/>
      <c r="Z737" s="2"/>
    </row>
    <row r="738" customFormat="false" ht="12" hidden="false" customHeight="true" outlineLevel="0" collapsed="false">
      <c r="A738" s="2"/>
      <c r="B738" s="19"/>
      <c r="C738" s="19"/>
      <c r="D738" s="2"/>
      <c r="E738" s="2"/>
      <c r="F738" s="2"/>
      <c r="G738" s="2"/>
      <c r="H738" s="2"/>
      <c r="I738" s="2"/>
      <c r="J738" s="2"/>
      <c r="K738" s="2"/>
      <c r="L738" s="19"/>
      <c r="M738" s="19"/>
      <c r="N738" s="2"/>
      <c r="O738" s="2"/>
      <c r="P738" s="2"/>
      <c r="Q738" s="2"/>
      <c r="R738" s="2"/>
      <c r="S738" s="2"/>
      <c r="T738" s="2"/>
      <c r="U738" s="2"/>
      <c r="V738" s="2"/>
      <c r="W738" s="2"/>
      <c r="X738" s="2"/>
      <c r="Y738" s="2"/>
      <c r="Z738" s="2"/>
    </row>
    <row r="739" customFormat="false" ht="12" hidden="false" customHeight="true" outlineLevel="0" collapsed="false">
      <c r="A739" s="2"/>
      <c r="B739" s="19"/>
      <c r="C739" s="19"/>
      <c r="D739" s="2"/>
      <c r="E739" s="2"/>
      <c r="F739" s="2"/>
      <c r="G739" s="2"/>
      <c r="H739" s="2"/>
      <c r="I739" s="2"/>
      <c r="J739" s="2"/>
      <c r="K739" s="2"/>
      <c r="L739" s="19"/>
      <c r="M739" s="19"/>
      <c r="N739" s="2"/>
      <c r="O739" s="2"/>
      <c r="P739" s="2"/>
      <c r="Q739" s="2"/>
      <c r="R739" s="2"/>
      <c r="S739" s="2"/>
      <c r="T739" s="2"/>
      <c r="U739" s="2"/>
      <c r="V739" s="2"/>
      <c r="W739" s="2"/>
      <c r="X739" s="2"/>
      <c r="Y739" s="2"/>
      <c r="Z739" s="2"/>
    </row>
    <row r="740" customFormat="false" ht="12" hidden="false" customHeight="true" outlineLevel="0" collapsed="false">
      <c r="A740" s="2"/>
      <c r="B740" s="19"/>
      <c r="C740" s="19"/>
      <c r="D740" s="2"/>
      <c r="E740" s="2"/>
      <c r="F740" s="2"/>
      <c r="G740" s="2"/>
      <c r="H740" s="2"/>
      <c r="I740" s="2"/>
      <c r="J740" s="2"/>
      <c r="K740" s="2"/>
      <c r="L740" s="19"/>
      <c r="M740" s="19"/>
      <c r="N740" s="2"/>
      <c r="O740" s="2"/>
      <c r="P740" s="2"/>
      <c r="Q740" s="2"/>
      <c r="R740" s="2"/>
      <c r="S740" s="2"/>
      <c r="T740" s="2"/>
      <c r="U740" s="2"/>
      <c r="V740" s="2"/>
      <c r="W740" s="2"/>
      <c r="X740" s="2"/>
      <c r="Y740" s="2"/>
      <c r="Z740" s="2"/>
    </row>
    <row r="741" customFormat="false" ht="12" hidden="false" customHeight="true" outlineLevel="0" collapsed="false">
      <c r="A741" s="2"/>
      <c r="B741" s="19"/>
      <c r="C741" s="19"/>
      <c r="D741" s="2"/>
      <c r="E741" s="2"/>
      <c r="F741" s="2"/>
      <c r="G741" s="2"/>
      <c r="H741" s="2"/>
      <c r="I741" s="2"/>
      <c r="J741" s="2"/>
      <c r="K741" s="2"/>
      <c r="L741" s="19"/>
      <c r="M741" s="19"/>
      <c r="N741" s="2"/>
      <c r="O741" s="2"/>
      <c r="P741" s="2"/>
      <c r="Q741" s="2"/>
      <c r="R741" s="2"/>
      <c r="S741" s="2"/>
      <c r="T741" s="2"/>
      <c r="U741" s="2"/>
      <c r="V741" s="2"/>
      <c r="W741" s="2"/>
      <c r="X741" s="2"/>
      <c r="Y741" s="2"/>
      <c r="Z741" s="2"/>
    </row>
    <row r="742" customFormat="false" ht="12" hidden="false" customHeight="true" outlineLevel="0" collapsed="false">
      <c r="A742" s="2"/>
      <c r="B742" s="19"/>
      <c r="C742" s="19"/>
      <c r="D742" s="2"/>
      <c r="E742" s="2"/>
      <c r="F742" s="2"/>
      <c r="G742" s="2"/>
      <c r="H742" s="2"/>
      <c r="I742" s="2"/>
      <c r="J742" s="2"/>
      <c r="K742" s="2"/>
      <c r="L742" s="19"/>
      <c r="M742" s="19"/>
      <c r="N742" s="2"/>
      <c r="O742" s="2"/>
      <c r="P742" s="2"/>
      <c r="Q742" s="2"/>
      <c r="R742" s="2"/>
      <c r="S742" s="2"/>
      <c r="T742" s="2"/>
      <c r="U742" s="2"/>
      <c r="V742" s="2"/>
      <c r="W742" s="2"/>
      <c r="X742" s="2"/>
      <c r="Y742" s="2"/>
      <c r="Z742" s="2"/>
    </row>
    <row r="743" customFormat="false" ht="12" hidden="false" customHeight="true" outlineLevel="0" collapsed="false">
      <c r="A743" s="2"/>
      <c r="B743" s="19"/>
      <c r="C743" s="19"/>
      <c r="D743" s="2"/>
      <c r="E743" s="2"/>
      <c r="F743" s="2"/>
      <c r="G743" s="2"/>
      <c r="H743" s="2"/>
      <c r="I743" s="2"/>
      <c r="J743" s="2"/>
      <c r="K743" s="2"/>
      <c r="L743" s="19"/>
      <c r="M743" s="19"/>
      <c r="N743" s="2"/>
      <c r="O743" s="2"/>
      <c r="P743" s="2"/>
      <c r="Q743" s="2"/>
      <c r="R743" s="2"/>
      <c r="S743" s="2"/>
      <c r="T743" s="2"/>
      <c r="U743" s="2"/>
      <c r="V743" s="2"/>
      <c r="W743" s="2"/>
      <c r="X743" s="2"/>
      <c r="Y743" s="2"/>
      <c r="Z743" s="2"/>
    </row>
    <row r="744" customFormat="false" ht="12" hidden="false" customHeight="true" outlineLevel="0" collapsed="false">
      <c r="A744" s="2"/>
      <c r="B744" s="19"/>
      <c r="C744" s="19"/>
      <c r="D744" s="2"/>
      <c r="E744" s="2"/>
      <c r="F744" s="2"/>
      <c r="G744" s="2"/>
      <c r="H744" s="2"/>
      <c r="I744" s="2"/>
      <c r="J744" s="2"/>
      <c r="K744" s="2"/>
      <c r="L744" s="19"/>
      <c r="M744" s="19"/>
      <c r="N744" s="2"/>
      <c r="O744" s="2"/>
      <c r="P744" s="2"/>
      <c r="Q744" s="2"/>
      <c r="R744" s="2"/>
      <c r="S744" s="2"/>
      <c r="T744" s="2"/>
      <c r="U744" s="2"/>
      <c r="V744" s="2"/>
      <c r="W744" s="2"/>
      <c r="X744" s="2"/>
      <c r="Y744" s="2"/>
      <c r="Z744" s="2"/>
    </row>
    <row r="745" customFormat="false" ht="12" hidden="false" customHeight="true" outlineLevel="0" collapsed="false">
      <c r="A745" s="2"/>
      <c r="B745" s="19"/>
      <c r="C745" s="19"/>
      <c r="D745" s="2"/>
      <c r="E745" s="2"/>
      <c r="F745" s="2"/>
      <c r="G745" s="2"/>
      <c r="H745" s="2"/>
      <c r="I745" s="2"/>
      <c r="J745" s="2"/>
      <c r="K745" s="2"/>
      <c r="L745" s="19"/>
      <c r="M745" s="19"/>
      <c r="N745" s="2"/>
      <c r="O745" s="2"/>
      <c r="P745" s="2"/>
      <c r="Q745" s="2"/>
      <c r="R745" s="2"/>
      <c r="S745" s="2"/>
      <c r="T745" s="2"/>
      <c r="U745" s="2"/>
      <c r="V745" s="2"/>
      <c r="W745" s="2"/>
      <c r="X745" s="2"/>
      <c r="Y745" s="2"/>
      <c r="Z745" s="2"/>
    </row>
    <row r="746" customFormat="false" ht="12" hidden="false" customHeight="true" outlineLevel="0" collapsed="false">
      <c r="A746" s="2"/>
      <c r="B746" s="19"/>
      <c r="C746" s="19"/>
      <c r="D746" s="2"/>
      <c r="E746" s="2"/>
      <c r="F746" s="2"/>
      <c r="G746" s="2"/>
      <c r="H746" s="2"/>
      <c r="I746" s="2"/>
      <c r="J746" s="2"/>
      <c r="K746" s="2"/>
      <c r="L746" s="19"/>
      <c r="M746" s="19"/>
      <c r="N746" s="2"/>
      <c r="O746" s="2"/>
      <c r="P746" s="2"/>
      <c r="Q746" s="2"/>
      <c r="R746" s="2"/>
      <c r="S746" s="2"/>
      <c r="T746" s="2"/>
      <c r="U746" s="2"/>
      <c r="V746" s="2"/>
      <c r="W746" s="2"/>
      <c r="X746" s="2"/>
      <c r="Y746" s="2"/>
      <c r="Z746" s="2"/>
    </row>
    <row r="747" customFormat="false" ht="12" hidden="false" customHeight="true" outlineLevel="0" collapsed="false">
      <c r="A747" s="2"/>
      <c r="B747" s="19"/>
      <c r="C747" s="19"/>
      <c r="D747" s="2"/>
      <c r="E747" s="2"/>
      <c r="F747" s="2"/>
      <c r="G747" s="2"/>
      <c r="H747" s="2"/>
      <c r="I747" s="2"/>
      <c r="J747" s="2"/>
      <c r="K747" s="2"/>
      <c r="L747" s="19"/>
      <c r="M747" s="19"/>
      <c r="N747" s="2"/>
      <c r="O747" s="2"/>
      <c r="P747" s="2"/>
      <c r="Q747" s="2"/>
      <c r="R747" s="2"/>
      <c r="S747" s="2"/>
      <c r="T747" s="2"/>
      <c r="U747" s="2"/>
      <c r="V747" s="2"/>
      <c r="W747" s="2"/>
      <c r="X747" s="2"/>
      <c r="Y747" s="2"/>
      <c r="Z747" s="2"/>
    </row>
    <row r="748" customFormat="false" ht="12" hidden="false" customHeight="true" outlineLevel="0" collapsed="false">
      <c r="A748" s="2"/>
      <c r="B748" s="19"/>
      <c r="C748" s="19"/>
      <c r="D748" s="2"/>
      <c r="E748" s="2"/>
      <c r="F748" s="2"/>
      <c r="G748" s="2"/>
      <c r="H748" s="2"/>
      <c r="I748" s="2"/>
      <c r="J748" s="2"/>
      <c r="K748" s="2"/>
      <c r="L748" s="19"/>
      <c r="M748" s="19"/>
      <c r="N748" s="2"/>
      <c r="O748" s="2"/>
      <c r="P748" s="2"/>
      <c r="Q748" s="2"/>
      <c r="R748" s="2"/>
      <c r="S748" s="2"/>
      <c r="T748" s="2"/>
      <c r="U748" s="2"/>
      <c r="V748" s="2"/>
      <c r="W748" s="2"/>
      <c r="X748" s="2"/>
      <c r="Y748" s="2"/>
      <c r="Z748" s="2"/>
    </row>
    <row r="749" customFormat="false" ht="12" hidden="false" customHeight="true" outlineLevel="0" collapsed="false">
      <c r="A749" s="2"/>
      <c r="B749" s="19"/>
      <c r="C749" s="19"/>
      <c r="D749" s="2"/>
      <c r="E749" s="2"/>
      <c r="F749" s="2"/>
      <c r="G749" s="2"/>
      <c r="H749" s="2"/>
      <c r="I749" s="2"/>
      <c r="J749" s="2"/>
      <c r="K749" s="2"/>
      <c r="L749" s="19"/>
      <c r="M749" s="19"/>
      <c r="N749" s="2"/>
      <c r="O749" s="2"/>
      <c r="P749" s="2"/>
      <c r="Q749" s="2"/>
      <c r="R749" s="2"/>
      <c r="S749" s="2"/>
      <c r="T749" s="2"/>
      <c r="U749" s="2"/>
      <c r="V749" s="2"/>
      <c r="W749" s="2"/>
      <c r="X749" s="2"/>
      <c r="Y749" s="2"/>
      <c r="Z749" s="2"/>
    </row>
    <row r="750" customFormat="false" ht="12" hidden="false" customHeight="true" outlineLevel="0" collapsed="false">
      <c r="A750" s="2"/>
      <c r="B750" s="19"/>
      <c r="C750" s="19"/>
      <c r="D750" s="2"/>
      <c r="E750" s="2"/>
      <c r="F750" s="2"/>
      <c r="G750" s="2"/>
      <c r="H750" s="2"/>
      <c r="I750" s="2"/>
      <c r="J750" s="2"/>
      <c r="K750" s="2"/>
      <c r="L750" s="19"/>
      <c r="M750" s="19"/>
      <c r="N750" s="2"/>
      <c r="O750" s="2"/>
      <c r="P750" s="2"/>
      <c r="Q750" s="2"/>
      <c r="R750" s="2"/>
      <c r="S750" s="2"/>
      <c r="T750" s="2"/>
      <c r="U750" s="2"/>
      <c r="V750" s="2"/>
      <c r="W750" s="2"/>
      <c r="X750" s="2"/>
      <c r="Y750" s="2"/>
      <c r="Z750" s="2"/>
    </row>
    <row r="751" customFormat="false" ht="12" hidden="false" customHeight="true" outlineLevel="0" collapsed="false">
      <c r="A751" s="2"/>
      <c r="B751" s="19"/>
      <c r="C751" s="19"/>
      <c r="D751" s="2"/>
      <c r="E751" s="2"/>
      <c r="F751" s="2"/>
      <c r="G751" s="2"/>
      <c r="H751" s="2"/>
      <c r="I751" s="2"/>
      <c r="J751" s="2"/>
      <c r="K751" s="2"/>
      <c r="L751" s="19"/>
      <c r="M751" s="19"/>
      <c r="N751" s="2"/>
      <c r="O751" s="2"/>
      <c r="P751" s="2"/>
      <c r="Q751" s="2"/>
      <c r="R751" s="2"/>
      <c r="S751" s="2"/>
      <c r="T751" s="2"/>
      <c r="U751" s="2"/>
      <c r="V751" s="2"/>
      <c r="W751" s="2"/>
      <c r="X751" s="2"/>
      <c r="Y751" s="2"/>
      <c r="Z751" s="2"/>
    </row>
    <row r="752" customFormat="false" ht="12" hidden="false" customHeight="true" outlineLevel="0" collapsed="false">
      <c r="A752" s="2"/>
      <c r="B752" s="19"/>
      <c r="C752" s="19"/>
      <c r="D752" s="2"/>
      <c r="E752" s="2"/>
      <c r="F752" s="2"/>
      <c r="G752" s="2"/>
      <c r="H752" s="2"/>
      <c r="I752" s="2"/>
      <c r="J752" s="2"/>
      <c r="K752" s="2"/>
      <c r="L752" s="19"/>
      <c r="M752" s="19"/>
      <c r="N752" s="2"/>
      <c r="O752" s="2"/>
      <c r="P752" s="2"/>
      <c r="Q752" s="2"/>
      <c r="R752" s="2"/>
      <c r="S752" s="2"/>
      <c r="T752" s="2"/>
      <c r="U752" s="2"/>
      <c r="V752" s="2"/>
      <c r="W752" s="2"/>
      <c r="X752" s="2"/>
      <c r="Y752" s="2"/>
      <c r="Z752" s="2"/>
    </row>
    <row r="753" customFormat="false" ht="12" hidden="false" customHeight="true" outlineLevel="0" collapsed="false">
      <c r="A753" s="2"/>
      <c r="B753" s="19"/>
      <c r="C753" s="19"/>
      <c r="D753" s="2"/>
      <c r="E753" s="2"/>
      <c r="F753" s="2"/>
      <c r="G753" s="2"/>
      <c r="H753" s="2"/>
      <c r="I753" s="2"/>
      <c r="J753" s="2"/>
      <c r="K753" s="2"/>
      <c r="L753" s="19"/>
      <c r="M753" s="19"/>
      <c r="N753" s="2"/>
      <c r="O753" s="2"/>
      <c r="P753" s="2"/>
      <c r="Q753" s="2"/>
      <c r="R753" s="2"/>
      <c r="S753" s="2"/>
      <c r="T753" s="2"/>
      <c r="U753" s="2"/>
      <c r="V753" s="2"/>
      <c r="W753" s="2"/>
      <c r="X753" s="2"/>
      <c r="Y753" s="2"/>
      <c r="Z753" s="2"/>
    </row>
    <row r="754" customFormat="false" ht="12" hidden="false" customHeight="true" outlineLevel="0" collapsed="false">
      <c r="A754" s="2"/>
      <c r="B754" s="19"/>
      <c r="C754" s="19"/>
      <c r="D754" s="2"/>
      <c r="E754" s="2"/>
      <c r="F754" s="2"/>
      <c r="G754" s="2"/>
      <c r="H754" s="2"/>
      <c r="I754" s="2"/>
      <c r="J754" s="2"/>
      <c r="K754" s="2"/>
      <c r="L754" s="19"/>
      <c r="M754" s="19"/>
      <c r="N754" s="2"/>
      <c r="O754" s="2"/>
      <c r="P754" s="2"/>
      <c r="Q754" s="2"/>
      <c r="R754" s="2"/>
      <c r="S754" s="2"/>
      <c r="T754" s="2"/>
      <c r="U754" s="2"/>
      <c r="V754" s="2"/>
      <c r="W754" s="2"/>
      <c r="X754" s="2"/>
      <c r="Y754" s="2"/>
      <c r="Z754" s="2"/>
    </row>
    <row r="755" customFormat="false" ht="12" hidden="false" customHeight="true" outlineLevel="0" collapsed="false">
      <c r="A755" s="2"/>
      <c r="B755" s="19"/>
      <c r="C755" s="19"/>
      <c r="D755" s="2"/>
      <c r="E755" s="2"/>
      <c r="F755" s="2"/>
      <c r="G755" s="2"/>
      <c r="H755" s="2"/>
      <c r="I755" s="2"/>
      <c r="J755" s="2"/>
      <c r="K755" s="2"/>
      <c r="L755" s="19"/>
      <c r="M755" s="19"/>
      <c r="N755" s="2"/>
      <c r="O755" s="2"/>
      <c r="P755" s="2"/>
      <c r="Q755" s="2"/>
      <c r="R755" s="2"/>
      <c r="S755" s="2"/>
      <c r="T755" s="2"/>
      <c r="U755" s="2"/>
      <c r="V755" s="2"/>
      <c r="W755" s="2"/>
      <c r="X755" s="2"/>
      <c r="Y755" s="2"/>
      <c r="Z755" s="2"/>
    </row>
    <row r="756" customFormat="false" ht="12" hidden="false" customHeight="true" outlineLevel="0" collapsed="false">
      <c r="A756" s="2"/>
      <c r="B756" s="19"/>
      <c r="C756" s="19"/>
      <c r="D756" s="2"/>
      <c r="E756" s="2"/>
      <c r="F756" s="2"/>
      <c r="G756" s="2"/>
      <c r="H756" s="2"/>
      <c r="I756" s="2"/>
      <c r="J756" s="2"/>
      <c r="K756" s="2"/>
      <c r="L756" s="19"/>
      <c r="M756" s="19"/>
      <c r="N756" s="2"/>
      <c r="O756" s="2"/>
      <c r="P756" s="2"/>
      <c r="Q756" s="2"/>
      <c r="R756" s="2"/>
      <c r="S756" s="2"/>
      <c r="T756" s="2"/>
      <c r="U756" s="2"/>
      <c r="V756" s="2"/>
      <c r="W756" s="2"/>
      <c r="X756" s="2"/>
      <c r="Y756" s="2"/>
      <c r="Z756" s="2"/>
    </row>
    <row r="757" customFormat="false" ht="12" hidden="false" customHeight="true" outlineLevel="0" collapsed="false">
      <c r="A757" s="2"/>
      <c r="B757" s="19"/>
      <c r="C757" s="19"/>
      <c r="D757" s="2"/>
      <c r="E757" s="2"/>
      <c r="F757" s="2"/>
      <c r="G757" s="2"/>
      <c r="H757" s="2"/>
      <c r="I757" s="2"/>
      <c r="J757" s="2"/>
      <c r="K757" s="2"/>
      <c r="L757" s="19"/>
      <c r="M757" s="19"/>
      <c r="N757" s="2"/>
      <c r="O757" s="2"/>
      <c r="P757" s="2"/>
      <c r="Q757" s="2"/>
      <c r="R757" s="2"/>
      <c r="S757" s="2"/>
      <c r="T757" s="2"/>
      <c r="U757" s="2"/>
      <c r="V757" s="2"/>
      <c r="W757" s="2"/>
      <c r="X757" s="2"/>
      <c r="Y757" s="2"/>
      <c r="Z757" s="2"/>
    </row>
    <row r="758" customFormat="false" ht="12" hidden="false" customHeight="true" outlineLevel="0" collapsed="false">
      <c r="A758" s="2"/>
      <c r="B758" s="19"/>
      <c r="C758" s="19"/>
      <c r="D758" s="2"/>
      <c r="E758" s="2"/>
      <c r="F758" s="2"/>
      <c r="G758" s="2"/>
      <c r="H758" s="2"/>
      <c r="I758" s="2"/>
      <c r="J758" s="2"/>
      <c r="K758" s="2"/>
      <c r="L758" s="19"/>
      <c r="M758" s="19"/>
      <c r="N758" s="2"/>
      <c r="O758" s="2"/>
      <c r="P758" s="2"/>
      <c r="Q758" s="2"/>
      <c r="R758" s="2"/>
      <c r="S758" s="2"/>
      <c r="T758" s="2"/>
      <c r="U758" s="2"/>
      <c r="V758" s="2"/>
      <c r="W758" s="2"/>
      <c r="X758" s="2"/>
      <c r="Y758" s="2"/>
      <c r="Z758" s="2"/>
    </row>
    <row r="759" customFormat="false" ht="12" hidden="false" customHeight="true" outlineLevel="0" collapsed="false">
      <c r="A759" s="2"/>
      <c r="B759" s="19"/>
      <c r="C759" s="19"/>
      <c r="D759" s="2"/>
      <c r="E759" s="2"/>
      <c r="F759" s="2"/>
      <c r="G759" s="2"/>
      <c r="H759" s="2"/>
      <c r="I759" s="2"/>
      <c r="J759" s="2"/>
      <c r="K759" s="2"/>
      <c r="L759" s="19"/>
      <c r="M759" s="19"/>
      <c r="N759" s="2"/>
      <c r="O759" s="2"/>
      <c r="P759" s="2"/>
      <c r="Q759" s="2"/>
      <c r="R759" s="2"/>
      <c r="S759" s="2"/>
      <c r="T759" s="2"/>
      <c r="U759" s="2"/>
      <c r="V759" s="2"/>
      <c r="W759" s="2"/>
      <c r="X759" s="2"/>
      <c r="Y759" s="2"/>
      <c r="Z759" s="2"/>
    </row>
    <row r="760" customFormat="false" ht="12" hidden="false" customHeight="true" outlineLevel="0" collapsed="false">
      <c r="A760" s="2"/>
      <c r="B760" s="19"/>
      <c r="C760" s="19"/>
      <c r="D760" s="2"/>
      <c r="E760" s="2"/>
      <c r="F760" s="2"/>
      <c r="G760" s="2"/>
      <c r="H760" s="2"/>
      <c r="I760" s="2"/>
      <c r="J760" s="2"/>
      <c r="K760" s="2"/>
      <c r="L760" s="19"/>
      <c r="M760" s="19"/>
      <c r="N760" s="2"/>
      <c r="O760" s="2"/>
      <c r="P760" s="2"/>
      <c r="Q760" s="2"/>
      <c r="R760" s="2"/>
      <c r="S760" s="2"/>
      <c r="T760" s="2"/>
      <c r="U760" s="2"/>
      <c r="V760" s="2"/>
      <c r="W760" s="2"/>
      <c r="X760" s="2"/>
      <c r="Y760" s="2"/>
      <c r="Z760" s="2"/>
    </row>
    <row r="761" customFormat="false" ht="12" hidden="false" customHeight="true" outlineLevel="0" collapsed="false">
      <c r="A761" s="2"/>
      <c r="B761" s="19"/>
      <c r="C761" s="19"/>
      <c r="D761" s="2"/>
      <c r="E761" s="2"/>
      <c r="F761" s="2"/>
      <c r="G761" s="2"/>
      <c r="H761" s="2"/>
      <c r="I761" s="2"/>
      <c r="J761" s="2"/>
      <c r="K761" s="2"/>
      <c r="L761" s="19"/>
      <c r="M761" s="19"/>
      <c r="N761" s="2"/>
      <c r="O761" s="2"/>
      <c r="P761" s="2"/>
      <c r="Q761" s="2"/>
      <c r="R761" s="2"/>
      <c r="S761" s="2"/>
      <c r="T761" s="2"/>
      <c r="U761" s="2"/>
      <c r="V761" s="2"/>
      <c r="W761" s="2"/>
      <c r="X761" s="2"/>
      <c r="Y761" s="2"/>
      <c r="Z761" s="2"/>
    </row>
    <row r="762" customFormat="false" ht="12" hidden="false" customHeight="true" outlineLevel="0" collapsed="false">
      <c r="A762" s="2"/>
      <c r="B762" s="19"/>
      <c r="C762" s="19"/>
      <c r="D762" s="2"/>
      <c r="E762" s="2"/>
      <c r="F762" s="2"/>
      <c r="G762" s="2"/>
      <c r="H762" s="2"/>
      <c r="I762" s="2"/>
      <c r="J762" s="2"/>
      <c r="K762" s="2"/>
      <c r="L762" s="19"/>
      <c r="M762" s="19"/>
      <c r="N762" s="2"/>
      <c r="O762" s="2"/>
      <c r="P762" s="2"/>
      <c r="Q762" s="2"/>
      <c r="R762" s="2"/>
      <c r="S762" s="2"/>
      <c r="T762" s="2"/>
      <c r="U762" s="2"/>
      <c r="V762" s="2"/>
      <c r="W762" s="2"/>
      <c r="X762" s="2"/>
      <c r="Y762" s="2"/>
      <c r="Z762" s="2"/>
    </row>
    <row r="763" customFormat="false" ht="12" hidden="false" customHeight="true" outlineLevel="0" collapsed="false">
      <c r="A763" s="2"/>
      <c r="B763" s="19"/>
      <c r="C763" s="19"/>
      <c r="D763" s="2"/>
      <c r="E763" s="2"/>
      <c r="F763" s="2"/>
      <c r="G763" s="2"/>
      <c r="H763" s="2"/>
      <c r="I763" s="2"/>
      <c r="J763" s="2"/>
      <c r="K763" s="2"/>
      <c r="L763" s="19"/>
      <c r="M763" s="19"/>
      <c r="N763" s="2"/>
      <c r="O763" s="2"/>
      <c r="P763" s="2"/>
      <c r="Q763" s="2"/>
      <c r="R763" s="2"/>
      <c r="S763" s="2"/>
      <c r="T763" s="2"/>
      <c r="U763" s="2"/>
      <c r="V763" s="2"/>
      <c r="W763" s="2"/>
      <c r="X763" s="2"/>
      <c r="Y763" s="2"/>
      <c r="Z763" s="2"/>
    </row>
    <row r="764" customFormat="false" ht="12" hidden="false" customHeight="true" outlineLevel="0" collapsed="false">
      <c r="A764" s="2"/>
      <c r="B764" s="19"/>
      <c r="C764" s="19"/>
      <c r="D764" s="2"/>
      <c r="E764" s="2"/>
      <c r="F764" s="2"/>
      <c r="G764" s="2"/>
      <c r="H764" s="2"/>
      <c r="I764" s="2"/>
      <c r="J764" s="2"/>
      <c r="K764" s="2"/>
      <c r="L764" s="19"/>
      <c r="M764" s="19"/>
      <c r="N764" s="2"/>
      <c r="O764" s="2"/>
      <c r="P764" s="2"/>
      <c r="Q764" s="2"/>
      <c r="R764" s="2"/>
      <c r="S764" s="2"/>
      <c r="T764" s="2"/>
      <c r="U764" s="2"/>
      <c r="V764" s="2"/>
      <c r="W764" s="2"/>
      <c r="X764" s="2"/>
      <c r="Y764" s="2"/>
      <c r="Z764" s="2"/>
    </row>
    <row r="765" customFormat="false" ht="12" hidden="false" customHeight="true" outlineLevel="0" collapsed="false">
      <c r="A765" s="2"/>
      <c r="B765" s="19"/>
      <c r="C765" s="19"/>
      <c r="D765" s="2"/>
      <c r="E765" s="2"/>
      <c r="F765" s="2"/>
      <c r="G765" s="2"/>
      <c r="H765" s="2"/>
      <c r="I765" s="2"/>
      <c r="J765" s="2"/>
      <c r="K765" s="2"/>
      <c r="L765" s="19"/>
      <c r="M765" s="19"/>
      <c r="N765" s="2"/>
      <c r="O765" s="2"/>
      <c r="P765" s="2"/>
      <c r="Q765" s="2"/>
      <c r="R765" s="2"/>
      <c r="S765" s="2"/>
      <c r="T765" s="2"/>
      <c r="U765" s="2"/>
      <c r="V765" s="2"/>
      <c r="W765" s="2"/>
      <c r="X765" s="2"/>
      <c r="Y765" s="2"/>
      <c r="Z765" s="2"/>
    </row>
    <row r="766" customFormat="false" ht="12" hidden="false" customHeight="true" outlineLevel="0" collapsed="false">
      <c r="A766" s="2"/>
      <c r="B766" s="19"/>
      <c r="C766" s="19"/>
      <c r="D766" s="2"/>
      <c r="E766" s="2"/>
      <c r="F766" s="2"/>
      <c r="G766" s="2"/>
      <c r="H766" s="2"/>
      <c r="I766" s="2"/>
      <c r="J766" s="2"/>
      <c r="K766" s="2"/>
      <c r="L766" s="19"/>
      <c r="M766" s="19"/>
      <c r="N766" s="2"/>
      <c r="O766" s="2"/>
      <c r="P766" s="2"/>
      <c r="Q766" s="2"/>
      <c r="R766" s="2"/>
      <c r="S766" s="2"/>
      <c r="T766" s="2"/>
      <c r="U766" s="2"/>
      <c r="V766" s="2"/>
      <c r="W766" s="2"/>
      <c r="X766" s="2"/>
      <c r="Y766" s="2"/>
      <c r="Z766" s="2"/>
    </row>
    <row r="767" customFormat="false" ht="12" hidden="false" customHeight="true" outlineLevel="0" collapsed="false">
      <c r="A767" s="2"/>
      <c r="B767" s="19"/>
      <c r="C767" s="19"/>
      <c r="D767" s="2"/>
      <c r="E767" s="2"/>
      <c r="F767" s="2"/>
      <c r="G767" s="2"/>
      <c r="H767" s="2"/>
      <c r="I767" s="2"/>
      <c r="J767" s="2"/>
      <c r="K767" s="2"/>
      <c r="L767" s="19"/>
      <c r="M767" s="19"/>
      <c r="N767" s="2"/>
      <c r="O767" s="2"/>
      <c r="P767" s="2"/>
      <c r="Q767" s="2"/>
      <c r="R767" s="2"/>
      <c r="S767" s="2"/>
      <c r="T767" s="2"/>
      <c r="U767" s="2"/>
      <c r="V767" s="2"/>
      <c r="W767" s="2"/>
      <c r="X767" s="2"/>
      <c r="Y767" s="2"/>
      <c r="Z767" s="2"/>
    </row>
    <row r="768" customFormat="false" ht="12" hidden="false" customHeight="true" outlineLevel="0" collapsed="false">
      <c r="A768" s="2"/>
      <c r="B768" s="19"/>
      <c r="C768" s="19"/>
      <c r="D768" s="2"/>
      <c r="E768" s="2"/>
      <c r="F768" s="2"/>
      <c r="G768" s="2"/>
      <c r="H768" s="2"/>
      <c r="I768" s="2"/>
      <c r="J768" s="2"/>
      <c r="K768" s="2"/>
      <c r="L768" s="19"/>
      <c r="M768" s="19"/>
      <c r="N768" s="2"/>
      <c r="O768" s="2"/>
      <c r="P768" s="2"/>
      <c r="Q768" s="2"/>
      <c r="R768" s="2"/>
      <c r="S768" s="2"/>
      <c r="T768" s="2"/>
      <c r="U768" s="2"/>
      <c r="V768" s="2"/>
      <c r="W768" s="2"/>
      <c r="X768" s="2"/>
      <c r="Y768" s="2"/>
      <c r="Z768" s="2"/>
    </row>
    <row r="769" customFormat="false" ht="12" hidden="false" customHeight="true" outlineLevel="0" collapsed="false">
      <c r="A769" s="2"/>
      <c r="B769" s="19"/>
      <c r="C769" s="19"/>
      <c r="D769" s="2"/>
      <c r="E769" s="2"/>
      <c r="F769" s="2"/>
      <c r="G769" s="2"/>
      <c r="H769" s="2"/>
      <c r="I769" s="2"/>
      <c r="J769" s="2"/>
      <c r="K769" s="2"/>
      <c r="L769" s="19"/>
      <c r="M769" s="19"/>
      <c r="N769" s="2"/>
      <c r="O769" s="2"/>
      <c r="P769" s="2"/>
      <c r="Q769" s="2"/>
      <c r="R769" s="2"/>
      <c r="S769" s="2"/>
      <c r="T769" s="2"/>
      <c r="U769" s="2"/>
      <c r="V769" s="2"/>
      <c r="W769" s="2"/>
      <c r="X769" s="2"/>
      <c r="Y769" s="2"/>
      <c r="Z769" s="2"/>
    </row>
    <row r="770" customFormat="false" ht="12" hidden="false" customHeight="true" outlineLevel="0" collapsed="false">
      <c r="A770" s="2"/>
      <c r="B770" s="19"/>
      <c r="C770" s="19"/>
      <c r="D770" s="2"/>
      <c r="E770" s="2"/>
      <c r="F770" s="2"/>
      <c r="G770" s="2"/>
      <c r="H770" s="2"/>
      <c r="I770" s="2"/>
      <c r="J770" s="2"/>
      <c r="K770" s="2"/>
      <c r="L770" s="19"/>
      <c r="M770" s="19"/>
      <c r="N770" s="2"/>
      <c r="O770" s="2"/>
      <c r="P770" s="2"/>
      <c r="Q770" s="2"/>
      <c r="R770" s="2"/>
      <c r="S770" s="2"/>
      <c r="T770" s="2"/>
      <c r="U770" s="2"/>
      <c r="V770" s="2"/>
      <c r="W770" s="2"/>
      <c r="X770" s="2"/>
      <c r="Y770" s="2"/>
      <c r="Z770" s="2"/>
    </row>
    <row r="771" customFormat="false" ht="12" hidden="false" customHeight="true" outlineLevel="0" collapsed="false">
      <c r="A771" s="2"/>
      <c r="B771" s="19"/>
      <c r="C771" s="19"/>
      <c r="D771" s="2"/>
      <c r="E771" s="2"/>
      <c r="F771" s="2"/>
      <c r="G771" s="2"/>
      <c r="H771" s="2"/>
      <c r="I771" s="2"/>
      <c r="J771" s="2"/>
      <c r="K771" s="2"/>
      <c r="L771" s="19"/>
      <c r="M771" s="19"/>
      <c r="N771" s="2"/>
      <c r="O771" s="2"/>
      <c r="P771" s="2"/>
      <c r="Q771" s="2"/>
      <c r="R771" s="2"/>
      <c r="S771" s="2"/>
      <c r="T771" s="2"/>
      <c r="U771" s="2"/>
      <c r="V771" s="2"/>
      <c r="W771" s="2"/>
      <c r="X771" s="2"/>
      <c r="Y771" s="2"/>
      <c r="Z771" s="2"/>
    </row>
    <row r="772" customFormat="false" ht="12" hidden="false" customHeight="true" outlineLevel="0" collapsed="false">
      <c r="A772" s="2"/>
      <c r="B772" s="19"/>
      <c r="C772" s="19"/>
      <c r="D772" s="2"/>
      <c r="E772" s="2"/>
      <c r="F772" s="2"/>
      <c r="G772" s="2"/>
      <c r="H772" s="2"/>
      <c r="I772" s="2"/>
      <c r="J772" s="2"/>
      <c r="K772" s="2"/>
      <c r="L772" s="19"/>
      <c r="M772" s="19"/>
      <c r="N772" s="2"/>
      <c r="O772" s="2"/>
      <c r="P772" s="2"/>
      <c r="Q772" s="2"/>
      <c r="R772" s="2"/>
      <c r="S772" s="2"/>
      <c r="T772" s="2"/>
      <c r="U772" s="2"/>
      <c r="V772" s="2"/>
      <c r="W772" s="2"/>
      <c r="X772" s="2"/>
      <c r="Y772" s="2"/>
      <c r="Z772" s="2"/>
    </row>
    <row r="773" customFormat="false" ht="12" hidden="false" customHeight="true" outlineLevel="0" collapsed="false">
      <c r="A773" s="2"/>
      <c r="B773" s="19"/>
      <c r="C773" s="19"/>
      <c r="D773" s="2"/>
      <c r="E773" s="2"/>
      <c r="F773" s="2"/>
      <c r="G773" s="2"/>
      <c r="H773" s="2"/>
      <c r="I773" s="2"/>
      <c r="J773" s="2"/>
      <c r="K773" s="2"/>
      <c r="L773" s="19"/>
      <c r="M773" s="19"/>
      <c r="N773" s="2"/>
      <c r="O773" s="2"/>
      <c r="P773" s="2"/>
      <c r="Q773" s="2"/>
      <c r="R773" s="2"/>
      <c r="S773" s="2"/>
      <c r="T773" s="2"/>
      <c r="U773" s="2"/>
      <c r="V773" s="2"/>
      <c r="W773" s="2"/>
      <c r="X773" s="2"/>
      <c r="Y773" s="2"/>
      <c r="Z773" s="2"/>
    </row>
    <row r="774" customFormat="false" ht="12" hidden="false" customHeight="true" outlineLevel="0" collapsed="false">
      <c r="A774" s="2"/>
      <c r="B774" s="19"/>
      <c r="C774" s="19"/>
      <c r="D774" s="2"/>
      <c r="E774" s="2"/>
      <c r="F774" s="2"/>
      <c r="G774" s="2"/>
      <c r="H774" s="2"/>
      <c r="I774" s="2"/>
      <c r="J774" s="2"/>
      <c r="K774" s="2"/>
      <c r="L774" s="19"/>
      <c r="M774" s="19"/>
      <c r="N774" s="2"/>
      <c r="O774" s="2"/>
      <c r="P774" s="2"/>
      <c r="Q774" s="2"/>
      <c r="R774" s="2"/>
      <c r="S774" s="2"/>
      <c r="T774" s="2"/>
      <c r="U774" s="2"/>
      <c r="V774" s="2"/>
      <c r="W774" s="2"/>
      <c r="X774" s="2"/>
      <c r="Y774" s="2"/>
      <c r="Z774" s="2"/>
    </row>
    <row r="775" customFormat="false" ht="12" hidden="false" customHeight="true" outlineLevel="0" collapsed="false">
      <c r="A775" s="2"/>
      <c r="B775" s="19"/>
      <c r="C775" s="19"/>
      <c r="D775" s="2"/>
      <c r="E775" s="2"/>
      <c r="F775" s="2"/>
      <c r="G775" s="2"/>
      <c r="H775" s="2"/>
      <c r="I775" s="2"/>
      <c r="J775" s="2"/>
      <c r="K775" s="2"/>
      <c r="L775" s="19"/>
      <c r="M775" s="19"/>
      <c r="N775" s="2"/>
      <c r="O775" s="2"/>
      <c r="P775" s="2"/>
      <c r="Q775" s="2"/>
      <c r="R775" s="2"/>
      <c r="S775" s="2"/>
      <c r="T775" s="2"/>
      <c r="U775" s="2"/>
      <c r="V775" s="2"/>
      <c r="W775" s="2"/>
      <c r="X775" s="2"/>
      <c r="Y775" s="2"/>
      <c r="Z775" s="2"/>
    </row>
    <row r="776" customFormat="false" ht="12" hidden="false" customHeight="true" outlineLevel="0" collapsed="false">
      <c r="A776" s="2"/>
      <c r="B776" s="19"/>
      <c r="C776" s="19"/>
      <c r="D776" s="2"/>
      <c r="E776" s="2"/>
      <c r="F776" s="2"/>
      <c r="G776" s="2"/>
      <c r="H776" s="2"/>
      <c r="I776" s="2"/>
      <c r="J776" s="2"/>
      <c r="K776" s="2"/>
      <c r="L776" s="19"/>
      <c r="M776" s="19"/>
      <c r="N776" s="2"/>
      <c r="O776" s="2"/>
      <c r="P776" s="2"/>
      <c r="Q776" s="2"/>
      <c r="R776" s="2"/>
      <c r="S776" s="2"/>
      <c r="T776" s="2"/>
      <c r="U776" s="2"/>
      <c r="V776" s="2"/>
      <c r="W776" s="2"/>
      <c r="X776" s="2"/>
      <c r="Y776" s="2"/>
      <c r="Z776" s="2"/>
    </row>
    <row r="777" customFormat="false" ht="12" hidden="false" customHeight="true" outlineLevel="0" collapsed="false">
      <c r="A777" s="2"/>
      <c r="B777" s="19"/>
      <c r="C777" s="19"/>
      <c r="D777" s="2"/>
      <c r="E777" s="2"/>
      <c r="F777" s="2"/>
      <c r="G777" s="2"/>
      <c r="H777" s="2"/>
      <c r="I777" s="2"/>
      <c r="J777" s="2"/>
      <c r="K777" s="2"/>
      <c r="L777" s="19"/>
      <c r="M777" s="19"/>
      <c r="N777" s="2"/>
      <c r="O777" s="2"/>
      <c r="P777" s="2"/>
      <c r="Q777" s="2"/>
      <c r="R777" s="2"/>
      <c r="S777" s="2"/>
      <c r="T777" s="2"/>
      <c r="U777" s="2"/>
      <c r="V777" s="2"/>
      <c r="W777" s="2"/>
      <c r="X777" s="2"/>
      <c r="Y777" s="2"/>
      <c r="Z777" s="2"/>
    </row>
    <row r="778" customFormat="false" ht="12" hidden="false" customHeight="true" outlineLevel="0" collapsed="false">
      <c r="A778" s="2"/>
      <c r="B778" s="19"/>
      <c r="C778" s="19"/>
      <c r="D778" s="2"/>
      <c r="E778" s="2"/>
      <c r="F778" s="2"/>
      <c r="G778" s="2"/>
      <c r="H778" s="2"/>
      <c r="I778" s="2"/>
      <c r="J778" s="2"/>
      <c r="K778" s="2"/>
      <c r="L778" s="19"/>
      <c r="M778" s="19"/>
      <c r="N778" s="2"/>
      <c r="O778" s="2"/>
      <c r="P778" s="2"/>
      <c r="Q778" s="2"/>
      <c r="R778" s="2"/>
      <c r="S778" s="2"/>
      <c r="T778" s="2"/>
      <c r="U778" s="2"/>
      <c r="V778" s="2"/>
      <c r="W778" s="2"/>
      <c r="X778" s="2"/>
      <c r="Y778" s="2"/>
      <c r="Z778" s="2"/>
    </row>
    <row r="779" customFormat="false" ht="12" hidden="false" customHeight="true" outlineLevel="0" collapsed="false">
      <c r="A779" s="2"/>
      <c r="B779" s="19"/>
      <c r="C779" s="19"/>
      <c r="D779" s="2"/>
      <c r="E779" s="2"/>
      <c r="F779" s="2"/>
      <c r="G779" s="2"/>
      <c r="H779" s="2"/>
      <c r="I779" s="2"/>
      <c r="J779" s="2"/>
      <c r="K779" s="2"/>
      <c r="L779" s="19"/>
      <c r="M779" s="19"/>
      <c r="N779" s="2"/>
      <c r="O779" s="2"/>
      <c r="P779" s="2"/>
      <c r="Q779" s="2"/>
      <c r="R779" s="2"/>
      <c r="S779" s="2"/>
      <c r="T779" s="2"/>
      <c r="U779" s="2"/>
      <c r="V779" s="2"/>
      <c r="W779" s="2"/>
      <c r="X779" s="2"/>
      <c r="Y779" s="2"/>
      <c r="Z779" s="2"/>
    </row>
    <row r="780" customFormat="false" ht="12" hidden="false" customHeight="true" outlineLevel="0" collapsed="false">
      <c r="A780" s="2"/>
      <c r="B780" s="19"/>
      <c r="C780" s="19"/>
      <c r="D780" s="2"/>
      <c r="E780" s="2"/>
      <c r="F780" s="2"/>
      <c r="G780" s="2"/>
      <c r="H780" s="2"/>
      <c r="I780" s="2"/>
      <c r="J780" s="2"/>
      <c r="K780" s="2"/>
      <c r="L780" s="19"/>
      <c r="M780" s="19"/>
      <c r="N780" s="2"/>
      <c r="O780" s="2"/>
      <c r="P780" s="2"/>
      <c r="Q780" s="2"/>
      <c r="R780" s="2"/>
      <c r="S780" s="2"/>
      <c r="T780" s="2"/>
      <c r="U780" s="2"/>
      <c r="V780" s="2"/>
      <c r="W780" s="2"/>
      <c r="X780" s="2"/>
      <c r="Y780" s="2"/>
      <c r="Z780" s="2"/>
    </row>
    <row r="781" customFormat="false" ht="12" hidden="false" customHeight="true" outlineLevel="0" collapsed="false">
      <c r="A781" s="2"/>
      <c r="B781" s="19"/>
      <c r="C781" s="19"/>
      <c r="D781" s="2"/>
      <c r="E781" s="2"/>
      <c r="F781" s="2"/>
      <c r="G781" s="2"/>
      <c r="H781" s="2"/>
      <c r="I781" s="2"/>
      <c r="J781" s="2"/>
      <c r="K781" s="2"/>
      <c r="L781" s="19"/>
      <c r="M781" s="19"/>
      <c r="N781" s="2"/>
      <c r="O781" s="2"/>
      <c r="P781" s="2"/>
      <c r="Q781" s="2"/>
      <c r="R781" s="2"/>
      <c r="S781" s="2"/>
      <c r="T781" s="2"/>
      <c r="U781" s="2"/>
      <c r="V781" s="2"/>
      <c r="W781" s="2"/>
      <c r="X781" s="2"/>
      <c r="Y781" s="2"/>
      <c r="Z781" s="2"/>
    </row>
    <row r="782" customFormat="false" ht="12" hidden="false" customHeight="true" outlineLevel="0" collapsed="false">
      <c r="A782" s="2"/>
      <c r="B782" s="19"/>
      <c r="C782" s="19"/>
      <c r="D782" s="2"/>
      <c r="E782" s="2"/>
      <c r="F782" s="2"/>
      <c r="G782" s="2"/>
      <c r="H782" s="2"/>
      <c r="I782" s="2"/>
      <c r="J782" s="2"/>
      <c r="K782" s="2"/>
      <c r="L782" s="19"/>
      <c r="M782" s="19"/>
      <c r="N782" s="2"/>
      <c r="O782" s="2"/>
      <c r="P782" s="2"/>
      <c r="Q782" s="2"/>
      <c r="R782" s="2"/>
      <c r="S782" s="2"/>
      <c r="T782" s="2"/>
      <c r="U782" s="2"/>
      <c r="V782" s="2"/>
      <c r="W782" s="2"/>
      <c r="X782" s="2"/>
      <c r="Y782" s="2"/>
      <c r="Z782" s="2"/>
    </row>
    <row r="783" customFormat="false" ht="12" hidden="false" customHeight="true" outlineLevel="0" collapsed="false">
      <c r="A783" s="2"/>
      <c r="B783" s="19"/>
      <c r="C783" s="19"/>
      <c r="D783" s="2"/>
      <c r="E783" s="2"/>
      <c r="F783" s="2"/>
      <c r="G783" s="2"/>
      <c r="H783" s="2"/>
      <c r="I783" s="2"/>
      <c r="J783" s="2"/>
      <c r="K783" s="2"/>
      <c r="L783" s="19"/>
      <c r="M783" s="19"/>
      <c r="N783" s="2"/>
      <c r="O783" s="2"/>
      <c r="P783" s="2"/>
      <c r="Q783" s="2"/>
      <c r="R783" s="2"/>
      <c r="S783" s="2"/>
      <c r="T783" s="2"/>
      <c r="U783" s="2"/>
      <c r="V783" s="2"/>
      <c r="W783" s="2"/>
      <c r="X783" s="2"/>
      <c r="Y783" s="2"/>
      <c r="Z783" s="2"/>
    </row>
    <row r="784" customFormat="false" ht="12" hidden="false" customHeight="true" outlineLevel="0" collapsed="false">
      <c r="A784" s="2"/>
      <c r="B784" s="19"/>
      <c r="C784" s="19"/>
      <c r="D784" s="2"/>
      <c r="E784" s="2"/>
      <c r="F784" s="2"/>
      <c r="G784" s="2"/>
      <c r="H784" s="2"/>
      <c r="I784" s="2"/>
      <c r="J784" s="2"/>
      <c r="K784" s="2"/>
      <c r="L784" s="19"/>
      <c r="M784" s="19"/>
      <c r="N784" s="2"/>
      <c r="O784" s="2"/>
      <c r="P784" s="2"/>
      <c r="Q784" s="2"/>
      <c r="R784" s="2"/>
      <c r="S784" s="2"/>
      <c r="T784" s="2"/>
      <c r="U784" s="2"/>
      <c r="V784" s="2"/>
      <c r="W784" s="2"/>
      <c r="X784" s="2"/>
      <c r="Y784" s="2"/>
      <c r="Z784" s="2"/>
    </row>
    <row r="785" customFormat="false" ht="12" hidden="false" customHeight="true" outlineLevel="0" collapsed="false">
      <c r="A785" s="2"/>
      <c r="B785" s="19"/>
      <c r="C785" s="19"/>
      <c r="D785" s="2"/>
      <c r="E785" s="2"/>
      <c r="F785" s="2"/>
      <c r="G785" s="2"/>
      <c r="H785" s="2"/>
      <c r="I785" s="2"/>
      <c r="J785" s="2"/>
      <c r="K785" s="2"/>
      <c r="L785" s="19"/>
      <c r="M785" s="19"/>
      <c r="N785" s="2"/>
      <c r="O785" s="2"/>
      <c r="P785" s="2"/>
      <c r="Q785" s="2"/>
      <c r="R785" s="2"/>
      <c r="S785" s="2"/>
      <c r="T785" s="2"/>
      <c r="U785" s="2"/>
      <c r="V785" s="2"/>
      <c r="W785" s="2"/>
      <c r="X785" s="2"/>
      <c r="Y785" s="2"/>
      <c r="Z785" s="2"/>
    </row>
    <row r="786" customFormat="false" ht="12" hidden="false" customHeight="true" outlineLevel="0" collapsed="false">
      <c r="A786" s="2"/>
      <c r="B786" s="19"/>
      <c r="C786" s="19"/>
      <c r="D786" s="2"/>
      <c r="E786" s="2"/>
      <c r="F786" s="2"/>
      <c r="G786" s="2"/>
      <c r="H786" s="2"/>
      <c r="I786" s="2"/>
      <c r="J786" s="2"/>
      <c r="K786" s="2"/>
      <c r="L786" s="19"/>
      <c r="M786" s="19"/>
      <c r="N786" s="2"/>
      <c r="O786" s="2"/>
      <c r="P786" s="2"/>
      <c r="Q786" s="2"/>
      <c r="R786" s="2"/>
      <c r="S786" s="2"/>
      <c r="T786" s="2"/>
      <c r="U786" s="2"/>
      <c r="V786" s="2"/>
      <c r="W786" s="2"/>
      <c r="X786" s="2"/>
      <c r="Y786" s="2"/>
      <c r="Z786" s="2"/>
    </row>
    <row r="787" customFormat="false" ht="12" hidden="false" customHeight="true" outlineLevel="0" collapsed="false">
      <c r="A787" s="2"/>
      <c r="B787" s="19"/>
      <c r="C787" s="19"/>
      <c r="D787" s="2"/>
      <c r="E787" s="2"/>
      <c r="F787" s="2"/>
      <c r="G787" s="2"/>
      <c r="H787" s="2"/>
      <c r="I787" s="2"/>
      <c r="J787" s="2"/>
      <c r="K787" s="2"/>
      <c r="L787" s="19"/>
      <c r="M787" s="19"/>
      <c r="N787" s="2"/>
      <c r="O787" s="2"/>
      <c r="P787" s="2"/>
      <c r="Q787" s="2"/>
      <c r="R787" s="2"/>
      <c r="S787" s="2"/>
      <c r="T787" s="2"/>
      <c r="U787" s="2"/>
      <c r="V787" s="2"/>
      <c r="W787" s="2"/>
      <c r="X787" s="2"/>
      <c r="Y787" s="2"/>
      <c r="Z787" s="2"/>
    </row>
    <row r="788" customFormat="false" ht="12" hidden="false" customHeight="true" outlineLevel="0" collapsed="false">
      <c r="A788" s="2"/>
      <c r="B788" s="19"/>
      <c r="C788" s="19"/>
      <c r="D788" s="2"/>
      <c r="E788" s="2"/>
      <c r="F788" s="2"/>
      <c r="G788" s="2"/>
      <c r="H788" s="2"/>
      <c r="I788" s="2"/>
      <c r="J788" s="2"/>
      <c r="K788" s="2"/>
      <c r="L788" s="19"/>
      <c r="M788" s="19"/>
      <c r="N788" s="2"/>
      <c r="O788" s="2"/>
      <c r="P788" s="2"/>
      <c r="Q788" s="2"/>
      <c r="R788" s="2"/>
      <c r="S788" s="2"/>
      <c r="T788" s="2"/>
      <c r="U788" s="2"/>
      <c r="V788" s="2"/>
      <c r="W788" s="2"/>
      <c r="X788" s="2"/>
      <c r="Y788" s="2"/>
      <c r="Z788" s="2"/>
    </row>
    <row r="789" customFormat="false" ht="12" hidden="false" customHeight="true" outlineLevel="0" collapsed="false">
      <c r="A789" s="2"/>
      <c r="B789" s="19"/>
      <c r="C789" s="19"/>
      <c r="D789" s="2"/>
      <c r="E789" s="2"/>
      <c r="F789" s="2"/>
      <c r="G789" s="2"/>
      <c r="H789" s="2"/>
      <c r="I789" s="2"/>
      <c r="J789" s="2"/>
      <c r="K789" s="2"/>
      <c r="L789" s="19"/>
      <c r="M789" s="19"/>
      <c r="N789" s="2"/>
      <c r="O789" s="2"/>
      <c r="P789" s="2"/>
      <c r="Q789" s="2"/>
      <c r="R789" s="2"/>
      <c r="S789" s="2"/>
      <c r="T789" s="2"/>
      <c r="U789" s="2"/>
      <c r="V789" s="2"/>
      <c r="W789" s="2"/>
      <c r="X789" s="2"/>
      <c r="Y789" s="2"/>
      <c r="Z789" s="2"/>
    </row>
    <row r="790" customFormat="false" ht="12" hidden="false" customHeight="true" outlineLevel="0" collapsed="false">
      <c r="A790" s="2"/>
      <c r="B790" s="19"/>
      <c r="C790" s="19"/>
      <c r="D790" s="2"/>
      <c r="E790" s="2"/>
      <c r="F790" s="2"/>
      <c r="G790" s="2"/>
      <c r="H790" s="2"/>
      <c r="I790" s="2"/>
      <c r="J790" s="2"/>
      <c r="K790" s="2"/>
      <c r="L790" s="19"/>
      <c r="M790" s="19"/>
      <c r="N790" s="2"/>
      <c r="O790" s="2"/>
      <c r="P790" s="2"/>
      <c r="Q790" s="2"/>
      <c r="R790" s="2"/>
      <c r="S790" s="2"/>
      <c r="T790" s="2"/>
      <c r="U790" s="2"/>
      <c r="V790" s="2"/>
      <c r="W790" s="2"/>
      <c r="X790" s="2"/>
      <c r="Y790" s="2"/>
      <c r="Z790" s="2"/>
    </row>
    <row r="791" customFormat="false" ht="12" hidden="false" customHeight="true" outlineLevel="0" collapsed="false">
      <c r="A791" s="2"/>
      <c r="B791" s="19"/>
      <c r="C791" s="19"/>
      <c r="D791" s="2"/>
      <c r="E791" s="2"/>
      <c r="F791" s="2"/>
      <c r="G791" s="2"/>
      <c r="H791" s="2"/>
      <c r="I791" s="2"/>
      <c r="J791" s="2"/>
      <c r="K791" s="2"/>
      <c r="L791" s="19"/>
      <c r="M791" s="19"/>
      <c r="N791" s="2"/>
      <c r="O791" s="2"/>
      <c r="P791" s="2"/>
      <c r="Q791" s="2"/>
      <c r="R791" s="2"/>
      <c r="S791" s="2"/>
      <c r="T791" s="2"/>
      <c r="U791" s="2"/>
      <c r="V791" s="2"/>
      <c r="W791" s="2"/>
      <c r="X791" s="2"/>
      <c r="Y791" s="2"/>
      <c r="Z791" s="2"/>
    </row>
    <row r="792" customFormat="false" ht="12" hidden="false" customHeight="true" outlineLevel="0" collapsed="false">
      <c r="A792" s="2"/>
      <c r="B792" s="19"/>
      <c r="C792" s="19"/>
      <c r="D792" s="2"/>
      <c r="E792" s="2"/>
      <c r="F792" s="2"/>
      <c r="G792" s="2"/>
      <c r="H792" s="2"/>
      <c r="I792" s="2"/>
      <c r="J792" s="2"/>
      <c r="K792" s="2"/>
      <c r="L792" s="19"/>
      <c r="M792" s="19"/>
      <c r="N792" s="2"/>
      <c r="O792" s="2"/>
      <c r="P792" s="2"/>
      <c r="Q792" s="2"/>
      <c r="R792" s="2"/>
      <c r="S792" s="2"/>
      <c r="T792" s="2"/>
      <c r="U792" s="2"/>
      <c r="V792" s="2"/>
      <c r="W792" s="2"/>
      <c r="X792" s="2"/>
      <c r="Y792" s="2"/>
      <c r="Z792" s="2"/>
    </row>
    <row r="793" customFormat="false" ht="12" hidden="false" customHeight="true" outlineLevel="0" collapsed="false">
      <c r="A793" s="2"/>
      <c r="B793" s="19"/>
      <c r="C793" s="19"/>
      <c r="D793" s="2"/>
      <c r="E793" s="2"/>
      <c r="F793" s="2"/>
      <c r="G793" s="2"/>
      <c r="H793" s="2"/>
      <c r="I793" s="2"/>
      <c r="J793" s="2"/>
      <c r="K793" s="2"/>
      <c r="L793" s="19"/>
      <c r="M793" s="19"/>
      <c r="N793" s="2"/>
      <c r="O793" s="2"/>
      <c r="P793" s="2"/>
      <c r="Q793" s="2"/>
      <c r="R793" s="2"/>
      <c r="S793" s="2"/>
      <c r="T793" s="2"/>
      <c r="U793" s="2"/>
      <c r="V793" s="2"/>
      <c r="W793" s="2"/>
      <c r="X793" s="2"/>
      <c r="Y793" s="2"/>
      <c r="Z793" s="2"/>
    </row>
    <row r="794" customFormat="false" ht="12" hidden="false" customHeight="true" outlineLevel="0" collapsed="false">
      <c r="A794" s="2"/>
      <c r="B794" s="19"/>
      <c r="C794" s="19"/>
      <c r="D794" s="2"/>
      <c r="E794" s="2"/>
      <c r="F794" s="2"/>
      <c r="G794" s="2"/>
      <c r="H794" s="2"/>
      <c r="I794" s="2"/>
      <c r="J794" s="2"/>
      <c r="K794" s="2"/>
      <c r="L794" s="19"/>
      <c r="M794" s="19"/>
      <c r="N794" s="2"/>
      <c r="O794" s="2"/>
      <c r="P794" s="2"/>
      <c r="Q794" s="2"/>
      <c r="R794" s="2"/>
      <c r="S794" s="2"/>
      <c r="T794" s="2"/>
      <c r="U794" s="2"/>
      <c r="V794" s="2"/>
      <c r="W794" s="2"/>
      <c r="X794" s="2"/>
      <c r="Y794" s="2"/>
      <c r="Z794" s="2"/>
    </row>
    <row r="795" customFormat="false" ht="12" hidden="false" customHeight="true" outlineLevel="0" collapsed="false">
      <c r="A795" s="2"/>
      <c r="B795" s="19"/>
      <c r="C795" s="19"/>
      <c r="D795" s="2"/>
      <c r="E795" s="2"/>
      <c r="F795" s="2"/>
      <c r="G795" s="2"/>
      <c r="H795" s="2"/>
      <c r="I795" s="2"/>
      <c r="J795" s="2"/>
      <c r="K795" s="2"/>
      <c r="L795" s="19"/>
      <c r="M795" s="19"/>
      <c r="N795" s="2"/>
      <c r="O795" s="2"/>
      <c r="P795" s="2"/>
      <c r="Q795" s="2"/>
      <c r="R795" s="2"/>
      <c r="S795" s="2"/>
      <c r="T795" s="2"/>
      <c r="U795" s="2"/>
      <c r="V795" s="2"/>
      <c r="W795" s="2"/>
      <c r="X795" s="2"/>
      <c r="Y795" s="2"/>
      <c r="Z795" s="2"/>
    </row>
    <row r="796" customFormat="false" ht="12" hidden="false" customHeight="true" outlineLevel="0" collapsed="false">
      <c r="A796" s="2"/>
      <c r="B796" s="19"/>
      <c r="C796" s="19"/>
      <c r="D796" s="2"/>
      <c r="E796" s="2"/>
      <c r="F796" s="2"/>
      <c r="G796" s="2"/>
      <c r="H796" s="2"/>
      <c r="I796" s="2"/>
      <c r="J796" s="2"/>
      <c r="K796" s="2"/>
      <c r="L796" s="19"/>
      <c r="M796" s="19"/>
      <c r="N796" s="2"/>
      <c r="O796" s="2"/>
      <c r="P796" s="2"/>
      <c r="Q796" s="2"/>
      <c r="R796" s="2"/>
      <c r="S796" s="2"/>
      <c r="T796" s="2"/>
      <c r="U796" s="2"/>
      <c r="V796" s="2"/>
      <c r="W796" s="2"/>
      <c r="X796" s="2"/>
      <c r="Y796" s="2"/>
      <c r="Z796" s="2"/>
    </row>
    <row r="797" customFormat="false" ht="12" hidden="false" customHeight="true" outlineLevel="0" collapsed="false">
      <c r="A797" s="2"/>
      <c r="B797" s="19"/>
      <c r="C797" s="19"/>
      <c r="D797" s="2"/>
      <c r="E797" s="2"/>
      <c r="F797" s="2"/>
      <c r="G797" s="2"/>
      <c r="H797" s="2"/>
      <c r="I797" s="2"/>
      <c r="J797" s="2"/>
      <c r="K797" s="2"/>
      <c r="L797" s="19"/>
      <c r="M797" s="19"/>
      <c r="N797" s="2"/>
      <c r="O797" s="2"/>
      <c r="P797" s="2"/>
      <c r="Q797" s="2"/>
      <c r="R797" s="2"/>
      <c r="S797" s="2"/>
      <c r="T797" s="2"/>
      <c r="U797" s="2"/>
      <c r="V797" s="2"/>
      <c r="W797" s="2"/>
      <c r="X797" s="2"/>
      <c r="Y797" s="2"/>
      <c r="Z797" s="2"/>
    </row>
    <row r="798" customFormat="false" ht="12" hidden="false" customHeight="true" outlineLevel="0" collapsed="false">
      <c r="A798" s="2"/>
      <c r="B798" s="19"/>
      <c r="C798" s="19"/>
      <c r="D798" s="2"/>
      <c r="E798" s="2"/>
      <c r="F798" s="2"/>
      <c r="G798" s="2"/>
      <c r="H798" s="2"/>
      <c r="I798" s="2"/>
      <c r="J798" s="2"/>
      <c r="K798" s="2"/>
      <c r="L798" s="19"/>
      <c r="M798" s="19"/>
      <c r="N798" s="2"/>
      <c r="O798" s="2"/>
      <c r="P798" s="2"/>
      <c r="Q798" s="2"/>
      <c r="R798" s="2"/>
      <c r="S798" s="2"/>
      <c r="T798" s="2"/>
      <c r="U798" s="2"/>
      <c r="V798" s="2"/>
      <c r="W798" s="2"/>
      <c r="X798" s="2"/>
      <c r="Y798" s="2"/>
      <c r="Z798" s="2"/>
    </row>
    <row r="799" customFormat="false" ht="12" hidden="false" customHeight="true" outlineLevel="0" collapsed="false">
      <c r="A799" s="2"/>
      <c r="B799" s="19"/>
      <c r="C799" s="19"/>
      <c r="D799" s="2"/>
      <c r="E799" s="2"/>
      <c r="F799" s="2"/>
      <c r="G799" s="2"/>
      <c r="H799" s="2"/>
      <c r="I799" s="2"/>
      <c r="J799" s="2"/>
      <c r="K799" s="2"/>
      <c r="L799" s="19"/>
      <c r="M799" s="19"/>
      <c r="N799" s="2"/>
      <c r="O799" s="2"/>
      <c r="P799" s="2"/>
      <c r="Q799" s="2"/>
      <c r="R799" s="2"/>
      <c r="S799" s="2"/>
      <c r="T799" s="2"/>
      <c r="U799" s="2"/>
      <c r="V799" s="2"/>
      <c r="W799" s="2"/>
      <c r="X799" s="2"/>
      <c r="Y799" s="2"/>
      <c r="Z799" s="2"/>
    </row>
    <row r="800" customFormat="false" ht="12" hidden="false" customHeight="true" outlineLevel="0" collapsed="false">
      <c r="A800" s="2"/>
      <c r="B800" s="19"/>
      <c r="C800" s="19"/>
      <c r="D800" s="2"/>
      <c r="E800" s="2"/>
      <c r="F800" s="2"/>
      <c r="G800" s="2"/>
      <c r="H800" s="2"/>
      <c r="I800" s="2"/>
      <c r="J800" s="2"/>
      <c r="K800" s="2"/>
      <c r="L800" s="19"/>
      <c r="M800" s="19"/>
      <c r="N800" s="2"/>
      <c r="O800" s="2"/>
      <c r="P800" s="2"/>
      <c r="Q800" s="2"/>
      <c r="R800" s="2"/>
      <c r="S800" s="2"/>
      <c r="T800" s="2"/>
      <c r="U800" s="2"/>
      <c r="V800" s="2"/>
      <c r="W800" s="2"/>
      <c r="X800" s="2"/>
      <c r="Y800" s="2"/>
      <c r="Z800" s="2"/>
    </row>
    <row r="801" customFormat="false" ht="12" hidden="false" customHeight="true" outlineLevel="0" collapsed="false">
      <c r="A801" s="2"/>
      <c r="B801" s="19"/>
      <c r="C801" s="19"/>
      <c r="D801" s="2"/>
      <c r="E801" s="2"/>
      <c r="F801" s="2"/>
      <c r="G801" s="2"/>
      <c r="H801" s="2"/>
      <c r="I801" s="2"/>
      <c r="J801" s="2"/>
      <c r="K801" s="2"/>
      <c r="L801" s="19"/>
      <c r="M801" s="19"/>
      <c r="N801" s="2"/>
      <c r="O801" s="2"/>
      <c r="P801" s="2"/>
      <c r="Q801" s="2"/>
      <c r="R801" s="2"/>
      <c r="S801" s="2"/>
      <c r="T801" s="2"/>
      <c r="U801" s="2"/>
      <c r="V801" s="2"/>
      <c r="W801" s="2"/>
      <c r="X801" s="2"/>
      <c r="Y801" s="2"/>
      <c r="Z801" s="2"/>
    </row>
    <row r="802" customFormat="false" ht="12" hidden="false" customHeight="true" outlineLevel="0" collapsed="false">
      <c r="A802" s="2"/>
      <c r="B802" s="19"/>
      <c r="C802" s="19"/>
      <c r="D802" s="2"/>
      <c r="E802" s="2"/>
      <c r="F802" s="2"/>
      <c r="G802" s="2"/>
      <c r="H802" s="2"/>
      <c r="I802" s="2"/>
      <c r="J802" s="2"/>
      <c r="K802" s="2"/>
      <c r="L802" s="19"/>
      <c r="M802" s="19"/>
      <c r="N802" s="2"/>
      <c r="O802" s="2"/>
      <c r="P802" s="2"/>
      <c r="Q802" s="2"/>
      <c r="R802" s="2"/>
      <c r="S802" s="2"/>
      <c r="T802" s="2"/>
      <c r="U802" s="2"/>
      <c r="V802" s="2"/>
      <c r="W802" s="2"/>
      <c r="X802" s="2"/>
      <c r="Y802" s="2"/>
      <c r="Z802" s="2"/>
    </row>
    <row r="803" customFormat="false" ht="12" hidden="false" customHeight="true" outlineLevel="0" collapsed="false">
      <c r="A803" s="2"/>
      <c r="B803" s="19"/>
      <c r="C803" s="19"/>
      <c r="D803" s="2"/>
      <c r="E803" s="2"/>
      <c r="F803" s="2"/>
      <c r="G803" s="2"/>
      <c r="H803" s="2"/>
      <c r="I803" s="2"/>
      <c r="J803" s="2"/>
      <c r="K803" s="2"/>
      <c r="L803" s="19"/>
      <c r="M803" s="19"/>
      <c r="N803" s="2"/>
      <c r="O803" s="2"/>
      <c r="P803" s="2"/>
      <c r="Q803" s="2"/>
      <c r="R803" s="2"/>
      <c r="S803" s="2"/>
      <c r="T803" s="2"/>
      <c r="U803" s="2"/>
      <c r="V803" s="2"/>
      <c r="W803" s="2"/>
      <c r="X803" s="2"/>
      <c r="Y803" s="2"/>
      <c r="Z803" s="2"/>
    </row>
    <row r="804" customFormat="false" ht="12" hidden="false" customHeight="true" outlineLevel="0" collapsed="false">
      <c r="A804" s="2"/>
      <c r="B804" s="19"/>
      <c r="C804" s="19"/>
      <c r="D804" s="2"/>
      <c r="E804" s="2"/>
      <c r="F804" s="2"/>
      <c r="G804" s="2"/>
      <c r="H804" s="2"/>
      <c r="I804" s="2"/>
      <c r="J804" s="2"/>
      <c r="K804" s="2"/>
      <c r="L804" s="19"/>
      <c r="M804" s="19"/>
      <c r="N804" s="2"/>
      <c r="O804" s="2"/>
      <c r="P804" s="2"/>
      <c r="Q804" s="2"/>
      <c r="R804" s="2"/>
      <c r="S804" s="2"/>
      <c r="T804" s="2"/>
      <c r="U804" s="2"/>
      <c r="V804" s="2"/>
      <c r="W804" s="2"/>
      <c r="X804" s="2"/>
      <c r="Y804" s="2"/>
      <c r="Z804" s="2"/>
    </row>
    <row r="805" customFormat="false" ht="12" hidden="false" customHeight="true" outlineLevel="0" collapsed="false">
      <c r="A805" s="2"/>
      <c r="B805" s="19"/>
      <c r="C805" s="19"/>
      <c r="D805" s="2"/>
      <c r="E805" s="2"/>
      <c r="F805" s="2"/>
      <c r="G805" s="2"/>
      <c r="H805" s="2"/>
      <c r="I805" s="2"/>
      <c r="J805" s="2"/>
      <c r="K805" s="2"/>
      <c r="L805" s="19"/>
      <c r="M805" s="19"/>
      <c r="N805" s="2"/>
      <c r="O805" s="2"/>
      <c r="P805" s="2"/>
      <c r="Q805" s="2"/>
      <c r="R805" s="2"/>
      <c r="S805" s="2"/>
      <c r="T805" s="2"/>
      <c r="U805" s="2"/>
      <c r="V805" s="2"/>
      <c r="W805" s="2"/>
      <c r="X805" s="2"/>
      <c r="Y805" s="2"/>
      <c r="Z805" s="2"/>
    </row>
    <row r="806" customFormat="false" ht="12" hidden="false" customHeight="true" outlineLevel="0" collapsed="false">
      <c r="A806" s="2"/>
      <c r="B806" s="19"/>
      <c r="C806" s="19"/>
      <c r="D806" s="2"/>
      <c r="E806" s="2"/>
      <c r="F806" s="2"/>
      <c r="G806" s="2"/>
      <c r="H806" s="2"/>
      <c r="I806" s="2"/>
      <c r="J806" s="2"/>
      <c r="K806" s="2"/>
      <c r="L806" s="19"/>
      <c r="M806" s="19"/>
      <c r="N806" s="2"/>
      <c r="O806" s="2"/>
      <c r="P806" s="2"/>
      <c r="Q806" s="2"/>
      <c r="R806" s="2"/>
      <c r="S806" s="2"/>
      <c r="T806" s="2"/>
      <c r="U806" s="2"/>
      <c r="V806" s="2"/>
      <c r="W806" s="2"/>
      <c r="X806" s="2"/>
      <c r="Y806" s="2"/>
      <c r="Z806" s="2"/>
    </row>
    <row r="807" customFormat="false" ht="12" hidden="false" customHeight="true" outlineLevel="0" collapsed="false">
      <c r="A807" s="2"/>
      <c r="B807" s="19"/>
      <c r="C807" s="19"/>
      <c r="D807" s="2"/>
      <c r="E807" s="2"/>
      <c r="F807" s="2"/>
      <c r="G807" s="2"/>
      <c r="H807" s="2"/>
      <c r="I807" s="2"/>
      <c r="J807" s="2"/>
      <c r="K807" s="2"/>
      <c r="L807" s="19"/>
      <c r="M807" s="19"/>
      <c r="N807" s="2"/>
      <c r="O807" s="2"/>
      <c r="P807" s="2"/>
      <c r="Q807" s="2"/>
      <c r="R807" s="2"/>
      <c r="S807" s="2"/>
      <c r="T807" s="2"/>
      <c r="U807" s="2"/>
      <c r="V807" s="2"/>
      <c r="W807" s="2"/>
      <c r="X807" s="2"/>
      <c r="Y807" s="2"/>
      <c r="Z807" s="2"/>
    </row>
    <row r="808" customFormat="false" ht="12" hidden="false" customHeight="true" outlineLevel="0" collapsed="false">
      <c r="A808" s="2"/>
      <c r="B808" s="19"/>
      <c r="C808" s="19"/>
      <c r="D808" s="2"/>
      <c r="E808" s="2"/>
      <c r="F808" s="2"/>
      <c r="G808" s="2"/>
      <c r="H808" s="2"/>
      <c r="I808" s="2"/>
      <c r="J808" s="2"/>
      <c r="K808" s="2"/>
      <c r="L808" s="19"/>
      <c r="M808" s="19"/>
      <c r="N808" s="2"/>
      <c r="O808" s="2"/>
      <c r="P808" s="2"/>
      <c r="Q808" s="2"/>
      <c r="R808" s="2"/>
      <c r="S808" s="2"/>
      <c r="T808" s="2"/>
      <c r="U808" s="2"/>
      <c r="V808" s="2"/>
      <c r="W808" s="2"/>
      <c r="X808" s="2"/>
      <c r="Y808" s="2"/>
      <c r="Z808" s="2"/>
    </row>
    <row r="809" customFormat="false" ht="12" hidden="false" customHeight="true" outlineLevel="0" collapsed="false">
      <c r="A809" s="2"/>
      <c r="B809" s="19"/>
      <c r="C809" s="19"/>
      <c r="D809" s="2"/>
      <c r="E809" s="2"/>
      <c r="F809" s="2"/>
      <c r="G809" s="2"/>
      <c r="H809" s="2"/>
      <c r="I809" s="2"/>
      <c r="J809" s="2"/>
      <c r="K809" s="2"/>
      <c r="L809" s="19"/>
      <c r="M809" s="19"/>
      <c r="N809" s="2"/>
      <c r="O809" s="2"/>
      <c r="P809" s="2"/>
      <c r="Q809" s="2"/>
      <c r="R809" s="2"/>
      <c r="S809" s="2"/>
      <c r="T809" s="2"/>
      <c r="U809" s="2"/>
      <c r="V809" s="2"/>
      <c r="W809" s="2"/>
      <c r="X809" s="2"/>
      <c r="Y809" s="2"/>
      <c r="Z809" s="2"/>
    </row>
    <row r="810" customFormat="false" ht="12" hidden="false" customHeight="true" outlineLevel="0" collapsed="false">
      <c r="A810" s="2"/>
      <c r="B810" s="19"/>
      <c r="C810" s="19"/>
      <c r="D810" s="2"/>
      <c r="E810" s="2"/>
      <c r="F810" s="2"/>
      <c r="G810" s="2"/>
      <c r="H810" s="2"/>
      <c r="I810" s="2"/>
      <c r="J810" s="2"/>
      <c r="K810" s="2"/>
      <c r="L810" s="19"/>
      <c r="M810" s="19"/>
      <c r="N810" s="2"/>
      <c r="O810" s="2"/>
      <c r="P810" s="2"/>
      <c r="Q810" s="2"/>
      <c r="R810" s="2"/>
      <c r="S810" s="2"/>
      <c r="T810" s="2"/>
      <c r="U810" s="2"/>
      <c r="V810" s="2"/>
      <c r="W810" s="2"/>
      <c r="X810" s="2"/>
      <c r="Y810" s="2"/>
      <c r="Z810" s="2"/>
    </row>
    <row r="811" customFormat="false" ht="12" hidden="false" customHeight="true" outlineLevel="0" collapsed="false">
      <c r="A811" s="2"/>
      <c r="B811" s="19"/>
      <c r="C811" s="19"/>
      <c r="D811" s="2"/>
      <c r="E811" s="2"/>
      <c r="F811" s="2"/>
      <c r="G811" s="2"/>
      <c r="H811" s="2"/>
      <c r="I811" s="2"/>
      <c r="J811" s="2"/>
      <c r="K811" s="2"/>
      <c r="L811" s="19"/>
      <c r="M811" s="19"/>
      <c r="N811" s="2"/>
      <c r="O811" s="2"/>
      <c r="P811" s="2"/>
      <c r="Q811" s="2"/>
      <c r="R811" s="2"/>
      <c r="S811" s="2"/>
      <c r="T811" s="2"/>
      <c r="U811" s="2"/>
      <c r="V811" s="2"/>
      <c r="W811" s="2"/>
      <c r="X811" s="2"/>
      <c r="Y811" s="2"/>
      <c r="Z811" s="2"/>
    </row>
    <row r="812" customFormat="false" ht="12" hidden="false" customHeight="true" outlineLevel="0" collapsed="false">
      <c r="A812" s="2"/>
      <c r="B812" s="19"/>
      <c r="C812" s="19"/>
      <c r="D812" s="2"/>
      <c r="E812" s="2"/>
      <c r="F812" s="2"/>
      <c r="G812" s="2"/>
      <c r="H812" s="2"/>
      <c r="I812" s="2"/>
      <c r="J812" s="2"/>
      <c r="K812" s="2"/>
      <c r="L812" s="19"/>
      <c r="M812" s="19"/>
      <c r="N812" s="2"/>
      <c r="O812" s="2"/>
      <c r="P812" s="2"/>
      <c r="Q812" s="2"/>
      <c r="R812" s="2"/>
      <c r="S812" s="2"/>
      <c r="T812" s="2"/>
      <c r="U812" s="2"/>
      <c r="V812" s="2"/>
      <c r="W812" s="2"/>
      <c r="X812" s="2"/>
      <c r="Y812" s="2"/>
      <c r="Z812" s="2"/>
    </row>
    <row r="813" customFormat="false" ht="12" hidden="false" customHeight="true" outlineLevel="0" collapsed="false">
      <c r="A813" s="2"/>
      <c r="B813" s="19"/>
      <c r="C813" s="19"/>
      <c r="D813" s="2"/>
      <c r="E813" s="2"/>
      <c r="F813" s="2"/>
      <c r="G813" s="2"/>
      <c r="H813" s="2"/>
      <c r="I813" s="2"/>
      <c r="J813" s="2"/>
      <c r="K813" s="2"/>
      <c r="L813" s="19"/>
      <c r="M813" s="19"/>
      <c r="N813" s="2"/>
      <c r="O813" s="2"/>
      <c r="P813" s="2"/>
      <c r="Q813" s="2"/>
      <c r="R813" s="2"/>
      <c r="S813" s="2"/>
      <c r="T813" s="2"/>
      <c r="U813" s="2"/>
      <c r="V813" s="2"/>
      <c r="W813" s="2"/>
      <c r="X813" s="2"/>
      <c r="Y813" s="2"/>
      <c r="Z813" s="2"/>
    </row>
    <row r="814" customFormat="false" ht="12" hidden="false" customHeight="true" outlineLevel="0" collapsed="false">
      <c r="A814" s="2"/>
      <c r="B814" s="19"/>
      <c r="C814" s="19"/>
      <c r="D814" s="2"/>
      <c r="E814" s="2"/>
      <c r="F814" s="2"/>
      <c r="G814" s="2"/>
      <c r="H814" s="2"/>
      <c r="I814" s="2"/>
      <c r="J814" s="2"/>
      <c r="K814" s="2"/>
      <c r="L814" s="19"/>
      <c r="M814" s="19"/>
      <c r="N814" s="2"/>
      <c r="O814" s="2"/>
      <c r="P814" s="2"/>
      <c r="Q814" s="2"/>
      <c r="R814" s="2"/>
      <c r="S814" s="2"/>
      <c r="T814" s="2"/>
      <c r="U814" s="2"/>
      <c r="V814" s="2"/>
      <c r="W814" s="2"/>
      <c r="X814" s="2"/>
      <c r="Y814" s="2"/>
      <c r="Z814" s="2"/>
    </row>
    <row r="815" customFormat="false" ht="12" hidden="false" customHeight="true" outlineLevel="0" collapsed="false">
      <c r="A815" s="2"/>
      <c r="B815" s="19"/>
      <c r="C815" s="19"/>
      <c r="D815" s="2"/>
      <c r="E815" s="2"/>
      <c r="F815" s="2"/>
      <c r="G815" s="2"/>
      <c r="H815" s="2"/>
      <c r="I815" s="2"/>
      <c r="J815" s="2"/>
      <c r="K815" s="2"/>
      <c r="L815" s="19"/>
      <c r="M815" s="19"/>
      <c r="N815" s="2"/>
      <c r="O815" s="2"/>
      <c r="P815" s="2"/>
      <c r="Q815" s="2"/>
      <c r="R815" s="2"/>
      <c r="S815" s="2"/>
      <c r="T815" s="2"/>
      <c r="U815" s="2"/>
      <c r="V815" s="2"/>
      <c r="W815" s="2"/>
      <c r="X815" s="2"/>
      <c r="Y815" s="2"/>
      <c r="Z815" s="2"/>
    </row>
    <row r="816" customFormat="false" ht="12" hidden="false" customHeight="true" outlineLevel="0" collapsed="false">
      <c r="A816" s="2"/>
      <c r="B816" s="19"/>
      <c r="C816" s="19"/>
      <c r="D816" s="2"/>
      <c r="E816" s="2"/>
      <c r="F816" s="2"/>
      <c r="G816" s="2"/>
      <c r="H816" s="2"/>
      <c r="I816" s="2"/>
      <c r="J816" s="2"/>
      <c r="K816" s="2"/>
      <c r="L816" s="19"/>
      <c r="M816" s="19"/>
      <c r="N816" s="2"/>
      <c r="O816" s="2"/>
      <c r="P816" s="2"/>
      <c r="Q816" s="2"/>
      <c r="R816" s="2"/>
      <c r="S816" s="2"/>
      <c r="T816" s="2"/>
      <c r="U816" s="2"/>
      <c r="V816" s="2"/>
      <c r="W816" s="2"/>
      <c r="X816" s="2"/>
      <c r="Y816" s="2"/>
      <c r="Z816" s="2"/>
    </row>
    <row r="817" customFormat="false" ht="12" hidden="false" customHeight="true" outlineLevel="0" collapsed="false">
      <c r="A817" s="2"/>
      <c r="B817" s="19"/>
      <c r="C817" s="19"/>
      <c r="D817" s="2"/>
      <c r="E817" s="2"/>
      <c r="F817" s="2"/>
      <c r="G817" s="2"/>
      <c r="H817" s="2"/>
      <c r="I817" s="2"/>
      <c r="J817" s="2"/>
      <c r="K817" s="2"/>
      <c r="L817" s="19"/>
      <c r="M817" s="19"/>
      <c r="N817" s="2"/>
      <c r="O817" s="2"/>
      <c r="P817" s="2"/>
      <c r="Q817" s="2"/>
      <c r="R817" s="2"/>
      <c r="S817" s="2"/>
      <c r="T817" s="2"/>
      <c r="U817" s="2"/>
      <c r="V817" s="2"/>
      <c r="W817" s="2"/>
      <c r="X817" s="2"/>
      <c r="Y817" s="2"/>
      <c r="Z817" s="2"/>
    </row>
    <row r="818" customFormat="false" ht="12" hidden="false" customHeight="true" outlineLevel="0" collapsed="false">
      <c r="A818" s="2"/>
      <c r="B818" s="19"/>
      <c r="C818" s="19"/>
      <c r="D818" s="2"/>
      <c r="E818" s="2"/>
      <c r="F818" s="2"/>
      <c r="G818" s="2"/>
      <c r="H818" s="2"/>
      <c r="I818" s="2"/>
      <c r="J818" s="2"/>
      <c r="K818" s="2"/>
      <c r="L818" s="19"/>
      <c r="M818" s="19"/>
      <c r="N818" s="2"/>
      <c r="O818" s="2"/>
      <c r="P818" s="2"/>
      <c r="Q818" s="2"/>
      <c r="R818" s="2"/>
      <c r="S818" s="2"/>
      <c r="T818" s="2"/>
      <c r="U818" s="2"/>
      <c r="V818" s="2"/>
      <c r="W818" s="2"/>
      <c r="X818" s="2"/>
      <c r="Y818" s="2"/>
      <c r="Z818" s="2"/>
    </row>
    <row r="819" customFormat="false" ht="12" hidden="false" customHeight="true" outlineLevel="0" collapsed="false">
      <c r="A819" s="2"/>
      <c r="B819" s="19"/>
      <c r="C819" s="19"/>
      <c r="D819" s="2"/>
      <c r="E819" s="2"/>
      <c r="F819" s="2"/>
      <c r="G819" s="2"/>
      <c r="H819" s="2"/>
      <c r="I819" s="2"/>
      <c r="J819" s="2"/>
      <c r="K819" s="2"/>
      <c r="L819" s="19"/>
      <c r="M819" s="19"/>
      <c r="N819" s="2"/>
      <c r="O819" s="2"/>
      <c r="P819" s="2"/>
      <c r="Q819" s="2"/>
      <c r="R819" s="2"/>
      <c r="S819" s="2"/>
      <c r="T819" s="2"/>
      <c r="U819" s="2"/>
      <c r="V819" s="2"/>
      <c r="W819" s="2"/>
      <c r="X819" s="2"/>
      <c r="Y819" s="2"/>
      <c r="Z819" s="2"/>
    </row>
    <row r="820" customFormat="false" ht="12" hidden="false" customHeight="true" outlineLevel="0" collapsed="false">
      <c r="A820" s="2"/>
      <c r="B820" s="19"/>
      <c r="C820" s="19"/>
      <c r="D820" s="2"/>
      <c r="E820" s="2"/>
      <c r="F820" s="2"/>
      <c r="G820" s="2"/>
      <c r="H820" s="2"/>
      <c r="I820" s="2"/>
      <c r="J820" s="2"/>
      <c r="K820" s="2"/>
      <c r="L820" s="19"/>
      <c r="M820" s="19"/>
      <c r="N820" s="2"/>
      <c r="O820" s="2"/>
      <c r="P820" s="2"/>
      <c r="Q820" s="2"/>
      <c r="R820" s="2"/>
      <c r="S820" s="2"/>
      <c r="T820" s="2"/>
      <c r="U820" s="2"/>
      <c r="V820" s="2"/>
      <c r="W820" s="2"/>
      <c r="X820" s="2"/>
      <c r="Y820" s="2"/>
      <c r="Z820" s="2"/>
    </row>
    <row r="821" customFormat="false" ht="12" hidden="false" customHeight="true" outlineLevel="0" collapsed="false">
      <c r="A821" s="2"/>
      <c r="B821" s="19"/>
      <c r="C821" s="19"/>
      <c r="D821" s="2"/>
      <c r="E821" s="2"/>
      <c r="F821" s="2"/>
      <c r="G821" s="2"/>
      <c r="H821" s="2"/>
      <c r="I821" s="2"/>
      <c r="J821" s="2"/>
      <c r="K821" s="2"/>
      <c r="L821" s="19"/>
      <c r="M821" s="19"/>
      <c r="N821" s="2"/>
      <c r="O821" s="2"/>
      <c r="P821" s="2"/>
      <c r="Q821" s="2"/>
      <c r="R821" s="2"/>
      <c r="S821" s="2"/>
      <c r="T821" s="2"/>
      <c r="U821" s="2"/>
      <c r="V821" s="2"/>
      <c r="W821" s="2"/>
      <c r="X821" s="2"/>
      <c r="Y821" s="2"/>
      <c r="Z821" s="2"/>
    </row>
    <row r="822" customFormat="false" ht="12" hidden="false" customHeight="true" outlineLevel="0" collapsed="false">
      <c r="A822" s="2"/>
      <c r="B822" s="19"/>
      <c r="C822" s="19"/>
      <c r="D822" s="2"/>
      <c r="E822" s="2"/>
      <c r="F822" s="2"/>
      <c r="G822" s="2"/>
      <c r="H822" s="2"/>
      <c r="I822" s="2"/>
      <c r="J822" s="2"/>
      <c r="K822" s="2"/>
      <c r="L822" s="19"/>
      <c r="M822" s="19"/>
      <c r="N822" s="2"/>
      <c r="O822" s="2"/>
      <c r="P822" s="2"/>
      <c r="Q822" s="2"/>
      <c r="R822" s="2"/>
      <c r="S822" s="2"/>
      <c r="T822" s="2"/>
      <c r="U822" s="2"/>
      <c r="V822" s="2"/>
      <c r="W822" s="2"/>
      <c r="X822" s="2"/>
      <c r="Y822" s="2"/>
      <c r="Z822" s="2"/>
    </row>
    <row r="823" customFormat="false" ht="12" hidden="false" customHeight="true" outlineLevel="0" collapsed="false">
      <c r="A823" s="2"/>
      <c r="B823" s="19"/>
      <c r="C823" s="19"/>
      <c r="D823" s="2"/>
      <c r="E823" s="2"/>
      <c r="F823" s="2"/>
      <c r="G823" s="2"/>
      <c r="H823" s="2"/>
      <c r="I823" s="2"/>
      <c r="J823" s="2"/>
      <c r="K823" s="2"/>
      <c r="L823" s="19"/>
      <c r="M823" s="19"/>
      <c r="N823" s="2"/>
      <c r="O823" s="2"/>
      <c r="P823" s="2"/>
      <c r="Q823" s="2"/>
      <c r="R823" s="2"/>
      <c r="S823" s="2"/>
      <c r="T823" s="2"/>
      <c r="U823" s="2"/>
      <c r="V823" s="2"/>
      <c r="W823" s="2"/>
      <c r="X823" s="2"/>
      <c r="Y823" s="2"/>
      <c r="Z823" s="2"/>
    </row>
    <row r="824" customFormat="false" ht="12" hidden="false" customHeight="true" outlineLevel="0" collapsed="false">
      <c r="A824" s="2"/>
      <c r="B824" s="19"/>
      <c r="C824" s="19"/>
      <c r="D824" s="2"/>
      <c r="E824" s="2"/>
      <c r="F824" s="2"/>
      <c r="G824" s="2"/>
      <c r="H824" s="2"/>
      <c r="I824" s="2"/>
      <c r="J824" s="2"/>
      <c r="K824" s="2"/>
      <c r="L824" s="19"/>
      <c r="M824" s="19"/>
      <c r="N824" s="2"/>
      <c r="O824" s="2"/>
      <c r="P824" s="2"/>
      <c r="Q824" s="2"/>
      <c r="R824" s="2"/>
      <c r="S824" s="2"/>
      <c r="T824" s="2"/>
      <c r="U824" s="2"/>
      <c r="V824" s="2"/>
      <c r="W824" s="2"/>
      <c r="X824" s="2"/>
      <c r="Y824" s="2"/>
      <c r="Z824" s="2"/>
    </row>
    <row r="825" customFormat="false" ht="12" hidden="false" customHeight="true" outlineLevel="0" collapsed="false">
      <c r="A825" s="2"/>
      <c r="B825" s="19"/>
      <c r="C825" s="19"/>
      <c r="D825" s="2"/>
      <c r="E825" s="2"/>
      <c r="F825" s="2"/>
      <c r="G825" s="2"/>
      <c r="H825" s="2"/>
      <c r="I825" s="2"/>
      <c r="J825" s="2"/>
      <c r="K825" s="2"/>
      <c r="L825" s="19"/>
      <c r="M825" s="19"/>
      <c r="N825" s="2"/>
      <c r="O825" s="2"/>
      <c r="P825" s="2"/>
      <c r="Q825" s="2"/>
      <c r="R825" s="2"/>
      <c r="S825" s="2"/>
      <c r="T825" s="2"/>
      <c r="U825" s="2"/>
      <c r="V825" s="2"/>
      <c r="W825" s="2"/>
      <c r="X825" s="2"/>
      <c r="Y825" s="2"/>
      <c r="Z825" s="2"/>
    </row>
    <row r="826" customFormat="false" ht="12" hidden="false" customHeight="true" outlineLevel="0" collapsed="false">
      <c r="A826" s="2"/>
      <c r="B826" s="19"/>
      <c r="C826" s="19"/>
      <c r="D826" s="2"/>
      <c r="E826" s="2"/>
      <c r="F826" s="2"/>
      <c r="G826" s="2"/>
      <c r="H826" s="2"/>
      <c r="I826" s="2"/>
      <c r="J826" s="2"/>
      <c r="K826" s="2"/>
      <c r="L826" s="19"/>
      <c r="M826" s="19"/>
      <c r="N826" s="2"/>
      <c r="O826" s="2"/>
      <c r="P826" s="2"/>
      <c r="Q826" s="2"/>
      <c r="R826" s="2"/>
      <c r="S826" s="2"/>
      <c r="T826" s="2"/>
      <c r="U826" s="2"/>
      <c r="V826" s="2"/>
      <c r="W826" s="2"/>
      <c r="X826" s="2"/>
      <c r="Y826" s="2"/>
      <c r="Z826" s="2"/>
    </row>
    <row r="827" customFormat="false" ht="12" hidden="false" customHeight="true" outlineLevel="0" collapsed="false">
      <c r="A827" s="2"/>
      <c r="B827" s="19"/>
      <c r="C827" s="19"/>
      <c r="D827" s="2"/>
      <c r="E827" s="2"/>
      <c r="F827" s="2"/>
      <c r="G827" s="2"/>
      <c r="H827" s="2"/>
      <c r="I827" s="2"/>
      <c r="J827" s="2"/>
      <c r="K827" s="2"/>
      <c r="L827" s="19"/>
      <c r="M827" s="19"/>
      <c r="N827" s="2"/>
      <c r="O827" s="2"/>
      <c r="P827" s="2"/>
      <c r="Q827" s="2"/>
      <c r="R827" s="2"/>
      <c r="S827" s="2"/>
      <c r="T827" s="2"/>
      <c r="U827" s="2"/>
      <c r="V827" s="2"/>
      <c r="W827" s="2"/>
      <c r="X827" s="2"/>
      <c r="Y827" s="2"/>
      <c r="Z827" s="2"/>
    </row>
    <row r="828" customFormat="false" ht="12" hidden="false" customHeight="true" outlineLevel="0" collapsed="false">
      <c r="A828" s="2"/>
      <c r="B828" s="19"/>
      <c r="C828" s="19"/>
      <c r="D828" s="2"/>
      <c r="E828" s="2"/>
      <c r="F828" s="2"/>
      <c r="G828" s="2"/>
      <c r="H828" s="2"/>
      <c r="I828" s="2"/>
      <c r="J828" s="2"/>
      <c r="K828" s="2"/>
      <c r="L828" s="19"/>
      <c r="M828" s="19"/>
      <c r="N828" s="2"/>
      <c r="O828" s="2"/>
      <c r="P828" s="2"/>
      <c r="Q828" s="2"/>
      <c r="R828" s="2"/>
      <c r="S828" s="2"/>
      <c r="T828" s="2"/>
      <c r="U828" s="2"/>
      <c r="V828" s="2"/>
      <c r="W828" s="2"/>
      <c r="X828" s="2"/>
      <c r="Y828" s="2"/>
      <c r="Z828" s="2"/>
    </row>
    <row r="829" customFormat="false" ht="12" hidden="false" customHeight="true" outlineLevel="0" collapsed="false">
      <c r="A829" s="2"/>
      <c r="B829" s="19"/>
      <c r="C829" s="19"/>
      <c r="D829" s="2"/>
      <c r="E829" s="2"/>
      <c r="F829" s="2"/>
      <c r="G829" s="2"/>
      <c r="H829" s="2"/>
      <c r="I829" s="2"/>
      <c r="J829" s="2"/>
      <c r="K829" s="2"/>
      <c r="L829" s="19"/>
      <c r="M829" s="19"/>
      <c r="N829" s="2"/>
      <c r="O829" s="2"/>
      <c r="P829" s="2"/>
      <c r="Q829" s="2"/>
      <c r="R829" s="2"/>
      <c r="S829" s="2"/>
      <c r="T829" s="2"/>
      <c r="U829" s="2"/>
      <c r="V829" s="2"/>
      <c r="W829" s="2"/>
      <c r="X829" s="2"/>
      <c r="Y829" s="2"/>
      <c r="Z829" s="2"/>
    </row>
    <row r="830" customFormat="false" ht="12" hidden="false" customHeight="true" outlineLevel="0" collapsed="false">
      <c r="A830" s="2"/>
      <c r="B830" s="19"/>
      <c r="C830" s="19"/>
      <c r="D830" s="2"/>
      <c r="E830" s="2"/>
      <c r="F830" s="2"/>
      <c r="G830" s="2"/>
      <c r="H830" s="2"/>
      <c r="I830" s="2"/>
      <c r="J830" s="2"/>
      <c r="K830" s="2"/>
      <c r="L830" s="19"/>
      <c r="M830" s="19"/>
      <c r="N830" s="2"/>
      <c r="O830" s="2"/>
      <c r="P830" s="2"/>
      <c r="Q830" s="2"/>
      <c r="R830" s="2"/>
      <c r="S830" s="2"/>
      <c r="T830" s="2"/>
      <c r="U830" s="2"/>
      <c r="V830" s="2"/>
      <c r="W830" s="2"/>
      <c r="X830" s="2"/>
      <c r="Y830" s="2"/>
      <c r="Z830" s="2"/>
    </row>
    <row r="831" customFormat="false" ht="12" hidden="false" customHeight="true" outlineLevel="0" collapsed="false">
      <c r="A831" s="2"/>
      <c r="B831" s="19"/>
      <c r="C831" s="19"/>
      <c r="D831" s="2"/>
      <c r="E831" s="2"/>
      <c r="F831" s="2"/>
      <c r="G831" s="2"/>
      <c r="H831" s="2"/>
      <c r="I831" s="2"/>
      <c r="J831" s="2"/>
      <c r="K831" s="2"/>
      <c r="L831" s="19"/>
      <c r="M831" s="19"/>
      <c r="N831" s="2"/>
      <c r="O831" s="2"/>
      <c r="P831" s="2"/>
      <c r="Q831" s="2"/>
      <c r="R831" s="2"/>
      <c r="S831" s="2"/>
      <c r="T831" s="2"/>
      <c r="U831" s="2"/>
      <c r="V831" s="2"/>
      <c r="W831" s="2"/>
      <c r="X831" s="2"/>
      <c r="Y831" s="2"/>
      <c r="Z831" s="2"/>
    </row>
    <row r="832" customFormat="false" ht="12" hidden="false" customHeight="true" outlineLevel="0" collapsed="false">
      <c r="A832" s="2"/>
      <c r="B832" s="19"/>
      <c r="C832" s="19"/>
      <c r="D832" s="2"/>
      <c r="E832" s="2"/>
      <c r="F832" s="2"/>
      <c r="G832" s="2"/>
      <c r="H832" s="2"/>
      <c r="I832" s="2"/>
      <c r="J832" s="2"/>
      <c r="K832" s="2"/>
      <c r="L832" s="19"/>
      <c r="M832" s="19"/>
      <c r="N832" s="2"/>
      <c r="O832" s="2"/>
      <c r="P832" s="2"/>
      <c r="Q832" s="2"/>
      <c r="R832" s="2"/>
      <c r="S832" s="2"/>
      <c r="T832" s="2"/>
      <c r="U832" s="2"/>
      <c r="V832" s="2"/>
      <c r="W832" s="2"/>
      <c r="X832" s="2"/>
      <c r="Y832" s="2"/>
      <c r="Z832" s="2"/>
    </row>
    <row r="833" customFormat="false" ht="12" hidden="false" customHeight="true" outlineLevel="0" collapsed="false">
      <c r="A833" s="2"/>
      <c r="B833" s="19"/>
      <c r="C833" s="19"/>
      <c r="D833" s="2"/>
      <c r="E833" s="2"/>
      <c r="F833" s="2"/>
      <c r="G833" s="2"/>
      <c r="H833" s="2"/>
      <c r="I833" s="2"/>
      <c r="J833" s="2"/>
      <c r="K833" s="2"/>
      <c r="L833" s="19"/>
      <c r="M833" s="19"/>
      <c r="N833" s="2"/>
      <c r="O833" s="2"/>
      <c r="P833" s="2"/>
      <c r="Q833" s="2"/>
      <c r="R833" s="2"/>
      <c r="S833" s="2"/>
      <c r="T833" s="2"/>
      <c r="U833" s="2"/>
      <c r="V833" s="2"/>
      <c r="W833" s="2"/>
      <c r="X833" s="2"/>
      <c r="Y833" s="2"/>
      <c r="Z833" s="2"/>
    </row>
    <row r="834" customFormat="false" ht="12" hidden="false" customHeight="true" outlineLevel="0" collapsed="false">
      <c r="A834" s="2"/>
      <c r="B834" s="19"/>
      <c r="C834" s="19"/>
      <c r="D834" s="2"/>
      <c r="E834" s="2"/>
      <c r="F834" s="2"/>
      <c r="G834" s="2"/>
      <c r="H834" s="2"/>
      <c r="I834" s="2"/>
      <c r="J834" s="2"/>
      <c r="K834" s="2"/>
      <c r="L834" s="19"/>
      <c r="M834" s="19"/>
      <c r="N834" s="2"/>
      <c r="O834" s="2"/>
      <c r="P834" s="2"/>
      <c r="Q834" s="2"/>
      <c r="R834" s="2"/>
      <c r="S834" s="2"/>
      <c r="T834" s="2"/>
      <c r="U834" s="2"/>
      <c r="V834" s="2"/>
      <c r="W834" s="2"/>
      <c r="X834" s="2"/>
      <c r="Y834" s="2"/>
      <c r="Z834" s="2"/>
    </row>
    <row r="835" customFormat="false" ht="12" hidden="false" customHeight="true" outlineLevel="0" collapsed="false">
      <c r="A835" s="2"/>
      <c r="B835" s="19"/>
      <c r="C835" s="19"/>
      <c r="D835" s="2"/>
      <c r="E835" s="2"/>
      <c r="F835" s="2"/>
      <c r="G835" s="2"/>
      <c r="H835" s="2"/>
      <c r="I835" s="2"/>
      <c r="J835" s="2"/>
      <c r="K835" s="2"/>
      <c r="L835" s="19"/>
      <c r="M835" s="19"/>
      <c r="N835" s="2"/>
      <c r="O835" s="2"/>
      <c r="P835" s="2"/>
      <c r="Q835" s="2"/>
      <c r="R835" s="2"/>
      <c r="S835" s="2"/>
      <c r="T835" s="2"/>
      <c r="U835" s="2"/>
      <c r="V835" s="2"/>
      <c r="W835" s="2"/>
      <c r="X835" s="2"/>
      <c r="Y835" s="2"/>
      <c r="Z835" s="2"/>
    </row>
    <row r="836" customFormat="false" ht="12" hidden="false" customHeight="true" outlineLevel="0" collapsed="false">
      <c r="A836" s="2"/>
      <c r="B836" s="19"/>
      <c r="C836" s="19"/>
      <c r="D836" s="2"/>
      <c r="E836" s="2"/>
      <c r="F836" s="2"/>
      <c r="G836" s="2"/>
      <c r="H836" s="2"/>
      <c r="I836" s="2"/>
      <c r="J836" s="2"/>
      <c r="K836" s="2"/>
      <c r="L836" s="19"/>
      <c r="M836" s="19"/>
      <c r="N836" s="2"/>
      <c r="O836" s="2"/>
      <c r="P836" s="2"/>
      <c r="Q836" s="2"/>
      <c r="R836" s="2"/>
      <c r="S836" s="2"/>
      <c r="T836" s="2"/>
      <c r="U836" s="2"/>
      <c r="V836" s="2"/>
      <c r="W836" s="2"/>
      <c r="X836" s="2"/>
      <c r="Y836" s="2"/>
      <c r="Z836" s="2"/>
    </row>
    <row r="837" customFormat="false" ht="12" hidden="false" customHeight="true" outlineLevel="0" collapsed="false">
      <c r="A837" s="2"/>
      <c r="B837" s="19"/>
      <c r="C837" s="19"/>
      <c r="D837" s="2"/>
      <c r="E837" s="2"/>
      <c r="F837" s="2"/>
      <c r="G837" s="2"/>
      <c r="H837" s="2"/>
      <c r="I837" s="2"/>
      <c r="J837" s="2"/>
      <c r="K837" s="2"/>
      <c r="L837" s="19"/>
      <c r="M837" s="19"/>
      <c r="N837" s="2"/>
      <c r="O837" s="2"/>
      <c r="P837" s="2"/>
      <c r="Q837" s="2"/>
      <c r="R837" s="2"/>
      <c r="S837" s="2"/>
      <c r="T837" s="2"/>
      <c r="U837" s="2"/>
      <c r="V837" s="2"/>
      <c r="W837" s="2"/>
      <c r="X837" s="2"/>
      <c r="Y837" s="2"/>
      <c r="Z837" s="2"/>
    </row>
    <row r="838" customFormat="false" ht="12" hidden="false" customHeight="true" outlineLevel="0" collapsed="false">
      <c r="A838" s="2"/>
      <c r="B838" s="19"/>
      <c r="C838" s="19"/>
      <c r="D838" s="2"/>
      <c r="E838" s="2"/>
      <c r="F838" s="2"/>
      <c r="G838" s="2"/>
      <c r="H838" s="2"/>
      <c r="I838" s="2"/>
      <c r="J838" s="2"/>
      <c r="K838" s="2"/>
      <c r="L838" s="19"/>
      <c r="M838" s="19"/>
      <c r="N838" s="2"/>
      <c r="O838" s="2"/>
      <c r="P838" s="2"/>
      <c r="Q838" s="2"/>
      <c r="R838" s="2"/>
      <c r="S838" s="2"/>
      <c r="T838" s="2"/>
      <c r="U838" s="2"/>
      <c r="V838" s="2"/>
      <c r="W838" s="2"/>
      <c r="X838" s="2"/>
      <c r="Y838" s="2"/>
      <c r="Z838" s="2"/>
    </row>
    <row r="839" customFormat="false" ht="12" hidden="false" customHeight="true" outlineLevel="0" collapsed="false">
      <c r="A839" s="2"/>
      <c r="B839" s="19"/>
      <c r="C839" s="19"/>
      <c r="D839" s="2"/>
      <c r="E839" s="2"/>
      <c r="F839" s="2"/>
      <c r="G839" s="2"/>
      <c r="H839" s="2"/>
      <c r="I839" s="2"/>
      <c r="J839" s="2"/>
      <c r="K839" s="2"/>
      <c r="L839" s="19"/>
      <c r="M839" s="19"/>
      <c r="N839" s="2"/>
      <c r="O839" s="2"/>
      <c r="P839" s="2"/>
      <c r="Q839" s="2"/>
      <c r="R839" s="2"/>
      <c r="S839" s="2"/>
      <c r="T839" s="2"/>
      <c r="U839" s="2"/>
      <c r="V839" s="2"/>
      <c r="W839" s="2"/>
      <c r="X839" s="2"/>
      <c r="Y839" s="2"/>
      <c r="Z839" s="2"/>
    </row>
    <row r="840" customFormat="false" ht="12" hidden="false" customHeight="true" outlineLevel="0" collapsed="false">
      <c r="A840" s="2"/>
      <c r="B840" s="19"/>
      <c r="C840" s="19"/>
      <c r="D840" s="2"/>
      <c r="E840" s="2"/>
      <c r="F840" s="2"/>
      <c r="G840" s="2"/>
      <c r="H840" s="2"/>
      <c r="I840" s="2"/>
      <c r="J840" s="2"/>
      <c r="K840" s="2"/>
      <c r="L840" s="19"/>
      <c r="M840" s="19"/>
      <c r="N840" s="2"/>
      <c r="O840" s="2"/>
      <c r="P840" s="2"/>
      <c r="Q840" s="2"/>
      <c r="R840" s="2"/>
      <c r="S840" s="2"/>
      <c r="T840" s="2"/>
      <c r="U840" s="2"/>
      <c r="V840" s="2"/>
      <c r="W840" s="2"/>
      <c r="X840" s="2"/>
      <c r="Y840" s="2"/>
      <c r="Z840" s="2"/>
    </row>
    <row r="841" customFormat="false" ht="12" hidden="false" customHeight="true" outlineLevel="0" collapsed="false">
      <c r="A841" s="2"/>
      <c r="B841" s="19"/>
      <c r="C841" s="19"/>
      <c r="D841" s="2"/>
      <c r="E841" s="2"/>
      <c r="F841" s="2"/>
      <c r="G841" s="2"/>
      <c r="H841" s="2"/>
      <c r="I841" s="2"/>
      <c r="J841" s="2"/>
      <c r="K841" s="2"/>
      <c r="L841" s="19"/>
      <c r="M841" s="19"/>
      <c r="N841" s="2"/>
      <c r="O841" s="2"/>
      <c r="P841" s="2"/>
      <c r="Q841" s="2"/>
      <c r="R841" s="2"/>
      <c r="S841" s="2"/>
      <c r="T841" s="2"/>
      <c r="U841" s="2"/>
      <c r="V841" s="2"/>
      <c r="W841" s="2"/>
      <c r="X841" s="2"/>
      <c r="Y841" s="2"/>
      <c r="Z841" s="2"/>
    </row>
    <row r="842" customFormat="false" ht="12" hidden="false" customHeight="true" outlineLevel="0" collapsed="false">
      <c r="A842" s="2"/>
      <c r="B842" s="19"/>
      <c r="C842" s="19"/>
      <c r="D842" s="2"/>
      <c r="E842" s="2"/>
      <c r="F842" s="2"/>
      <c r="G842" s="2"/>
      <c r="H842" s="2"/>
      <c r="I842" s="2"/>
      <c r="J842" s="2"/>
      <c r="K842" s="2"/>
      <c r="L842" s="19"/>
      <c r="M842" s="19"/>
      <c r="N842" s="2"/>
      <c r="O842" s="2"/>
      <c r="P842" s="2"/>
      <c r="Q842" s="2"/>
      <c r="R842" s="2"/>
      <c r="S842" s="2"/>
      <c r="T842" s="2"/>
      <c r="U842" s="2"/>
      <c r="V842" s="2"/>
      <c r="W842" s="2"/>
      <c r="X842" s="2"/>
      <c r="Y842" s="2"/>
      <c r="Z842" s="2"/>
    </row>
    <row r="843" customFormat="false" ht="12" hidden="false" customHeight="true" outlineLevel="0" collapsed="false">
      <c r="A843" s="2"/>
      <c r="B843" s="19"/>
      <c r="C843" s="19"/>
      <c r="D843" s="2"/>
      <c r="E843" s="2"/>
      <c r="F843" s="2"/>
      <c r="G843" s="2"/>
      <c r="H843" s="2"/>
      <c r="I843" s="2"/>
      <c r="J843" s="2"/>
      <c r="K843" s="2"/>
      <c r="L843" s="19"/>
      <c r="M843" s="19"/>
      <c r="N843" s="2"/>
      <c r="O843" s="2"/>
      <c r="P843" s="2"/>
      <c r="Q843" s="2"/>
      <c r="R843" s="2"/>
      <c r="S843" s="2"/>
      <c r="T843" s="2"/>
      <c r="U843" s="2"/>
      <c r="V843" s="2"/>
      <c r="W843" s="2"/>
      <c r="X843" s="2"/>
      <c r="Y843" s="2"/>
      <c r="Z843" s="2"/>
    </row>
    <row r="844" customFormat="false" ht="12" hidden="false" customHeight="true" outlineLevel="0" collapsed="false">
      <c r="A844" s="2"/>
      <c r="B844" s="19"/>
      <c r="C844" s="19"/>
      <c r="D844" s="2"/>
      <c r="E844" s="2"/>
      <c r="F844" s="2"/>
      <c r="G844" s="2"/>
      <c r="H844" s="2"/>
      <c r="I844" s="2"/>
      <c r="J844" s="2"/>
      <c r="K844" s="2"/>
      <c r="L844" s="19"/>
      <c r="M844" s="19"/>
      <c r="N844" s="2"/>
      <c r="O844" s="2"/>
      <c r="P844" s="2"/>
      <c r="Q844" s="2"/>
      <c r="R844" s="2"/>
      <c r="S844" s="2"/>
      <c r="T844" s="2"/>
      <c r="U844" s="2"/>
      <c r="V844" s="2"/>
      <c r="W844" s="2"/>
      <c r="X844" s="2"/>
      <c r="Y844" s="2"/>
      <c r="Z844" s="2"/>
    </row>
    <row r="845" customFormat="false" ht="12" hidden="false" customHeight="true" outlineLevel="0" collapsed="false">
      <c r="A845" s="2"/>
      <c r="B845" s="19"/>
      <c r="C845" s="19"/>
      <c r="D845" s="2"/>
      <c r="E845" s="2"/>
      <c r="F845" s="2"/>
      <c r="G845" s="2"/>
      <c r="H845" s="2"/>
      <c r="I845" s="2"/>
      <c r="J845" s="2"/>
      <c r="K845" s="2"/>
      <c r="L845" s="19"/>
      <c r="M845" s="19"/>
      <c r="N845" s="2"/>
      <c r="O845" s="2"/>
      <c r="P845" s="2"/>
      <c r="Q845" s="2"/>
      <c r="R845" s="2"/>
      <c r="S845" s="2"/>
      <c r="T845" s="2"/>
      <c r="U845" s="2"/>
      <c r="V845" s="2"/>
      <c r="W845" s="2"/>
      <c r="X845" s="2"/>
      <c r="Y845" s="2"/>
      <c r="Z845" s="2"/>
    </row>
    <row r="846" customFormat="false" ht="12" hidden="false" customHeight="true" outlineLevel="0" collapsed="false">
      <c r="A846" s="2"/>
      <c r="B846" s="19"/>
      <c r="C846" s="19"/>
      <c r="D846" s="2"/>
      <c r="E846" s="2"/>
      <c r="F846" s="2"/>
      <c r="G846" s="2"/>
      <c r="H846" s="2"/>
      <c r="I846" s="2"/>
      <c r="J846" s="2"/>
      <c r="K846" s="2"/>
      <c r="L846" s="19"/>
      <c r="M846" s="19"/>
      <c r="N846" s="2"/>
      <c r="O846" s="2"/>
      <c r="P846" s="2"/>
      <c r="Q846" s="2"/>
      <c r="R846" s="2"/>
      <c r="S846" s="2"/>
      <c r="T846" s="2"/>
      <c r="U846" s="2"/>
      <c r="V846" s="2"/>
      <c r="W846" s="2"/>
      <c r="X846" s="2"/>
      <c r="Y846" s="2"/>
      <c r="Z846" s="2"/>
    </row>
    <row r="847" customFormat="false" ht="12" hidden="false" customHeight="true" outlineLevel="0" collapsed="false">
      <c r="A847" s="2"/>
      <c r="B847" s="19"/>
      <c r="C847" s="19"/>
      <c r="D847" s="2"/>
      <c r="E847" s="2"/>
      <c r="F847" s="2"/>
      <c r="G847" s="2"/>
      <c r="H847" s="2"/>
      <c r="I847" s="2"/>
      <c r="J847" s="2"/>
      <c r="K847" s="2"/>
      <c r="L847" s="19"/>
      <c r="M847" s="19"/>
      <c r="N847" s="2"/>
      <c r="O847" s="2"/>
      <c r="P847" s="2"/>
      <c r="Q847" s="2"/>
      <c r="R847" s="2"/>
      <c r="S847" s="2"/>
      <c r="T847" s="2"/>
      <c r="U847" s="2"/>
      <c r="V847" s="2"/>
      <c r="W847" s="2"/>
      <c r="X847" s="2"/>
      <c r="Y847" s="2"/>
      <c r="Z847" s="2"/>
    </row>
    <row r="848" customFormat="false" ht="12" hidden="false" customHeight="true" outlineLevel="0" collapsed="false">
      <c r="A848" s="2"/>
      <c r="B848" s="19"/>
      <c r="C848" s="19"/>
      <c r="D848" s="2"/>
      <c r="E848" s="2"/>
      <c r="F848" s="2"/>
      <c r="G848" s="2"/>
      <c r="H848" s="2"/>
      <c r="I848" s="2"/>
      <c r="J848" s="2"/>
      <c r="K848" s="2"/>
      <c r="L848" s="19"/>
      <c r="M848" s="19"/>
      <c r="N848" s="2"/>
      <c r="O848" s="2"/>
      <c r="P848" s="2"/>
      <c r="Q848" s="2"/>
      <c r="R848" s="2"/>
      <c r="S848" s="2"/>
      <c r="T848" s="2"/>
      <c r="U848" s="2"/>
      <c r="V848" s="2"/>
      <c r="W848" s="2"/>
      <c r="X848" s="2"/>
      <c r="Y848" s="2"/>
      <c r="Z848" s="2"/>
    </row>
    <row r="849" customFormat="false" ht="12" hidden="false" customHeight="true" outlineLevel="0" collapsed="false">
      <c r="A849" s="2"/>
      <c r="B849" s="19"/>
      <c r="C849" s="19"/>
      <c r="D849" s="2"/>
      <c r="E849" s="2"/>
      <c r="F849" s="2"/>
      <c r="G849" s="2"/>
      <c r="H849" s="2"/>
      <c r="I849" s="2"/>
      <c r="J849" s="2"/>
      <c r="K849" s="2"/>
      <c r="L849" s="19"/>
      <c r="M849" s="19"/>
      <c r="N849" s="2"/>
      <c r="O849" s="2"/>
      <c r="P849" s="2"/>
      <c r="Q849" s="2"/>
      <c r="R849" s="2"/>
      <c r="S849" s="2"/>
      <c r="T849" s="2"/>
      <c r="U849" s="2"/>
      <c r="V849" s="2"/>
      <c r="W849" s="2"/>
      <c r="X849" s="2"/>
      <c r="Y849" s="2"/>
      <c r="Z849" s="2"/>
    </row>
    <row r="850" customFormat="false" ht="12" hidden="false" customHeight="true" outlineLevel="0" collapsed="false">
      <c r="A850" s="2"/>
      <c r="B850" s="19"/>
      <c r="C850" s="19"/>
      <c r="D850" s="2"/>
      <c r="E850" s="2"/>
      <c r="F850" s="2"/>
      <c r="G850" s="2"/>
      <c r="H850" s="2"/>
      <c r="I850" s="2"/>
      <c r="J850" s="2"/>
      <c r="K850" s="2"/>
      <c r="L850" s="19"/>
      <c r="M850" s="19"/>
      <c r="N850" s="2"/>
      <c r="O850" s="2"/>
      <c r="P850" s="2"/>
      <c r="Q850" s="2"/>
      <c r="R850" s="2"/>
      <c r="S850" s="2"/>
      <c r="T850" s="2"/>
      <c r="U850" s="2"/>
      <c r="V850" s="2"/>
      <c r="W850" s="2"/>
      <c r="X850" s="2"/>
      <c r="Y850" s="2"/>
      <c r="Z850" s="2"/>
    </row>
    <row r="851" customFormat="false" ht="12" hidden="false" customHeight="true" outlineLevel="0" collapsed="false">
      <c r="A851" s="2"/>
      <c r="B851" s="19"/>
      <c r="C851" s="19"/>
      <c r="D851" s="2"/>
      <c r="E851" s="2"/>
      <c r="F851" s="2"/>
      <c r="G851" s="2"/>
      <c r="H851" s="2"/>
      <c r="I851" s="2"/>
      <c r="J851" s="2"/>
      <c r="K851" s="2"/>
      <c r="L851" s="19"/>
      <c r="M851" s="19"/>
      <c r="N851" s="2"/>
      <c r="O851" s="2"/>
      <c r="P851" s="2"/>
      <c r="Q851" s="2"/>
      <c r="R851" s="2"/>
      <c r="S851" s="2"/>
      <c r="T851" s="2"/>
      <c r="U851" s="2"/>
      <c r="V851" s="2"/>
      <c r="W851" s="2"/>
      <c r="X851" s="2"/>
      <c r="Y851" s="2"/>
      <c r="Z851" s="2"/>
    </row>
    <row r="852" customFormat="false" ht="12" hidden="false" customHeight="true" outlineLevel="0" collapsed="false">
      <c r="A852" s="2"/>
      <c r="B852" s="19"/>
      <c r="C852" s="19"/>
      <c r="D852" s="2"/>
      <c r="E852" s="2"/>
      <c r="F852" s="2"/>
      <c r="G852" s="2"/>
      <c r="H852" s="2"/>
      <c r="I852" s="2"/>
      <c r="J852" s="2"/>
      <c r="K852" s="2"/>
      <c r="L852" s="19"/>
      <c r="M852" s="19"/>
      <c r="N852" s="2"/>
      <c r="O852" s="2"/>
      <c r="P852" s="2"/>
      <c r="Q852" s="2"/>
      <c r="R852" s="2"/>
      <c r="S852" s="2"/>
      <c r="T852" s="2"/>
      <c r="U852" s="2"/>
      <c r="V852" s="2"/>
      <c r="W852" s="2"/>
      <c r="X852" s="2"/>
      <c r="Y852" s="2"/>
      <c r="Z852" s="2"/>
    </row>
    <row r="853" customFormat="false" ht="12" hidden="false" customHeight="true" outlineLevel="0" collapsed="false">
      <c r="A853" s="2"/>
      <c r="B853" s="19"/>
      <c r="C853" s="19"/>
      <c r="D853" s="2"/>
      <c r="E853" s="2"/>
      <c r="F853" s="2"/>
      <c r="G853" s="2"/>
      <c r="H853" s="2"/>
      <c r="I853" s="2"/>
      <c r="J853" s="2"/>
      <c r="K853" s="2"/>
      <c r="L853" s="19"/>
      <c r="M853" s="19"/>
      <c r="N853" s="2"/>
      <c r="O853" s="2"/>
      <c r="P853" s="2"/>
      <c r="Q853" s="2"/>
      <c r="R853" s="2"/>
      <c r="S853" s="2"/>
      <c r="T853" s="2"/>
      <c r="U853" s="2"/>
      <c r="V853" s="2"/>
      <c r="W853" s="2"/>
      <c r="X853" s="2"/>
      <c r="Y853" s="2"/>
      <c r="Z853" s="2"/>
    </row>
    <row r="854" customFormat="false" ht="12" hidden="false" customHeight="true" outlineLevel="0" collapsed="false">
      <c r="A854" s="2"/>
      <c r="B854" s="19"/>
      <c r="C854" s="19"/>
      <c r="D854" s="2"/>
      <c r="E854" s="2"/>
      <c r="F854" s="2"/>
      <c r="G854" s="2"/>
      <c r="H854" s="2"/>
      <c r="I854" s="2"/>
      <c r="J854" s="2"/>
      <c r="K854" s="2"/>
      <c r="L854" s="19"/>
      <c r="M854" s="19"/>
      <c r="N854" s="2"/>
      <c r="O854" s="2"/>
      <c r="P854" s="2"/>
      <c r="Q854" s="2"/>
      <c r="R854" s="2"/>
      <c r="S854" s="2"/>
      <c r="T854" s="2"/>
      <c r="U854" s="2"/>
      <c r="V854" s="2"/>
      <c r="W854" s="2"/>
      <c r="X854" s="2"/>
      <c r="Y854" s="2"/>
      <c r="Z854" s="2"/>
    </row>
    <row r="855" customFormat="false" ht="12" hidden="false" customHeight="true" outlineLevel="0" collapsed="false">
      <c r="A855" s="2"/>
      <c r="B855" s="19"/>
      <c r="C855" s="19"/>
      <c r="D855" s="2"/>
      <c r="E855" s="2"/>
      <c r="F855" s="2"/>
      <c r="G855" s="2"/>
      <c r="H855" s="2"/>
      <c r="I855" s="2"/>
      <c r="J855" s="2"/>
      <c r="K855" s="2"/>
      <c r="L855" s="19"/>
      <c r="M855" s="19"/>
      <c r="N855" s="2"/>
      <c r="O855" s="2"/>
      <c r="P855" s="2"/>
      <c r="Q855" s="2"/>
      <c r="R855" s="2"/>
      <c r="S855" s="2"/>
      <c r="T855" s="2"/>
      <c r="U855" s="2"/>
      <c r="V855" s="2"/>
      <c r="W855" s="2"/>
      <c r="X855" s="2"/>
      <c r="Y855" s="2"/>
      <c r="Z855" s="2"/>
    </row>
    <row r="856" customFormat="false" ht="12" hidden="false" customHeight="true" outlineLevel="0" collapsed="false">
      <c r="A856" s="2"/>
      <c r="B856" s="19"/>
      <c r="C856" s="19"/>
      <c r="D856" s="2"/>
      <c r="E856" s="2"/>
      <c r="F856" s="2"/>
      <c r="G856" s="2"/>
      <c r="H856" s="2"/>
      <c r="I856" s="2"/>
      <c r="J856" s="2"/>
      <c r="K856" s="2"/>
      <c r="L856" s="19"/>
      <c r="M856" s="19"/>
      <c r="N856" s="2"/>
      <c r="O856" s="2"/>
      <c r="P856" s="2"/>
      <c r="Q856" s="2"/>
      <c r="R856" s="2"/>
      <c r="S856" s="2"/>
      <c r="T856" s="2"/>
      <c r="U856" s="2"/>
      <c r="V856" s="2"/>
      <c r="W856" s="2"/>
      <c r="X856" s="2"/>
      <c r="Y856" s="2"/>
      <c r="Z856" s="2"/>
    </row>
    <row r="857" customFormat="false" ht="12" hidden="false" customHeight="true" outlineLevel="0" collapsed="false">
      <c r="A857" s="2"/>
      <c r="B857" s="19"/>
      <c r="C857" s="19"/>
      <c r="D857" s="2"/>
      <c r="E857" s="2"/>
      <c r="F857" s="2"/>
      <c r="G857" s="2"/>
      <c r="H857" s="2"/>
      <c r="I857" s="2"/>
      <c r="J857" s="2"/>
      <c r="K857" s="2"/>
      <c r="L857" s="19"/>
      <c r="M857" s="19"/>
      <c r="N857" s="2"/>
      <c r="O857" s="2"/>
      <c r="P857" s="2"/>
      <c r="Q857" s="2"/>
      <c r="R857" s="2"/>
      <c r="S857" s="2"/>
      <c r="T857" s="2"/>
      <c r="U857" s="2"/>
      <c r="V857" s="2"/>
      <c r="W857" s="2"/>
      <c r="X857" s="2"/>
      <c r="Y857" s="2"/>
      <c r="Z857" s="2"/>
    </row>
    <row r="858" customFormat="false" ht="12" hidden="false" customHeight="true" outlineLevel="0" collapsed="false">
      <c r="A858" s="2"/>
      <c r="B858" s="19"/>
      <c r="C858" s="19"/>
      <c r="D858" s="2"/>
      <c r="E858" s="2"/>
      <c r="F858" s="2"/>
      <c r="G858" s="2"/>
      <c r="H858" s="2"/>
      <c r="I858" s="2"/>
      <c r="J858" s="2"/>
      <c r="K858" s="2"/>
      <c r="L858" s="19"/>
      <c r="M858" s="19"/>
      <c r="N858" s="2"/>
      <c r="O858" s="2"/>
      <c r="P858" s="2"/>
      <c r="Q858" s="2"/>
      <c r="R858" s="2"/>
      <c r="S858" s="2"/>
      <c r="T858" s="2"/>
      <c r="U858" s="2"/>
      <c r="V858" s="2"/>
      <c r="W858" s="2"/>
      <c r="X858" s="2"/>
      <c r="Y858" s="2"/>
      <c r="Z858" s="2"/>
    </row>
    <row r="859" customFormat="false" ht="12" hidden="false" customHeight="true" outlineLevel="0" collapsed="false">
      <c r="A859" s="2"/>
      <c r="B859" s="19"/>
      <c r="C859" s="19"/>
      <c r="D859" s="2"/>
      <c r="E859" s="2"/>
      <c r="F859" s="2"/>
      <c r="G859" s="2"/>
      <c r="H859" s="2"/>
      <c r="I859" s="2"/>
      <c r="J859" s="2"/>
      <c r="K859" s="2"/>
      <c r="L859" s="19"/>
      <c r="M859" s="19"/>
      <c r="N859" s="2"/>
      <c r="O859" s="2"/>
      <c r="P859" s="2"/>
      <c r="Q859" s="2"/>
      <c r="R859" s="2"/>
      <c r="S859" s="2"/>
      <c r="T859" s="2"/>
      <c r="U859" s="2"/>
      <c r="V859" s="2"/>
      <c r="W859" s="2"/>
      <c r="X859" s="2"/>
      <c r="Y859" s="2"/>
      <c r="Z859" s="2"/>
    </row>
    <row r="860" customFormat="false" ht="12" hidden="false" customHeight="true" outlineLevel="0" collapsed="false">
      <c r="A860" s="2"/>
      <c r="B860" s="19"/>
      <c r="C860" s="19"/>
      <c r="D860" s="2"/>
      <c r="E860" s="2"/>
      <c r="F860" s="2"/>
      <c r="G860" s="2"/>
      <c r="H860" s="2"/>
      <c r="I860" s="2"/>
      <c r="J860" s="2"/>
      <c r="K860" s="2"/>
      <c r="L860" s="19"/>
      <c r="M860" s="19"/>
      <c r="N860" s="2"/>
      <c r="O860" s="2"/>
      <c r="P860" s="2"/>
      <c r="Q860" s="2"/>
      <c r="R860" s="2"/>
      <c r="S860" s="2"/>
      <c r="T860" s="2"/>
      <c r="U860" s="2"/>
      <c r="V860" s="2"/>
      <c r="W860" s="2"/>
      <c r="X860" s="2"/>
      <c r="Y860" s="2"/>
      <c r="Z860" s="2"/>
    </row>
    <row r="861" customFormat="false" ht="12" hidden="false" customHeight="true" outlineLevel="0" collapsed="false">
      <c r="A861" s="2"/>
      <c r="B861" s="19"/>
      <c r="C861" s="19"/>
      <c r="D861" s="2"/>
      <c r="E861" s="2"/>
      <c r="F861" s="2"/>
      <c r="G861" s="2"/>
      <c r="H861" s="2"/>
      <c r="I861" s="2"/>
      <c r="J861" s="2"/>
      <c r="K861" s="2"/>
      <c r="L861" s="19"/>
      <c r="M861" s="19"/>
      <c r="N861" s="2"/>
      <c r="O861" s="2"/>
      <c r="P861" s="2"/>
      <c r="Q861" s="2"/>
      <c r="R861" s="2"/>
      <c r="S861" s="2"/>
      <c r="T861" s="2"/>
      <c r="U861" s="2"/>
      <c r="V861" s="2"/>
      <c r="W861" s="2"/>
      <c r="X861" s="2"/>
      <c r="Y861" s="2"/>
      <c r="Z861" s="2"/>
    </row>
    <row r="862" customFormat="false" ht="12" hidden="false" customHeight="true" outlineLevel="0" collapsed="false">
      <c r="A862" s="2"/>
      <c r="B862" s="19"/>
      <c r="C862" s="19"/>
      <c r="D862" s="2"/>
      <c r="E862" s="2"/>
      <c r="F862" s="2"/>
      <c r="G862" s="2"/>
      <c r="H862" s="2"/>
      <c r="I862" s="2"/>
      <c r="J862" s="2"/>
      <c r="K862" s="2"/>
      <c r="L862" s="19"/>
      <c r="M862" s="19"/>
      <c r="N862" s="2"/>
      <c r="O862" s="2"/>
      <c r="P862" s="2"/>
      <c r="Q862" s="2"/>
      <c r="R862" s="2"/>
      <c r="S862" s="2"/>
      <c r="T862" s="2"/>
      <c r="U862" s="2"/>
      <c r="V862" s="2"/>
      <c r="W862" s="2"/>
      <c r="X862" s="2"/>
      <c r="Y862" s="2"/>
      <c r="Z862" s="2"/>
    </row>
    <row r="863" customFormat="false" ht="12" hidden="false" customHeight="true" outlineLevel="0" collapsed="false">
      <c r="A863" s="2"/>
      <c r="B863" s="19"/>
      <c r="C863" s="19"/>
      <c r="D863" s="2"/>
      <c r="E863" s="2"/>
      <c r="F863" s="2"/>
      <c r="G863" s="2"/>
      <c r="H863" s="2"/>
      <c r="I863" s="2"/>
      <c r="J863" s="2"/>
      <c r="K863" s="2"/>
      <c r="L863" s="19"/>
      <c r="M863" s="19"/>
      <c r="N863" s="2"/>
      <c r="O863" s="2"/>
      <c r="P863" s="2"/>
      <c r="Q863" s="2"/>
      <c r="R863" s="2"/>
      <c r="S863" s="2"/>
      <c r="T863" s="2"/>
      <c r="U863" s="2"/>
      <c r="V863" s="2"/>
      <c r="W863" s="2"/>
      <c r="X863" s="2"/>
      <c r="Y863" s="2"/>
      <c r="Z863" s="2"/>
    </row>
    <row r="864" customFormat="false" ht="12" hidden="false" customHeight="true" outlineLevel="0" collapsed="false">
      <c r="A864" s="2"/>
      <c r="B864" s="19"/>
      <c r="C864" s="19"/>
      <c r="D864" s="2"/>
      <c r="E864" s="2"/>
      <c r="F864" s="2"/>
      <c r="G864" s="2"/>
      <c r="H864" s="2"/>
      <c r="I864" s="2"/>
      <c r="J864" s="2"/>
      <c r="K864" s="2"/>
      <c r="L864" s="19"/>
      <c r="M864" s="19"/>
      <c r="N864" s="2"/>
      <c r="O864" s="2"/>
      <c r="P864" s="2"/>
      <c r="Q864" s="2"/>
      <c r="R864" s="2"/>
      <c r="S864" s="2"/>
      <c r="T864" s="2"/>
      <c r="U864" s="2"/>
      <c r="V864" s="2"/>
      <c r="W864" s="2"/>
      <c r="X864" s="2"/>
      <c r="Y864" s="2"/>
      <c r="Z864" s="2"/>
    </row>
    <row r="865" customFormat="false" ht="12" hidden="false" customHeight="true" outlineLevel="0" collapsed="false">
      <c r="A865" s="2"/>
      <c r="B865" s="19"/>
      <c r="C865" s="19"/>
      <c r="D865" s="2"/>
      <c r="E865" s="2"/>
      <c r="F865" s="2"/>
      <c r="G865" s="2"/>
      <c r="H865" s="2"/>
      <c r="I865" s="2"/>
      <c r="J865" s="2"/>
      <c r="K865" s="2"/>
      <c r="L865" s="19"/>
      <c r="M865" s="19"/>
      <c r="N865" s="2"/>
      <c r="O865" s="2"/>
      <c r="P865" s="2"/>
      <c r="Q865" s="2"/>
      <c r="R865" s="2"/>
      <c r="S865" s="2"/>
      <c r="T865" s="2"/>
      <c r="U865" s="2"/>
      <c r="V865" s="2"/>
      <c r="W865" s="2"/>
      <c r="X865" s="2"/>
      <c r="Y865" s="2"/>
      <c r="Z865" s="2"/>
    </row>
    <row r="866" customFormat="false" ht="12" hidden="false" customHeight="true" outlineLevel="0" collapsed="false">
      <c r="A866" s="2"/>
      <c r="B866" s="19"/>
      <c r="C866" s="19"/>
      <c r="D866" s="2"/>
      <c r="E866" s="2"/>
      <c r="F866" s="2"/>
      <c r="G866" s="2"/>
      <c r="H866" s="2"/>
      <c r="I866" s="2"/>
      <c r="J866" s="2"/>
      <c r="K866" s="2"/>
      <c r="L866" s="19"/>
      <c r="M866" s="19"/>
      <c r="N866" s="2"/>
      <c r="O866" s="2"/>
      <c r="P866" s="2"/>
      <c r="Q866" s="2"/>
      <c r="R866" s="2"/>
      <c r="S866" s="2"/>
      <c r="T866" s="2"/>
      <c r="U866" s="2"/>
      <c r="V866" s="2"/>
      <c r="W866" s="2"/>
      <c r="X866" s="2"/>
      <c r="Y866" s="2"/>
      <c r="Z866" s="2"/>
    </row>
    <row r="867" customFormat="false" ht="12" hidden="false" customHeight="true" outlineLevel="0" collapsed="false">
      <c r="A867" s="2"/>
      <c r="B867" s="19"/>
      <c r="C867" s="19"/>
      <c r="D867" s="2"/>
      <c r="E867" s="2"/>
      <c r="F867" s="2"/>
      <c r="G867" s="2"/>
      <c r="H867" s="2"/>
      <c r="I867" s="2"/>
      <c r="J867" s="2"/>
      <c r="K867" s="2"/>
      <c r="L867" s="19"/>
      <c r="M867" s="19"/>
      <c r="N867" s="2"/>
      <c r="O867" s="2"/>
      <c r="P867" s="2"/>
      <c r="Q867" s="2"/>
      <c r="R867" s="2"/>
      <c r="S867" s="2"/>
      <c r="T867" s="2"/>
      <c r="U867" s="2"/>
      <c r="V867" s="2"/>
      <c r="W867" s="2"/>
      <c r="X867" s="2"/>
      <c r="Y867" s="2"/>
      <c r="Z867" s="2"/>
    </row>
    <row r="868" customFormat="false" ht="12" hidden="false" customHeight="true" outlineLevel="0" collapsed="false">
      <c r="A868" s="2"/>
      <c r="B868" s="19"/>
      <c r="C868" s="19"/>
      <c r="D868" s="2"/>
      <c r="E868" s="2"/>
      <c r="F868" s="2"/>
      <c r="G868" s="2"/>
      <c r="H868" s="2"/>
      <c r="I868" s="2"/>
      <c r="J868" s="2"/>
      <c r="K868" s="2"/>
      <c r="L868" s="19"/>
      <c r="M868" s="19"/>
      <c r="N868" s="2"/>
      <c r="O868" s="2"/>
      <c r="P868" s="2"/>
      <c r="Q868" s="2"/>
      <c r="R868" s="2"/>
      <c r="S868" s="2"/>
      <c r="T868" s="2"/>
      <c r="U868" s="2"/>
      <c r="V868" s="2"/>
      <c r="W868" s="2"/>
      <c r="X868" s="2"/>
      <c r="Y868" s="2"/>
      <c r="Z868" s="2"/>
    </row>
    <row r="869" customFormat="false" ht="12" hidden="false" customHeight="true" outlineLevel="0" collapsed="false">
      <c r="A869" s="2"/>
      <c r="B869" s="19"/>
      <c r="C869" s="19"/>
      <c r="D869" s="2"/>
      <c r="E869" s="2"/>
      <c r="F869" s="2"/>
      <c r="G869" s="2"/>
      <c r="H869" s="2"/>
      <c r="I869" s="2"/>
      <c r="J869" s="2"/>
      <c r="K869" s="2"/>
      <c r="L869" s="19"/>
      <c r="M869" s="19"/>
      <c r="N869" s="2"/>
      <c r="O869" s="2"/>
      <c r="P869" s="2"/>
      <c r="Q869" s="2"/>
      <c r="R869" s="2"/>
      <c r="S869" s="2"/>
      <c r="T869" s="2"/>
      <c r="U869" s="2"/>
      <c r="V869" s="2"/>
      <c r="W869" s="2"/>
      <c r="X869" s="2"/>
      <c r="Y869" s="2"/>
      <c r="Z869" s="2"/>
    </row>
    <row r="870" customFormat="false" ht="12" hidden="false" customHeight="true" outlineLevel="0" collapsed="false">
      <c r="A870" s="2"/>
      <c r="B870" s="19"/>
      <c r="C870" s="19"/>
      <c r="D870" s="2"/>
      <c r="E870" s="2"/>
      <c r="F870" s="2"/>
      <c r="G870" s="2"/>
      <c r="H870" s="2"/>
      <c r="I870" s="2"/>
      <c r="J870" s="2"/>
      <c r="K870" s="2"/>
      <c r="L870" s="19"/>
      <c r="M870" s="19"/>
      <c r="N870" s="2"/>
      <c r="O870" s="2"/>
      <c r="P870" s="2"/>
      <c r="Q870" s="2"/>
      <c r="R870" s="2"/>
      <c r="S870" s="2"/>
      <c r="T870" s="2"/>
      <c r="U870" s="2"/>
      <c r="V870" s="2"/>
      <c r="W870" s="2"/>
      <c r="X870" s="2"/>
      <c r="Y870" s="2"/>
      <c r="Z870" s="2"/>
    </row>
    <row r="871" customFormat="false" ht="12" hidden="false" customHeight="true" outlineLevel="0" collapsed="false">
      <c r="A871" s="2"/>
      <c r="B871" s="19"/>
      <c r="C871" s="19"/>
      <c r="D871" s="2"/>
      <c r="E871" s="2"/>
      <c r="F871" s="2"/>
      <c r="G871" s="2"/>
      <c r="H871" s="2"/>
      <c r="I871" s="2"/>
      <c r="J871" s="2"/>
      <c r="K871" s="2"/>
      <c r="L871" s="19"/>
      <c r="M871" s="19"/>
      <c r="N871" s="2"/>
      <c r="O871" s="2"/>
      <c r="P871" s="2"/>
      <c r="Q871" s="2"/>
      <c r="R871" s="2"/>
      <c r="S871" s="2"/>
      <c r="T871" s="2"/>
      <c r="U871" s="2"/>
      <c r="V871" s="2"/>
      <c r="W871" s="2"/>
      <c r="X871" s="2"/>
      <c r="Y871" s="2"/>
      <c r="Z871" s="2"/>
    </row>
    <row r="872" customFormat="false" ht="12" hidden="false" customHeight="true" outlineLevel="0" collapsed="false">
      <c r="A872" s="2"/>
      <c r="B872" s="19"/>
      <c r="C872" s="19"/>
      <c r="D872" s="2"/>
      <c r="E872" s="2"/>
      <c r="F872" s="2"/>
      <c r="G872" s="2"/>
      <c r="H872" s="2"/>
      <c r="I872" s="2"/>
      <c r="J872" s="2"/>
      <c r="K872" s="2"/>
      <c r="L872" s="19"/>
      <c r="M872" s="19"/>
      <c r="N872" s="2"/>
      <c r="O872" s="2"/>
      <c r="P872" s="2"/>
      <c r="Q872" s="2"/>
      <c r="R872" s="2"/>
      <c r="S872" s="2"/>
      <c r="T872" s="2"/>
      <c r="U872" s="2"/>
      <c r="V872" s="2"/>
      <c r="W872" s="2"/>
      <c r="X872" s="2"/>
      <c r="Y872" s="2"/>
      <c r="Z872" s="2"/>
    </row>
    <row r="873" customFormat="false" ht="12" hidden="false" customHeight="true" outlineLevel="0" collapsed="false">
      <c r="A873" s="2"/>
      <c r="B873" s="19"/>
      <c r="C873" s="19"/>
      <c r="D873" s="2"/>
      <c r="E873" s="2"/>
      <c r="F873" s="2"/>
      <c r="G873" s="2"/>
      <c r="H873" s="2"/>
      <c r="I873" s="2"/>
      <c r="J873" s="2"/>
      <c r="K873" s="2"/>
      <c r="L873" s="19"/>
      <c r="M873" s="19"/>
      <c r="N873" s="2"/>
      <c r="O873" s="2"/>
      <c r="P873" s="2"/>
      <c r="Q873" s="2"/>
      <c r="R873" s="2"/>
      <c r="S873" s="2"/>
      <c r="T873" s="2"/>
      <c r="U873" s="2"/>
      <c r="V873" s="2"/>
      <c r="W873" s="2"/>
      <c r="X873" s="2"/>
      <c r="Y873" s="2"/>
      <c r="Z873" s="2"/>
    </row>
    <row r="874" customFormat="false" ht="12" hidden="false" customHeight="true" outlineLevel="0" collapsed="false">
      <c r="A874" s="2"/>
      <c r="B874" s="19"/>
      <c r="C874" s="19"/>
      <c r="D874" s="2"/>
      <c r="E874" s="2"/>
      <c r="F874" s="2"/>
      <c r="G874" s="2"/>
      <c r="H874" s="2"/>
      <c r="I874" s="2"/>
      <c r="J874" s="2"/>
      <c r="K874" s="2"/>
      <c r="L874" s="19"/>
      <c r="M874" s="19"/>
      <c r="N874" s="2"/>
      <c r="O874" s="2"/>
      <c r="P874" s="2"/>
      <c r="Q874" s="2"/>
      <c r="R874" s="2"/>
      <c r="S874" s="2"/>
      <c r="T874" s="2"/>
      <c r="U874" s="2"/>
      <c r="V874" s="2"/>
      <c r="W874" s="2"/>
      <c r="X874" s="2"/>
      <c r="Y874" s="2"/>
      <c r="Z874" s="2"/>
    </row>
    <row r="875" customFormat="false" ht="12" hidden="false" customHeight="true" outlineLevel="0" collapsed="false">
      <c r="A875" s="2"/>
      <c r="B875" s="19"/>
      <c r="C875" s="19"/>
      <c r="D875" s="2"/>
      <c r="E875" s="2"/>
      <c r="F875" s="2"/>
      <c r="G875" s="2"/>
      <c r="H875" s="2"/>
      <c r="I875" s="2"/>
      <c r="J875" s="2"/>
      <c r="K875" s="2"/>
      <c r="L875" s="19"/>
      <c r="M875" s="19"/>
      <c r="N875" s="2"/>
      <c r="O875" s="2"/>
      <c r="P875" s="2"/>
      <c r="Q875" s="2"/>
      <c r="R875" s="2"/>
      <c r="S875" s="2"/>
      <c r="T875" s="2"/>
      <c r="U875" s="2"/>
      <c r="V875" s="2"/>
      <c r="W875" s="2"/>
      <c r="X875" s="2"/>
      <c r="Y875" s="2"/>
      <c r="Z875" s="2"/>
    </row>
    <row r="876" customFormat="false" ht="12" hidden="false" customHeight="true" outlineLevel="0" collapsed="false">
      <c r="A876" s="2"/>
      <c r="B876" s="19"/>
      <c r="C876" s="19"/>
      <c r="D876" s="2"/>
      <c r="E876" s="2"/>
      <c r="F876" s="2"/>
      <c r="G876" s="2"/>
      <c r="H876" s="2"/>
      <c r="I876" s="2"/>
      <c r="J876" s="2"/>
      <c r="K876" s="2"/>
      <c r="L876" s="19"/>
      <c r="M876" s="19"/>
      <c r="N876" s="2"/>
      <c r="O876" s="2"/>
      <c r="P876" s="2"/>
      <c r="Q876" s="2"/>
      <c r="R876" s="2"/>
      <c r="S876" s="2"/>
      <c r="T876" s="2"/>
      <c r="U876" s="2"/>
      <c r="V876" s="2"/>
      <c r="W876" s="2"/>
      <c r="X876" s="2"/>
      <c r="Y876" s="2"/>
      <c r="Z876" s="2"/>
    </row>
    <row r="877" customFormat="false" ht="12" hidden="false" customHeight="true" outlineLevel="0" collapsed="false">
      <c r="A877" s="2"/>
      <c r="B877" s="19"/>
      <c r="C877" s="19"/>
      <c r="D877" s="2"/>
      <c r="E877" s="2"/>
      <c r="F877" s="2"/>
      <c r="G877" s="2"/>
      <c r="H877" s="2"/>
      <c r="I877" s="2"/>
      <c r="J877" s="2"/>
      <c r="K877" s="2"/>
      <c r="L877" s="19"/>
      <c r="M877" s="19"/>
      <c r="N877" s="2"/>
      <c r="O877" s="2"/>
      <c r="P877" s="2"/>
      <c r="Q877" s="2"/>
      <c r="R877" s="2"/>
      <c r="S877" s="2"/>
      <c r="T877" s="2"/>
      <c r="U877" s="2"/>
      <c r="V877" s="2"/>
      <c r="W877" s="2"/>
      <c r="X877" s="2"/>
      <c r="Y877" s="2"/>
      <c r="Z877" s="2"/>
    </row>
    <row r="878" customFormat="false" ht="12" hidden="false" customHeight="true" outlineLevel="0" collapsed="false">
      <c r="A878" s="2"/>
      <c r="B878" s="19"/>
      <c r="C878" s="19"/>
      <c r="D878" s="2"/>
      <c r="E878" s="2"/>
      <c r="F878" s="2"/>
      <c r="G878" s="2"/>
      <c r="H878" s="2"/>
      <c r="I878" s="2"/>
      <c r="J878" s="2"/>
      <c r="K878" s="2"/>
      <c r="L878" s="19"/>
      <c r="M878" s="19"/>
      <c r="N878" s="2"/>
      <c r="O878" s="2"/>
      <c r="P878" s="2"/>
      <c r="Q878" s="2"/>
      <c r="R878" s="2"/>
      <c r="S878" s="2"/>
      <c r="T878" s="2"/>
      <c r="U878" s="2"/>
      <c r="V878" s="2"/>
      <c r="W878" s="2"/>
      <c r="X878" s="2"/>
      <c r="Y878" s="2"/>
      <c r="Z878" s="2"/>
    </row>
    <row r="879" customFormat="false" ht="12" hidden="false" customHeight="true" outlineLevel="0" collapsed="false">
      <c r="A879" s="2"/>
      <c r="B879" s="19"/>
      <c r="C879" s="19"/>
      <c r="D879" s="2"/>
      <c r="E879" s="2"/>
      <c r="F879" s="2"/>
      <c r="G879" s="2"/>
      <c r="H879" s="2"/>
      <c r="I879" s="2"/>
      <c r="J879" s="2"/>
      <c r="K879" s="2"/>
      <c r="L879" s="19"/>
      <c r="M879" s="19"/>
      <c r="N879" s="2"/>
      <c r="O879" s="2"/>
      <c r="P879" s="2"/>
      <c r="Q879" s="2"/>
      <c r="R879" s="2"/>
      <c r="S879" s="2"/>
      <c r="T879" s="2"/>
      <c r="U879" s="2"/>
      <c r="V879" s="2"/>
      <c r="W879" s="2"/>
      <c r="X879" s="2"/>
      <c r="Y879" s="2"/>
      <c r="Z879" s="2"/>
    </row>
    <row r="880" customFormat="false" ht="12" hidden="false" customHeight="true" outlineLevel="0" collapsed="false">
      <c r="A880" s="2"/>
      <c r="B880" s="19"/>
      <c r="C880" s="19"/>
      <c r="D880" s="2"/>
      <c r="E880" s="2"/>
      <c r="F880" s="2"/>
      <c r="G880" s="2"/>
      <c r="H880" s="2"/>
      <c r="I880" s="2"/>
      <c r="J880" s="2"/>
      <c r="K880" s="2"/>
      <c r="L880" s="19"/>
      <c r="M880" s="19"/>
      <c r="N880" s="2"/>
      <c r="O880" s="2"/>
      <c r="P880" s="2"/>
      <c r="Q880" s="2"/>
      <c r="R880" s="2"/>
      <c r="S880" s="2"/>
      <c r="T880" s="2"/>
      <c r="U880" s="2"/>
      <c r="V880" s="2"/>
      <c r="W880" s="2"/>
      <c r="X880" s="2"/>
      <c r="Y880" s="2"/>
      <c r="Z880" s="2"/>
    </row>
    <row r="881" customFormat="false" ht="12" hidden="false" customHeight="true" outlineLevel="0" collapsed="false">
      <c r="A881" s="2"/>
      <c r="B881" s="19"/>
      <c r="C881" s="19"/>
      <c r="D881" s="2"/>
      <c r="E881" s="2"/>
      <c r="F881" s="2"/>
      <c r="G881" s="2"/>
      <c r="H881" s="2"/>
      <c r="I881" s="2"/>
      <c r="J881" s="2"/>
      <c r="K881" s="2"/>
      <c r="L881" s="19"/>
      <c r="M881" s="19"/>
      <c r="N881" s="2"/>
      <c r="O881" s="2"/>
      <c r="P881" s="2"/>
      <c r="Q881" s="2"/>
      <c r="R881" s="2"/>
      <c r="S881" s="2"/>
      <c r="T881" s="2"/>
      <c r="U881" s="2"/>
      <c r="V881" s="2"/>
      <c r="W881" s="2"/>
      <c r="X881" s="2"/>
      <c r="Y881" s="2"/>
      <c r="Z881" s="2"/>
    </row>
    <row r="882" customFormat="false" ht="12" hidden="false" customHeight="true" outlineLevel="0" collapsed="false">
      <c r="A882" s="2"/>
      <c r="B882" s="19"/>
      <c r="C882" s="19"/>
      <c r="D882" s="2"/>
      <c r="E882" s="2"/>
      <c r="F882" s="2"/>
      <c r="G882" s="2"/>
      <c r="H882" s="2"/>
      <c r="I882" s="2"/>
      <c r="J882" s="2"/>
      <c r="K882" s="2"/>
      <c r="L882" s="19"/>
      <c r="M882" s="19"/>
      <c r="N882" s="2"/>
      <c r="O882" s="2"/>
      <c r="P882" s="2"/>
      <c r="Q882" s="2"/>
      <c r="R882" s="2"/>
      <c r="S882" s="2"/>
      <c r="T882" s="2"/>
      <c r="U882" s="2"/>
      <c r="V882" s="2"/>
      <c r="W882" s="2"/>
      <c r="X882" s="2"/>
      <c r="Y882" s="2"/>
      <c r="Z882" s="2"/>
    </row>
    <row r="883" customFormat="false" ht="12" hidden="false" customHeight="true" outlineLevel="0" collapsed="false">
      <c r="A883" s="2"/>
      <c r="B883" s="19"/>
      <c r="C883" s="19"/>
      <c r="D883" s="2"/>
      <c r="E883" s="2"/>
      <c r="F883" s="2"/>
      <c r="G883" s="2"/>
      <c r="H883" s="2"/>
      <c r="I883" s="2"/>
      <c r="J883" s="2"/>
      <c r="K883" s="2"/>
      <c r="L883" s="19"/>
      <c r="M883" s="19"/>
      <c r="N883" s="2"/>
      <c r="O883" s="2"/>
      <c r="P883" s="2"/>
      <c r="Q883" s="2"/>
      <c r="R883" s="2"/>
      <c r="S883" s="2"/>
      <c r="T883" s="2"/>
      <c r="U883" s="2"/>
      <c r="V883" s="2"/>
      <c r="W883" s="2"/>
      <c r="X883" s="2"/>
      <c r="Y883" s="2"/>
      <c r="Z883" s="2"/>
    </row>
    <row r="884" customFormat="false" ht="12" hidden="false" customHeight="true" outlineLevel="0" collapsed="false">
      <c r="A884" s="2"/>
      <c r="B884" s="19"/>
      <c r="C884" s="19"/>
      <c r="D884" s="2"/>
      <c r="E884" s="2"/>
      <c r="F884" s="2"/>
      <c r="G884" s="2"/>
      <c r="H884" s="2"/>
      <c r="I884" s="2"/>
      <c r="J884" s="2"/>
      <c r="K884" s="2"/>
      <c r="L884" s="19"/>
      <c r="M884" s="19"/>
      <c r="N884" s="2"/>
      <c r="O884" s="2"/>
      <c r="P884" s="2"/>
      <c r="Q884" s="2"/>
      <c r="R884" s="2"/>
      <c r="S884" s="2"/>
      <c r="T884" s="2"/>
      <c r="U884" s="2"/>
      <c r="V884" s="2"/>
      <c r="W884" s="2"/>
      <c r="X884" s="2"/>
      <c r="Y884" s="2"/>
      <c r="Z884" s="2"/>
    </row>
    <row r="885" customFormat="false" ht="12" hidden="false" customHeight="true" outlineLevel="0" collapsed="false">
      <c r="A885" s="2"/>
      <c r="B885" s="19"/>
      <c r="C885" s="19"/>
      <c r="D885" s="2"/>
      <c r="E885" s="2"/>
      <c r="F885" s="2"/>
      <c r="G885" s="2"/>
      <c r="H885" s="2"/>
      <c r="I885" s="2"/>
      <c r="J885" s="2"/>
      <c r="K885" s="2"/>
      <c r="L885" s="19"/>
      <c r="M885" s="19"/>
      <c r="N885" s="2"/>
      <c r="O885" s="2"/>
      <c r="P885" s="2"/>
      <c r="Q885" s="2"/>
      <c r="R885" s="2"/>
      <c r="S885" s="2"/>
      <c r="T885" s="2"/>
      <c r="U885" s="2"/>
      <c r="V885" s="2"/>
      <c r="W885" s="2"/>
      <c r="X885" s="2"/>
      <c r="Y885" s="2"/>
      <c r="Z885" s="2"/>
    </row>
    <row r="886" customFormat="false" ht="12" hidden="false" customHeight="true" outlineLevel="0" collapsed="false">
      <c r="A886" s="2"/>
      <c r="B886" s="19"/>
      <c r="C886" s="19"/>
      <c r="D886" s="2"/>
      <c r="E886" s="2"/>
      <c r="F886" s="2"/>
      <c r="G886" s="2"/>
      <c r="H886" s="2"/>
      <c r="I886" s="2"/>
      <c r="J886" s="2"/>
      <c r="K886" s="2"/>
      <c r="L886" s="19"/>
      <c r="M886" s="19"/>
      <c r="N886" s="2"/>
      <c r="O886" s="2"/>
      <c r="P886" s="2"/>
      <c r="Q886" s="2"/>
      <c r="R886" s="2"/>
      <c r="S886" s="2"/>
      <c r="T886" s="2"/>
      <c r="U886" s="2"/>
      <c r="V886" s="2"/>
      <c r="W886" s="2"/>
      <c r="X886" s="2"/>
      <c r="Y886" s="2"/>
      <c r="Z886" s="2"/>
    </row>
    <row r="887" customFormat="false" ht="12" hidden="false" customHeight="true" outlineLevel="0" collapsed="false">
      <c r="A887" s="2"/>
      <c r="B887" s="19"/>
      <c r="C887" s="19"/>
      <c r="D887" s="2"/>
      <c r="E887" s="2"/>
      <c r="F887" s="2"/>
      <c r="G887" s="2"/>
      <c r="H887" s="2"/>
      <c r="I887" s="2"/>
      <c r="J887" s="2"/>
      <c r="K887" s="2"/>
      <c r="L887" s="19"/>
      <c r="M887" s="19"/>
      <c r="N887" s="2"/>
      <c r="O887" s="2"/>
      <c r="P887" s="2"/>
      <c r="Q887" s="2"/>
      <c r="R887" s="2"/>
      <c r="S887" s="2"/>
      <c r="T887" s="2"/>
      <c r="U887" s="2"/>
      <c r="V887" s="2"/>
      <c r="W887" s="2"/>
      <c r="X887" s="2"/>
      <c r="Y887" s="2"/>
      <c r="Z887" s="2"/>
    </row>
    <row r="888" customFormat="false" ht="12" hidden="false" customHeight="true" outlineLevel="0" collapsed="false">
      <c r="A888" s="2"/>
      <c r="B888" s="19"/>
      <c r="C888" s="19"/>
      <c r="D888" s="2"/>
      <c r="E888" s="2"/>
      <c r="F888" s="2"/>
      <c r="G888" s="2"/>
      <c r="H888" s="2"/>
      <c r="I888" s="2"/>
      <c r="J888" s="2"/>
      <c r="K888" s="2"/>
      <c r="L888" s="19"/>
      <c r="M888" s="19"/>
      <c r="N888" s="2"/>
      <c r="O888" s="2"/>
      <c r="P888" s="2"/>
      <c r="Q888" s="2"/>
      <c r="R888" s="2"/>
      <c r="S888" s="2"/>
      <c r="T888" s="2"/>
      <c r="U888" s="2"/>
      <c r="V888" s="2"/>
      <c r="W888" s="2"/>
      <c r="X888" s="2"/>
      <c r="Y888" s="2"/>
      <c r="Z888" s="2"/>
    </row>
    <row r="889" customFormat="false" ht="12" hidden="false" customHeight="true" outlineLevel="0" collapsed="false">
      <c r="A889" s="2"/>
      <c r="B889" s="19"/>
      <c r="C889" s="19"/>
      <c r="D889" s="2"/>
      <c r="E889" s="2"/>
      <c r="F889" s="2"/>
      <c r="G889" s="2"/>
      <c r="H889" s="2"/>
      <c r="I889" s="2"/>
      <c r="J889" s="2"/>
      <c r="K889" s="2"/>
      <c r="L889" s="19"/>
      <c r="M889" s="19"/>
      <c r="N889" s="2"/>
      <c r="O889" s="2"/>
      <c r="P889" s="2"/>
      <c r="Q889" s="2"/>
      <c r="R889" s="2"/>
      <c r="S889" s="2"/>
      <c r="T889" s="2"/>
      <c r="U889" s="2"/>
      <c r="V889" s="2"/>
      <c r="W889" s="2"/>
      <c r="X889" s="2"/>
      <c r="Y889" s="2"/>
      <c r="Z889" s="2"/>
    </row>
    <row r="890" customFormat="false" ht="12" hidden="false" customHeight="true" outlineLevel="0" collapsed="false">
      <c r="A890" s="2"/>
      <c r="B890" s="19"/>
      <c r="C890" s="19"/>
      <c r="D890" s="2"/>
      <c r="E890" s="2"/>
      <c r="F890" s="2"/>
      <c r="G890" s="2"/>
      <c r="H890" s="2"/>
      <c r="I890" s="2"/>
      <c r="J890" s="2"/>
      <c r="K890" s="2"/>
      <c r="L890" s="19"/>
      <c r="M890" s="19"/>
      <c r="N890" s="2"/>
      <c r="O890" s="2"/>
      <c r="P890" s="2"/>
      <c r="Q890" s="2"/>
      <c r="R890" s="2"/>
      <c r="S890" s="2"/>
      <c r="T890" s="2"/>
      <c r="U890" s="2"/>
      <c r="V890" s="2"/>
      <c r="W890" s="2"/>
      <c r="X890" s="2"/>
      <c r="Y890" s="2"/>
      <c r="Z890" s="2"/>
    </row>
    <row r="891" customFormat="false" ht="12" hidden="false" customHeight="true" outlineLevel="0" collapsed="false">
      <c r="A891" s="2"/>
      <c r="B891" s="19"/>
      <c r="C891" s="19"/>
      <c r="D891" s="2"/>
      <c r="E891" s="2"/>
      <c r="F891" s="2"/>
      <c r="G891" s="2"/>
      <c r="H891" s="2"/>
      <c r="I891" s="2"/>
      <c r="J891" s="2"/>
      <c r="K891" s="2"/>
      <c r="L891" s="19"/>
      <c r="M891" s="19"/>
      <c r="N891" s="2"/>
      <c r="O891" s="2"/>
      <c r="P891" s="2"/>
      <c r="Q891" s="2"/>
      <c r="R891" s="2"/>
      <c r="S891" s="2"/>
      <c r="T891" s="2"/>
      <c r="U891" s="2"/>
      <c r="V891" s="2"/>
      <c r="W891" s="2"/>
      <c r="X891" s="2"/>
      <c r="Y891" s="2"/>
      <c r="Z891" s="2"/>
    </row>
    <row r="892" customFormat="false" ht="12" hidden="false" customHeight="true" outlineLevel="0" collapsed="false">
      <c r="A892" s="2"/>
      <c r="B892" s="19"/>
      <c r="C892" s="19"/>
      <c r="D892" s="2"/>
      <c r="E892" s="2"/>
      <c r="F892" s="2"/>
      <c r="G892" s="2"/>
      <c r="H892" s="2"/>
      <c r="I892" s="2"/>
      <c r="J892" s="2"/>
      <c r="K892" s="2"/>
      <c r="L892" s="19"/>
      <c r="M892" s="19"/>
      <c r="N892" s="2"/>
      <c r="O892" s="2"/>
      <c r="P892" s="2"/>
      <c r="Q892" s="2"/>
      <c r="R892" s="2"/>
      <c r="S892" s="2"/>
      <c r="T892" s="2"/>
      <c r="U892" s="2"/>
      <c r="V892" s="2"/>
      <c r="W892" s="2"/>
      <c r="X892" s="2"/>
      <c r="Y892" s="2"/>
      <c r="Z892" s="2"/>
    </row>
    <row r="893" customFormat="false" ht="12" hidden="false" customHeight="true" outlineLevel="0" collapsed="false">
      <c r="A893" s="2"/>
      <c r="B893" s="19"/>
      <c r="C893" s="19"/>
      <c r="D893" s="2"/>
      <c r="E893" s="2"/>
      <c r="F893" s="2"/>
      <c r="G893" s="2"/>
      <c r="H893" s="2"/>
      <c r="I893" s="2"/>
      <c r="J893" s="2"/>
      <c r="K893" s="2"/>
      <c r="L893" s="19"/>
      <c r="M893" s="19"/>
      <c r="N893" s="2"/>
      <c r="O893" s="2"/>
      <c r="P893" s="2"/>
      <c r="Q893" s="2"/>
      <c r="R893" s="2"/>
      <c r="S893" s="2"/>
      <c r="T893" s="2"/>
      <c r="U893" s="2"/>
      <c r="V893" s="2"/>
      <c r="W893" s="2"/>
      <c r="X893" s="2"/>
      <c r="Y893" s="2"/>
      <c r="Z893" s="2"/>
    </row>
    <row r="894" customFormat="false" ht="12" hidden="false" customHeight="true" outlineLevel="0" collapsed="false">
      <c r="A894" s="2"/>
      <c r="B894" s="19"/>
      <c r="C894" s="19"/>
      <c r="D894" s="2"/>
      <c r="E894" s="2"/>
      <c r="F894" s="2"/>
      <c r="G894" s="2"/>
      <c r="H894" s="2"/>
      <c r="I894" s="2"/>
      <c r="J894" s="2"/>
      <c r="K894" s="2"/>
      <c r="L894" s="19"/>
      <c r="M894" s="19"/>
      <c r="N894" s="2"/>
      <c r="O894" s="2"/>
      <c r="P894" s="2"/>
      <c r="Q894" s="2"/>
      <c r="R894" s="2"/>
      <c r="S894" s="2"/>
      <c r="T894" s="2"/>
      <c r="U894" s="2"/>
      <c r="V894" s="2"/>
      <c r="W894" s="2"/>
      <c r="X894" s="2"/>
      <c r="Y894" s="2"/>
      <c r="Z894" s="2"/>
    </row>
    <row r="895" customFormat="false" ht="12" hidden="false" customHeight="true" outlineLevel="0" collapsed="false">
      <c r="A895" s="2"/>
      <c r="B895" s="19"/>
      <c r="C895" s="19"/>
      <c r="D895" s="2"/>
      <c r="E895" s="2"/>
      <c r="F895" s="2"/>
      <c r="G895" s="2"/>
      <c r="H895" s="2"/>
      <c r="I895" s="2"/>
      <c r="J895" s="2"/>
      <c r="K895" s="2"/>
      <c r="L895" s="19"/>
      <c r="M895" s="19"/>
      <c r="N895" s="2"/>
      <c r="O895" s="2"/>
      <c r="P895" s="2"/>
      <c r="Q895" s="2"/>
      <c r="R895" s="2"/>
      <c r="S895" s="2"/>
      <c r="T895" s="2"/>
      <c r="U895" s="2"/>
      <c r="V895" s="2"/>
      <c r="W895" s="2"/>
      <c r="X895" s="2"/>
      <c r="Y895" s="2"/>
      <c r="Z895" s="2"/>
    </row>
    <row r="896" customFormat="false" ht="12" hidden="false" customHeight="true" outlineLevel="0" collapsed="false">
      <c r="A896" s="2"/>
      <c r="B896" s="19"/>
      <c r="C896" s="19"/>
      <c r="D896" s="2"/>
      <c r="E896" s="2"/>
      <c r="F896" s="2"/>
      <c r="G896" s="2"/>
      <c r="H896" s="2"/>
      <c r="I896" s="2"/>
      <c r="J896" s="2"/>
      <c r="K896" s="2"/>
      <c r="L896" s="19"/>
      <c r="M896" s="19"/>
      <c r="N896" s="2"/>
      <c r="O896" s="2"/>
      <c r="P896" s="2"/>
      <c r="Q896" s="2"/>
      <c r="R896" s="2"/>
      <c r="S896" s="2"/>
      <c r="T896" s="2"/>
      <c r="U896" s="2"/>
      <c r="V896" s="2"/>
      <c r="W896" s="2"/>
      <c r="X896" s="2"/>
      <c r="Y896" s="2"/>
      <c r="Z896" s="2"/>
    </row>
    <row r="897" customFormat="false" ht="12" hidden="false" customHeight="true" outlineLevel="0" collapsed="false">
      <c r="A897" s="2"/>
      <c r="B897" s="19"/>
      <c r="C897" s="19"/>
      <c r="D897" s="2"/>
      <c r="E897" s="2"/>
      <c r="F897" s="2"/>
      <c r="G897" s="2"/>
      <c r="H897" s="2"/>
      <c r="I897" s="2"/>
      <c r="J897" s="2"/>
      <c r="K897" s="2"/>
      <c r="L897" s="19"/>
      <c r="M897" s="19"/>
      <c r="N897" s="2"/>
      <c r="O897" s="2"/>
      <c r="P897" s="2"/>
      <c r="Q897" s="2"/>
      <c r="R897" s="2"/>
      <c r="S897" s="2"/>
      <c r="T897" s="2"/>
      <c r="U897" s="2"/>
      <c r="V897" s="2"/>
      <c r="W897" s="2"/>
      <c r="X897" s="2"/>
      <c r="Y897" s="2"/>
      <c r="Z897" s="2"/>
    </row>
    <row r="898" customFormat="false" ht="12" hidden="false" customHeight="true" outlineLevel="0" collapsed="false">
      <c r="A898" s="2"/>
      <c r="B898" s="19"/>
      <c r="C898" s="19"/>
      <c r="D898" s="2"/>
      <c r="E898" s="2"/>
      <c r="F898" s="2"/>
      <c r="G898" s="2"/>
      <c r="H898" s="2"/>
      <c r="I898" s="2"/>
      <c r="J898" s="2"/>
      <c r="K898" s="2"/>
      <c r="L898" s="19"/>
      <c r="M898" s="19"/>
      <c r="N898" s="2"/>
      <c r="O898" s="2"/>
      <c r="P898" s="2"/>
      <c r="Q898" s="2"/>
      <c r="R898" s="2"/>
      <c r="S898" s="2"/>
      <c r="T898" s="2"/>
      <c r="U898" s="2"/>
      <c r="V898" s="2"/>
      <c r="W898" s="2"/>
      <c r="X898" s="2"/>
      <c r="Y898" s="2"/>
      <c r="Z898" s="2"/>
    </row>
    <row r="899" customFormat="false" ht="12" hidden="false" customHeight="true" outlineLevel="0" collapsed="false">
      <c r="A899" s="2"/>
      <c r="B899" s="19"/>
      <c r="C899" s="19"/>
      <c r="D899" s="2"/>
      <c r="E899" s="2"/>
      <c r="F899" s="2"/>
      <c r="G899" s="2"/>
      <c r="H899" s="2"/>
      <c r="I899" s="2"/>
      <c r="J899" s="2"/>
      <c r="K899" s="2"/>
      <c r="L899" s="19"/>
      <c r="M899" s="19"/>
      <c r="N899" s="2"/>
      <c r="O899" s="2"/>
      <c r="P899" s="2"/>
      <c r="Q899" s="2"/>
      <c r="R899" s="2"/>
      <c r="S899" s="2"/>
      <c r="T899" s="2"/>
      <c r="U899" s="2"/>
      <c r="V899" s="2"/>
      <c r="W899" s="2"/>
      <c r="X899" s="2"/>
      <c r="Y899" s="2"/>
      <c r="Z899" s="2"/>
    </row>
    <row r="900" customFormat="false" ht="12" hidden="false" customHeight="true" outlineLevel="0" collapsed="false">
      <c r="A900" s="2"/>
      <c r="B900" s="19"/>
      <c r="C900" s="19"/>
      <c r="D900" s="2"/>
      <c r="E900" s="2"/>
      <c r="F900" s="2"/>
      <c r="G900" s="2"/>
      <c r="H900" s="2"/>
      <c r="I900" s="2"/>
      <c r="J900" s="2"/>
      <c r="K900" s="2"/>
      <c r="L900" s="19"/>
      <c r="M900" s="19"/>
      <c r="N900" s="2"/>
      <c r="O900" s="2"/>
      <c r="P900" s="2"/>
      <c r="Q900" s="2"/>
      <c r="R900" s="2"/>
      <c r="S900" s="2"/>
      <c r="T900" s="2"/>
      <c r="U900" s="2"/>
      <c r="V900" s="2"/>
      <c r="W900" s="2"/>
      <c r="X900" s="2"/>
      <c r="Y900" s="2"/>
      <c r="Z900" s="2"/>
    </row>
    <row r="901" customFormat="false" ht="12" hidden="false" customHeight="true" outlineLevel="0" collapsed="false">
      <c r="A901" s="2"/>
      <c r="B901" s="19"/>
      <c r="C901" s="19"/>
      <c r="D901" s="2"/>
      <c r="E901" s="2"/>
      <c r="F901" s="2"/>
      <c r="G901" s="2"/>
      <c r="H901" s="2"/>
      <c r="I901" s="2"/>
      <c r="J901" s="2"/>
      <c r="K901" s="2"/>
      <c r="L901" s="19"/>
      <c r="M901" s="19"/>
      <c r="N901" s="2"/>
      <c r="O901" s="2"/>
      <c r="P901" s="2"/>
      <c r="Q901" s="2"/>
      <c r="R901" s="2"/>
      <c r="S901" s="2"/>
      <c r="T901" s="2"/>
      <c r="U901" s="2"/>
      <c r="V901" s="2"/>
      <c r="W901" s="2"/>
      <c r="X901" s="2"/>
      <c r="Y901" s="2"/>
      <c r="Z901" s="2"/>
    </row>
    <row r="902" customFormat="false" ht="12" hidden="false" customHeight="true" outlineLevel="0" collapsed="false">
      <c r="A902" s="2"/>
      <c r="B902" s="19"/>
      <c r="C902" s="19"/>
      <c r="D902" s="2"/>
      <c r="E902" s="2"/>
      <c r="F902" s="2"/>
      <c r="G902" s="2"/>
      <c r="H902" s="2"/>
      <c r="I902" s="2"/>
      <c r="J902" s="2"/>
      <c r="K902" s="2"/>
      <c r="L902" s="19"/>
      <c r="M902" s="19"/>
      <c r="N902" s="2"/>
      <c r="O902" s="2"/>
      <c r="P902" s="2"/>
      <c r="Q902" s="2"/>
      <c r="R902" s="2"/>
      <c r="S902" s="2"/>
      <c r="T902" s="2"/>
      <c r="U902" s="2"/>
      <c r="V902" s="2"/>
      <c r="W902" s="2"/>
      <c r="X902" s="2"/>
      <c r="Y902" s="2"/>
      <c r="Z902" s="2"/>
    </row>
    <row r="903" customFormat="false" ht="12" hidden="false" customHeight="true" outlineLevel="0" collapsed="false">
      <c r="A903" s="2"/>
      <c r="B903" s="19"/>
      <c r="C903" s="19"/>
      <c r="D903" s="2"/>
      <c r="E903" s="2"/>
      <c r="F903" s="2"/>
      <c r="G903" s="2"/>
      <c r="H903" s="2"/>
      <c r="I903" s="2"/>
      <c r="J903" s="2"/>
      <c r="K903" s="2"/>
      <c r="L903" s="19"/>
      <c r="M903" s="19"/>
      <c r="N903" s="2"/>
      <c r="O903" s="2"/>
      <c r="P903" s="2"/>
      <c r="Q903" s="2"/>
      <c r="R903" s="2"/>
      <c r="S903" s="2"/>
      <c r="T903" s="2"/>
      <c r="U903" s="2"/>
      <c r="V903" s="2"/>
      <c r="W903" s="2"/>
      <c r="X903" s="2"/>
      <c r="Y903" s="2"/>
      <c r="Z903" s="2"/>
    </row>
    <row r="904" customFormat="false" ht="12" hidden="false" customHeight="true" outlineLevel="0" collapsed="false">
      <c r="A904" s="2"/>
      <c r="B904" s="19"/>
      <c r="C904" s="19"/>
      <c r="D904" s="2"/>
      <c r="E904" s="2"/>
      <c r="F904" s="2"/>
      <c r="G904" s="2"/>
      <c r="H904" s="2"/>
      <c r="I904" s="2"/>
      <c r="J904" s="2"/>
      <c r="K904" s="2"/>
      <c r="L904" s="19"/>
      <c r="M904" s="19"/>
      <c r="N904" s="2"/>
      <c r="O904" s="2"/>
      <c r="P904" s="2"/>
      <c r="Q904" s="2"/>
      <c r="R904" s="2"/>
      <c r="S904" s="2"/>
      <c r="T904" s="2"/>
      <c r="U904" s="2"/>
      <c r="V904" s="2"/>
      <c r="W904" s="2"/>
      <c r="X904" s="2"/>
      <c r="Y904" s="2"/>
      <c r="Z904" s="2"/>
    </row>
    <row r="905" customFormat="false" ht="12" hidden="false" customHeight="true" outlineLevel="0" collapsed="false">
      <c r="A905" s="2"/>
      <c r="B905" s="19"/>
      <c r="C905" s="19"/>
      <c r="D905" s="2"/>
      <c r="E905" s="2"/>
      <c r="F905" s="2"/>
      <c r="G905" s="2"/>
      <c r="H905" s="2"/>
      <c r="I905" s="2"/>
      <c r="J905" s="2"/>
      <c r="K905" s="2"/>
      <c r="L905" s="19"/>
      <c r="M905" s="19"/>
      <c r="N905" s="2"/>
      <c r="O905" s="2"/>
      <c r="P905" s="2"/>
      <c r="Q905" s="2"/>
      <c r="R905" s="2"/>
      <c r="S905" s="2"/>
      <c r="T905" s="2"/>
      <c r="U905" s="2"/>
      <c r="V905" s="2"/>
      <c r="W905" s="2"/>
      <c r="X905" s="2"/>
      <c r="Y905" s="2"/>
      <c r="Z905" s="2"/>
    </row>
    <row r="906" customFormat="false" ht="12" hidden="false" customHeight="true" outlineLevel="0" collapsed="false">
      <c r="A906" s="2"/>
      <c r="B906" s="19"/>
      <c r="C906" s="19"/>
      <c r="D906" s="2"/>
      <c r="E906" s="2"/>
      <c r="F906" s="2"/>
      <c r="G906" s="2"/>
      <c r="H906" s="2"/>
      <c r="I906" s="2"/>
      <c r="J906" s="2"/>
      <c r="K906" s="2"/>
      <c r="L906" s="19"/>
      <c r="M906" s="19"/>
      <c r="N906" s="2"/>
      <c r="O906" s="2"/>
      <c r="P906" s="2"/>
      <c r="Q906" s="2"/>
      <c r="R906" s="2"/>
      <c r="S906" s="2"/>
      <c r="T906" s="2"/>
      <c r="U906" s="2"/>
      <c r="V906" s="2"/>
      <c r="W906" s="2"/>
      <c r="X906" s="2"/>
      <c r="Y906" s="2"/>
      <c r="Z906" s="2"/>
    </row>
    <row r="907" customFormat="false" ht="12" hidden="false" customHeight="true" outlineLevel="0" collapsed="false">
      <c r="A907" s="2"/>
      <c r="B907" s="19"/>
      <c r="C907" s="19"/>
      <c r="D907" s="2"/>
      <c r="E907" s="2"/>
      <c r="F907" s="2"/>
      <c r="G907" s="2"/>
      <c r="H907" s="2"/>
      <c r="I907" s="2"/>
      <c r="J907" s="2"/>
      <c r="K907" s="2"/>
      <c r="L907" s="19"/>
      <c r="M907" s="19"/>
      <c r="N907" s="2"/>
      <c r="O907" s="2"/>
      <c r="P907" s="2"/>
      <c r="Q907" s="2"/>
      <c r="R907" s="2"/>
      <c r="S907" s="2"/>
      <c r="T907" s="2"/>
      <c r="U907" s="2"/>
      <c r="V907" s="2"/>
      <c r="W907" s="2"/>
      <c r="X907" s="2"/>
      <c r="Y907" s="2"/>
      <c r="Z907" s="2"/>
    </row>
    <row r="908" customFormat="false" ht="12" hidden="false" customHeight="true" outlineLevel="0" collapsed="false">
      <c r="A908" s="2"/>
      <c r="B908" s="19"/>
      <c r="C908" s="19"/>
      <c r="D908" s="2"/>
      <c r="E908" s="2"/>
      <c r="F908" s="2"/>
      <c r="G908" s="2"/>
      <c r="H908" s="2"/>
      <c r="I908" s="2"/>
      <c r="J908" s="2"/>
      <c r="K908" s="2"/>
      <c r="L908" s="19"/>
      <c r="M908" s="19"/>
      <c r="N908" s="2"/>
      <c r="O908" s="2"/>
      <c r="P908" s="2"/>
      <c r="Q908" s="2"/>
      <c r="R908" s="2"/>
      <c r="S908" s="2"/>
      <c r="T908" s="2"/>
      <c r="U908" s="2"/>
      <c r="V908" s="2"/>
      <c r="W908" s="2"/>
      <c r="X908" s="2"/>
      <c r="Y908" s="2"/>
      <c r="Z908" s="2"/>
    </row>
    <row r="909" customFormat="false" ht="12" hidden="false" customHeight="true" outlineLevel="0" collapsed="false">
      <c r="A909" s="2"/>
      <c r="B909" s="19"/>
      <c r="C909" s="19"/>
      <c r="D909" s="2"/>
      <c r="E909" s="2"/>
      <c r="F909" s="2"/>
      <c r="G909" s="2"/>
      <c r="H909" s="2"/>
      <c r="I909" s="2"/>
      <c r="J909" s="2"/>
      <c r="K909" s="2"/>
      <c r="L909" s="19"/>
      <c r="M909" s="19"/>
      <c r="N909" s="2"/>
      <c r="O909" s="2"/>
      <c r="P909" s="2"/>
      <c r="Q909" s="2"/>
      <c r="R909" s="2"/>
      <c r="S909" s="2"/>
      <c r="T909" s="2"/>
      <c r="U909" s="2"/>
      <c r="V909" s="2"/>
      <c r="W909" s="2"/>
      <c r="X909" s="2"/>
      <c r="Y909" s="2"/>
      <c r="Z909" s="2"/>
    </row>
    <row r="910" customFormat="false" ht="12" hidden="false" customHeight="true" outlineLevel="0" collapsed="false">
      <c r="A910" s="2"/>
      <c r="B910" s="19"/>
      <c r="C910" s="19"/>
      <c r="D910" s="2"/>
      <c r="E910" s="2"/>
      <c r="F910" s="2"/>
      <c r="G910" s="2"/>
      <c r="H910" s="2"/>
      <c r="I910" s="2"/>
      <c r="J910" s="2"/>
      <c r="K910" s="2"/>
      <c r="L910" s="19"/>
      <c r="M910" s="19"/>
      <c r="N910" s="2"/>
      <c r="O910" s="2"/>
      <c r="P910" s="2"/>
      <c r="Q910" s="2"/>
      <c r="R910" s="2"/>
      <c r="S910" s="2"/>
      <c r="T910" s="2"/>
      <c r="U910" s="2"/>
      <c r="V910" s="2"/>
      <c r="W910" s="2"/>
      <c r="X910" s="2"/>
      <c r="Y910" s="2"/>
      <c r="Z910" s="2"/>
    </row>
    <row r="911" customFormat="false" ht="12" hidden="false" customHeight="true" outlineLevel="0" collapsed="false">
      <c r="A911" s="2"/>
      <c r="B911" s="19"/>
      <c r="C911" s="19"/>
      <c r="D911" s="2"/>
      <c r="E911" s="2"/>
      <c r="F911" s="2"/>
      <c r="G911" s="2"/>
      <c r="H911" s="2"/>
      <c r="I911" s="2"/>
      <c r="J911" s="2"/>
      <c r="K911" s="2"/>
      <c r="L911" s="19"/>
      <c r="M911" s="19"/>
      <c r="N911" s="2"/>
      <c r="O911" s="2"/>
      <c r="P911" s="2"/>
      <c r="Q911" s="2"/>
      <c r="R911" s="2"/>
      <c r="S911" s="2"/>
      <c r="T911" s="2"/>
      <c r="U911" s="2"/>
      <c r="V911" s="2"/>
      <c r="W911" s="2"/>
      <c r="X911" s="2"/>
      <c r="Y911" s="2"/>
      <c r="Z911" s="2"/>
    </row>
    <row r="912" customFormat="false" ht="12" hidden="false" customHeight="true" outlineLevel="0" collapsed="false">
      <c r="A912" s="2"/>
      <c r="B912" s="19"/>
      <c r="C912" s="19"/>
      <c r="D912" s="2"/>
      <c r="E912" s="2"/>
      <c r="F912" s="2"/>
      <c r="G912" s="2"/>
      <c r="H912" s="2"/>
      <c r="I912" s="2"/>
      <c r="J912" s="2"/>
      <c r="K912" s="2"/>
      <c r="L912" s="19"/>
      <c r="M912" s="19"/>
      <c r="N912" s="2"/>
      <c r="O912" s="2"/>
      <c r="P912" s="2"/>
      <c r="Q912" s="2"/>
      <c r="R912" s="2"/>
      <c r="S912" s="2"/>
      <c r="T912" s="2"/>
      <c r="U912" s="2"/>
      <c r="V912" s="2"/>
      <c r="W912" s="2"/>
      <c r="X912" s="2"/>
      <c r="Y912" s="2"/>
      <c r="Z912" s="2"/>
    </row>
    <row r="913" customFormat="false" ht="12" hidden="false" customHeight="true" outlineLevel="0" collapsed="false">
      <c r="A913" s="2"/>
      <c r="B913" s="19"/>
      <c r="C913" s="19"/>
      <c r="D913" s="2"/>
      <c r="E913" s="2"/>
      <c r="F913" s="2"/>
      <c r="G913" s="2"/>
      <c r="H913" s="2"/>
      <c r="I913" s="2"/>
      <c r="J913" s="2"/>
      <c r="K913" s="2"/>
      <c r="L913" s="19"/>
      <c r="M913" s="19"/>
      <c r="N913" s="2"/>
      <c r="O913" s="2"/>
      <c r="P913" s="2"/>
      <c r="Q913" s="2"/>
      <c r="R913" s="2"/>
      <c r="S913" s="2"/>
      <c r="T913" s="2"/>
      <c r="U913" s="2"/>
      <c r="V913" s="2"/>
      <c r="W913" s="2"/>
      <c r="X913" s="2"/>
      <c r="Y913" s="2"/>
      <c r="Z913" s="2"/>
    </row>
    <row r="914" customFormat="false" ht="12" hidden="false" customHeight="true" outlineLevel="0" collapsed="false">
      <c r="A914" s="2"/>
      <c r="B914" s="19"/>
      <c r="C914" s="19"/>
      <c r="D914" s="2"/>
      <c r="E914" s="2"/>
      <c r="F914" s="2"/>
      <c r="G914" s="2"/>
      <c r="H914" s="2"/>
      <c r="I914" s="2"/>
      <c r="J914" s="2"/>
      <c r="K914" s="2"/>
      <c r="L914" s="19"/>
      <c r="M914" s="19"/>
      <c r="N914" s="2"/>
      <c r="O914" s="2"/>
      <c r="P914" s="2"/>
      <c r="Q914" s="2"/>
      <c r="R914" s="2"/>
      <c r="S914" s="2"/>
      <c r="T914" s="2"/>
      <c r="U914" s="2"/>
      <c r="V914" s="2"/>
      <c r="W914" s="2"/>
      <c r="X914" s="2"/>
      <c r="Y914" s="2"/>
      <c r="Z914" s="2"/>
    </row>
    <row r="915" customFormat="false" ht="12" hidden="false" customHeight="true" outlineLevel="0" collapsed="false">
      <c r="A915" s="2"/>
      <c r="B915" s="19"/>
      <c r="C915" s="19"/>
      <c r="D915" s="2"/>
      <c r="E915" s="2"/>
      <c r="F915" s="2"/>
      <c r="G915" s="2"/>
      <c r="H915" s="2"/>
      <c r="I915" s="2"/>
      <c r="J915" s="2"/>
      <c r="K915" s="2"/>
      <c r="L915" s="19"/>
      <c r="M915" s="19"/>
      <c r="N915" s="2"/>
      <c r="O915" s="2"/>
      <c r="P915" s="2"/>
      <c r="Q915" s="2"/>
      <c r="R915" s="2"/>
      <c r="S915" s="2"/>
      <c r="T915" s="2"/>
      <c r="U915" s="2"/>
      <c r="V915" s="2"/>
      <c r="W915" s="2"/>
      <c r="X915" s="2"/>
      <c r="Y915" s="2"/>
      <c r="Z915" s="2"/>
    </row>
    <row r="916" customFormat="false" ht="12" hidden="false" customHeight="true" outlineLevel="0" collapsed="false">
      <c r="A916" s="2"/>
      <c r="B916" s="19"/>
      <c r="C916" s="19"/>
      <c r="D916" s="2"/>
      <c r="E916" s="2"/>
      <c r="F916" s="2"/>
      <c r="G916" s="2"/>
      <c r="H916" s="2"/>
      <c r="I916" s="2"/>
      <c r="J916" s="2"/>
      <c r="K916" s="2"/>
      <c r="L916" s="19"/>
      <c r="M916" s="19"/>
      <c r="N916" s="2"/>
      <c r="O916" s="2"/>
      <c r="P916" s="2"/>
      <c r="Q916" s="2"/>
      <c r="R916" s="2"/>
      <c r="S916" s="2"/>
      <c r="T916" s="2"/>
      <c r="U916" s="2"/>
      <c r="V916" s="2"/>
      <c r="W916" s="2"/>
      <c r="X916" s="2"/>
      <c r="Y916" s="2"/>
      <c r="Z916" s="2"/>
    </row>
    <row r="917" customFormat="false" ht="12" hidden="false" customHeight="true" outlineLevel="0" collapsed="false">
      <c r="A917" s="2"/>
      <c r="B917" s="19"/>
      <c r="C917" s="19"/>
      <c r="D917" s="2"/>
      <c r="E917" s="2"/>
      <c r="F917" s="2"/>
      <c r="G917" s="2"/>
      <c r="H917" s="2"/>
      <c r="I917" s="2"/>
      <c r="J917" s="2"/>
      <c r="K917" s="2"/>
      <c r="L917" s="19"/>
      <c r="M917" s="19"/>
      <c r="N917" s="2"/>
      <c r="O917" s="2"/>
      <c r="P917" s="2"/>
      <c r="Q917" s="2"/>
      <c r="R917" s="2"/>
      <c r="S917" s="2"/>
      <c r="T917" s="2"/>
      <c r="U917" s="2"/>
      <c r="V917" s="2"/>
      <c r="W917" s="2"/>
      <c r="X917" s="2"/>
      <c r="Y917" s="2"/>
      <c r="Z917" s="2"/>
    </row>
    <row r="918" customFormat="false" ht="12" hidden="false" customHeight="true" outlineLevel="0" collapsed="false">
      <c r="A918" s="2"/>
      <c r="B918" s="19"/>
      <c r="C918" s="19"/>
      <c r="D918" s="2"/>
      <c r="E918" s="2"/>
      <c r="F918" s="2"/>
      <c r="G918" s="2"/>
      <c r="H918" s="2"/>
      <c r="I918" s="2"/>
      <c r="J918" s="2"/>
      <c r="K918" s="2"/>
      <c r="L918" s="19"/>
      <c r="M918" s="19"/>
      <c r="N918" s="2"/>
      <c r="O918" s="2"/>
      <c r="P918" s="2"/>
      <c r="Q918" s="2"/>
      <c r="R918" s="2"/>
      <c r="S918" s="2"/>
      <c r="T918" s="2"/>
      <c r="U918" s="2"/>
      <c r="V918" s="2"/>
      <c r="W918" s="2"/>
      <c r="X918" s="2"/>
      <c r="Y918" s="2"/>
      <c r="Z918" s="2"/>
    </row>
    <row r="919" customFormat="false" ht="12" hidden="false" customHeight="true" outlineLevel="0" collapsed="false">
      <c r="A919" s="2"/>
      <c r="B919" s="19"/>
      <c r="C919" s="19"/>
      <c r="D919" s="2"/>
      <c r="E919" s="2"/>
      <c r="F919" s="2"/>
      <c r="G919" s="2"/>
      <c r="H919" s="2"/>
      <c r="I919" s="2"/>
      <c r="J919" s="2"/>
      <c r="K919" s="2"/>
      <c r="L919" s="19"/>
      <c r="M919" s="19"/>
      <c r="N919" s="2"/>
      <c r="O919" s="2"/>
      <c r="P919" s="2"/>
      <c r="Q919" s="2"/>
      <c r="R919" s="2"/>
      <c r="S919" s="2"/>
      <c r="T919" s="2"/>
      <c r="U919" s="2"/>
      <c r="V919" s="2"/>
      <c r="W919" s="2"/>
      <c r="X919" s="2"/>
      <c r="Y919" s="2"/>
      <c r="Z919" s="2"/>
    </row>
    <row r="920" customFormat="false" ht="12" hidden="false" customHeight="true" outlineLevel="0" collapsed="false">
      <c r="A920" s="2"/>
      <c r="B920" s="19"/>
      <c r="C920" s="19"/>
      <c r="D920" s="2"/>
      <c r="E920" s="2"/>
      <c r="F920" s="2"/>
      <c r="G920" s="2"/>
      <c r="H920" s="2"/>
      <c r="I920" s="2"/>
      <c r="J920" s="2"/>
      <c r="K920" s="2"/>
      <c r="L920" s="19"/>
      <c r="M920" s="19"/>
      <c r="N920" s="2"/>
      <c r="O920" s="2"/>
      <c r="P920" s="2"/>
      <c r="Q920" s="2"/>
      <c r="R920" s="2"/>
      <c r="S920" s="2"/>
      <c r="T920" s="2"/>
      <c r="U920" s="2"/>
      <c r="V920" s="2"/>
      <c r="W920" s="2"/>
      <c r="X920" s="2"/>
      <c r="Y920" s="2"/>
      <c r="Z920" s="2"/>
    </row>
    <row r="921" customFormat="false" ht="12" hidden="false" customHeight="true" outlineLevel="0" collapsed="false">
      <c r="A921" s="2"/>
      <c r="B921" s="19"/>
      <c r="C921" s="19"/>
      <c r="D921" s="2"/>
      <c r="E921" s="2"/>
      <c r="F921" s="2"/>
      <c r="G921" s="2"/>
      <c r="H921" s="2"/>
      <c r="I921" s="2"/>
      <c r="J921" s="2"/>
      <c r="K921" s="2"/>
      <c r="L921" s="19"/>
      <c r="M921" s="19"/>
      <c r="N921" s="2"/>
      <c r="O921" s="2"/>
      <c r="P921" s="2"/>
      <c r="Q921" s="2"/>
      <c r="R921" s="2"/>
      <c r="S921" s="2"/>
      <c r="T921" s="2"/>
      <c r="U921" s="2"/>
      <c r="V921" s="2"/>
      <c r="W921" s="2"/>
      <c r="X921" s="2"/>
      <c r="Y921" s="2"/>
      <c r="Z921" s="2"/>
    </row>
    <row r="922" customFormat="false" ht="12" hidden="false" customHeight="true" outlineLevel="0" collapsed="false">
      <c r="A922" s="2"/>
      <c r="B922" s="19"/>
      <c r="C922" s="19"/>
      <c r="D922" s="2"/>
      <c r="E922" s="2"/>
      <c r="F922" s="2"/>
      <c r="G922" s="2"/>
      <c r="H922" s="2"/>
      <c r="I922" s="2"/>
      <c r="J922" s="2"/>
      <c r="K922" s="2"/>
      <c r="L922" s="19"/>
      <c r="M922" s="19"/>
      <c r="N922" s="2"/>
      <c r="O922" s="2"/>
      <c r="P922" s="2"/>
      <c r="Q922" s="2"/>
      <c r="R922" s="2"/>
      <c r="S922" s="2"/>
      <c r="T922" s="2"/>
      <c r="U922" s="2"/>
      <c r="V922" s="2"/>
      <c r="W922" s="2"/>
      <c r="X922" s="2"/>
      <c r="Y922" s="2"/>
      <c r="Z922" s="2"/>
    </row>
    <row r="923" customFormat="false" ht="12" hidden="false" customHeight="true" outlineLevel="0" collapsed="false">
      <c r="A923" s="2"/>
      <c r="B923" s="19"/>
      <c r="C923" s="19"/>
      <c r="D923" s="2"/>
      <c r="E923" s="2"/>
      <c r="F923" s="2"/>
      <c r="G923" s="2"/>
      <c r="H923" s="2"/>
      <c r="I923" s="2"/>
      <c r="J923" s="2"/>
      <c r="K923" s="2"/>
      <c r="L923" s="19"/>
      <c r="M923" s="19"/>
      <c r="N923" s="2"/>
      <c r="O923" s="2"/>
      <c r="P923" s="2"/>
      <c r="Q923" s="2"/>
      <c r="R923" s="2"/>
      <c r="S923" s="2"/>
      <c r="T923" s="2"/>
      <c r="U923" s="2"/>
      <c r="V923" s="2"/>
      <c r="W923" s="2"/>
      <c r="X923" s="2"/>
      <c r="Y923" s="2"/>
      <c r="Z923" s="2"/>
    </row>
    <row r="924" customFormat="false" ht="12" hidden="false" customHeight="true" outlineLevel="0" collapsed="false">
      <c r="A924" s="2"/>
      <c r="B924" s="19"/>
      <c r="C924" s="19"/>
      <c r="D924" s="2"/>
      <c r="E924" s="2"/>
      <c r="F924" s="2"/>
      <c r="G924" s="2"/>
      <c r="H924" s="2"/>
      <c r="I924" s="2"/>
      <c r="J924" s="2"/>
      <c r="K924" s="2"/>
      <c r="L924" s="19"/>
      <c r="M924" s="19"/>
      <c r="N924" s="2"/>
      <c r="O924" s="2"/>
      <c r="P924" s="2"/>
      <c r="Q924" s="2"/>
      <c r="R924" s="2"/>
      <c r="S924" s="2"/>
      <c r="T924" s="2"/>
      <c r="U924" s="2"/>
      <c r="V924" s="2"/>
      <c r="W924" s="2"/>
      <c r="X924" s="2"/>
      <c r="Y924" s="2"/>
      <c r="Z924" s="2"/>
    </row>
    <row r="925" customFormat="false" ht="12" hidden="false" customHeight="true" outlineLevel="0" collapsed="false">
      <c r="A925" s="2"/>
      <c r="B925" s="19"/>
      <c r="C925" s="19"/>
      <c r="D925" s="2"/>
      <c r="E925" s="2"/>
      <c r="F925" s="2"/>
      <c r="G925" s="2"/>
      <c r="H925" s="2"/>
      <c r="I925" s="2"/>
      <c r="J925" s="2"/>
      <c r="K925" s="2"/>
      <c r="L925" s="19"/>
      <c r="M925" s="19"/>
      <c r="N925" s="2"/>
      <c r="O925" s="2"/>
      <c r="P925" s="2"/>
      <c r="Q925" s="2"/>
      <c r="R925" s="2"/>
      <c r="S925" s="2"/>
      <c r="T925" s="2"/>
      <c r="U925" s="2"/>
      <c r="V925" s="2"/>
      <c r="W925" s="2"/>
      <c r="X925" s="2"/>
      <c r="Y925" s="2"/>
      <c r="Z925" s="2"/>
    </row>
    <row r="926" customFormat="false" ht="12" hidden="false" customHeight="true" outlineLevel="0" collapsed="false">
      <c r="A926" s="2"/>
      <c r="B926" s="19"/>
      <c r="C926" s="19"/>
      <c r="D926" s="2"/>
      <c r="E926" s="2"/>
      <c r="F926" s="2"/>
      <c r="G926" s="2"/>
      <c r="H926" s="2"/>
      <c r="I926" s="2"/>
      <c r="J926" s="2"/>
      <c r="K926" s="2"/>
      <c r="L926" s="19"/>
      <c r="M926" s="19"/>
      <c r="N926" s="2"/>
      <c r="O926" s="2"/>
      <c r="P926" s="2"/>
      <c r="Q926" s="2"/>
      <c r="R926" s="2"/>
      <c r="S926" s="2"/>
      <c r="T926" s="2"/>
      <c r="U926" s="2"/>
      <c r="V926" s="2"/>
      <c r="W926" s="2"/>
      <c r="X926" s="2"/>
      <c r="Y926" s="2"/>
      <c r="Z926" s="2"/>
    </row>
    <row r="927" customFormat="false" ht="12" hidden="false" customHeight="true" outlineLevel="0" collapsed="false">
      <c r="A927" s="2"/>
      <c r="B927" s="19"/>
      <c r="C927" s="19"/>
      <c r="D927" s="2"/>
      <c r="E927" s="2"/>
      <c r="F927" s="2"/>
      <c r="G927" s="2"/>
      <c r="H927" s="2"/>
      <c r="I927" s="2"/>
      <c r="J927" s="2"/>
      <c r="K927" s="2"/>
      <c r="L927" s="19"/>
      <c r="M927" s="19"/>
      <c r="N927" s="2"/>
      <c r="O927" s="2"/>
      <c r="P927" s="2"/>
      <c r="Q927" s="2"/>
      <c r="R927" s="2"/>
      <c r="S927" s="2"/>
      <c r="T927" s="2"/>
      <c r="U927" s="2"/>
      <c r="V927" s="2"/>
      <c r="W927" s="2"/>
      <c r="X927" s="2"/>
      <c r="Y927" s="2"/>
      <c r="Z927" s="2"/>
    </row>
    <row r="928" customFormat="false" ht="12" hidden="false" customHeight="true" outlineLevel="0" collapsed="false">
      <c r="A928" s="2"/>
      <c r="B928" s="19"/>
      <c r="C928" s="19"/>
      <c r="D928" s="2"/>
      <c r="E928" s="2"/>
      <c r="F928" s="2"/>
      <c r="G928" s="2"/>
      <c r="H928" s="2"/>
      <c r="I928" s="2"/>
      <c r="J928" s="2"/>
      <c r="K928" s="2"/>
      <c r="L928" s="19"/>
      <c r="M928" s="19"/>
      <c r="N928" s="2"/>
      <c r="O928" s="2"/>
      <c r="P928" s="2"/>
      <c r="Q928" s="2"/>
      <c r="R928" s="2"/>
      <c r="S928" s="2"/>
      <c r="T928" s="2"/>
      <c r="U928" s="2"/>
      <c r="V928" s="2"/>
      <c r="W928" s="2"/>
      <c r="X928" s="2"/>
      <c r="Y928" s="2"/>
      <c r="Z928" s="2"/>
    </row>
    <row r="929" customFormat="false" ht="12" hidden="false" customHeight="true" outlineLevel="0" collapsed="false">
      <c r="A929" s="2"/>
      <c r="B929" s="19"/>
      <c r="C929" s="19"/>
      <c r="D929" s="2"/>
      <c r="E929" s="2"/>
      <c r="F929" s="2"/>
      <c r="G929" s="2"/>
      <c r="H929" s="2"/>
      <c r="I929" s="2"/>
      <c r="J929" s="2"/>
      <c r="K929" s="2"/>
      <c r="L929" s="19"/>
      <c r="M929" s="19"/>
      <c r="N929" s="2"/>
      <c r="O929" s="2"/>
      <c r="P929" s="2"/>
      <c r="Q929" s="2"/>
      <c r="R929" s="2"/>
      <c r="S929" s="2"/>
      <c r="T929" s="2"/>
      <c r="U929" s="2"/>
      <c r="V929" s="2"/>
      <c r="W929" s="2"/>
      <c r="X929" s="2"/>
      <c r="Y929" s="2"/>
      <c r="Z929" s="2"/>
    </row>
    <row r="930" customFormat="false" ht="12" hidden="false" customHeight="true" outlineLevel="0" collapsed="false">
      <c r="A930" s="2"/>
      <c r="B930" s="19"/>
      <c r="C930" s="19"/>
      <c r="D930" s="2"/>
      <c r="E930" s="2"/>
      <c r="F930" s="2"/>
      <c r="G930" s="2"/>
      <c r="H930" s="2"/>
      <c r="I930" s="2"/>
      <c r="J930" s="2"/>
      <c r="K930" s="2"/>
      <c r="L930" s="19"/>
      <c r="M930" s="19"/>
      <c r="N930" s="2"/>
      <c r="O930" s="2"/>
      <c r="P930" s="2"/>
      <c r="Q930" s="2"/>
      <c r="R930" s="2"/>
      <c r="S930" s="2"/>
      <c r="T930" s="2"/>
      <c r="U930" s="2"/>
      <c r="V930" s="2"/>
      <c r="W930" s="2"/>
      <c r="X930" s="2"/>
      <c r="Y930" s="2"/>
      <c r="Z930" s="2"/>
    </row>
    <row r="931" customFormat="false" ht="12" hidden="false" customHeight="true" outlineLevel="0" collapsed="false">
      <c r="A931" s="2"/>
      <c r="B931" s="19"/>
      <c r="C931" s="19"/>
      <c r="D931" s="2"/>
      <c r="E931" s="2"/>
      <c r="F931" s="2"/>
      <c r="G931" s="2"/>
      <c r="H931" s="2"/>
      <c r="I931" s="2"/>
      <c r="J931" s="2"/>
      <c r="K931" s="2"/>
      <c r="L931" s="19"/>
      <c r="M931" s="19"/>
      <c r="N931" s="2"/>
      <c r="O931" s="2"/>
      <c r="P931" s="2"/>
      <c r="Q931" s="2"/>
      <c r="R931" s="2"/>
      <c r="S931" s="2"/>
      <c r="T931" s="2"/>
      <c r="U931" s="2"/>
      <c r="V931" s="2"/>
      <c r="W931" s="2"/>
      <c r="X931" s="2"/>
      <c r="Y931" s="2"/>
      <c r="Z931" s="2"/>
    </row>
    <row r="932" customFormat="false" ht="12" hidden="false" customHeight="true" outlineLevel="0" collapsed="false">
      <c r="A932" s="2"/>
      <c r="B932" s="19"/>
      <c r="C932" s="19"/>
      <c r="D932" s="2"/>
      <c r="E932" s="2"/>
      <c r="F932" s="2"/>
      <c r="G932" s="2"/>
      <c r="H932" s="2"/>
      <c r="I932" s="2"/>
      <c r="J932" s="2"/>
      <c r="K932" s="2"/>
      <c r="L932" s="19"/>
      <c r="M932" s="19"/>
      <c r="N932" s="2"/>
      <c r="O932" s="2"/>
      <c r="P932" s="2"/>
      <c r="Q932" s="2"/>
      <c r="R932" s="2"/>
      <c r="S932" s="2"/>
      <c r="T932" s="2"/>
      <c r="U932" s="2"/>
      <c r="V932" s="2"/>
      <c r="W932" s="2"/>
      <c r="X932" s="2"/>
      <c r="Y932" s="2"/>
      <c r="Z932" s="2"/>
    </row>
    <row r="933" customFormat="false" ht="12" hidden="false" customHeight="true" outlineLevel="0" collapsed="false">
      <c r="A933" s="2"/>
      <c r="B933" s="19"/>
      <c r="C933" s="19"/>
      <c r="D933" s="2"/>
      <c r="E933" s="2"/>
      <c r="F933" s="2"/>
      <c r="G933" s="2"/>
      <c r="H933" s="2"/>
      <c r="I933" s="2"/>
      <c r="J933" s="2"/>
      <c r="K933" s="2"/>
      <c r="L933" s="19"/>
      <c r="M933" s="19"/>
      <c r="N933" s="2"/>
      <c r="O933" s="2"/>
      <c r="P933" s="2"/>
      <c r="Q933" s="2"/>
      <c r="R933" s="2"/>
      <c r="S933" s="2"/>
      <c r="T933" s="2"/>
      <c r="U933" s="2"/>
      <c r="V933" s="2"/>
      <c r="W933" s="2"/>
      <c r="X933" s="2"/>
      <c r="Y933" s="2"/>
      <c r="Z933" s="2"/>
    </row>
    <row r="934" customFormat="false" ht="12" hidden="false" customHeight="true" outlineLevel="0" collapsed="false">
      <c r="A934" s="2"/>
      <c r="B934" s="19"/>
      <c r="C934" s="19"/>
      <c r="D934" s="2"/>
      <c r="E934" s="2"/>
      <c r="F934" s="2"/>
      <c r="G934" s="2"/>
      <c r="H934" s="2"/>
      <c r="I934" s="2"/>
      <c r="J934" s="2"/>
      <c r="K934" s="2"/>
      <c r="L934" s="19"/>
      <c r="M934" s="19"/>
      <c r="N934" s="2"/>
      <c r="O934" s="2"/>
      <c r="P934" s="2"/>
      <c r="Q934" s="2"/>
      <c r="R934" s="2"/>
      <c r="S934" s="2"/>
      <c r="T934" s="2"/>
      <c r="U934" s="2"/>
      <c r="V934" s="2"/>
      <c r="W934" s="2"/>
      <c r="X934" s="2"/>
      <c r="Y934" s="2"/>
      <c r="Z934" s="2"/>
    </row>
    <row r="935" customFormat="false" ht="12" hidden="false" customHeight="true" outlineLevel="0" collapsed="false">
      <c r="A935" s="2"/>
      <c r="B935" s="19"/>
      <c r="C935" s="19"/>
      <c r="D935" s="2"/>
      <c r="E935" s="2"/>
      <c r="F935" s="2"/>
      <c r="G935" s="2"/>
      <c r="H935" s="2"/>
      <c r="I935" s="2"/>
      <c r="J935" s="2"/>
      <c r="K935" s="2"/>
      <c r="L935" s="19"/>
      <c r="M935" s="19"/>
      <c r="N935" s="2"/>
      <c r="O935" s="2"/>
      <c r="P935" s="2"/>
      <c r="Q935" s="2"/>
      <c r="R935" s="2"/>
      <c r="S935" s="2"/>
      <c r="T935" s="2"/>
      <c r="U935" s="2"/>
      <c r="V935" s="2"/>
      <c r="W935" s="2"/>
      <c r="X935" s="2"/>
      <c r="Y935" s="2"/>
      <c r="Z935" s="2"/>
    </row>
    <row r="936" customFormat="false" ht="12" hidden="false" customHeight="true" outlineLevel="0" collapsed="false">
      <c r="A936" s="2"/>
      <c r="B936" s="19"/>
      <c r="C936" s="19"/>
      <c r="D936" s="2"/>
      <c r="E936" s="2"/>
      <c r="F936" s="2"/>
      <c r="G936" s="2"/>
      <c r="H936" s="2"/>
      <c r="I936" s="2"/>
      <c r="J936" s="2"/>
      <c r="K936" s="2"/>
      <c r="L936" s="19"/>
      <c r="M936" s="19"/>
      <c r="N936" s="2"/>
      <c r="O936" s="2"/>
      <c r="P936" s="2"/>
      <c r="Q936" s="2"/>
      <c r="R936" s="2"/>
      <c r="S936" s="2"/>
      <c r="T936" s="2"/>
      <c r="U936" s="2"/>
      <c r="V936" s="2"/>
      <c r="W936" s="2"/>
      <c r="X936" s="2"/>
      <c r="Y936" s="2"/>
      <c r="Z936" s="2"/>
    </row>
    <row r="937" customFormat="false" ht="12" hidden="false" customHeight="true" outlineLevel="0" collapsed="false">
      <c r="A937" s="2"/>
      <c r="B937" s="19"/>
      <c r="C937" s="19"/>
      <c r="D937" s="2"/>
      <c r="E937" s="2"/>
      <c r="F937" s="2"/>
      <c r="G937" s="2"/>
      <c r="H937" s="2"/>
      <c r="I937" s="2"/>
      <c r="J937" s="2"/>
      <c r="K937" s="2"/>
      <c r="L937" s="19"/>
      <c r="M937" s="19"/>
      <c r="N937" s="2"/>
      <c r="O937" s="2"/>
      <c r="P937" s="2"/>
      <c r="Q937" s="2"/>
      <c r="R937" s="2"/>
      <c r="S937" s="2"/>
      <c r="T937" s="2"/>
      <c r="U937" s="2"/>
      <c r="V937" s="2"/>
      <c r="W937" s="2"/>
      <c r="X937" s="2"/>
      <c r="Y937" s="2"/>
      <c r="Z937" s="2"/>
    </row>
    <row r="938" customFormat="false" ht="12" hidden="false" customHeight="true" outlineLevel="0" collapsed="false">
      <c r="A938" s="2"/>
      <c r="B938" s="19"/>
      <c r="C938" s="19"/>
      <c r="D938" s="2"/>
      <c r="E938" s="2"/>
      <c r="F938" s="2"/>
      <c r="G938" s="2"/>
      <c r="H938" s="2"/>
      <c r="I938" s="2"/>
      <c r="J938" s="2"/>
      <c r="K938" s="2"/>
      <c r="L938" s="19"/>
      <c r="M938" s="19"/>
      <c r="N938" s="2"/>
      <c r="O938" s="2"/>
      <c r="P938" s="2"/>
      <c r="Q938" s="2"/>
      <c r="R938" s="2"/>
      <c r="S938" s="2"/>
      <c r="T938" s="2"/>
      <c r="U938" s="2"/>
      <c r="V938" s="2"/>
      <c r="W938" s="2"/>
      <c r="X938" s="2"/>
      <c r="Y938" s="2"/>
      <c r="Z938" s="2"/>
    </row>
    <row r="939" customFormat="false" ht="12" hidden="false" customHeight="true" outlineLevel="0" collapsed="false">
      <c r="A939" s="2"/>
      <c r="B939" s="19"/>
      <c r="C939" s="19"/>
      <c r="D939" s="2"/>
      <c r="E939" s="2"/>
      <c r="F939" s="2"/>
      <c r="G939" s="2"/>
      <c r="H939" s="2"/>
      <c r="I939" s="2"/>
      <c r="J939" s="2"/>
      <c r="K939" s="2"/>
      <c r="L939" s="19"/>
      <c r="M939" s="19"/>
      <c r="N939" s="2"/>
      <c r="O939" s="2"/>
      <c r="P939" s="2"/>
      <c r="Q939" s="2"/>
      <c r="R939" s="2"/>
      <c r="S939" s="2"/>
      <c r="T939" s="2"/>
      <c r="U939" s="2"/>
      <c r="V939" s="2"/>
      <c r="W939" s="2"/>
      <c r="X939" s="2"/>
      <c r="Y939" s="2"/>
      <c r="Z939" s="2"/>
    </row>
    <row r="940" customFormat="false" ht="12" hidden="false" customHeight="true" outlineLevel="0" collapsed="false">
      <c r="A940" s="2"/>
      <c r="B940" s="19"/>
      <c r="C940" s="19"/>
      <c r="D940" s="2"/>
      <c r="E940" s="2"/>
      <c r="F940" s="2"/>
      <c r="G940" s="2"/>
      <c r="H940" s="2"/>
      <c r="I940" s="2"/>
      <c r="J940" s="2"/>
      <c r="K940" s="2"/>
      <c r="L940" s="19"/>
      <c r="M940" s="19"/>
      <c r="N940" s="2"/>
      <c r="O940" s="2"/>
      <c r="P940" s="2"/>
      <c r="Q940" s="2"/>
      <c r="R940" s="2"/>
      <c r="S940" s="2"/>
      <c r="T940" s="2"/>
      <c r="U940" s="2"/>
      <c r="V940" s="2"/>
      <c r="W940" s="2"/>
      <c r="X940" s="2"/>
      <c r="Y940" s="2"/>
      <c r="Z940" s="2"/>
    </row>
    <row r="941" customFormat="false" ht="12" hidden="false" customHeight="true" outlineLevel="0" collapsed="false">
      <c r="A941" s="2"/>
      <c r="B941" s="19"/>
      <c r="C941" s="19"/>
      <c r="D941" s="2"/>
      <c r="E941" s="2"/>
      <c r="F941" s="2"/>
      <c r="G941" s="2"/>
      <c r="H941" s="2"/>
      <c r="I941" s="2"/>
      <c r="J941" s="2"/>
      <c r="K941" s="2"/>
      <c r="L941" s="19"/>
      <c r="M941" s="19"/>
      <c r="N941" s="2"/>
      <c r="O941" s="2"/>
      <c r="P941" s="2"/>
      <c r="Q941" s="2"/>
      <c r="R941" s="2"/>
      <c r="S941" s="2"/>
      <c r="T941" s="2"/>
      <c r="U941" s="2"/>
      <c r="V941" s="2"/>
      <c r="W941" s="2"/>
      <c r="X941" s="2"/>
      <c r="Y941" s="2"/>
      <c r="Z941" s="2"/>
    </row>
    <row r="942" customFormat="false" ht="12" hidden="false" customHeight="true" outlineLevel="0" collapsed="false">
      <c r="A942" s="2"/>
      <c r="B942" s="19"/>
      <c r="C942" s="19"/>
      <c r="D942" s="2"/>
      <c r="E942" s="2"/>
      <c r="F942" s="2"/>
      <c r="G942" s="2"/>
      <c r="H942" s="2"/>
      <c r="I942" s="2"/>
      <c r="J942" s="2"/>
      <c r="K942" s="2"/>
      <c r="L942" s="19"/>
      <c r="M942" s="19"/>
      <c r="N942" s="2"/>
      <c r="O942" s="2"/>
      <c r="P942" s="2"/>
      <c r="Q942" s="2"/>
      <c r="R942" s="2"/>
      <c r="S942" s="2"/>
      <c r="T942" s="2"/>
      <c r="U942" s="2"/>
      <c r="V942" s="2"/>
      <c r="W942" s="2"/>
      <c r="X942" s="2"/>
      <c r="Y942" s="2"/>
      <c r="Z942" s="2"/>
    </row>
    <row r="943" customFormat="false" ht="12" hidden="false" customHeight="true" outlineLevel="0" collapsed="false">
      <c r="A943" s="2"/>
      <c r="B943" s="19"/>
      <c r="C943" s="19"/>
      <c r="D943" s="2"/>
      <c r="E943" s="2"/>
      <c r="F943" s="2"/>
      <c r="G943" s="2"/>
      <c r="H943" s="2"/>
      <c r="I943" s="2"/>
      <c r="J943" s="2"/>
      <c r="K943" s="2"/>
      <c r="L943" s="19"/>
      <c r="M943" s="19"/>
      <c r="N943" s="2"/>
      <c r="O943" s="2"/>
      <c r="P943" s="2"/>
      <c r="Q943" s="2"/>
      <c r="R943" s="2"/>
      <c r="S943" s="2"/>
      <c r="T943" s="2"/>
      <c r="U943" s="2"/>
      <c r="V943" s="2"/>
      <c r="W943" s="2"/>
      <c r="X943" s="2"/>
      <c r="Y943" s="2"/>
      <c r="Z943" s="2"/>
    </row>
    <row r="944" customFormat="false" ht="12" hidden="false" customHeight="true" outlineLevel="0" collapsed="false">
      <c r="A944" s="2"/>
      <c r="B944" s="19"/>
      <c r="C944" s="19"/>
      <c r="D944" s="2"/>
      <c r="E944" s="2"/>
      <c r="F944" s="2"/>
      <c r="G944" s="2"/>
      <c r="H944" s="2"/>
      <c r="I944" s="2"/>
      <c r="J944" s="2"/>
      <c r="K944" s="2"/>
      <c r="L944" s="19"/>
      <c r="M944" s="19"/>
      <c r="N944" s="2"/>
      <c r="O944" s="2"/>
      <c r="P944" s="2"/>
      <c r="Q944" s="2"/>
      <c r="R944" s="2"/>
      <c r="S944" s="2"/>
      <c r="T944" s="2"/>
      <c r="U944" s="2"/>
      <c r="V944" s="2"/>
      <c r="W944" s="2"/>
      <c r="X944" s="2"/>
      <c r="Y944" s="2"/>
      <c r="Z944" s="2"/>
    </row>
    <row r="945" customFormat="false" ht="12" hidden="false" customHeight="true" outlineLevel="0" collapsed="false">
      <c r="A945" s="2"/>
      <c r="B945" s="19"/>
      <c r="C945" s="19"/>
      <c r="D945" s="2"/>
      <c r="E945" s="2"/>
      <c r="F945" s="2"/>
      <c r="G945" s="2"/>
      <c r="H945" s="2"/>
      <c r="I945" s="2"/>
      <c r="J945" s="2"/>
      <c r="K945" s="2"/>
      <c r="L945" s="19"/>
      <c r="M945" s="19"/>
      <c r="N945" s="2"/>
      <c r="O945" s="2"/>
      <c r="P945" s="2"/>
      <c r="Q945" s="2"/>
      <c r="R945" s="2"/>
      <c r="S945" s="2"/>
      <c r="T945" s="2"/>
      <c r="U945" s="2"/>
      <c r="V945" s="2"/>
      <c r="W945" s="2"/>
      <c r="X945" s="2"/>
      <c r="Y945" s="2"/>
      <c r="Z945" s="2"/>
    </row>
    <row r="946" customFormat="false" ht="12" hidden="false" customHeight="true" outlineLevel="0" collapsed="false">
      <c r="A946" s="2"/>
      <c r="B946" s="19"/>
      <c r="C946" s="19"/>
      <c r="D946" s="2"/>
      <c r="E946" s="2"/>
      <c r="F946" s="2"/>
      <c r="G946" s="2"/>
      <c r="H946" s="2"/>
      <c r="I946" s="2"/>
      <c r="J946" s="2"/>
      <c r="K946" s="2"/>
      <c r="L946" s="19"/>
      <c r="M946" s="19"/>
      <c r="N946" s="2"/>
      <c r="O946" s="2"/>
      <c r="P946" s="2"/>
      <c r="Q946" s="2"/>
      <c r="R946" s="2"/>
      <c r="S946" s="2"/>
      <c r="T946" s="2"/>
      <c r="U946" s="2"/>
      <c r="V946" s="2"/>
      <c r="W946" s="2"/>
      <c r="X946" s="2"/>
      <c r="Y946" s="2"/>
      <c r="Z946" s="2"/>
    </row>
    <row r="947" customFormat="false" ht="12" hidden="false" customHeight="true" outlineLevel="0" collapsed="false">
      <c r="A947" s="2"/>
      <c r="B947" s="19"/>
      <c r="C947" s="19"/>
      <c r="D947" s="2"/>
      <c r="E947" s="2"/>
      <c r="F947" s="2"/>
      <c r="G947" s="2"/>
      <c r="H947" s="2"/>
      <c r="I947" s="2"/>
      <c r="J947" s="2"/>
      <c r="K947" s="2"/>
      <c r="L947" s="19"/>
      <c r="M947" s="19"/>
      <c r="N947" s="2"/>
      <c r="O947" s="2"/>
      <c r="P947" s="2"/>
      <c r="Q947" s="2"/>
      <c r="R947" s="2"/>
      <c r="S947" s="2"/>
      <c r="T947" s="2"/>
      <c r="U947" s="2"/>
      <c r="V947" s="2"/>
      <c r="W947" s="2"/>
      <c r="X947" s="2"/>
      <c r="Y947" s="2"/>
      <c r="Z947" s="2"/>
    </row>
    <row r="948" customFormat="false" ht="12" hidden="false" customHeight="true" outlineLevel="0" collapsed="false">
      <c r="A948" s="2"/>
      <c r="B948" s="19"/>
      <c r="C948" s="19"/>
      <c r="D948" s="2"/>
      <c r="E948" s="2"/>
      <c r="F948" s="2"/>
      <c r="G948" s="2"/>
      <c r="H948" s="2"/>
      <c r="I948" s="2"/>
      <c r="J948" s="2"/>
      <c r="K948" s="2"/>
      <c r="L948" s="19"/>
      <c r="M948" s="19"/>
      <c r="N948" s="2"/>
      <c r="O948" s="2"/>
      <c r="P948" s="2"/>
      <c r="Q948" s="2"/>
      <c r="R948" s="2"/>
      <c r="S948" s="2"/>
      <c r="T948" s="2"/>
      <c r="U948" s="2"/>
      <c r="V948" s="2"/>
      <c r="W948" s="2"/>
      <c r="X948" s="2"/>
      <c r="Y948" s="2"/>
      <c r="Z948" s="2"/>
    </row>
    <row r="949" customFormat="false" ht="12" hidden="false" customHeight="true" outlineLevel="0" collapsed="false">
      <c r="A949" s="2"/>
      <c r="B949" s="19"/>
      <c r="C949" s="19"/>
      <c r="D949" s="2"/>
      <c r="E949" s="2"/>
      <c r="F949" s="2"/>
      <c r="G949" s="2"/>
      <c r="H949" s="2"/>
      <c r="I949" s="2"/>
      <c r="J949" s="2"/>
      <c r="K949" s="2"/>
      <c r="L949" s="19"/>
      <c r="M949" s="19"/>
      <c r="N949" s="2"/>
      <c r="O949" s="2"/>
      <c r="P949" s="2"/>
      <c r="Q949" s="2"/>
      <c r="R949" s="2"/>
      <c r="S949" s="2"/>
      <c r="T949" s="2"/>
      <c r="U949" s="2"/>
      <c r="V949" s="2"/>
      <c r="W949" s="2"/>
      <c r="X949" s="2"/>
      <c r="Y949" s="2"/>
      <c r="Z949" s="2"/>
    </row>
    <row r="950" customFormat="false" ht="12" hidden="false" customHeight="true" outlineLevel="0" collapsed="false">
      <c r="A950" s="2"/>
      <c r="B950" s="19"/>
      <c r="C950" s="19"/>
      <c r="D950" s="2"/>
      <c r="E950" s="2"/>
      <c r="F950" s="2"/>
      <c r="G950" s="2"/>
      <c r="H950" s="2"/>
      <c r="I950" s="2"/>
      <c r="J950" s="2"/>
      <c r="K950" s="2"/>
      <c r="L950" s="19"/>
      <c r="M950" s="19"/>
      <c r="N950" s="2"/>
      <c r="O950" s="2"/>
      <c r="P950" s="2"/>
      <c r="Q950" s="2"/>
      <c r="R950" s="2"/>
      <c r="S950" s="2"/>
      <c r="T950" s="2"/>
      <c r="U950" s="2"/>
      <c r="V950" s="2"/>
      <c r="W950" s="2"/>
      <c r="X950" s="2"/>
      <c r="Y950" s="2"/>
      <c r="Z950" s="2"/>
    </row>
    <row r="951" customFormat="false" ht="12" hidden="false" customHeight="true" outlineLevel="0" collapsed="false">
      <c r="A951" s="2"/>
      <c r="B951" s="19"/>
      <c r="C951" s="19"/>
      <c r="D951" s="2"/>
      <c r="E951" s="2"/>
      <c r="F951" s="2"/>
      <c r="G951" s="2"/>
      <c r="H951" s="2"/>
      <c r="I951" s="2"/>
      <c r="J951" s="2"/>
      <c r="K951" s="2"/>
      <c r="L951" s="19"/>
      <c r="M951" s="19"/>
      <c r="N951" s="2"/>
      <c r="O951" s="2"/>
      <c r="P951" s="2"/>
      <c r="Q951" s="2"/>
      <c r="R951" s="2"/>
      <c r="S951" s="2"/>
      <c r="T951" s="2"/>
      <c r="U951" s="2"/>
      <c r="V951" s="2"/>
      <c r="W951" s="2"/>
      <c r="X951" s="2"/>
      <c r="Y951" s="2"/>
      <c r="Z951" s="2"/>
    </row>
    <row r="952" customFormat="false" ht="12" hidden="false" customHeight="true" outlineLevel="0" collapsed="false">
      <c r="A952" s="2"/>
      <c r="B952" s="19"/>
      <c r="C952" s="19"/>
      <c r="D952" s="2"/>
      <c r="E952" s="2"/>
      <c r="F952" s="2"/>
      <c r="G952" s="2"/>
      <c r="H952" s="2"/>
      <c r="I952" s="2"/>
      <c r="J952" s="2"/>
      <c r="K952" s="2"/>
      <c r="L952" s="19"/>
      <c r="M952" s="19"/>
      <c r="N952" s="2"/>
      <c r="O952" s="2"/>
      <c r="P952" s="2"/>
      <c r="Q952" s="2"/>
      <c r="R952" s="2"/>
      <c r="S952" s="2"/>
      <c r="T952" s="2"/>
      <c r="U952" s="2"/>
      <c r="V952" s="2"/>
      <c r="W952" s="2"/>
      <c r="X952" s="2"/>
      <c r="Y952" s="2"/>
      <c r="Z952" s="2"/>
    </row>
    <row r="953" customFormat="false" ht="12" hidden="false" customHeight="true" outlineLevel="0" collapsed="false">
      <c r="A953" s="2"/>
      <c r="B953" s="19"/>
      <c r="C953" s="19"/>
      <c r="D953" s="2"/>
      <c r="E953" s="2"/>
      <c r="F953" s="2"/>
      <c r="G953" s="2"/>
      <c r="H953" s="2"/>
      <c r="I953" s="2"/>
      <c r="J953" s="2"/>
      <c r="K953" s="2"/>
      <c r="L953" s="19"/>
      <c r="M953" s="19"/>
      <c r="N953" s="2"/>
      <c r="O953" s="2"/>
      <c r="P953" s="2"/>
      <c r="Q953" s="2"/>
      <c r="R953" s="2"/>
      <c r="S953" s="2"/>
      <c r="T953" s="2"/>
      <c r="U953" s="2"/>
      <c r="V953" s="2"/>
      <c r="W953" s="2"/>
      <c r="X953" s="2"/>
      <c r="Y953" s="2"/>
      <c r="Z953" s="2"/>
    </row>
    <row r="954" customFormat="false" ht="12" hidden="false" customHeight="true" outlineLevel="0" collapsed="false">
      <c r="A954" s="2"/>
      <c r="B954" s="19"/>
      <c r="C954" s="19"/>
      <c r="D954" s="2"/>
      <c r="E954" s="2"/>
      <c r="F954" s="2"/>
      <c r="G954" s="2"/>
      <c r="H954" s="2"/>
      <c r="I954" s="2"/>
      <c r="J954" s="2"/>
      <c r="K954" s="2"/>
      <c r="L954" s="19"/>
      <c r="M954" s="19"/>
      <c r="N954" s="2"/>
      <c r="O954" s="2"/>
      <c r="P954" s="2"/>
      <c r="Q954" s="2"/>
      <c r="R954" s="2"/>
      <c r="S954" s="2"/>
      <c r="T954" s="2"/>
      <c r="U954" s="2"/>
      <c r="V954" s="2"/>
      <c r="W954" s="2"/>
      <c r="X954" s="2"/>
      <c r="Y954" s="2"/>
      <c r="Z954" s="2"/>
    </row>
    <row r="955" customFormat="false" ht="12" hidden="false" customHeight="true" outlineLevel="0" collapsed="false">
      <c r="A955" s="2"/>
      <c r="B955" s="19"/>
      <c r="C955" s="19"/>
      <c r="D955" s="2"/>
      <c r="E955" s="2"/>
      <c r="F955" s="2"/>
      <c r="G955" s="2"/>
      <c r="H955" s="2"/>
      <c r="I955" s="2"/>
      <c r="J955" s="2"/>
      <c r="K955" s="2"/>
      <c r="L955" s="19"/>
      <c r="M955" s="19"/>
      <c r="N955" s="2"/>
      <c r="O955" s="2"/>
      <c r="P955" s="2"/>
      <c r="Q955" s="2"/>
      <c r="R955" s="2"/>
      <c r="S955" s="2"/>
      <c r="T955" s="2"/>
      <c r="U955" s="2"/>
      <c r="V955" s="2"/>
      <c r="W955" s="2"/>
      <c r="X955" s="2"/>
      <c r="Y955" s="2"/>
      <c r="Z955" s="2"/>
    </row>
    <row r="956" customFormat="false" ht="12" hidden="false" customHeight="true" outlineLevel="0" collapsed="false">
      <c r="A956" s="2"/>
      <c r="B956" s="19"/>
      <c r="C956" s="19"/>
      <c r="D956" s="2"/>
      <c r="E956" s="2"/>
      <c r="F956" s="2"/>
      <c r="G956" s="2"/>
      <c r="H956" s="2"/>
      <c r="I956" s="2"/>
      <c r="J956" s="2"/>
      <c r="K956" s="2"/>
      <c r="L956" s="19"/>
      <c r="M956" s="19"/>
      <c r="N956" s="2"/>
      <c r="O956" s="2"/>
      <c r="P956" s="2"/>
      <c r="Q956" s="2"/>
      <c r="R956" s="2"/>
      <c r="S956" s="2"/>
      <c r="T956" s="2"/>
      <c r="U956" s="2"/>
      <c r="V956" s="2"/>
      <c r="W956" s="2"/>
      <c r="X956" s="2"/>
      <c r="Y956" s="2"/>
      <c r="Z956" s="2"/>
    </row>
    <row r="957" customFormat="false" ht="12" hidden="false" customHeight="true" outlineLevel="0" collapsed="false">
      <c r="A957" s="2"/>
      <c r="B957" s="19"/>
      <c r="C957" s="19"/>
      <c r="D957" s="2"/>
      <c r="E957" s="2"/>
      <c r="F957" s="2"/>
      <c r="G957" s="2"/>
      <c r="H957" s="2"/>
      <c r="I957" s="2"/>
      <c r="J957" s="2"/>
      <c r="K957" s="2"/>
      <c r="L957" s="19"/>
      <c r="M957" s="19"/>
      <c r="N957" s="2"/>
      <c r="O957" s="2"/>
      <c r="P957" s="2"/>
      <c r="Q957" s="2"/>
      <c r="R957" s="2"/>
      <c r="S957" s="2"/>
      <c r="T957" s="2"/>
      <c r="U957" s="2"/>
      <c r="V957" s="2"/>
      <c r="W957" s="2"/>
      <c r="X957" s="2"/>
      <c r="Y957" s="2"/>
      <c r="Z957" s="2"/>
    </row>
    <row r="958" customFormat="false" ht="12" hidden="false" customHeight="true" outlineLevel="0" collapsed="false">
      <c r="A958" s="2"/>
      <c r="B958" s="19"/>
      <c r="C958" s="19"/>
      <c r="D958" s="2"/>
      <c r="E958" s="2"/>
      <c r="F958" s="2"/>
      <c r="G958" s="2"/>
      <c r="H958" s="2"/>
      <c r="I958" s="2"/>
      <c r="J958" s="2"/>
      <c r="K958" s="2"/>
      <c r="L958" s="19"/>
      <c r="M958" s="19"/>
      <c r="N958" s="2"/>
      <c r="O958" s="2"/>
      <c r="P958" s="2"/>
      <c r="Q958" s="2"/>
      <c r="R958" s="2"/>
      <c r="S958" s="2"/>
      <c r="T958" s="2"/>
      <c r="U958" s="2"/>
      <c r="V958" s="2"/>
      <c r="W958" s="2"/>
      <c r="X958" s="2"/>
      <c r="Y958" s="2"/>
      <c r="Z958" s="2"/>
    </row>
    <row r="959" customFormat="false" ht="12" hidden="false" customHeight="true" outlineLevel="0" collapsed="false">
      <c r="A959" s="2"/>
      <c r="B959" s="19"/>
      <c r="C959" s="19"/>
      <c r="D959" s="2"/>
      <c r="E959" s="2"/>
      <c r="F959" s="2"/>
      <c r="G959" s="2"/>
      <c r="H959" s="2"/>
      <c r="I959" s="2"/>
      <c r="J959" s="2"/>
      <c r="K959" s="2"/>
      <c r="L959" s="19"/>
      <c r="M959" s="19"/>
      <c r="N959" s="2"/>
      <c r="O959" s="2"/>
      <c r="P959" s="2"/>
      <c r="Q959" s="2"/>
      <c r="R959" s="2"/>
      <c r="S959" s="2"/>
      <c r="T959" s="2"/>
      <c r="U959" s="2"/>
      <c r="V959" s="2"/>
      <c r="W959" s="2"/>
      <c r="X959" s="2"/>
      <c r="Y959" s="2"/>
      <c r="Z959" s="2"/>
    </row>
    <row r="960" customFormat="false" ht="12" hidden="false" customHeight="true" outlineLevel="0" collapsed="false">
      <c r="A960" s="2"/>
      <c r="B960" s="19"/>
      <c r="C960" s="19"/>
      <c r="D960" s="2"/>
      <c r="E960" s="2"/>
      <c r="F960" s="2"/>
      <c r="G960" s="2"/>
      <c r="H960" s="2"/>
      <c r="I960" s="2"/>
      <c r="J960" s="2"/>
      <c r="K960" s="2"/>
      <c r="L960" s="19"/>
      <c r="M960" s="19"/>
      <c r="N960" s="2"/>
      <c r="O960" s="2"/>
      <c r="P960" s="2"/>
      <c r="Q960" s="2"/>
      <c r="R960" s="2"/>
      <c r="S960" s="2"/>
      <c r="T960" s="2"/>
      <c r="U960" s="2"/>
      <c r="V960" s="2"/>
      <c r="W960" s="2"/>
      <c r="X960" s="2"/>
      <c r="Y960" s="2"/>
      <c r="Z960" s="2"/>
    </row>
    <row r="961" customFormat="false" ht="12" hidden="false" customHeight="true" outlineLevel="0" collapsed="false">
      <c r="A961" s="2"/>
      <c r="B961" s="19"/>
      <c r="C961" s="19"/>
      <c r="D961" s="2"/>
      <c r="E961" s="2"/>
      <c r="F961" s="2"/>
      <c r="G961" s="2"/>
      <c r="H961" s="2"/>
      <c r="I961" s="2"/>
      <c r="J961" s="2"/>
      <c r="K961" s="2"/>
      <c r="L961" s="19"/>
      <c r="M961" s="19"/>
      <c r="N961" s="2"/>
      <c r="O961" s="2"/>
      <c r="P961" s="2"/>
      <c r="Q961" s="2"/>
      <c r="R961" s="2"/>
      <c r="S961" s="2"/>
      <c r="T961" s="2"/>
      <c r="U961" s="2"/>
      <c r="V961" s="2"/>
      <c r="W961" s="2"/>
      <c r="X961" s="2"/>
      <c r="Y961" s="2"/>
      <c r="Z961" s="2"/>
    </row>
    <row r="962" customFormat="false" ht="12" hidden="false" customHeight="true" outlineLevel="0" collapsed="false">
      <c r="A962" s="2"/>
      <c r="B962" s="19"/>
      <c r="C962" s="19"/>
      <c r="D962" s="2"/>
      <c r="E962" s="2"/>
      <c r="F962" s="2"/>
      <c r="G962" s="2"/>
      <c r="H962" s="2"/>
      <c r="I962" s="2"/>
      <c r="J962" s="2"/>
      <c r="K962" s="2"/>
      <c r="L962" s="19"/>
      <c r="M962" s="19"/>
      <c r="N962" s="2"/>
      <c r="O962" s="2"/>
      <c r="P962" s="2"/>
      <c r="Q962" s="2"/>
      <c r="R962" s="2"/>
      <c r="S962" s="2"/>
      <c r="T962" s="2"/>
      <c r="U962" s="2"/>
      <c r="V962" s="2"/>
      <c r="W962" s="2"/>
      <c r="X962" s="2"/>
      <c r="Y962" s="2"/>
      <c r="Z962" s="2"/>
    </row>
    <row r="963" customFormat="false" ht="12" hidden="false" customHeight="true" outlineLevel="0" collapsed="false">
      <c r="A963" s="2"/>
      <c r="B963" s="19"/>
      <c r="C963" s="19"/>
      <c r="D963" s="2"/>
      <c r="E963" s="2"/>
      <c r="F963" s="2"/>
      <c r="G963" s="2"/>
      <c r="H963" s="2"/>
      <c r="I963" s="2"/>
      <c r="J963" s="2"/>
      <c r="K963" s="2"/>
      <c r="L963" s="19"/>
      <c r="M963" s="19"/>
      <c r="N963" s="2"/>
      <c r="O963" s="2"/>
      <c r="P963" s="2"/>
      <c r="Q963" s="2"/>
      <c r="R963" s="2"/>
      <c r="S963" s="2"/>
      <c r="T963" s="2"/>
      <c r="U963" s="2"/>
      <c r="V963" s="2"/>
      <c r="W963" s="2"/>
      <c r="X963" s="2"/>
      <c r="Y963" s="2"/>
      <c r="Z963" s="2"/>
    </row>
    <row r="964" customFormat="false" ht="12" hidden="false" customHeight="true" outlineLevel="0" collapsed="false">
      <c r="A964" s="2"/>
      <c r="B964" s="19"/>
      <c r="C964" s="19"/>
      <c r="D964" s="2"/>
      <c r="E964" s="2"/>
      <c r="F964" s="2"/>
      <c r="G964" s="2"/>
      <c r="H964" s="2"/>
      <c r="I964" s="2"/>
      <c r="J964" s="2"/>
      <c r="K964" s="2"/>
      <c r="L964" s="19"/>
      <c r="M964" s="19"/>
      <c r="N964" s="2"/>
      <c r="O964" s="2"/>
      <c r="P964" s="2"/>
      <c r="Q964" s="2"/>
      <c r="R964" s="2"/>
      <c r="S964" s="2"/>
      <c r="T964" s="2"/>
      <c r="U964" s="2"/>
      <c r="V964" s="2"/>
      <c r="W964" s="2"/>
      <c r="X964" s="2"/>
      <c r="Y964" s="2"/>
      <c r="Z964" s="2"/>
    </row>
    <row r="965" customFormat="false" ht="12" hidden="false" customHeight="true" outlineLevel="0" collapsed="false">
      <c r="A965" s="2"/>
      <c r="B965" s="19"/>
      <c r="C965" s="19"/>
      <c r="D965" s="2"/>
      <c r="E965" s="2"/>
      <c r="F965" s="2"/>
      <c r="G965" s="2"/>
      <c r="H965" s="2"/>
      <c r="I965" s="2"/>
      <c r="J965" s="2"/>
      <c r="K965" s="2"/>
      <c r="L965" s="19"/>
      <c r="M965" s="19"/>
      <c r="N965" s="2"/>
      <c r="O965" s="2"/>
      <c r="P965" s="2"/>
      <c r="Q965" s="2"/>
      <c r="R965" s="2"/>
      <c r="S965" s="2"/>
      <c r="T965" s="2"/>
      <c r="U965" s="2"/>
      <c r="V965" s="2"/>
      <c r="W965" s="2"/>
      <c r="X965" s="2"/>
      <c r="Y965" s="2"/>
      <c r="Z965" s="2"/>
    </row>
    <row r="966" customFormat="false" ht="12" hidden="false" customHeight="true" outlineLevel="0" collapsed="false">
      <c r="A966" s="2"/>
      <c r="B966" s="19"/>
      <c r="C966" s="19"/>
      <c r="D966" s="2"/>
      <c r="E966" s="2"/>
      <c r="F966" s="2"/>
      <c r="G966" s="2"/>
      <c r="H966" s="2"/>
      <c r="I966" s="2"/>
      <c r="J966" s="2"/>
      <c r="K966" s="2"/>
      <c r="L966" s="19"/>
      <c r="M966" s="19"/>
      <c r="N966" s="2"/>
      <c r="O966" s="2"/>
      <c r="P966" s="2"/>
      <c r="Q966" s="2"/>
      <c r="R966" s="2"/>
      <c r="S966" s="2"/>
      <c r="T966" s="2"/>
      <c r="U966" s="2"/>
      <c r="V966" s="2"/>
      <c r="W966" s="2"/>
      <c r="X966" s="2"/>
      <c r="Y966" s="2"/>
      <c r="Z966" s="2"/>
    </row>
    <row r="967" customFormat="false" ht="12" hidden="false" customHeight="true" outlineLevel="0" collapsed="false">
      <c r="A967" s="2"/>
      <c r="B967" s="19"/>
      <c r="C967" s="19"/>
      <c r="D967" s="2"/>
      <c r="E967" s="2"/>
      <c r="F967" s="2"/>
      <c r="G967" s="2"/>
      <c r="H967" s="2"/>
      <c r="I967" s="2"/>
      <c r="J967" s="2"/>
      <c r="K967" s="2"/>
      <c r="L967" s="19"/>
      <c r="M967" s="19"/>
      <c r="N967" s="2"/>
      <c r="O967" s="2"/>
      <c r="P967" s="2"/>
      <c r="Q967" s="2"/>
      <c r="R967" s="2"/>
      <c r="S967" s="2"/>
      <c r="T967" s="2"/>
      <c r="U967" s="2"/>
      <c r="V967" s="2"/>
      <c r="W967" s="2"/>
      <c r="X967" s="2"/>
      <c r="Y967" s="2"/>
      <c r="Z967" s="2"/>
    </row>
    <row r="968" customFormat="false" ht="12" hidden="false" customHeight="true" outlineLevel="0" collapsed="false">
      <c r="A968" s="2"/>
      <c r="B968" s="19"/>
      <c r="C968" s="19"/>
      <c r="D968" s="2"/>
      <c r="E968" s="2"/>
      <c r="F968" s="2"/>
      <c r="G968" s="2"/>
      <c r="H968" s="2"/>
      <c r="I968" s="2"/>
      <c r="J968" s="2"/>
      <c r="K968" s="2"/>
      <c r="L968" s="19"/>
      <c r="M968" s="19"/>
      <c r="N968" s="2"/>
      <c r="O968" s="2"/>
      <c r="P968" s="2"/>
      <c r="Q968" s="2"/>
      <c r="R968" s="2"/>
      <c r="S968" s="2"/>
      <c r="T968" s="2"/>
      <c r="U968" s="2"/>
      <c r="V968" s="2"/>
      <c r="W968" s="2"/>
      <c r="X968" s="2"/>
      <c r="Y968" s="2"/>
      <c r="Z968" s="2"/>
    </row>
    <row r="969" customFormat="false" ht="12" hidden="false" customHeight="true" outlineLevel="0" collapsed="false">
      <c r="A969" s="2"/>
      <c r="B969" s="19"/>
      <c r="C969" s="19"/>
      <c r="D969" s="2"/>
      <c r="E969" s="2"/>
      <c r="F969" s="2"/>
      <c r="G969" s="2"/>
      <c r="H969" s="2"/>
      <c r="I969" s="2"/>
      <c r="J969" s="2"/>
      <c r="K969" s="2"/>
      <c r="L969" s="19"/>
      <c r="M969" s="19"/>
      <c r="N969" s="2"/>
      <c r="O969" s="2"/>
      <c r="P969" s="2"/>
      <c r="Q969" s="2"/>
      <c r="R969" s="2"/>
      <c r="S969" s="2"/>
      <c r="T969" s="2"/>
      <c r="U969" s="2"/>
      <c r="V969" s="2"/>
      <c r="W969" s="2"/>
      <c r="X969" s="2"/>
      <c r="Y969" s="2"/>
      <c r="Z969" s="2"/>
    </row>
    <row r="970" customFormat="false" ht="12" hidden="false" customHeight="true" outlineLevel="0" collapsed="false">
      <c r="A970" s="2"/>
      <c r="B970" s="19"/>
      <c r="C970" s="19"/>
      <c r="D970" s="2"/>
      <c r="E970" s="2"/>
      <c r="F970" s="2"/>
      <c r="G970" s="2"/>
      <c r="H970" s="2"/>
      <c r="I970" s="2"/>
      <c r="J970" s="2"/>
      <c r="K970" s="2"/>
      <c r="L970" s="19"/>
      <c r="M970" s="19"/>
      <c r="N970" s="2"/>
      <c r="O970" s="2"/>
      <c r="P970" s="2"/>
      <c r="Q970" s="2"/>
      <c r="R970" s="2"/>
      <c r="S970" s="2"/>
      <c r="T970" s="2"/>
      <c r="U970" s="2"/>
      <c r="V970" s="2"/>
      <c r="W970" s="2"/>
      <c r="X970" s="2"/>
      <c r="Y970" s="2"/>
      <c r="Z970" s="2"/>
    </row>
    <row r="971" customFormat="false" ht="12" hidden="false" customHeight="true" outlineLevel="0" collapsed="false">
      <c r="A971" s="2"/>
      <c r="B971" s="19"/>
      <c r="C971" s="19"/>
      <c r="D971" s="2"/>
      <c r="E971" s="2"/>
      <c r="F971" s="2"/>
      <c r="G971" s="2"/>
      <c r="H971" s="2"/>
      <c r="I971" s="2"/>
      <c r="J971" s="2"/>
      <c r="K971" s="2"/>
      <c r="L971" s="19"/>
      <c r="M971" s="19"/>
      <c r="N971" s="2"/>
      <c r="O971" s="2"/>
      <c r="P971" s="2"/>
      <c r="Q971" s="2"/>
      <c r="R971" s="2"/>
      <c r="S971" s="2"/>
      <c r="T971" s="2"/>
      <c r="U971" s="2"/>
      <c r="V971" s="2"/>
      <c r="W971" s="2"/>
      <c r="X971" s="2"/>
      <c r="Y971" s="2"/>
      <c r="Z971" s="2"/>
    </row>
    <row r="972" customFormat="false" ht="12" hidden="false" customHeight="true" outlineLevel="0" collapsed="false">
      <c r="A972" s="2"/>
      <c r="B972" s="19"/>
      <c r="C972" s="19"/>
      <c r="D972" s="2"/>
      <c r="E972" s="2"/>
      <c r="F972" s="2"/>
      <c r="G972" s="2"/>
      <c r="H972" s="2"/>
      <c r="I972" s="2"/>
      <c r="J972" s="2"/>
      <c r="K972" s="2"/>
      <c r="L972" s="19"/>
      <c r="M972" s="19"/>
      <c r="N972" s="2"/>
      <c r="O972" s="2"/>
      <c r="P972" s="2"/>
      <c r="Q972" s="2"/>
      <c r="R972" s="2"/>
      <c r="S972" s="2"/>
      <c r="T972" s="2"/>
      <c r="U972" s="2"/>
      <c r="V972" s="2"/>
      <c r="W972" s="2"/>
      <c r="X972" s="2"/>
      <c r="Y972" s="2"/>
      <c r="Z972" s="2"/>
    </row>
    <row r="973" customFormat="false" ht="12" hidden="false" customHeight="true" outlineLevel="0" collapsed="false">
      <c r="A973" s="2"/>
      <c r="B973" s="19"/>
      <c r="C973" s="19"/>
      <c r="D973" s="2"/>
      <c r="E973" s="2"/>
      <c r="F973" s="2"/>
      <c r="G973" s="2"/>
      <c r="H973" s="2"/>
      <c r="I973" s="2"/>
      <c r="J973" s="2"/>
      <c r="K973" s="2"/>
      <c r="L973" s="19"/>
      <c r="M973" s="19"/>
      <c r="N973" s="2"/>
      <c r="O973" s="2"/>
      <c r="P973" s="2"/>
      <c r="Q973" s="2"/>
      <c r="R973" s="2"/>
      <c r="S973" s="2"/>
      <c r="T973" s="2"/>
      <c r="U973" s="2"/>
      <c r="V973" s="2"/>
      <c r="W973" s="2"/>
      <c r="X973" s="2"/>
      <c r="Y973" s="2"/>
      <c r="Z973" s="2"/>
    </row>
    <row r="974" customFormat="false" ht="12" hidden="false" customHeight="true" outlineLevel="0" collapsed="false">
      <c r="A974" s="2"/>
      <c r="B974" s="19"/>
      <c r="C974" s="19"/>
      <c r="D974" s="2"/>
      <c r="E974" s="2"/>
      <c r="F974" s="2"/>
      <c r="G974" s="2"/>
      <c r="H974" s="2"/>
      <c r="I974" s="2"/>
      <c r="J974" s="2"/>
      <c r="K974" s="2"/>
      <c r="L974" s="19"/>
      <c r="M974" s="19"/>
      <c r="N974" s="2"/>
      <c r="O974" s="2"/>
      <c r="P974" s="2"/>
      <c r="Q974" s="2"/>
      <c r="R974" s="2"/>
      <c r="S974" s="2"/>
      <c r="T974" s="2"/>
      <c r="U974" s="2"/>
      <c r="V974" s="2"/>
      <c r="W974" s="2"/>
      <c r="X974" s="2"/>
      <c r="Y974" s="2"/>
      <c r="Z974" s="2"/>
    </row>
    <row r="975" customFormat="false" ht="12" hidden="false" customHeight="true" outlineLevel="0" collapsed="false">
      <c r="A975" s="2"/>
      <c r="B975" s="19"/>
      <c r="C975" s="19"/>
      <c r="D975" s="2"/>
      <c r="E975" s="2"/>
      <c r="F975" s="2"/>
      <c r="G975" s="2"/>
      <c r="H975" s="2"/>
      <c r="I975" s="2"/>
      <c r="J975" s="2"/>
      <c r="K975" s="2"/>
      <c r="L975" s="19"/>
      <c r="M975" s="19"/>
      <c r="N975" s="2"/>
      <c r="O975" s="2"/>
      <c r="P975" s="2"/>
      <c r="Q975" s="2"/>
      <c r="R975" s="2"/>
      <c r="S975" s="2"/>
      <c r="T975" s="2"/>
      <c r="U975" s="2"/>
      <c r="V975" s="2"/>
      <c r="W975" s="2"/>
      <c r="X975" s="2"/>
      <c r="Y975" s="2"/>
      <c r="Z975" s="2"/>
    </row>
    <row r="976" customFormat="false" ht="12" hidden="false" customHeight="true" outlineLevel="0" collapsed="false">
      <c r="A976" s="2"/>
      <c r="B976" s="19"/>
      <c r="C976" s="19"/>
      <c r="D976" s="2"/>
      <c r="E976" s="2"/>
      <c r="F976" s="2"/>
      <c r="G976" s="2"/>
      <c r="H976" s="2"/>
      <c r="I976" s="2"/>
      <c r="J976" s="2"/>
      <c r="K976" s="2"/>
      <c r="L976" s="19"/>
      <c r="M976" s="19"/>
      <c r="N976" s="2"/>
      <c r="O976" s="2"/>
      <c r="P976" s="2"/>
      <c r="Q976" s="2"/>
      <c r="R976" s="2"/>
      <c r="S976" s="2"/>
      <c r="T976" s="2"/>
      <c r="U976" s="2"/>
      <c r="V976" s="2"/>
      <c r="W976" s="2"/>
      <c r="X976" s="2"/>
      <c r="Y976" s="2"/>
      <c r="Z976" s="2"/>
    </row>
    <row r="977" customFormat="false" ht="12" hidden="false" customHeight="true" outlineLevel="0" collapsed="false">
      <c r="A977" s="2"/>
      <c r="B977" s="19"/>
      <c r="C977" s="19"/>
      <c r="D977" s="2"/>
      <c r="E977" s="2"/>
      <c r="F977" s="2"/>
      <c r="G977" s="2"/>
      <c r="H977" s="2"/>
      <c r="I977" s="2"/>
      <c r="J977" s="2"/>
      <c r="K977" s="2"/>
      <c r="L977" s="19"/>
      <c r="M977" s="19"/>
      <c r="N977" s="2"/>
      <c r="O977" s="2"/>
      <c r="P977" s="2"/>
      <c r="Q977" s="2"/>
      <c r="R977" s="2"/>
      <c r="S977" s="2"/>
      <c r="T977" s="2"/>
      <c r="U977" s="2"/>
      <c r="V977" s="2"/>
      <c r="W977" s="2"/>
      <c r="X977" s="2"/>
      <c r="Y977" s="2"/>
      <c r="Z977" s="2"/>
    </row>
    <row r="978" customFormat="false" ht="12" hidden="false" customHeight="true" outlineLevel="0" collapsed="false">
      <c r="A978" s="2"/>
      <c r="B978" s="19"/>
      <c r="C978" s="19"/>
      <c r="D978" s="2"/>
      <c r="E978" s="2"/>
      <c r="F978" s="2"/>
      <c r="G978" s="2"/>
      <c r="H978" s="2"/>
      <c r="I978" s="2"/>
      <c r="J978" s="2"/>
      <c r="K978" s="2"/>
      <c r="L978" s="19"/>
      <c r="M978" s="19"/>
      <c r="N978" s="2"/>
      <c r="O978" s="2"/>
      <c r="P978" s="2"/>
      <c r="Q978" s="2"/>
      <c r="R978" s="2"/>
      <c r="S978" s="2"/>
      <c r="T978" s="2"/>
      <c r="U978" s="2"/>
      <c r="V978" s="2"/>
      <c r="W978" s="2"/>
      <c r="X978" s="2"/>
      <c r="Y978" s="2"/>
      <c r="Z978" s="2"/>
    </row>
    <row r="979" customFormat="false" ht="12" hidden="false" customHeight="true" outlineLevel="0" collapsed="false">
      <c r="A979" s="2"/>
      <c r="B979" s="19"/>
      <c r="C979" s="19"/>
      <c r="D979" s="2"/>
      <c r="E979" s="2"/>
      <c r="F979" s="2"/>
      <c r="G979" s="2"/>
      <c r="H979" s="2"/>
      <c r="I979" s="2"/>
      <c r="J979" s="2"/>
      <c r="K979" s="2"/>
      <c r="L979" s="19"/>
      <c r="M979" s="19"/>
      <c r="N979" s="2"/>
      <c r="O979" s="2"/>
      <c r="P979" s="2"/>
      <c r="Q979" s="2"/>
      <c r="R979" s="2"/>
      <c r="S979" s="2"/>
      <c r="T979" s="2"/>
      <c r="U979" s="2"/>
      <c r="V979" s="2"/>
      <c r="W979" s="2"/>
      <c r="X979" s="2"/>
      <c r="Y979" s="2"/>
      <c r="Z979" s="2"/>
    </row>
    <row r="980" customFormat="false" ht="12" hidden="false" customHeight="true" outlineLevel="0" collapsed="false">
      <c r="A980" s="2"/>
      <c r="B980" s="19"/>
      <c r="C980" s="19"/>
      <c r="D980" s="2"/>
      <c r="E980" s="2"/>
      <c r="F980" s="2"/>
      <c r="G980" s="2"/>
      <c r="H980" s="2"/>
      <c r="I980" s="2"/>
      <c r="J980" s="2"/>
      <c r="K980" s="2"/>
      <c r="L980" s="19"/>
      <c r="M980" s="19"/>
      <c r="N980" s="2"/>
      <c r="O980" s="2"/>
      <c r="P980" s="2"/>
      <c r="Q980" s="2"/>
      <c r="R980" s="2"/>
      <c r="S980" s="2"/>
      <c r="T980" s="2"/>
      <c r="U980" s="2"/>
      <c r="V980" s="2"/>
      <c r="W980" s="2"/>
      <c r="X980" s="2"/>
      <c r="Y980" s="2"/>
      <c r="Z980" s="2"/>
    </row>
    <row r="981" customFormat="false" ht="12" hidden="false" customHeight="true" outlineLevel="0" collapsed="false">
      <c r="A981" s="2"/>
      <c r="B981" s="19"/>
      <c r="C981" s="19"/>
      <c r="D981" s="2"/>
      <c r="E981" s="2"/>
      <c r="F981" s="2"/>
      <c r="G981" s="2"/>
      <c r="H981" s="2"/>
      <c r="I981" s="2"/>
      <c r="J981" s="2"/>
      <c r="K981" s="2"/>
      <c r="L981" s="19"/>
      <c r="M981" s="19"/>
      <c r="N981" s="2"/>
      <c r="O981" s="2"/>
      <c r="P981" s="2"/>
      <c r="Q981" s="2"/>
      <c r="R981" s="2"/>
      <c r="S981" s="2"/>
      <c r="T981" s="2"/>
      <c r="U981" s="2"/>
      <c r="V981" s="2"/>
      <c r="W981" s="2"/>
      <c r="X981" s="2"/>
      <c r="Y981" s="2"/>
      <c r="Z981" s="2"/>
    </row>
    <row r="982" customFormat="false" ht="12" hidden="false" customHeight="true" outlineLevel="0" collapsed="false">
      <c r="A982" s="2"/>
      <c r="B982" s="19"/>
      <c r="C982" s="19"/>
      <c r="D982" s="2"/>
      <c r="E982" s="2"/>
      <c r="F982" s="2"/>
      <c r="G982" s="2"/>
      <c r="H982" s="2"/>
      <c r="I982" s="2"/>
      <c r="J982" s="2"/>
      <c r="K982" s="2"/>
      <c r="L982" s="19"/>
      <c r="M982" s="19"/>
      <c r="N982" s="2"/>
      <c r="O982" s="2"/>
      <c r="P982" s="2"/>
      <c r="Q982" s="2"/>
      <c r="R982" s="2"/>
      <c r="S982" s="2"/>
      <c r="T982" s="2"/>
      <c r="U982" s="2"/>
      <c r="V982" s="2"/>
      <c r="W982" s="2"/>
      <c r="X982" s="2"/>
      <c r="Y982" s="2"/>
      <c r="Z982" s="2"/>
    </row>
    <row r="983" customFormat="false" ht="12" hidden="false" customHeight="true" outlineLevel="0" collapsed="false">
      <c r="A983" s="2"/>
      <c r="B983" s="19"/>
      <c r="C983" s="19"/>
      <c r="D983" s="2"/>
      <c r="E983" s="2"/>
      <c r="F983" s="2"/>
      <c r="G983" s="2"/>
      <c r="H983" s="2"/>
      <c r="I983" s="2"/>
      <c r="J983" s="2"/>
      <c r="K983" s="2"/>
      <c r="L983" s="19"/>
      <c r="M983" s="19"/>
      <c r="N983" s="2"/>
      <c r="O983" s="2"/>
      <c r="P983" s="2"/>
      <c r="Q983" s="2"/>
      <c r="R983" s="2"/>
      <c r="S983" s="2"/>
      <c r="T983" s="2"/>
      <c r="U983" s="2"/>
      <c r="V983" s="2"/>
      <c r="W983" s="2"/>
      <c r="X983" s="2"/>
      <c r="Y983" s="2"/>
      <c r="Z983" s="2"/>
    </row>
    <row r="984" customFormat="false" ht="12" hidden="false" customHeight="true" outlineLevel="0" collapsed="false">
      <c r="A984" s="2"/>
      <c r="B984" s="19"/>
      <c r="C984" s="19"/>
      <c r="D984" s="2"/>
      <c r="E984" s="2"/>
      <c r="F984" s="2"/>
      <c r="G984" s="2"/>
      <c r="H984" s="2"/>
      <c r="I984" s="2"/>
      <c r="J984" s="2"/>
      <c r="K984" s="2"/>
      <c r="L984" s="19"/>
      <c r="M984" s="19"/>
      <c r="N984" s="2"/>
      <c r="O984" s="2"/>
      <c r="P984" s="2"/>
      <c r="Q984" s="2"/>
      <c r="R984" s="2"/>
      <c r="S984" s="2"/>
      <c r="T984" s="2"/>
      <c r="U984" s="2"/>
      <c r="V984" s="2"/>
      <c r="W984" s="2"/>
      <c r="X984" s="2"/>
      <c r="Y984" s="2"/>
      <c r="Z984" s="2"/>
    </row>
    <row r="985" customFormat="false" ht="12" hidden="false" customHeight="true" outlineLevel="0" collapsed="false">
      <c r="A985" s="2"/>
      <c r="B985" s="19"/>
      <c r="C985" s="19"/>
      <c r="D985" s="2"/>
      <c r="E985" s="2"/>
      <c r="F985" s="2"/>
      <c r="G985" s="2"/>
      <c r="H985" s="2"/>
      <c r="I985" s="2"/>
      <c r="J985" s="2"/>
      <c r="K985" s="2"/>
      <c r="L985" s="19"/>
      <c r="M985" s="19"/>
      <c r="N985" s="2"/>
      <c r="O985" s="2"/>
      <c r="P985" s="2"/>
      <c r="Q985" s="2"/>
      <c r="R985" s="2"/>
      <c r="S985" s="2"/>
      <c r="T985" s="2"/>
      <c r="U985" s="2"/>
      <c r="V985" s="2"/>
      <c r="W985" s="2"/>
      <c r="X985" s="2"/>
      <c r="Y985" s="2"/>
      <c r="Z985" s="2"/>
    </row>
    <row r="986" customFormat="false" ht="12" hidden="false" customHeight="true" outlineLevel="0" collapsed="false">
      <c r="A986" s="2"/>
      <c r="B986" s="19"/>
      <c r="C986" s="19"/>
      <c r="D986" s="2"/>
      <c r="E986" s="2"/>
      <c r="F986" s="2"/>
      <c r="G986" s="2"/>
      <c r="H986" s="2"/>
      <c r="I986" s="2"/>
      <c r="J986" s="2"/>
      <c r="K986" s="2"/>
      <c r="L986" s="19"/>
      <c r="M986" s="19"/>
      <c r="N986" s="2"/>
      <c r="O986" s="2"/>
      <c r="P986" s="2"/>
      <c r="Q986" s="2"/>
      <c r="R986" s="2"/>
      <c r="S986" s="2"/>
      <c r="T986" s="2"/>
      <c r="U986" s="2"/>
      <c r="V986" s="2"/>
      <c r="W986" s="2"/>
      <c r="X986" s="2"/>
      <c r="Y986" s="2"/>
      <c r="Z986" s="2"/>
    </row>
    <row r="987" customFormat="false" ht="12" hidden="false" customHeight="true" outlineLevel="0" collapsed="false">
      <c r="A987" s="2"/>
      <c r="B987" s="19"/>
      <c r="C987" s="19"/>
      <c r="D987" s="2"/>
      <c r="E987" s="2"/>
      <c r="F987" s="2"/>
      <c r="G987" s="2"/>
      <c r="H987" s="2"/>
      <c r="I987" s="2"/>
      <c r="J987" s="2"/>
      <c r="K987" s="2"/>
      <c r="L987" s="19"/>
      <c r="M987" s="19"/>
      <c r="N987" s="2"/>
      <c r="O987" s="2"/>
      <c r="P987" s="2"/>
      <c r="Q987" s="2"/>
      <c r="R987" s="2"/>
      <c r="S987" s="2"/>
      <c r="T987" s="2"/>
      <c r="U987" s="2"/>
      <c r="V987" s="2"/>
      <c r="W987" s="2"/>
      <c r="X987" s="2"/>
      <c r="Y987" s="2"/>
      <c r="Z987" s="2"/>
    </row>
    <row r="988" customFormat="false" ht="12" hidden="false" customHeight="true" outlineLevel="0" collapsed="false">
      <c r="A988" s="2"/>
      <c r="B988" s="19"/>
      <c r="C988" s="19"/>
      <c r="D988" s="2"/>
      <c r="E988" s="2"/>
      <c r="F988" s="2"/>
      <c r="G988" s="2"/>
      <c r="H988" s="2"/>
      <c r="I988" s="2"/>
      <c r="J988" s="2"/>
      <c r="K988" s="2"/>
      <c r="L988" s="19"/>
      <c r="M988" s="19"/>
      <c r="N988" s="2"/>
      <c r="O988" s="2"/>
      <c r="P988" s="2"/>
      <c r="Q988" s="2"/>
      <c r="R988" s="2"/>
      <c r="S988" s="2"/>
      <c r="T988" s="2"/>
      <c r="U988" s="2"/>
      <c r="V988" s="2"/>
      <c r="W988" s="2"/>
      <c r="X988" s="2"/>
      <c r="Y988" s="2"/>
      <c r="Z988" s="2"/>
    </row>
    <row r="989" customFormat="false" ht="12" hidden="false" customHeight="true" outlineLevel="0" collapsed="false">
      <c r="A989" s="2"/>
      <c r="B989" s="19"/>
      <c r="C989" s="19"/>
      <c r="D989" s="2"/>
      <c r="E989" s="2"/>
      <c r="F989" s="2"/>
      <c r="G989" s="2"/>
      <c r="H989" s="2"/>
      <c r="I989" s="2"/>
      <c r="J989" s="2"/>
      <c r="K989" s="2"/>
      <c r="L989" s="19"/>
      <c r="M989" s="19"/>
      <c r="N989" s="2"/>
      <c r="O989" s="2"/>
      <c r="P989" s="2"/>
      <c r="Q989" s="2"/>
      <c r="R989" s="2"/>
      <c r="S989" s="2"/>
      <c r="T989" s="2"/>
      <c r="U989" s="2"/>
      <c r="V989" s="2"/>
      <c r="W989" s="2"/>
      <c r="X989" s="2"/>
      <c r="Y989" s="2"/>
      <c r="Z989" s="2"/>
    </row>
    <row r="990" customFormat="false" ht="12" hidden="false" customHeight="true" outlineLevel="0" collapsed="false">
      <c r="A990" s="2"/>
      <c r="B990" s="19"/>
      <c r="C990" s="19"/>
      <c r="D990" s="2"/>
      <c r="E990" s="2"/>
      <c r="F990" s="2"/>
      <c r="G990" s="2"/>
      <c r="H990" s="2"/>
      <c r="I990" s="2"/>
      <c r="J990" s="2"/>
      <c r="K990" s="2"/>
      <c r="L990" s="19"/>
      <c r="M990" s="19"/>
      <c r="N990" s="2"/>
      <c r="O990" s="2"/>
      <c r="P990" s="2"/>
      <c r="Q990" s="2"/>
      <c r="R990" s="2"/>
      <c r="S990" s="2"/>
      <c r="T990" s="2"/>
      <c r="U990" s="2"/>
      <c r="V990" s="2"/>
      <c r="W990" s="2"/>
      <c r="X990" s="2"/>
      <c r="Y990" s="2"/>
      <c r="Z990" s="2"/>
    </row>
    <row r="991" customFormat="false" ht="12" hidden="false" customHeight="true" outlineLevel="0" collapsed="false">
      <c r="A991" s="2"/>
      <c r="B991" s="19"/>
      <c r="C991" s="19"/>
      <c r="D991" s="2"/>
      <c r="E991" s="2"/>
      <c r="F991" s="2"/>
      <c r="G991" s="2"/>
      <c r="H991" s="2"/>
      <c r="I991" s="2"/>
      <c r="J991" s="2"/>
      <c r="K991" s="2"/>
      <c r="L991" s="19"/>
      <c r="M991" s="19"/>
      <c r="N991" s="2"/>
      <c r="O991" s="2"/>
      <c r="P991" s="2"/>
      <c r="Q991" s="2"/>
      <c r="R991" s="2"/>
      <c r="S991" s="2"/>
      <c r="T991" s="2"/>
      <c r="U991" s="2"/>
      <c r="V991" s="2"/>
      <c r="W991" s="2"/>
      <c r="X991" s="2"/>
      <c r="Y991" s="2"/>
      <c r="Z991" s="2"/>
    </row>
    <row r="992" customFormat="false" ht="12" hidden="false" customHeight="true" outlineLevel="0" collapsed="false">
      <c r="A992" s="2"/>
      <c r="B992" s="19"/>
      <c r="C992" s="19"/>
      <c r="D992" s="2"/>
      <c r="E992" s="2"/>
      <c r="F992" s="2"/>
      <c r="G992" s="2"/>
      <c r="H992" s="2"/>
      <c r="I992" s="2"/>
      <c r="J992" s="2"/>
      <c r="K992" s="2"/>
      <c r="L992" s="19"/>
      <c r="M992" s="19"/>
      <c r="N992" s="2"/>
      <c r="O992" s="2"/>
      <c r="P992" s="2"/>
      <c r="Q992" s="2"/>
      <c r="R992" s="2"/>
      <c r="S992" s="2"/>
      <c r="T992" s="2"/>
      <c r="U992" s="2"/>
      <c r="V992" s="2"/>
      <c r="W992" s="2"/>
      <c r="X992" s="2"/>
      <c r="Y992" s="2"/>
      <c r="Z992" s="2"/>
    </row>
    <row r="993" customFormat="false" ht="12" hidden="false" customHeight="true" outlineLevel="0" collapsed="false">
      <c r="A993" s="2"/>
      <c r="B993" s="19"/>
      <c r="C993" s="19"/>
      <c r="D993" s="2"/>
      <c r="E993" s="2"/>
      <c r="F993" s="2"/>
      <c r="G993" s="2"/>
      <c r="H993" s="2"/>
      <c r="I993" s="2"/>
      <c r="J993" s="2"/>
      <c r="K993" s="2"/>
      <c r="L993" s="19"/>
      <c r="M993" s="19"/>
      <c r="N993" s="2"/>
      <c r="O993" s="2"/>
      <c r="P993" s="2"/>
      <c r="Q993" s="2"/>
      <c r="R993" s="2"/>
      <c r="S993" s="2"/>
      <c r="T993" s="2"/>
      <c r="U993" s="2"/>
      <c r="V993" s="2"/>
      <c r="W993" s="2"/>
      <c r="X993" s="2"/>
      <c r="Y993" s="2"/>
      <c r="Z993" s="2"/>
    </row>
    <row r="994" customFormat="false" ht="12" hidden="false" customHeight="true" outlineLevel="0" collapsed="false">
      <c r="A994" s="2"/>
      <c r="B994" s="19"/>
      <c r="C994" s="19"/>
      <c r="D994" s="2"/>
      <c r="E994" s="2"/>
      <c r="F994" s="2"/>
      <c r="G994" s="2"/>
      <c r="H994" s="2"/>
      <c r="I994" s="2"/>
      <c r="J994" s="2"/>
      <c r="K994" s="2"/>
      <c r="L994" s="19"/>
      <c r="M994" s="19"/>
      <c r="N994" s="2"/>
      <c r="O994" s="2"/>
      <c r="P994" s="2"/>
      <c r="Q994" s="2"/>
      <c r="R994" s="2"/>
      <c r="S994" s="2"/>
      <c r="T994" s="2"/>
      <c r="U994" s="2"/>
      <c r="V994" s="2"/>
      <c r="W994" s="2"/>
      <c r="X994" s="2"/>
      <c r="Y994" s="2"/>
      <c r="Z994" s="2"/>
    </row>
    <row r="995" customFormat="false" ht="12" hidden="false" customHeight="true" outlineLevel="0" collapsed="false">
      <c r="A995" s="2"/>
      <c r="B995" s="19"/>
      <c r="C995" s="19"/>
      <c r="D995" s="2"/>
      <c r="E995" s="2"/>
      <c r="F995" s="2"/>
      <c r="G995" s="2"/>
      <c r="H995" s="2"/>
      <c r="I995" s="2"/>
      <c r="J995" s="2"/>
      <c r="K995" s="2"/>
      <c r="L995" s="19"/>
      <c r="M995" s="19"/>
      <c r="N995" s="2"/>
      <c r="O995" s="2"/>
      <c r="P995" s="2"/>
      <c r="Q995" s="2"/>
      <c r="R995" s="2"/>
      <c r="S995" s="2"/>
      <c r="T995" s="2"/>
      <c r="U995" s="2"/>
      <c r="V995" s="2"/>
      <c r="W995" s="2"/>
      <c r="X995" s="2"/>
      <c r="Y995" s="2"/>
      <c r="Z995" s="2"/>
    </row>
    <row r="996" customFormat="false" ht="12" hidden="false" customHeight="true" outlineLevel="0" collapsed="false">
      <c r="A996" s="2"/>
      <c r="B996" s="19"/>
      <c r="C996" s="19"/>
      <c r="D996" s="2"/>
      <c r="E996" s="2"/>
      <c r="F996" s="2"/>
      <c r="G996" s="2"/>
      <c r="H996" s="2"/>
      <c r="I996" s="2"/>
      <c r="J996" s="2"/>
      <c r="K996" s="2"/>
      <c r="L996" s="19"/>
      <c r="M996" s="19"/>
      <c r="N996" s="2"/>
      <c r="O996" s="2"/>
      <c r="P996" s="2"/>
      <c r="Q996" s="2"/>
      <c r="R996" s="2"/>
      <c r="S996" s="2"/>
      <c r="T996" s="2"/>
      <c r="U996" s="2"/>
      <c r="V996" s="2"/>
      <c r="W996" s="2"/>
      <c r="X996" s="2"/>
      <c r="Y996" s="2"/>
      <c r="Z996" s="2"/>
    </row>
    <row r="997" customFormat="false" ht="12" hidden="false" customHeight="true" outlineLevel="0" collapsed="false">
      <c r="A997" s="2"/>
      <c r="B997" s="19"/>
      <c r="C997" s="19"/>
      <c r="D997" s="2"/>
      <c r="E997" s="2"/>
      <c r="F997" s="2"/>
      <c r="G997" s="2"/>
      <c r="H997" s="2"/>
      <c r="I997" s="2"/>
      <c r="J997" s="2"/>
      <c r="K997" s="2"/>
      <c r="L997" s="19"/>
      <c r="M997" s="19"/>
      <c r="N997" s="2"/>
      <c r="O997" s="2"/>
      <c r="P997" s="2"/>
      <c r="Q997" s="2"/>
      <c r="R997" s="2"/>
      <c r="S997" s="2"/>
      <c r="T997" s="2"/>
      <c r="U997" s="2"/>
      <c r="V997" s="2"/>
      <c r="W997" s="2"/>
      <c r="X997" s="2"/>
      <c r="Y997" s="2"/>
      <c r="Z997" s="2"/>
    </row>
    <row r="998" customFormat="false" ht="12" hidden="false" customHeight="true" outlineLevel="0" collapsed="false">
      <c r="A998" s="2"/>
      <c r="B998" s="19"/>
      <c r="C998" s="19"/>
      <c r="D998" s="2"/>
      <c r="E998" s="2"/>
      <c r="F998" s="2"/>
      <c r="G998" s="2"/>
      <c r="H998" s="2"/>
      <c r="I998" s="2"/>
      <c r="J998" s="2"/>
      <c r="K998" s="2"/>
      <c r="L998" s="19"/>
      <c r="M998" s="19"/>
      <c r="N998" s="2"/>
      <c r="O998" s="2"/>
      <c r="P998" s="2"/>
      <c r="Q998" s="2"/>
      <c r="R998" s="2"/>
      <c r="S998" s="2"/>
      <c r="T998" s="2"/>
      <c r="U998" s="2"/>
      <c r="V998" s="2"/>
      <c r="W998" s="2"/>
      <c r="X998" s="2"/>
      <c r="Y998" s="2"/>
      <c r="Z998" s="2"/>
    </row>
    <row r="999" customFormat="false" ht="12" hidden="false" customHeight="true" outlineLevel="0" collapsed="false">
      <c r="A999" s="2"/>
      <c r="B999" s="19"/>
      <c r="C999" s="19"/>
      <c r="D999" s="2"/>
      <c r="E999" s="2"/>
      <c r="F999" s="2"/>
      <c r="G999" s="2"/>
      <c r="H999" s="2"/>
      <c r="I999" s="2"/>
      <c r="J999" s="2"/>
      <c r="K999" s="2"/>
      <c r="L999" s="19"/>
      <c r="M999" s="19"/>
      <c r="N999" s="2"/>
      <c r="O999" s="2"/>
      <c r="P999" s="2"/>
      <c r="Q999" s="2"/>
      <c r="R999" s="2"/>
      <c r="S999" s="2"/>
      <c r="T999" s="2"/>
      <c r="U999" s="2"/>
      <c r="V999" s="2"/>
      <c r="W999" s="2"/>
      <c r="X999" s="2"/>
      <c r="Y999" s="2"/>
      <c r="Z999" s="2"/>
    </row>
    <row r="1000" customFormat="false" ht="12" hidden="false" customHeight="true" outlineLevel="0" collapsed="false">
      <c r="A1000" s="2"/>
      <c r="B1000" s="19"/>
      <c r="C1000" s="19"/>
      <c r="D1000" s="2"/>
      <c r="E1000" s="2"/>
      <c r="F1000" s="2"/>
      <c r="G1000" s="2"/>
      <c r="H1000" s="2"/>
      <c r="I1000" s="2"/>
      <c r="J1000" s="2"/>
      <c r="K1000" s="2"/>
      <c r="L1000" s="19"/>
      <c r="M1000" s="19"/>
      <c r="N1000" s="2"/>
      <c r="O1000" s="2"/>
      <c r="P1000" s="2"/>
      <c r="Q1000" s="2"/>
      <c r="R1000" s="2"/>
      <c r="S1000" s="2"/>
      <c r="T1000" s="2"/>
      <c r="U1000" s="2"/>
      <c r="V1000" s="2"/>
      <c r="W1000" s="2"/>
      <c r="X1000" s="2"/>
      <c r="Y1000" s="2"/>
      <c r="Z1000" s="2"/>
    </row>
  </sheetData>
  <hyperlinks>
    <hyperlink ref="L5" r:id="rId1" display="https://www.business-standard.com/search?q=New%20India%20Assurance"/>
    <hyperlink ref="L6" r:id="rId2" display="https://www.business-standard.com/markets/capital-market-news/tcs-helps-icici-lombard-achieve-dr-switchover-on-aws-cloud-125082500488_1.html"/>
    <hyperlink ref="L10" r:id="rId3" display="https://insuranceasia.com/insurance/news/central-bank-india-tata-aig-offer-insurance-msme-payments"/>
    <hyperlink ref="L11" r:id="rId4" display="https://www.business-standard.com/finance/personal-finance/star-health-care-niva-bupa-record-most-policyholder-complaints-in-fy24-125090100487_1.html"/>
    <hyperlink ref="L14" r:id="rId5" display="https://www.business-standard.com/content/press-releases-ani/sbi-general-insurance-launches-unique-health-scanning-feature-on-its-mobile-app-125091900982_1.html"/>
    <hyperlink ref="L18" r:id="rId6" display="https://www.business-standard.com/finance/personal-finance/star-health-care-niva-bupa-record-most-policyholder-complaints-in-fy24-125090100487_1.html"/>
    <hyperlink ref="L19" r:id="rId7" display="https://www.business-standard.com/finance/insurance/iffco-tokio-enters-surety-bonds-market-to-support-infra-growth-125050601178_1.html"/>
    <hyperlink ref="L20" r:id="rId8" display="https://www.business-standard.com/companies/news/cholamandalam-ms-general-insurance-likely-to-go-public-in-five-years-md-125062301122_1.html"/>
    <hyperlink ref="L21" r:id="rId9" display="https://www.business-standard.com/finance/personal-finance/star-health-care-niva-bupa-record-most-policyholder-complaints-in-fy24-125090100487_1.html"/>
    <hyperlink ref="L23" r:id="rId10" display="https://www.business-standard.com/content/press-releases-ani/universal-sompo-extends-insurance-coverage-to-pets-125062800275_1.html"/>
    <hyperlink ref="L24" r:id="rId11" display="https://www.business-standard.com/markets/capital-market-news/vakrangee-partners-with-aditya-birla-health-insurance-125022700332_1.html"/>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1" min="1" style="0" width="8.5"/>
    <col collapsed="false" customWidth="true" hidden="false" outlineLevel="0" max="2" min="2" style="0" width="35.5"/>
    <col collapsed="false" customWidth="true" hidden="false" outlineLevel="0" max="3" min="3" style="0" width="18.13"/>
    <col collapsed="false" customWidth="true" hidden="false" outlineLevel="0" max="4" min="4" style="0" width="17.13"/>
    <col collapsed="false" customWidth="true" hidden="false" outlineLevel="0" max="5" min="5" style="0" width="19.5"/>
    <col collapsed="false" customWidth="true" hidden="false" outlineLevel="0" max="6" min="6" style="0" width="31.88"/>
    <col collapsed="false" customWidth="true" hidden="false" outlineLevel="0" max="7" min="7" style="0" width="14.88"/>
    <col collapsed="false" customWidth="true" hidden="false" outlineLevel="0" max="8" min="8" style="0" width="15.5"/>
    <col collapsed="false" customWidth="true" hidden="false" outlineLevel="0" max="9" min="9" style="0" width="39.88"/>
    <col collapsed="false" customWidth="true" hidden="true" outlineLevel="0" max="10" min="10" style="0" width="17.5"/>
    <col collapsed="false" customWidth="true" hidden="false" outlineLevel="0" max="11" min="11" style="0" width="63.5"/>
    <col collapsed="false" customWidth="true" hidden="false" outlineLevel="0" max="12" min="12" style="0" width="39.5"/>
    <col collapsed="false" customWidth="true" hidden="false" outlineLevel="0" max="13" min="13" style="0" width="20.13"/>
    <col collapsed="false" customWidth="true" hidden="false" outlineLevel="0" max="26" min="14" style="0" width="8.88"/>
  </cols>
  <sheetData>
    <row r="1" customFormat="false" ht="12" hidden="false" customHeight="true" outlineLevel="0" collapsed="false">
      <c r="A1" s="18" t="s">
        <v>329</v>
      </c>
      <c r="B1" s="19"/>
      <c r="C1" s="19"/>
      <c r="D1" s="2"/>
      <c r="E1" s="2"/>
      <c r="F1" s="2"/>
      <c r="G1" s="2"/>
      <c r="H1" s="2"/>
      <c r="I1" s="2"/>
      <c r="J1" s="2"/>
      <c r="K1" s="2"/>
      <c r="L1" s="19"/>
      <c r="M1" s="19"/>
      <c r="N1" s="2"/>
      <c r="O1" s="2"/>
      <c r="P1" s="2"/>
      <c r="Q1" s="2"/>
      <c r="R1" s="2"/>
      <c r="S1" s="2"/>
      <c r="T1" s="2"/>
      <c r="U1" s="2"/>
      <c r="V1" s="2"/>
      <c r="W1" s="2"/>
      <c r="X1" s="2"/>
      <c r="Y1" s="2"/>
      <c r="Z1" s="2"/>
    </row>
    <row r="2" customFormat="false" ht="12" hidden="false" customHeight="true" outlineLevel="0" collapsed="false">
      <c r="A2" s="18" t="s">
        <v>162</v>
      </c>
      <c r="B2" s="19"/>
      <c r="C2" s="19"/>
      <c r="D2" s="2"/>
      <c r="E2" s="2"/>
      <c r="F2" s="2"/>
      <c r="G2" s="2"/>
      <c r="H2" s="2"/>
      <c r="I2" s="2"/>
      <c r="J2" s="2"/>
      <c r="K2" s="2"/>
      <c r="L2" s="19"/>
      <c r="M2" s="19"/>
      <c r="N2" s="2"/>
      <c r="O2" s="2"/>
      <c r="P2" s="2"/>
      <c r="Q2" s="2"/>
      <c r="R2" s="2"/>
      <c r="S2" s="2"/>
      <c r="T2" s="2"/>
      <c r="U2" s="2"/>
      <c r="V2" s="2"/>
      <c r="W2" s="2"/>
      <c r="X2" s="2"/>
      <c r="Y2" s="2"/>
      <c r="Z2" s="2"/>
    </row>
    <row r="3" customFormat="false" ht="12" hidden="false" customHeight="true" outlineLevel="0" collapsed="false">
      <c r="A3" s="2"/>
      <c r="B3" s="19" t="s">
        <v>330</v>
      </c>
      <c r="C3" s="19"/>
      <c r="D3" s="2"/>
      <c r="E3" s="2"/>
      <c r="F3" s="2"/>
      <c r="G3" s="2"/>
      <c r="H3" s="2"/>
      <c r="I3" s="2"/>
      <c r="J3" s="2"/>
      <c r="K3" s="2"/>
      <c r="L3" s="19"/>
      <c r="M3" s="19"/>
      <c r="N3" s="2"/>
      <c r="O3" s="2"/>
      <c r="P3" s="2"/>
      <c r="Q3" s="2"/>
      <c r="R3" s="2"/>
      <c r="S3" s="2"/>
      <c r="T3" s="2"/>
      <c r="U3" s="2"/>
      <c r="V3" s="2"/>
      <c r="W3" s="2"/>
      <c r="X3" s="2"/>
      <c r="Y3" s="2"/>
      <c r="Z3" s="2"/>
    </row>
    <row r="4" customFormat="false" ht="12" hidden="false" customHeight="true" outlineLevel="0" collapsed="false">
      <c r="A4" s="21" t="s">
        <v>6</v>
      </c>
      <c r="B4" s="22" t="s">
        <v>7</v>
      </c>
      <c r="C4" s="8" t="s">
        <v>9</v>
      </c>
      <c r="D4" s="21" t="s">
        <v>163</v>
      </c>
      <c r="E4" s="21" t="s">
        <v>164</v>
      </c>
      <c r="F4" s="21" t="s">
        <v>165</v>
      </c>
      <c r="G4" s="21" t="s">
        <v>166</v>
      </c>
      <c r="H4" s="21" t="s">
        <v>167</v>
      </c>
      <c r="I4" s="21" t="s">
        <v>168</v>
      </c>
      <c r="J4" s="21" t="s">
        <v>169</v>
      </c>
      <c r="K4" s="21" t="s">
        <v>170</v>
      </c>
      <c r="L4" s="22" t="s">
        <v>331</v>
      </c>
      <c r="M4" s="8" t="s">
        <v>12</v>
      </c>
      <c r="N4" s="2"/>
      <c r="O4" s="2"/>
      <c r="P4" s="2"/>
      <c r="Q4" s="2"/>
      <c r="R4" s="2"/>
      <c r="S4" s="2"/>
      <c r="T4" s="2"/>
      <c r="U4" s="2"/>
      <c r="V4" s="2"/>
      <c r="W4" s="2"/>
      <c r="X4" s="2"/>
      <c r="Y4" s="2"/>
      <c r="Z4" s="2"/>
    </row>
    <row r="5" customFormat="false" ht="12" hidden="false" customHeight="true" outlineLevel="0" collapsed="false">
      <c r="A5" s="37" t="n">
        <v>1</v>
      </c>
      <c r="B5" s="38" t="s">
        <v>14</v>
      </c>
      <c r="C5" s="38" t="s">
        <v>16</v>
      </c>
      <c r="D5" s="39" t="s">
        <v>332</v>
      </c>
      <c r="E5" s="39" t="s">
        <v>333</v>
      </c>
      <c r="F5" s="39" t="s">
        <v>334</v>
      </c>
      <c r="G5" s="39" t="s">
        <v>175</v>
      </c>
      <c r="H5" s="39" t="s">
        <v>176</v>
      </c>
      <c r="I5" s="38" t="s">
        <v>335</v>
      </c>
      <c r="J5" s="39"/>
      <c r="K5" s="38" t="s">
        <v>145</v>
      </c>
      <c r="L5" s="40"/>
      <c r="M5" s="41" t="n">
        <v>488848.92</v>
      </c>
      <c r="N5" s="2"/>
      <c r="O5" s="2"/>
      <c r="P5" s="2"/>
      <c r="Q5" s="2"/>
      <c r="R5" s="2"/>
      <c r="S5" s="2"/>
      <c r="T5" s="2"/>
      <c r="U5" s="2"/>
      <c r="V5" s="2"/>
      <c r="W5" s="2"/>
      <c r="X5" s="2"/>
      <c r="Y5" s="2"/>
      <c r="Z5" s="2"/>
    </row>
    <row r="6" customFormat="false" ht="12" hidden="false" customHeight="true" outlineLevel="0" collapsed="false">
      <c r="A6" s="23" t="n">
        <v>2</v>
      </c>
      <c r="B6" s="24" t="s">
        <v>18</v>
      </c>
      <c r="C6" s="24" t="s">
        <v>16</v>
      </c>
      <c r="D6" s="25" t="s">
        <v>336</v>
      </c>
      <c r="E6" s="25" t="s">
        <v>337</v>
      </c>
      <c r="F6" s="25" t="s">
        <v>338</v>
      </c>
      <c r="G6" s="25" t="s">
        <v>175</v>
      </c>
      <c r="H6" s="25" t="s">
        <v>221</v>
      </c>
      <c r="I6" s="24" t="s">
        <v>184</v>
      </c>
      <c r="J6" s="25"/>
      <c r="K6" s="24" t="s">
        <v>339</v>
      </c>
      <c r="L6" s="42" t="s">
        <v>340</v>
      </c>
      <c r="M6" s="27" t="n">
        <v>84984.63</v>
      </c>
      <c r="N6" s="2"/>
      <c r="O6" s="2"/>
      <c r="P6" s="2"/>
      <c r="Q6" s="2"/>
      <c r="R6" s="2"/>
      <c r="S6" s="2"/>
      <c r="T6" s="2"/>
      <c r="U6" s="2"/>
      <c r="V6" s="2"/>
      <c r="W6" s="2"/>
      <c r="X6" s="2"/>
      <c r="Y6" s="2"/>
      <c r="Z6" s="2"/>
    </row>
    <row r="7" customFormat="false" ht="12" hidden="false" customHeight="true" outlineLevel="0" collapsed="false">
      <c r="A7" s="23" t="n">
        <v>3</v>
      </c>
      <c r="B7" s="24" t="s">
        <v>19</v>
      </c>
      <c r="C7" s="24" t="s">
        <v>16</v>
      </c>
      <c r="D7" s="25" t="s">
        <v>341</v>
      </c>
      <c r="E7" s="25" t="s">
        <v>342</v>
      </c>
      <c r="F7" s="25" t="s">
        <v>343</v>
      </c>
      <c r="G7" s="25" t="s">
        <v>175</v>
      </c>
      <c r="H7" s="25" t="s">
        <v>217</v>
      </c>
      <c r="I7" s="24" t="s">
        <v>184</v>
      </c>
      <c r="J7" s="25"/>
      <c r="K7" s="24" t="s">
        <v>344</v>
      </c>
      <c r="L7" s="24" t="s">
        <v>345</v>
      </c>
      <c r="M7" s="27" t="n">
        <v>71044.91</v>
      </c>
      <c r="N7" s="2"/>
      <c r="O7" s="2"/>
      <c r="P7" s="2"/>
      <c r="Q7" s="2"/>
      <c r="R7" s="2"/>
      <c r="S7" s="2"/>
      <c r="T7" s="2"/>
      <c r="U7" s="2"/>
      <c r="V7" s="2"/>
      <c r="W7" s="2"/>
      <c r="X7" s="2"/>
      <c r="Y7" s="2"/>
      <c r="Z7" s="2"/>
    </row>
    <row r="8" customFormat="false" ht="12" hidden="false" customHeight="true" outlineLevel="0" collapsed="false">
      <c r="A8" s="23" t="n">
        <v>4</v>
      </c>
      <c r="B8" s="24" t="s">
        <v>20</v>
      </c>
      <c r="C8" s="24" t="s">
        <v>16</v>
      </c>
      <c r="D8" s="25" t="s">
        <v>346</v>
      </c>
      <c r="E8" s="25" t="s">
        <v>347</v>
      </c>
      <c r="F8" s="25" t="s">
        <v>348</v>
      </c>
      <c r="G8" s="25" t="s">
        <v>175</v>
      </c>
      <c r="H8" s="25" t="s">
        <v>183</v>
      </c>
      <c r="I8" s="24" t="s">
        <v>184</v>
      </c>
      <c r="J8" s="25"/>
      <c r="K8" s="24" t="s">
        <v>349</v>
      </c>
      <c r="L8" s="25"/>
      <c r="M8" s="27" t="n">
        <v>48950.71</v>
      </c>
      <c r="N8" s="2"/>
      <c r="O8" s="2"/>
      <c r="P8" s="2"/>
      <c r="Q8" s="2"/>
      <c r="R8" s="2"/>
      <c r="S8" s="2"/>
      <c r="T8" s="2"/>
      <c r="U8" s="2"/>
      <c r="V8" s="2"/>
      <c r="W8" s="2"/>
      <c r="X8" s="2"/>
      <c r="Y8" s="2"/>
      <c r="Z8" s="2"/>
    </row>
    <row r="9" customFormat="false" ht="12" hidden="false" customHeight="true" outlineLevel="0" collapsed="false">
      <c r="A9" s="23" t="n">
        <v>5</v>
      </c>
      <c r="B9" s="24" t="s">
        <v>22</v>
      </c>
      <c r="C9" s="24" t="s">
        <v>23</v>
      </c>
      <c r="D9" s="25" t="s">
        <v>350</v>
      </c>
      <c r="E9" s="25" t="s">
        <v>351</v>
      </c>
      <c r="F9" s="25" t="s">
        <v>352</v>
      </c>
      <c r="G9" s="25" t="s">
        <v>190</v>
      </c>
      <c r="H9" s="25" t="s">
        <v>304</v>
      </c>
      <c r="I9" s="24" t="s">
        <v>192</v>
      </c>
      <c r="J9" s="25"/>
      <c r="K9" s="24" t="s">
        <v>353</v>
      </c>
      <c r="L9" s="43" t="s">
        <v>354</v>
      </c>
      <c r="M9" s="27" t="n">
        <v>33223</v>
      </c>
      <c r="N9" s="2"/>
      <c r="O9" s="2"/>
      <c r="P9" s="2"/>
      <c r="Q9" s="2"/>
      <c r="R9" s="2"/>
      <c r="S9" s="2"/>
      <c r="T9" s="2"/>
      <c r="U9" s="2"/>
      <c r="V9" s="2"/>
      <c r="W9" s="2"/>
      <c r="X9" s="2"/>
      <c r="Y9" s="2"/>
      <c r="Z9" s="2"/>
    </row>
    <row r="10" customFormat="false" ht="12" hidden="false" customHeight="true" outlineLevel="0" collapsed="false">
      <c r="A10" s="23" t="n">
        <v>6</v>
      </c>
      <c r="B10" s="24" t="s">
        <v>24</v>
      </c>
      <c r="C10" s="24" t="s">
        <v>16</v>
      </c>
      <c r="D10" s="25" t="s">
        <v>355</v>
      </c>
      <c r="E10" s="25" t="s">
        <v>356</v>
      </c>
      <c r="F10" s="25" t="s">
        <v>357</v>
      </c>
      <c r="G10" s="25" t="s">
        <v>202</v>
      </c>
      <c r="H10" s="25" t="s">
        <v>203</v>
      </c>
      <c r="I10" s="24" t="s">
        <v>184</v>
      </c>
      <c r="J10" s="25"/>
      <c r="K10" s="24" t="s">
        <v>358</v>
      </c>
      <c r="L10" s="25"/>
      <c r="M10" s="27" t="n">
        <v>31483.6</v>
      </c>
      <c r="N10" s="2"/>
      <c r="O10" s="2"/>
      <c r="P10" s="2"/>
      <c r="Q10" s="2"/>
      <c r="R10" s="2"/>
      <c r="S10" s="2"/>
      <c r="T10" s="2"/>
      <c r="U10" s="2"/>
      <c r="V10" s="2"/>
      <c r="W10" s="2"/>
      <c r="X10" s="2"/>
      <c r="Y10" s="2"/>
      <c r="Z10" s="2"/>
    </row>
    <row r="11" customFormat="false" ht="12" hidden="false" customHeight="true" outlineLevel="0" collapsed="false">
      <c r="A11" s="23" t="n">
        <v>7</v>
      </c>
      <c r="B11" s="24" t="s">
        <v>26</v>
      </c>
      <c r="C11" s="24" t="s">
        <v>27</v>
      </c>
      <c r="D11" s="25" t="s">
        <v>359</v>
      </c>
      <c r="E11" s="25" t="s">
        <v>360</v>
      </c>
      <c r="F11" s="25" t="s">
        <v>361</v>
      </c>
      <c r="G11" s="25" t="s">
        <v>175</v>
      </c>
      <c r="H11" s="25" t="s">
        <v>191</v>
      </c>
      <c r="I11" s="24" t="s">
        <v>289</v>
      </c>
      <c r="J11" s="25"/>
      <c r="K11" s="25"/>
      <c r="L11" s="25"/>
      <c r="M11" s="27" t="n">
        <v>27160.06</v>
      </c>
      <c r="N11" s="2"/>
      <c r="O11" s="2"/>
      <c r="P11" s="2"/>
      <c r="Q11" s="2"/>
      <c r="R11" s="2"/>
      <c r="S11" s="2"/>
      <c r="T11" s="2"/>
      <c r="U11" s="2"/>
      <c r="V11" s="2"/>
      <c r="W11" s="2"/>
      <c r="X11" s="2"/>
      <c r="Y11" s="2"/>
      <c r="Z11" s="2"/>
    </row>
    <row r="12" customFormat="false" ht="12" hidden="false" customHeight="true" outlineLevel="0" collapsed="false">
      <c r="A12" s="23" t="n">
        <v>8</v>
      </c>
      <c r="B12" s="24" t="s">
        <v>29</v>
      </c>
      <c r="C12" s="24" t="s">
        <v>16</v>
      </c>
      <c r="D12" s="25" t="s">
        <v>362</v>
      </c>
      <c r="E12" s="25" t="s">
        <v>362</v>
      </c>
      <c r="F12" s="25" t="s">
        <v>363</v>
      </c>
      <c r="G12" s="25" t="s">
        <v>175</v>
      </c>
      <c r="H12" s="25" t="s">
        <v>267</v>
      </c>
      <c r="I12" s="24" t="s">
        <v>184</v>
      </c>
      <c r="J12" s="25"/>
      <c r="K12" s="25"/>
      <c r="L12" s="25"/>
      <c r="M12" s="27" t="n">
        <v>20638.77</v>
      </c>
      <c r="N12" s="2"/>
      <c r="O12" s="2"/>
      <c r="P12" s="2"/>
      <c r="Q12" s="2"/>
      <c r="R12" s="2"/>
      <c r="S12" s="2"/>
      <c r="T12" s="2"/>
      <c r="U12" s="2"/>
      <c r="V12" s="2"/>
      <c r="W12" s="2"/>
      <c r="X12" s="2"/>
      <c r="Y12" s="2"/>
      <c r="Z12" s="2"/>
    </row>
    <row r="13" customFormat="false" ht="12" hidden="false" customHeight="true" outlineLevel="0" collapsed="false">
      <c r="A13" s="23" t="n">
        <v>9</v>
      </c>
      <c r="B13" s="24" t="s">
        <v>31</v>
      </c>
      <c r="C13" s="24" t="s">
        <v>16</v>
      </c>
      <c r="D13" s="25" t="s">
        <v>364</v>
      </c>
      <c r="E13" s="25" t="s">
        <v>365</v>
      </c>
      <c r="F13" s="25" t="s">
        <v>366</v>
      </c>
      <c r="G13" s="25" t="s">
        <v>175</v>
      </c>
      <c r="H13" s="25" t="s">
        <v>183</v>
      </c>
      <c r="I13" s="24" t="s">
        <v>184</v>
      </c>
      <c r="J13" s="25"/>
      <c r="K13" s="25"/>
      <c r="L13" s="25"/>
      <c r="M13" s="27" t="n">
        <v>18375.67</v>
      </c>
      <c r="N13" s="2"/>
      <c r="O13" s="2"/>
      <c r="P13" s="2"/>
      <c r="Q13" s="2"/>
      <c r="R13" s="2"/>
      <c r="S13" s="2"/>
      <c r="T13" s="2"/>
      <c r="U13" s="2"/>
      <c r="V13" s="2"/>
      <c r="W13" s="2"/>
      <c r="X13" s="2"/>
      <c r="Y13" s="2"/>
      <c r="Z13" s="2"/>
    </row>
    <row r="14" customFormat="false" ht="12" hidden="false" customHeight="true" outlineLevel="0" collapsed="false">
      <c r="A14" s="23" t="n">
        <v>10</v>
      </c>
      <c r="B14" s="24" t="s">
        <v>32</v>
      </c>
      <c r="C14" s="24" t="s">
        <v>33</v>
      </c>
      <c r="D14" s="25" t="s">
        <v>367</v>
      </c>
      <c r="E14" s="25" t="s">
        <v>368</v>
      </c>
      <c r="F14" s="25" t="s">
        <v>369</v>
      </c>
      <c r="G14" s="25" t="s">
        <v>175</v>
      </c>
      <c r="H14" s="25" t="s">
        <v>370</v>
      </c>
      <c r="I14" s="24" t="s">
        <v>184</v>
      </c>
      <c r="J14" s="25"/>
      <c r="K14" s="25"/>
      <c r="L14" s="25"/>
      <c r="M14" s="27" t="n">
        <v>11752.39</v>
      </c>
      <c r="N14" s="2"/>
      <c r="O14" s="2"/>
      <c r="P14" s="2"/>
      <c r="Q14" s="2"/>
      <c r="R14" s="2"/>
      <c r="S14" s="2"/>
      <c r="T14" s="2"/>
      <c r="U14" s="2"/>
      <c r="V14" s="2"/>
      <c r="W14" s="2"/>
      <c r="X14" s="2"/>
      <c r="Y14" s="2"/>
      <c r="Z14" s="2"/>
    </row>
    <row r="15" customFormat="false" ht="12" hidden="false" customHeight="true" outlineLevel="0" collapsed="false">
      <c r="A15" s="23" t="n">
        <v>11</v>
      </c>
      <c r="B15" s="24" t="s">
        <v>35</v>
      </c>
      <c r="C15" s="24" t="s">
        <v>16</v>
      </c>
      <c r="D15" s="25" t="s">
        <v>371</v>
      </c>
      <c r="E15" s="25" t="s">
        <v>372</v>
      </c>
      <c r="F15" s="25" t="s">
        <v>373</v>
      </c>
      <c r="G15" s="25" t="s">
        <v>175</v>
      </c>
      <c r="H15" s="25"/>
      <c r="I15" s="25" t="s">
        <v>177</v>
      </c>
      <c r="J15" s="25"/>
      <c r="K15" s="25"/>
      <c r="L15" s="25"/>
      <c r="M15" s="27" t="n">
        <v>8260.38</v>
      </c>
      <c r="N15" s="2"/>
      <c r="O15" s="2"/>
      <c r="P15" s="2"/>
      <c r="Q15" s="2"/>
      <c r="R15" s="2"/>
      <c r="S15" s="2"/>
      <c r="T15" s="2"/>
      <c r="U15" s="2"/>
      <c r="V15" s="2"/>
      <c r="W15" s="2"/>
      <c r="X15" s="2"/>
      <c r="Y15" s="2"/>
      <c r="Z15" s="2"/>
    </row>
    <row r="16" customFormat="false" ht="12" hidden="false" customHeight="true" outlineLevel="0" collapsed="false">
      <c r="A16" s="23" t="n">
        <v>12</v>
      </c>
      <c r="B16" s="24" t="s">
        <v>37</v>
      </c>
      <c r="C16" s="24" t="s">
        <v>38</v>
      </c>
      <c r="D16" s="25" t="s">
        <v>374</v>
      </c>
      <c r="E16" s="25" t="s">
        <v>375</v>
      </c>
      <c r="F16" s="25" t="s">
        <v>376</v>
      </c>
      <c r="G16" s="25" t="s">
        <v>175</v>
      </c>
      <c r="H16" s="25" t="s">
        <v>176</v>
      </c>
      <c r="I16" s="25" t="s">
        <v>177</v>
      </c>
      <c r="J16" s="25"/>
      <c r="K16" s="24" t="s">
        <v>377</v>
      </c>
      <c r="L16" s="43" t="s">
        <v>378</v>
      </c>
      <c r="M16" s="27" t="n">
        <v>8027.46</v>
      </c>
      <c r="N16" s="2"/>
      <c r="O16" s="2"/>
      <c r="P16" s="2"/>
      <c r="Q16" s="2"/>
      <c r="R16" s="2"/>
      <c r="S16" s="2"/>
      <c r="T16" s="2"/>
      <c r="U16" s="2"/>
      <c r="V16" s="2"/>
      <c r="W16" s="2"/>
      <c r="X16" s="2"/>
      <c r="Y16" s="2"/>
      <c r="Z16" s="2"/>
    </row>
    <row r="17" customFormat="false" ht="12" hidden="false" customHeight="true" outlineLevel="0" collapsed="false">
      <c r="A17" s="23" t="n">
        <v>13</v>
      </c>
      <c r="B17" s="24" t="s">
        <v>40</v>
      </c>
      <c r="C17" s="24" t="s">
        <v>16</v>
      </c>
      <c r="D17" s="25" t="s">
        <v>379</v>
      </c>
      <c r="E17" s="25" t="s">
        <v>380</v>
      </c>
      <c r="F17" s="25" t="s">
        <v>381</v>
      </c>
      <c r="G17" s="25" t="s">
        <v>175</v>
      </c>
      <c r="H17" s="25" t="s">
        <v>176</v>
      </c>
      <c r="I17" s="24" t="s">
        <v>382</v>
      </c>
      <c r="J17" s="25"/>
      <c r="K17" s="25"/>
      <c r="L17" s="24"/>
      <c r="M17" s="27" t="n">
        <v>7218.1</v>
      </c>
      <c r="N17" s="2"/>
      <c r="O17" s="2"/>
      <c r="P17" s="2"/>
      <c r="Q17" s="2"/>
      <c r="R17" s="2"/>
      <c r="S17" s="2"/>
      <c r="T17" s="2"/>
      <c r="U17" s="2"/>
      <c r="V17" s="2"/>
      <c r="W17" s="2"/>
      <c r="X17" s="2"/>
      <c r="Y17" s="2"/>
      <c r="Z17" s="2"/>
    </row>
    <row r="18" customFormat="false" ht="12" hidden="false" customHeight="true" outlineLevel="0" collapsed="false">
      <c r="A18" s="23" t="n">
        <v>14</v>
      </c>
      <c r="B18" s="24" t="s">
        <v>42</v>
      </c>
      <c r="C18" s="24" t="s">
        <v>16</v>
      </c>
      <c r="D18" s="25" t="s">
        <v>383</v>
      </c>
      <c r="E18" s="25" t="s">
        <v>384</v>
      </c>
      <c r="F18" s="25" t="s">
        <v>385</v>
      </c>
      <c r="G18" s="25" t="s">
        <v>175</v>
      </c>
      <c r="H18" s="25" t="s">
        <v>386</v>
      </c>
      <c r="I18" s="25" t="s">
        <v>177</v>
      </c>
      <c r="J18" s="25"/>
      <c r="K18" s="24" t="s">
        <v>387</v>
      </c>
      <c r="L18" s="43" t="s">
        <v>388</v>
      </c>
      <c r="M18" s="27" t="n">
        <v>5710.68</v>
      </c>
      <c r="N18" s="2"/>
      <c r="O18" s="2"/>
      <c r="P18" s="2"/>
      <c r="Q18" s="2"/>
      <c r="R18" s="2"/>
      <c r="S18" s="2"/>
      <c r="T18" s="2"/>
      <c r="U18" s="2"/>
      <c r="V18" s="2"/>
      <c r="W18" s="2"/>
      <c r="X18" s="2"/>
      <c r="Y18" s="2"/>
      <c r="Z18" s="2"/>
    </row>
    <row r="19" customFormat="false" ht="12" hidden="false" customHeight="true" outlineLevel="0" collapsed="false">
      <c r="A19" s="23" t="n">
        <v>15</v>
      </c>
      <c r="B19" s="24" t="s">
        <v>44</v>
      </c>
      <c r="C19" s="24" t="s">
        <v>45</v>
      </c>
      <c r="D19" s="25" t="s">
        <v>389</v>
      </c>
      <c r="E19" s="25" t="s">
        <v>390</v>
      </c>
      <c r="F19" s="25" t="s">
        <v>391</v>
      </c>
      <c r="G19" s="25" t="s">
        <v>175</v>
      </c>
      <c r="H19" s="25" t="s">
        <v>279</v>
      </c>
      <c r="I19" s="24" t="s">
        <v>184</v>
      </c>
      <c r="J19" s="25"/>
      <c r="K19" s="24" t="s">
        <v>392</v>
      </c>
      <c r="L19" s="43" t="s">
        <v>393</v>
      </c>
      <c r="M19" s="27" t="n">
        <v>4216.42</v>
      </c>
      <c r="N19" s="2"/>
      <c r="O19" s="2"/>
      <c r="P19" s="2"/>
      <c r="Q19" s="2"/>
      <c r="R19" s="2"/>
      <c r="S19" s="2"/>
      <c r="T19" s="2"/>
      <c r="U19" s="2"/>
      <c r="V19" s="2"/>
      <c r="W19" s="2"/>
      <c r="X19" s="2"/>
      <c r="Y19" s="2"/>
      <c r="Z19" s="2"/>
    </row>
    <row r="20" customFormat="false" ht="12" hidden="false" customHeight="true" outlineLevel="0" collapsed="false">
      <c r="A20" s="23" t="n">
        <v>16</v>
      </c>
      <c r="B20" s="24" t="s">
        <v>47</v>
      </c>
      <c r="C20" s="24" t="s">
        <v>16</v>
      </c>
      <c r="D20" s="25" t="s">
        <v>394</v>
      </c>
      <c r="E20" s="25" t="s">
        <v>395</v>
      </c>
      <c r="F20" s="25" t="s">
        <v>396</v>
      </c>
      <c r="G20" s="25" t="s">
        <v>175</v>
      </c>
      <c r="H20" s="25" t="s">
        <v>183</v>
      </c>
      <c r="I20" s="25" t="s">
        <v>177</v>
      </c>
      <c r="J20" s="25"/>
      <c r="K20" s="24" t="s">
        <v>397</v>
      </c>
      <c r="L20" s="43" t="s">
        <v>398</v>
      </c>
      <c r="M20" s="27" t="n">
        <v>3072.74</v>
      </c>
      <c r="N20" s="2"/>
      <c r="O20" s="2"/>
      <c r="P20" s="2"/>
      <c r="Q20" s="2"/>
      <c r="R20" s="2"/>
      <c r="S20" s="2"/>
      <c r="T20" s="2"/>
      <c r="U20" s="2"/>
      <c r="V20" s="2"/>
      <c r="W20" s="2"/>
      <c r="X20" s="2"/>
      <c r="Y20" s="2"/>
      <c r="Z20" s="2"/>
    </row>
    <row r="21" customFormat="false" ht="12" hidden="false" customHeight="true" outlineLevel="0" collapsed="false">
      <c r="A21" s="23" t="n">
        <v>17</v>
      </c>
      <c r="B21" s="24" t="s">
        <v>49</v>
      </c>
      <c r="C21" s="24" t="s">
        <v>16</v>
      </c>
      <c r="D21" s="25" t="s">
        <v>399</v>
      </c>
      <c r="E21" s="25" t="s">
        <v>400</v>
      </c>
      <c r="F21" s="25" t="s">
        <v>401</v>
      </c>
      <c r="G21" s="25" t="s">
        <v>175</v>
      </c>
      <c r="H21" s="25" t="s">
        <v>402</v>
      </c>
      <c r="I21" s="25" t="s">
        <v>177</v>
      </c>
      <c r="J21" s="25"/>
      <c r="K21" s="25"/>
      <c r="L21" s="25"/>
      <c r="M21" s="27" t="n">
        <v>2979.95</v>
      </c>
      <c r="N21" s="2"/>
      <c r="O21" s="2"/>
      <c r="P21" s="2"/>
      <c r="Q21" s="2"/>
      <c r="R21" s="2"/>
      <c r="S21" s="2"/>
      <c r="T21" s="2"/>
      <c r="U21" s="2"/>
      <c r="V21" s="2"/>
      <c r="W21" s="2"/>
      <c r="X21" s="2"/>
      <c r="Y21" s="2"/>
      <c r="Z21" s="2"/>
    </row>
    <row r="22" customFormat="false" ht="12" hidden="false" customHeight="true" outlineLevel="0" collapsed="false">
      <c r="A22" s="23" t="n">
        <v>18</v>
      </c>
      <c r="B22" s="24" t="s">
        <v>50</v>
      </c>
      <c r="C22" s="24" t="s">
        <v>16</v>
      </c>
      <c r="D22" s="25" t="s">
        <v>403</v>
      </c>
      <c r="E22" s="25" t="s">
        <v>404</v>
      </c>
      <c r="F22" s="25" t="s">
        <v>405</v>
      </c>
      <c r="G22" s="25" t="s">
        <v>202</v>
      </c>
      <c r="H22" s="25" t="s">
        <v>406</v>
      </c>
      <c r="I22" s="24" t="s">
        <v>184</v>
      </c>
      <c r="J22" s="25"/>
      <c r="K22" s="24" t="s">
        <v>407</v>
      </c>
      <c r="L22" s="43" t="s">
        <v>408</v>
      </c>
      <c r="M22" s="27" t="n">
        <v>2510.85</v>
      </c>
      <c r="N22" s="2"/>
      <c r="O22" s="2"/>
      <c r="P22" s="2"/>
      <c r="Q22" s="2"/>
      <c r="R22" s="2"/>
      <c r="S22" s="2"/>
      <c r="T22" s="2"/>
      <c r="U22" s="2"/>
      <c r="V22" s="2"/>
      <c r="W22" s="2"/>
      <c r="X22" s="2"/>
      <c r="Y22" s="2"/>
      <c r="Z22" s="2"/>
    </row>
    <row r="23" customFormat="false" ht="12" hidden="false" customHeight="true" outlineLevel="0" collapsed="false">
      <c r="A23" s="23" t="n">
        <v>19</v>
      </c>
      <c r="B23" s="24" t="s">
        <v>54</v>
      </c>
      <c r="C23" s="24" t="s">
        <v>38</v>
      </c>
      <c r="D23" s="25" t="s">
        <v>409</v>
      </c>
      <c r="E23" s="25" t="s">
        <v>410</v>
      </c>
      <c r="F23" s="25" t="s">
        <v>411</v>
      </c>
      <c r="G23" s="25" t="s">
        <v>175</v>
      </c>
      <c r="H23" s="25" t="s">
        <v>412</v>
      </c>
      <c r="I23" s="24" t="s">
        <v>184</v>
      </c>
      <c r="J23" s="25"/>
      <c r="K23" s="24" t="s">
        <v>413</v>
      </c>
      <c r="L23" s="43" t="s">
        <v>414</v>
      </c>
      <c r="M23" s="27" t="n">
        <v>2074.43</v>
      </c>
      <c r="N23" s="2"/>
      <c r="O23" s="2"/>
      <c r="P23" s="2"/>
      <c r="Q23" s="2"/>
      <c r="R23" s="2"/>
      <c r="S23" s="2"/>
      <c r="T23" s="2"/>
      <c r="U23" s="2"/>
      <c r="V23" s="2"/>
      <c r="W23" s="2"/>
      <c r="X23" s="2"/>
      <c r="Y23" s="2"/>
      <c r="Z23" s="2"/>
    </row>
    <row r="24" customFormat="false" ht="12" hidden="false" customHeight="true" outlineLevel="0" collapsed="false">
      <c r="A24" s="23" t="n">
        <v>20</v>
      </c>
      <c r="B24" s="24" t="s">
        <v>60</v>
      </c>
      <c r="C24" s="24" t="s">
        <v>27</v>
      </c>
      <c r="D24" s="25" t="s">
        <v>415</v>
      </c>
      <c r="E24" s="25" t="s">
        <v>416</v>
      </c>
      <c r="F24" s="25" t="s">
        <v>417</v>
      </c>
      <c r="G24" s="25" t="s">
        <v>175</v>
      </c>
      <c r="H24" s="25"/>
      <c r="I24" s="24" t="s">
        <v>177</v>
      </c>
      <c r="J24" s="25"/>
      <c r="K24" s="24"/>
      <c r="L24" s="44"/>
      <c r="M24" s="27" t="n">
        <v>1069.41</v>
      </c>
      <c r="N24" s="2"/>
      <c r="O24" s="2"/>
      <c r="P24" s="2"/>
      <c r="Q24" s="2"/>
      <c r="R24" s="2"/>
      <c r="S24" s="2"/>
      <c r="T24" s="2"/>
      <c r="U24" s="2"/>
      <c r="V24" s="2"/>
      <c r="W24" s="2"/>
      <c r="X24" s="2"/>
      <c r="Y24" s="2"/>
      <c r="Z24" s="2"/>
    </row>
    <row r="25" customFormat="false" ht="12" hidden="false" customHeight="true" outlineLevel="0" collapsed="false">
      <c r="A25" s="23" t="n">
        <v>21</v>
      </c>
      <c r="B25" s="24" t="s">
        <v>52</v>
      </c>
      <c r="C25" s="24" t="s">
        <v>16</v>
      </c>
      <c r="D25" s="25" t="s">
        <v>418</v>
      </c>
      <c r="E25" s="25" t="s">
        <v>419</v>
      </c>
      <c r="F25" s="25" t="s">
        <v>420</v>
      </c>
      <c r="G25" s="25" t="s">
        <v>175</v>
      </c>
      <c r="H25" s="25" t="s">
        <v>304</v>
      </c>
      <c r="I25" s="24" t="s">
        <v>177</v>
      </c>
      <c r="J25" s="25"/>
      <c r="K25" s="24"/>
      <c r="L25" s="24"/>
      <c r="M25" s="27" t="n">
        <v>2092.99</v>
      </c>
      <c r="N25" s="2"/>
      <c r="O25" s="2"/>
      <c r="P25" s="2"/>
      <c r="Q25" s="2"/>
      <c r="R25" s="2"/>
      <c r="S25" s="2"/>
      <c r="T25" s="2"/>
      <c r="U25" s="2"/>
      <c r="V25" s="2"/>
      <c r="W25" s="2"/>
      <c r="X25" s="2"/>
      <c r="Y25" s="2"/>
      <c r="Z25" s="2"/>
    </row>
    <row r="26" customFormat="false" ht="12" hidden="false" customHeight="true" outlineLevel="0" collapsed="false">
      <c r="A26" s="23" t="n">
        <v>22</v>
      </c>
      <c r="B26" s="24" t="s">
        <v>56</v>
      </c>
      <c r="C26" s="24" t="s">
        <v>33</v>
      </c>
      <c r="D26" s="25" t="s">
        <v>421</v>
      </c>
      <c r="E26" s="25" t="s">
        <v>422</v>
      </c>
      <c r="F26" s="25" t="s">
        <v>423</v>
      </c>
      <c r="G26" s="25"/>
      <c r="H26" s="25"/>
      <c r="I26" s="24"/>
      <c r="J26" s="25"/>
      <c r="K26" s="24"/>
      <c r="L26" s="24"/>
      <c r="M26" s="27" t="n">
        <v>1929.5</v>
      </c>
      <c r="N26" s="2"/>
      <c r="O26" s="2"/>
      <c r="P26" s="2"/>
      <c r="Q26" s="2"/>
      <c r="R26" s="2"/>
      <c r="S26" s="2"/>
      <c r="T26" s="2"/>
      <c r="U26" s="2"/>
      <c r="V26" s="2"/>
      <c r="W26" s="2"/>
      <c r="X26" s="2"/>
      <c r="Y26" s="2"/>
      <c r="Z26" s="2"/>
    </row>
    <row r="27" customFormat="false" ht="12" hidden="true" customHeight="true" outlineLevel="0" collapsed="false">
      <c r="A27" s="2" t="n">
        <v>23</v>
      </c>
      <c r="B27" s="45" t="s">
        <v>58</v>
      </c>
      <c r="C27" s="45" t="s">
        <v>38</v>
      </c>
      <c r="D27" s="11" t="s">
        <v>424</v>
      </c>
      <c r="E27" s="11" t="s">
        <v>425</v>
      </c>
      <c r="F27" s="11" t="s">
        <v>426</v>
      </c>
      <c r="G27" s="11" t="s">
        <v>202</v>
      </c>
      <c r="H27" s="11" t="s">
        <v>427</v>
      </c>
      <c r="I27" s="45" t="s">
        <v>382</v>
      </c>
      <c r="J27" s="11"/>
      <c r="K27" s="11"/>
      <c r="L27" s="19"/>
      <c r="M27" s="45" t="s">
        <v>428</v>
      </c>
      <c r="N27" s="2"/>
      <c r="O27" s="2"/>
      <c r="P27" s="2"/>
      <c r="Q27" s="2"/>
      <c r="R27" s="2"/>
      <c r="S27" s="2"/>
      <c r="T27" s="2"/>
      <c r="U27" s="2"/>
      <c r="V27" s="2"/>
      <c r="W27" s="19" t="s">
        <v>429</v>
      </c>
      <c r="X27" s="2"/>
      <c r="Y27" s="2"/>
      <c r="Z27" s="2"/>
    </row>
    <row r="28" customFormat="false" ht="12" hidden="false" customHeight="true" outlineLevel="0" collapsed="false">
      <c r="A28" s="23" t="n">
        <v>24</v>
      </c>
      <c r="B28" s="24" t="s">
        <v>62</v>
      </c>
      <c r="C28" s="24" t="s">
        <v>16</v>
      </c>
      <c r="D28" s="25" t="s">
        <v>430</v>
      </c>
      <c r="E28" s="25" t="s">
        <v>431</v>
      </c>
      <c r="F28" s="25" t="s">
        <v>432</v>
      </c>
      <c r="G28" s="25" t="s">
        <v>175</v>
      </c>
      <c r="H28" s="25" t="s">
        <v>304</v>
      </c>
      <c r="I28" s="24" t="s">
        <v>177</v>
      </c>
      <c r="J28" s="25"/>
      <c r="K28" s="24" t="s">
        <v>433</v>
      </c>
      <c r="L28" s="44" t="s">
        <v>434</v>
      </c>
      <c r="M28" s="27" t="n">
        <v>512.28</v>
      </c>
      <c r="N28" s="2"/>
      <c r="O28" s="2"/>
      <c r="P28" s="2"/>
      <c r="Q28" s="2"/>
      <c r="R28" s="2"/>
      <c r="S28" s="2"/>
      <c r="T28" s="2"/>
      <c r="U28" s="2"/>
      <c r="V28" s="2"/>
      <c r="W28" s="2"/>
      <c r="X28" s="2"/>
      <c r="Y28" s="2"/>
      <c r="Z28" s="2"/>
    </row>
    <row r="29" customFormat="false" ht="12" hidden="false" customHeight="true" outlineLevel="0" collapsed="false">
      <c r="A29" s="23" t="n">
        <v>25</v>
      </c>
      <c r="B29" s="24" t="s">
        <v>63</v>
      </c>
      <c r="C29" s="24" t="s">
        <v>33</v>
      </c>
      <c r="D29" s="25" t="s">
        <v>290</v>
      </c>
      <c r="E29" s="25" t="s">
        <v>435</v>
      </c>
      <c r="F29" s="25"/>
      <c r="G29" s="25" t="s">
        <v>175</v>
      </c>
      <c r="H29" s="25" t="s">
        <v>293</v>
      </c>
      <c r="I29" s="24" t="s">
        <v>177</v>
      </c>
      <c r="J29" s="25"/>
      <c r="K29" s="24"/>
      <c r="L29" s="24"/>
      <c r="M29" s="27" t="n">
        <v>64.05</v>
      </c>
      <c r="N29" s="2"/>
      <c r="O29" s="2"/>
      <c r="P29" s="2"/>
      <c r="Q29" s="2"/>
      <c r="R29" s="2"/>
      <c r="S29" s="2"/>
      <c r="T29" s="2"/>
      <c r="U29" s="2"/>
      <c r="V29" s="2"/>
      <c r="W29" s="2"/>
      <c r="X29" s="2"/>
      <c r="Y29" s="2"/>
      <c r="Z29" s="2"/>
    </row>
    <row r="30" customFormat="false" ht="12" hidden="false" customHeight="true" outlineLevel="0" collapsed="false">
      <c r="A30" s="31" t="n">
        <v>26</v>
      </c>
      <c r="B30" s="33" t="s">
        <v>64</v>
      </c>
      <c r="C30" s="33" t="s">
        <v>65</v>
      </c>
      <c r="D30" s="34"/>
      <c r="E30" s="34" t="s">
        <v>436</v>
      </c>
      <c r="F30" s="34" t="s">
        <v>437</v>
      </c>
      <c r="G30" s="34"/>
      <c r="H30" s="34"/>
      <c r="I30" s="34"/>
      <c r="J30" s="34"/>
      <c r="K30" s="34" t="s">
        <v>438</v>
      </c>
      <c r="L30" s="46" t="s">
        <v>439</v>
      </c>
      <c r="M30" s="36"/>
      <c r="N30" s="2"/>
      <c r="O30" s="2"/>
      <c r="P30" s="2"/>
      <c r="Q30" s="2"/>
      <c r="R30" s="2"/>
      <c r="S30" s="2"/>
      <c r="T30" s="2"/>
      <c r="U30" s="2"/>
      <c r="V30" s="2"/>
      <c r="W30" s="2"/>
      <c r="X30" s="2"/>
      <c r="Y30" s="2"/>
      <c r="Z30" s="2"/>
    </row>
    <row r="31" customFormat="false" ht="12" hidden="false" customHeight="true" outlineLevel="0" collapsed="false">
      <c r="A31" s="2"/>
      <c r="B31" s="47"/>
      <c r="C31" s="47"/>
      <c r="G31" s="2"/>
      <c r="H31" s="2"/>
      <c r="I31" s="2"/>
      <c r="J31" s="2"/>
      <c r="K31" s="2"/>
      <c r="L31" s="19"/>
      <c r="M31" s="47"/>
      <c r="N31" s="2"/>
      <c r="O31" s="2"/>
      <c r="P31" s="2"/>
      <c r="Q31" s="2"/>
      <c r="R31" s="2"/>
      <c r="S31" s="2"/>
      <c r="T31" s="2"/>
      <c r="U31" s="2"/>
      <c r="V31" s="2"/>
      <c r="W31" s="2"/>
      <c r="X31" s="2"/>
      <c r="Y31" s="2"/>
      <c r="Z31" s="2"/>
    </row>
    <row r="32" customFormat="false" ht="12" hidden="false" customHeight="true" outlineLevel="0" collapsed="false">
      <c r="A32" s="2"/>
      <c r="B32" s="47"/>
      <c r="C32" s="47"/>
      <c r="G32" s="2"/>
      <c r="H32" s="2"/>
      <c r="I32" s="2"/>
      <c r="J32" s="2"/>
      <c r="K32" s="2"/>
      <c r="L32" s="19"/>
      <c r="M32" s="47"/>
      <c r="N32" s="2"/>
      <c r="O32" s="2"/>
      <c r="P32" s="2"/>
      <c r="Q32" s="2"/>
      <c r="R32" s="2"/>
      <c r="S32" s="2"/>
      <c r="T32" s="2"/>
      <c r="U32" s="2"/>
      <c r="V32" s="2"/>
      <c r="W32" s="2"/>
      <c r="X32" s="2"/>
      <c r="Y32" s="2"/>
      <c r="Z32" s="2"/>
    </row>
    <row r="33" customFormat="false" ht="12" hidden="false" customHeight="true" outlineLevel="0" collapsed="false">
      <c r="A33" s="2"/>
      <c r="B33" s="19"/>
      <c r="C33" s="19"/>
      <c r="D33" s="2"/>
      <c r="E33" s="2"/>
      <c r="F33" s="2"/>
      <c r="G33" s="2"/>
      <c r="H33" s="2"/>
      <c r="I33" s="2"/>
      <c r="J33" s="2"/>
      <c r="K33" s="2"/>
      <c r="L33" s="19"/>
      <c r="M33" s="19"/>
      <c r="N33" s="2"/>
      <c r="O33" s="2"/>
      <c r="P33" s="2"/>
      <c r="Q33" s="2"/>
      <c r="R33" s="2"/>
      <c r="S33" s="2"/>
      <c r="T33" s="2"/>
      <c r="U33" s="2"/>
      <c r="V33" s="2"/>
      <c r="W33" s="2"/>
      <c r="X33" s="2"/>
      <c r="Y33" s="2"/>
      <c r="Z33" s="2"/>
    </row>
    <row r="34" customFormat="false" ht="12" hidden="false" customHeight="true" outlineLevel="0" collapsed="false">
      <c r="A34" s="2"/>
      <c r="B34" s="19"/>
      <c r="C34" s="19"/>
      <c r="D34" s="2"/>
      <c r="E34" s="2"/>
      <c r="F34" s="2"/>
      <c r="G34" s="2"/>
      <c r="H34" s="2"/>
      <c r="I34" s="2"/>
      <c r="J34" s="2"/>
      <c r="K34" s="2"/>
      <c r="L34" s="19"/>
      <c r="M34" s="19"/>
      <c r="N34" s="2"/>
      <c r="O34" s="2"/>
      <c r="P34" s="2"/>
      <c r="Q34" s="2"/>
      <c r="R34" s="2"/>
      <c r="S34" s="2"/>
      <c r="T34" s="2"/>
      <c r="U34" s="2"/>
      <c r="V34" s="2"/>
      <c r="W34" s="2"/>
      <c r="X34" s="2"/>
      <c r="Y34" s="2"/>
      <c r="Z34" s="2"/>
    </row>
    <row r="35" customFormat="false" ht="12" hidden="false" customHeight="true" outlineLevel="0" collapsed="false">
      <c r="A35" s="2"/>
      <c r="B35" s="19"/>
      <c r="C35" s="19"/>
      <c r="D35" s="2"/>
      <c r="E35" s="2"/>
      <c r="F35" s="2"/>
      <c r="G35" s="2"/>
      <c r="H35" s="2"/>
      <c r="I35" s="2"/>
      <c r="J35" s="2"/>
      <c r="K35" s="2"/>
      <c r="L35" s="19"/>
      <c r="M35" s="19"/>
      <c r="N35" s="2"/>
      <c r="O35" s="2"/>
      <c r="P35" s="2"/>
      <c r="Q35" s="2"/>
      <c r="R35" s="2"/>
      <c r="S35" s="2"/>
      <c r="T35" s="2"/>
      <c r="U35" s="2"/>
      <c r="V35" s="2"/>
      <c r="W35" s="2"/>
      <c r="X35" s="2"/>
      <c r="Y35" s="2"/>
      <c r="Z35" s="2"/>
    </row>
    <row r="36" customFormat="false" ht="12" hidden="false" customHeight="true" outlineLevel="0" collapsed="false">
      <c r="A36" s="2"/>
      <c r="B36" s="19"/>
      <c r="C36" s="19"/>
      <c r="D36" s="2"/>
      <c r="E36" s="2"/>
      <c r="F36" s="2"/>
      <c r="G36" s="2"/>
      <c r="H36" s="2"/>
      <c r="I36" s="2"/>
      <c r="J36" s="2"/>
      <c r="K36" s="2"/>
      <c r="L36" s="19"/>
      <c r="M36" s="19"/>
      <c r="N36" s="2"/>
      <c r="O36" s="2"/>
      <c r="P36" s="2"/>
      <c r="Q36" s="2"/>
      <c r="R36" s="2"/>
      <c r="S36" s="2"/>
      <c r="T36" s="2"/>
      <c r="U36" s="2"/>
      <c r="V36" s="2"/>
      <c r="W36" s="2"/>
      <c r="X36" s="2"/>
      <c r="Y36" s="2"/>
      <c r="Z36" s="2"/>
    </row>
    <row r="37" customFormat="false" ht="12" hidden="false" customHeight="true" outlineLevel="0" collapsed="false">
      <c r="A37" s="2"/>
      <c r="B37" s="19"/>
      <c r="C37" s="19"/>
      <c r="D37" s="2"/>
      <c r="E37" s="2"/>
      <c r="F37" s="2"/>
      <c r="G37" s="2"/>
      <c r="H37" s="2"/>
      <c r="I37" s="2"/>
      <c r="J37" s="2"/>
      <c r="K37" s="2"/>
      <c r="L37" s="19"/>
      <c r="M37" s="19"/>
      <c r="N37" s="2"/>
      <c r="O37" s="2"/>
      <c r="P37" s="2"/>
      <c r="Q37" s="2"/>
      <c r="R37" s="2"/>
      <c r="S37" s="2"/>
      <c r="T37" s="2"/>
      <c r="U37" s="2"/>
      <c r="V37" s="2"/>
      <c r="W37" s="2"/>
      <c r="X37" s="2"/>
      <c r="Y37" s="2"/>
      <c r="Z37" s="2"/>
    </row>
    <row r="38" customFormat="false" ht="12" hidden="false" customHeight="true" outlineLevel="0" collapsed="false">
      <c r="A38" s="2"/>
      <c r="B38" s="19"/>
      <c r="C38" s="19"/>
      <c r="D38" s="2"/>
      <c r="E38" s="2"/>
      <c r="F38" s="2"/>
      <c r="G38" s="2"/>
      <c r="H38" s="2"/>
      <c r="I38" s="2"/>
      <c r="J38" s="2"/>
      <c r="K38" s="2"/>
      <c r="L38" s="19"/>
      <c r="M38" s="19"/>
      <c r="N38" s="2"/>
      <c r="O38" s="2"/>
      <c r="P38" s="2"/>
      <c r="Q38" s="2"/>
      <c r="R38" s="2"/>
      <c r="S38" s="2"/>
      <c r="T38" s="2"/>
      <c r="U38" s="2"/>
      <c r="V38" s="2"/>
      <c r="W38" s="2"/>
      <c r="X38" s="2"/>
      <c r="Y38" s="2"/>
      <c r="Z38" s="2"/>
    </row>
    <row r="39" customFormat="false" ht="12" hidden="false" customHeight="true" outlineLevel="0" collapsed="false">
      <c r="A39" s="2"/>
      <c r="B39" s="19"/>
      <c r="C39" s="19"/>
      <c r="D39" s="2"/>
      <c r="E39" s="2"/>
      <c r="F39" s="2"/>
      <c r="G39" s="2"/>
      <c r="H39" s="2"/>
      <c r="I39" s="2"/>
      <c r="J39" s="2"/>
      <c r="K39" s="2"/>
      <c r="L39" s="19"/>
      <c r="M39" s="19"/>
      <c r="N39" s="2"/>
      <c r="O39" s="2"/>
      <c r="P39" s="2"/>
      <c r="Q39" s="2"/>
      <c r="R39" s="2"/>
      <c r="S39" s="2"/>
      <c r="T39" s="2"/>
      <c r="U39" s="2"/>
      <c r="V39" s="2"/>
      <c r="W39" s="2"/>
      <c r="X39" s="2"/>
      <c r="Y39" s="2"/>
      <c r="Z39" s="2"/>
    </row>
    <row r="40" customFormat="false" ht="12" hidden="false" customHeight="true" outlineLevel="0" collapsed="false">
      <c r="A40" s="2"/>
      <c r="B40" s="19"/>
      <c r="C40" s="19"/>
      <c r="D40" s="2"/>
      <c r="E40" s="2"/>
      <c r="F40" s="2"/>
      <c r="G40" s="2"/>
      <c r="H40" s="2"/>
      <c r="I40" s="2"/>
      <c r="J40" s="2"/>
      <c r="K40" s="2"/>
      <c r="L40" s="19"/>
      <c r="M40" s="19"/>
      <c r="N40" s="2"/>
      <c r="O40" s="2"/>
      <c r="P40" s="2"/>
      <c r="Q40" s="2"/>
      <c r="R40" s="2"/>
      <c r="S40" s="2"/>
      <c r="T40" s="2"/>
      <c r="U40" s="2"/>
      <c r="V40" s="2"/>
      <c r="W40" s="2"/>
      <c r="X40" s="2"/>
      <c r="Y40" s="2"/>
      <c r="Z40" s="2"/>
    </row>
    <row r="41" customFormat="false" ht="12" hidden="false" customHeight="true" outlineLevel="0" collapsed="false">
      <c r="A41" s="2"/>
      <c r="B41" s="19"/>
      <c r="C41" s="19"/>
      <c r="D41" s="2"/>
      <c r="E41" s="2"/>
      <c r="F41" s="2"/>
      <c r="G41" s="2"/>
      <c r="H41" s="2"/>
      <c r="I41" s="2"/>
      <c r="J41" s="2"/>
      <c r="K41" s="2"/>
      <c r="L41" s="19"/>
      <c r="M41" s="19"/>
      <c r="N41" s="2"/>
      <c r="O41" s="2"/>
      <c r="P41" s="2"/>
      <c r="Q41" s="2"/>
      <c r="R41" s="2"/>
      <c r="S41" s="2"/>
      <c r="T41" s="2"/>
      <c r="U41" s="2"/>
      <c r="V41" s="2"/>
      <c r="W41" s="2"/>
      <c r="X41" s="2"/>
      <c r="Y41" s="2"/>
      <c r="Z41" s="2"/>
    </row>
    <row r="42" customFormat="false" ht="12" hidden="false" customHeight="true" outlineLevel="0" collapsed="false">
      <c r="A42" s="2"/>
      <c r="B42" s="19"/>
      <c r="C42" s="19"/>
      <c r="D42" s="2"/>
      <c r="E42" s="2"/>
      <c r="F42" s="2"/>
      <c r="G42" s="2"/>
      <c r="H42" s="2"/>
      <c r="I42" s="2"/>
      <c r="J42" s="2"/>
      <c r="K42" s="2"/>
      <c r="L42" s="19"/>
      <c r="M42" s="19"/>
      <c r="N42" s="2"/>
      <c r="O42" s="2"/>
      <c r="P42" s="2"/>
      <c r="Q42" s="2"/>
      <c r="R42" s="2"/>
      <c r="S42" s="2"/>
      <c r="T42" s="2"/>
      <c r="U42" s="2"/>
      <c r="V42" s="2"/>
      <c r="W42" s="2"/>
      <c r="X42" s="2"/>
      <c r="Y42" s="2"/>
      <c r="Z42" s="2"/>
    </row>
    <row r="43" customFormat="false" ht="12" hidden="false" customHeight="true" outlineLevel="0" collapsed="false">
      <c r="A43" s="2"/>
      <c r="B43" s="19"/>
      <c r="C43" s="19"/>
      <c r="D43" s="2"/>
      <c r="E43" s="2"/>
      <c r="F43" s="2"/>
      <c r="G43" s="2"/>
      <c r="H43" s="2"/>
      <c r="I43" s="2"/>
      <c r="J43" s="2"/>
      <c r="K43" s="2"/>
      <c r="L43" s="19"/>
      <c r="M43" s="19"/>
      <c r="N43" s="2"/>
      <c r="O43" s="2"/>
      <c r="P43" s="2"/>
      <c r="Q43" s="2"/>
      <c r="R43" s="2"/>
      <c r="S43" s="2"/>
      <c r="T43" s="2"/>
      <c r="U43" s="2"/>
      <c r="V43" s="2"/>
      <c r="W43" s="2"/>
      <c r="X43" s="2"/>
      <c r="Y43" s="2"/>
      <c r="Z43" s="2"/>
    </row>
    <row r="44" customFormat="false" ht="12" hidden="false" customHeight="true" outlineLevel="0" collapsed="false">
      <c r="A44" s="2"/>
      <c r="B44" s="19"/>
      <c r="C44" s="19"/>
      <c r="D44" s="2"/>
      <c r="E44" s="2"/>
      <c r="F44" s="2"/>
      <c r="G44" s="2"/>
      <c r="H44" s="2"/>
      <c r="I44" s="2"/>
      <c r="J44" s="2"/>
      <c r="K44" s="2"/>
      <c r="L44" s="19"/>
      <c r="M44" s="19"/>
      <c r="N44" s="2"/>
      <c r="O44" s="2"/>
      <c r="P44" s="2"/>
      <c r="Q44" s="2"/>
      <c r="R44" s="2"/>
      <c r="S44" s="2"/>
      <c r="T44" s="2"/>
      <c r="U44" s="2"/>
      <c r="V44" s="2"/>
      <c r="W44" s="2"/>
      <c r="X44" s="2"/>
      <c r="Y44" s="2"/>
      <c r="Z44" s="2"/>
    </row>
    <row r="45" customFormat="false" ht="12" hidden="false" customHeight="true" outlineLevel="0" collapsed="false">
      <c r="A45" s="2"/>
      <c r="B45" s="19"/>
      <c r="C45" s="19"/>
      <c r="D45" s="2"/>
      <c r="E45" s="2"/>
      <c r="F45" s="2"/>
      <c r="G45" s="2"/>
      <c r="H45" s="2"/>
      <c r="I45" s="2"/>
      <c r="J45" s="2"/>
      <c r="K45" s="2"/>
      <c r="L45" s="19"/>
      <c r="M45" s="19"/>
      <c r="N45" s="2"/>
      <c r="O45" s="2"/>
      <c r="P45" s="2"/>
      <c r="Q45" s="2"/>
      <c r="R45" s="2"/>
      <c r="S45" s="2"/>
      <c r="T45" s="2"/>
      <c r="U45" s="2"/>
      <c r="V45" s="2"/>
      <c r="W45" s="2"/>
      <c r="X45" s="2"/>
      <c r="Y45" s="2"/>
      <c r="Z45" s="2"/>
    </row>
    <row r="46" customFormat="false" ht="12" hidden="false" customHeight="true" outlineLevel="0" collapsed="false">
      <c r="A46" s="2"/>
      <c r="B46" s="19"/>
      <c r="C46" s="19"/>
      <c r="D46" s="2"/>
      <c r="E46" s="2"/>
      <c r="F46" s="2"/>
      <c r="G46" s="2"/>
      <c r="H46" s="2"/>
      <c r="I46" s="2"/>
      <c r="J46" s="2"/>
      <c r="K46" s="2"/>
      <c r="L46" s="19"/>
      <c r="M46" s="19"/>
      <c r="N46" s="2"/>
      <c r="O46" s="2"/>
      <c r="P46" s="2"/>
      <c r="Q46" s="2"/>
      <c r="R46" s="2"/>
      <c r="S46" s="2"/>
      <c r="T46" s="2"/>
      <c r="U46" s="2"/>
      <c r="V46" s="2"/>
      <c r="W46" s="2"/>
      <c r="X46" s="2"/>
      <c r="Y46" s="2"/>
      <c r="Z46" s="2"/>
    </row>
    <row r="47" customFormat="false" ht="12" hidden="false" customHeight="true" outlineLevel="0" collapsed="false">
      <c r="A47" s="2"/>
      <c r="B47" s="19"/>
      <c r="C47" s="19"/>
      <c r="D47" s="2"/>
      <c r="E47" s="2"/>
      <c r="F47" s="2"/>
      <c r="G47" s="2"/>
      <c r="H47" s="2"/>
      <c r="I47" s="2"/>
      <c r="J47" s="2"/>
      <c r="K47" s="2"/>
      <c r="L47" s="19"/>
      <c r="M47" s="19"/>
      <c r="N47" s="2"/>
      <c r="O47" s="2"/>
      <c r="P47" s="2"/>
      <c r="Q47" s="2"/>
      <c r="R47" s="2"/>
      <c r="S47" s="2"/>
      <c r="T47" s="2"/>
      <c r="U47" s="2"/>
      <c r="V47" s="2"/>
      <c r="W47" s="2"/>
      <c r="X47" s="2"/>
      <c r="Y47" s="2"/>
      <c r="Z47" s="2"/>
    </row>
    <row r="48" customFormat="false" ht="12" hidden="false" customHeight="true" outlineLevel="0" collapsed="false">
      <c r="A48" s="2"/>
      <c r="B48" s="19"/>
      <c r="C48" s="19"/>
      <c r="D48" s="2"/>
      <c r="E48" s="2"/>
      <c r="F48" s="2"/>
      <c r="G48" s="2"/>
      <c r="H48" s="2"/>
      <c r="I48" s="2"/>
      <c r="J48" s="2"/>
      <c r="K48" s="2"/>
      <c r="L48" s="19"/>
      <c r="M48" s="19"/>
      <c r="N48" s="2"/>
      <c r="O48" s="2"/>
      <c r="P48" s="2"/>
      <c r="Q48" s="2"/>
      <c r="R48" s="2"/>
      <c r="S48" s="2"/>
      <c r="T48" s="2"/>
      <c r="U48" s="2"/>
      <c r="V48" s="2"/>
      <c r="W48" s="2"/>
      <c r="X48" s="2"/>
      <c r="Y48" s="2"/>
      <c r="Z48" s="2"/>
    </row>
    <row r="49" customFormat="false" ht="12" hidden="false" customHeight="true" outlineLevel="0" collapsed="false">
      <c r="A49" s="2"/>
      <c r="B49" s="19"/>
      <c r="C49" s="19"/>
      <c r="D49" s="2"/>
      <c r="E49" s="2"/>
      <c r="F49" s="2"/>
      <c r="G49" s="2"/>
      <c r="H49" s="2"/>
      <c r="I49" s="2"/>
      <c r="J49" s="2"/>
      <c r="K49" s="2"/>
      <c r="L49" s="19"/>
      <c r="M49" s="19"/>
      <c r="N49" s="2"/>
      <c r="O49" s="2"/>
      <c r="P49" s="2"/>
      <c r="Q49" s="2"/>
      <c r="R49" s="2"/>
      <c r="S49" s="2"/>
      <c r="T49" s="2"/>
      <c r="U49" s="2"/>
      <c r="V49" s="2"/>
      <c r="W49" s="2"/>
      <c r="X49" s="2"/>
      <c r="Y49" s="2"/>
      <c r="Z49" s="2"/>
    </row>
    <row r="50" customFormat="false" ht="12" hidden="false" customHeight="true" outlineLevel="0" collapsed="false">
      <c r="A50" s="2"/>
      <c r="B50" s="19"/>
      <c r="C50" s="19"/>
      <c r="D50" s="2"/>
      <c r="E50" s="2"/>
      <c r="F50" s="2"/>
      <c r="G50" s="2"/>
      <c r="H50" s="2"/>
      <c r="I50" s="2"/>
      <c r="J50" s="2"/>
      <c r="K50" s="2"/>
      <c r="L50" s="19"/>
      <c r="M50" s="19"/>
      <c r="N50" s="2"/>
      <c r="O50" s="2"/>
      <c r="P50" s="2"/>
      <c r="Q50" s="2"/>
      <c r="R50" s="2"/>
      <c r="S50" s="2"/>
      <c r="T50" s="2"/>
      <c r="U50" s="2"/>
      <c r="V50" s="2"/>
      <c r="W50" s="2"/>
      <c r="X50" s="2"/>
      <c r="Y50" s="2"/>
      <c r="Z50" s="2"/>
    </row>
    <row r="51" customFormat="false" ht="12" hidden="false" customHeight="true" outlineLevel="0" collapsed="false">
      <c r="A51" s="2"/>
      <c r="B51" s="19"/>
      <c r="C51" s="19"/>
      <c r="D51" s="2"/>
      <c r="E51" s="2"/>
      <c r="F51" s="2"/>
      <c r="G51" s="2"/>
      <c r="H51" s="2"/>
      <c r="I51" s="2"/>
      <c r="J51" s="2"/>
      <c r="K51" s="2"/>
      <c r="L51" s="19"/>
      <c r="M51" s="19"/>
      <c r="N51" s="2"/>
      <c r="O51" s="2"/>
      <c r="P51" s="2"/>
      <c r="Q51" s="2"/>
      <c r="R51" s="2"/>
      <c r="S51" s="2"/>
      <c r="T51" s="2"/>
      <c r="U51" s="2"/>
      <c r="V51" s="2"/>
      <c r="W51" s="2"/>
      <c r="X51" s="2"/>
      <c r="Y51" s="2"/>
      <c r="Z51" s="2"/>
    </row>
    <row r="52" customFormat="false" ht="12" hidden="false" customHeight="true" outlineLevel="0" collapsed="false">
      <c r="A52" s="2"/>
      <c r="B52" s="19"/>
      <c r="C52" s="19"/>
      <c r="D52" s="2"/>
      <c r="E52" s="2"/>
      <c r="F52" s="2"/>
      <c r="G52" s="2"/>
      <c r="H52" s="2"/>
      <c r="I52" s="2"/>
      <c r="J52" s="2"/>
      <c r="K52" s="2"/>
      <c r="L52" s="19"/>
      <c r="M52" s="19"/>
      <c r="N52" s="2"/>
      <c r="O52" s="2"/>
      <c r="P52" s="2"/>
      <c r="Q52" s="2"/>
      <c r="R52" s="2"/>
      <c r="S52" s="2"/>
      <c r="T52" s="2"/>
      <c r="U52" s="2"/>
      <c r="V52" s="2"/>
      <c r="W52" s="2"/>
      <c r="X52" s="2"/>
      <c r="Y52" s="2"/>
      <c r="Z52" s="2"/>
    </row>
    <row r="53" customFormat="false" ht="12" hidden="false" customHeight="true" outlineLevel="0" collapsed="false">
      <c r="A53" s="2"/>
      <c r="B53" s="19"/>
      <c r="C53" s="19"/>
      <c r="D53" s="2"/>
      <c r="E53" s="2"/>
      <c r="F53" s="2"/>
      <c r="G53" s="2"/>
      <c r="H53" s="2"/>
      <c r="I53" s="2"/>
      <c r="J53" s="2"/>
      <c r="K53" s="2"/>
      <c r="L53" s="19"/>
      <c r="M53" s="19"/>
      <c r="N53" s="2"/>
      <c r="O53" s="2"/>
      <c r="P53" s="2"/>
      <c r="Q53" s="2"/>
      <c r="R53" s="2"/>
      <c r="S53" s="2"/>
      <c r="T53" s="2"/>
      <c r="U53" s="2"/>
      <c r="V53" s="2"/>
      <c r="W53" s="2"/>
      <c r="X53" s="2"/>
      <c r="Y53" s="2"/>
      <c r="Z53" s="2"/>
    </row>
    <row r="54" customFormat="false" ht="12" hidden="false" customHeight="true" outlineLevel="0" collapsed="false">
      <c r="A54" s="2"/>
      <c r="B54" s="19"/>
      <c r="C54" s="19"/>
      <c r="D54" s="2"/>
      <c r="E54" s="2"/>
      <c r="F54" s="2"/>
      <c r="G54" s="2"/>
      <c r="H54" s="2"/>
      <c r="I54" s="2"/>
      <c r="J54" s="2"/>
      <c r="K54" s="2"/>
      <c r="L54" s="19"/>
      <c r="M54" s="19"/>
      <c r="N54" s="2"/>
      <c r="O54" s="2"/>
      <c r="P54" s="2"/>
      <c r="Q54" s="2"/>
      <c r="R54" s="2"/>
      <c r="S54" s="2"/>
      <c r="T54" s="2"/>
      <c r="U54" s="2"/>
      <c r="V54" s="2"/>
      <c r="W54" s="2"/>
      <c r="X54" s="2"/>
      <c r="Y54" s="2"/>
      <c r="Z54" s="2"/>
    </row>
    <row r="55" customFormat="false" ht="12" hidden="false" customHeight="true" outlineLevel="0" collapsed="false">
      <c r="A55" s="2"/>
      <c r="B55" s="19"/>
      <c r="C55" s="19"/>
      <c r="D55" s="2"/>
      <c r="E55" s="2"/>
      <c r="F55" s="2"/>
      <c r="G55" s="2"/>
      <c r="H55" s="2"/>
      <c r="I55" s="2"/>
      <c r="J55" s="2"/>
      <c r="K55" s="2"/>
      <c r="L55" s="19"/>
      <c r="M55" s="19"/>
      <c r="N55" s="2"/>
      <c r="O55" s="2"/>
      <c r="P55" s="2"/>
      <c r="Q55" s="2"/>
      <c r="R55" s="2"/>
      <c r="S55" s="2"/>
      <c r="T55" s="2"/>
      <c r="U55" s="2"/>
      <c r="V55" s="2"/>
      <c r="W55" s="2"/>
      <c r="X55" s="2"/>
      <c r="Y55" s="2"/>
      <c r="Z55" s="2"/>
    </row>
    <row r="56" customFormat="false" ht="12" hidden="false" customHeight="true" outlineLevel="0" collapsed="false">
      <c r="A56" s="2"/>
      <c r="B56" s="19"/>
      <c r="C56" s="19"/>
      <c r="D56" s="2"/>
      <c r="E56" s="2"/>
      <c r="F56" s="2"/>
      <c r="G56" s="2"/>
      <c r="H56" s="2"/>
      <c r="I56" s="2"/>
      <c r="J56" s="2"/>
      <c r="K56" s="2"/>
      <c r="L56" s="19"/>
      <c r="M56" s="19"/>
      <c r="N56" s="2"/>
      <c r="O56" s="2"/>
      <c r="P56" s="2"/>
      <c r="Q56" s="2"/>
      <c r="R56" s="2"/>
      <c r="S56" s="2"/>
      <c r="T56" s="2"/>
      <c r="U56" s="2"/>
      <c r="V56" s="2"/>
      <c r="W56" s="2"/>
      <c r="X56" s="2"/>
      <c r="Y56" s="2"/>
      <c r="Z56" s="2"/>
    </row>
    <row r="57" customFormat="false" ht="12" hidden="false" customHeight="true" outlineLevel="0" collapsed="false">
      <c r="A57" s="2"/>
      <c r="B57" s="19"/>
      <c r="C57" s="19"/>
      <c r="D57" s="2"/>
      <c r="E57" s="2"/>
      <c r="F57" s="2"/>
      <c r="G57" s="2"/>
      <c r="H57" s="2"/>
      <c r="I57" s="2"/>
      <c r="J57" s="2"/>
      <c r="K57" s="2"/>
      <c r="L57" s="19"/>
      <c r="M57" s="19"/>
      <c r="N57" s="2"/>
      <c r="O57" s="2"/>
      <c r="P57" s="2"/>
      <c r="Q57" s="2"/>
      <c r="R57" s="2"/>
      <c r="S57" s="2"/>
      <c r="T57" s="2"/>
      <c r="U57" s="2"/>
      <c r="V57" s="2"/>
      <c r="W57" s="2"/>
      <c r="X57" s="2"/>
      <c r="Y57" s="2"/>
      <c r="Z57" s="2"/>
    </row>
    <row r="58" customFormat="false" ht="12" hidden="false" customHeight="true" outlineLevel="0" collapsed="false">
      <c r="A58" s="2"/>
      <c r="B58" s="19"/>
      <c r="C58" s="19"/>
      <c r="D58" s="2"/>
      <c r="E58" s="2"/>
      <c r="F58" s="2"/>
      <c r="G58" s="2"/>
      <c r="H58" s="2"/>
      <c r="I58" s="2"/>
      <c r="J58" s="2"/>
      <c r="K58" s="2"/>
      <c r="L58" s="19"/>
      <c r="M58" s="19"/>
      <c r="N58" s="2"/>
      <c r="O58" s="2"/>
      <c r="P58" s="2"/>
      <c r="Q58" s="2"/>
      <c r="R58" s="2"/>
      <c r="S58" s="2"/>
      <c r="T58" s="2"/>
      <c r="U58" s="2"/>
      <c r="V58" s="2"/>
      <c r="W58" s="2"/>
      <c r="X58" s="2"/>
      <c r="Y58" s="2"/>
      <c r="Z58" s="2"/>
    </row>
    <row r="59" customFormat="false" ht="12" hidden="false" customHeight="true" outlineLevel="0" collapsed="false">
      <c r="A59" s="2"/>
      <c r="B59" s="19"/>
      <c r="C59" s="19"/>
      <c r="D59" s="2"/>
      <c r="E59" s="2"/>
      <c r="F59" s="2"/>
      <c r="G59" s="2"/>
      <c r="H59" s="2"/>
      <c r="I59" s="2"/>
      <c r="J59" s="2"/>
      <c r="K59" s="2"/>
      <c r="L59" s="19"/>
      <c r="M59" s="19"/>
      <c r="N59" s="2"/>
      <c r="O59" s="2"/>
      <c r="P59" s="2"/>
      <c r="Q59" s="2"/>
      <c r="R59" s="2"/>
      <c r="S59" s="2"/>
      <c r="T59" s="2"/>
      <c r="U59" s="2"/>
      <c r="V59" s="2"/>
      <c r="W59" s="2"/>
      <c r="X59" s="2"/>
      <c r="Y59" s="2"/>
      <c r="Z59" s="2"/>
    </row>
    <row r="60" customFormat="false" ht="12" hidden="false" customHeight="true" outlineLevel="0" collapsed="false">
      <c r="A60" s="2"/>
      <c r="B60" s="19"/>
      <c r="C60" s="19"/>
      <c r="D60" s="2"/>
      <c r="E60" s="2"/>
      <c r="F60" s="2"/>
      <c r="G60" s="2"/>
      <c r="H60" s="2"/>
      <c r="I60" s="2"/>
      <c r="J60" s="2"/>
      <c r="K60" s="2"/>
      <c r="L60" s="19"/>
      <c r="M60" s="19"/>
      <c r="N60" s="2"/>
      <c r="O60" s="2"/>
      <c r="P60" s="2"/>
      <c r="Q60" s="2"/>
      <c r="R60" s="2"/>
      <c r="S60" s="2"/>
      <c r="T60" s="2"/>
      <c r="U60" s="2"/>
      <c r="V60" s="2"/>
      <c r="W60" s="2"/>
      <c r="X60" s="2"/>
      <c r="Y60" s="2"/>
      <c r="Z60" s="2"/>
    </row>
    <row r="61" customFormat="false" ht="12" hidden="false" customHeight="true" outlineLevel="0" collapsed="false">
      <c r="A61" s="2"/>
      <c r="B61" s="19"/>
      <c r="C61" s="19"/>
      <c r="D61" s="2"/>
      <c r="E61" s="2"/>
      <c r="F61" s="2"/>
      <c r="G61" s="2"/>
      <c r="H61" s="2"/>
      <c r="I61" s="2"/>
      <c r="J61" s="2"/>
      <c r="K61" s="2"/>
      <c r="L61" s="19"/>
      <c r="M61" s="19"/>
      <c r="N61" s="2"/>
      <c r="O61" s="2"/>
      <c r="P61" s="2"/>
      <c r="Q61" s="2"/>
      <c r="R61" s="2"/>
      <c r="S61" s="2"/>
      <c r="T61" s="2"/>
      <c r="U61" s="2"/>
      <c r="V61" s="2"/>
      <c r="W61" s="2"/>
      <c r="X61" s="2"/>
      <c r="Y61" s="2"/>
      <c r="Z61" s="2"/>
    </row>
    <row r="62" customFormat="false" ht="12" hidden="false" customHeight="true" outlineLevel="0" collapsed="false">
      <c r="A62" s="2"/>
      <c r="B62" s="19"/>
      <c r="C62" s="19"/>
      <c r="D62" s="2"/>
      <c r="E62" s="2"/>
      <c r="F62" s="2"/>
      <c r="G62" s="2"/>
      <c r="H62" s="2"/>
      <c r="I62" s="2"/>
      <c r="J62" s="2"/>
      <c r="K62" s="2"/>
      <c r="L62" s="19"/>
      <c r="M62" s="19"/>
      <c r="N62" s="2"/>
      <c r="O62" s="2"/>
      <c r="P62" s="2"/>
      <c r="Q62" s="2"/>
      <c r="R62" s="2"/>
      <c r="S62" s="2"/>
      <c r="T62" s="2"/>
      <c r="U62" s="2"/>
      <c r="V62" s="2"/>
      <c r="W62" s="2"/>
      <c r="X62" s="2"/>
      <c r="Y62" s="2"/>
      <c r="Z62" s="2"/>
    </row>
    <row r="63" customFormat="false" ht="12" hidden="false" customHeight="true" outlineLevel="0" collapsed="false">
      <c r="A63" s="2"/>
      <c r="B63" s="19"/>
      <c r="C63" s="19"/>
      <c r="D63" s="2"/>
      <c r="E63" s="2"/>
      <c r="F63" s="2"/>
      <c r="G63" s="2"/>
      <c r="H63" s="2"/>
      <c r="I63" s="2"/>
      <c r="J63" s="2"/>
      <c r="K63" s="2"/>
      <c r="L63" s="19"/>
      <c r="M63" s="19"/>
      <c r="N63" s="2"/>
      <c r="O63" s="2"/>
      <c r="P63" s="2"/>
      <c r="Q63" s="2"/>
      <c r="R63" s="2"/>
      <c r="S63" s="2"/>
      <c r="T63" s="2"/>
      <c r="U63" s="2"/>
      <c r="V63" s="2"/>
      <c r="W63" s="2"/>
      <c r="X63" s="2"/>
      <c r="Y63" s="2"/>
      <c r="Z63" s="2"/>
    </row>
    <row r="64" customFormat="false" ht="12" hidden="false" customHeight="true" outlineLevel="0" collapsed="false">
      <c r="A64" s="2"/>
      <c r="B64" s="19"/>
      <c r="C64" s="19"/>
      <c r="D64" s="2"/>
      <c r="E64" s="2"/>
      <c r="F64" s="2"/>
      <c r="G64" s="2"/>
      <c r="H64" s="2"/>
      <c r="I64" s="2"/>
      <c r="J64" s="2"/>
      <c r="K64" s="2"/>
      <c r="L64" s="19"/>
      <c r="M64" s="19"/>
      <c r="N64" s="2"/>
      <c r="O64" s="2"/>
      <c r="P64" s="2"/>
      <c r="Q64" s="2"/>
      <c r="R64" s="2"/>
      <c r="S64" s="2"/>
      <c r="T64" s="2"/>
      <c r="U64" s="2"/>
      <c r="V64" s="2"/>
      <c r="W64" s="2"/>
      <c r="X64" s="2"/>
      <c r="Y64" s="2"/>
      <c r="Z64" s="2"/>
    </row>
    <row r="65" customFormat="false" ht="12" hidden="false" customHeight="true" outlineLevel="0" collapsed="false">
      <c r="A65" s="2"/>
      <c r="B65" s="19"/>
      <c r="C65" s="19"/>
      <c r="D65" s="2"/>
      <c r="E65" s="2"/>
      <c r="F65" s="2"/>
      <c r="G65" s="2"/>
      <c r="H65" s="2"/>
      <c r="I65" s="2"/>
      <c r="J65" s="2"/>
      <c r="K65" s="2"/>
      <c r="L65" s="19"/>
      <c r="M65" s="19"/>
      <c r="N65" s="2"/>
      <c r="O65" s="2"/>
      <c r="P65" s="2"/>
      <c r="Q65" s="2"/>
      <c r="R65" s="2"/>
      <c r="S65" s="2"/>
      <c r="T65" s="2"/>
      <c r="U65" s="2"/>
      <c r="V65" s="2"/>
      <c r="W65" s="2"/>
      <c r="X65" s="2"/>
      <c r="Y65" s="2"/>
      <c r="Z65" s="2"/>
    </row>
    <row r="66" customFormat="false" ht="12" hidden="false" customHeight="true" outlineLevel="0" collapsed="false">
      <c r="A66" s="2"/>
      <c r="B66" s="19"/>
      <c r="C66" s="19"/>
      <c r="D66" s="2"/>
      <c r="E66" s="2"/>
      <c r="F66" s="2"/>
      <c r="G66" s="2"/>
      <c r="H66" s="2"/>
      <c r="I66" s="2"/>
      <c r="J66" s="2"/>
      <c r="K66" s="2"/>
      <c r="L66" s="19"/>
      <c r="M66" s="19"/>
      <c r="N66" s="2"/>
      <c r="O66" s="2"/>
      <c r="P66" s="2"/>
      <c r="Q66" s="2"/>
      <c r="R66" s="2"/>
      <c r="S66" s="2"/>
      <c r="T66" s="2"/>
      <c r="U66" s="2"/>
      <c r="V66" s="2"/>
      <c r="W66" s="2"/>
      <c r="X66" s="2"/>
      <c r="Y66" s="2"/>
      <c r="Z66" s="2"/>
    </row>
    <row r="67" customFormat="false" ht="12" hidden="false" customHeight="true" outlineLevel="0" collapsed="false">
      <c r="A67" s="2"/>
      <c r="B67" s="19"/>
      <c r="C67" s="19"/>
      <c r="D67" s="2"/>
      <c r="E67" s="2"/>
      <c r="F67" s="2"/>
      <c r="G67" s="2"/>
      <c r="H67" s="2"/>
      <c r="I67" s="2"/>
      <c r="J67" s="2"/>
      <c r="K67" s="2"/>
      <c r="L67" s="19"/>
      <c r="M67" s="19"/>
      <c r="N67" s="2"/>
      <c r="O67" s="2"/>
      <c r="P67" s="2"/>
      <c r="Q67" s="2"/>
      <c r="R67" s="2"/>
      <c r="S67" s="2"/>
      <c r="T67" s="2"/>
      <c r="U67" s="2"/>
      <c r="V67" s="2"/>
      <c r="W67" s="2"/>
      <c r="X67" s="2"/>
      <c r="Y67" s="2"/>
      <c r="Z67" s="2"/>
    </row>
    <row r="68" customFormat="false" ht="12" hidden="false" customHeight="true" outlineLevel="0" collapsed="false">
      <c r="A68" s="2"/>
      <c r="B68" s="19"/>
      <c r="C68" s="19"/>
      <c r="D68" s="2"/>
      <c r="E68" s="2"/>
      <c r="F68" s="2"/>
      <c r="G68" s="2"/>
      <c r="H68" s="2"/>
      <c r="I68" s="2"/>
      <c r="J68" s="2"/>
      <c r="K68" s="2"/>
      <c r="L68" s="19"/>
      <c r="M68" s="19"/>
      <c r="N68" s="2"/>
      <c r="O68" s="2"/>
      <c r="P68" s="2"/>
      <c r="Q68" s="2"/>
      <c r="R68" s="2"/>
      <c r="S68" s="2"/>
      <c r="T68" s="2"/>
      <c r="U68" s="2"/>
      <c r="V68" s="2"/>
      <c r="W68" s="2"/>
      <c r="X68" s="2"/>
      <c r="Y68" s="2"/>
      <c r="Z68" s="2"/>
    </row>
    <row r="69" customFormat="false" ht="12" hidden="false" customHeight="true" outlineLevel="0" collapsed="false">
      <c r="A69" s="2"/>
      <c r="B69" s="19"/>
      <c r="C69" s="19"/>
      <c r="D69" s="2"/>
      <c r="E69" s="2"/>
      <c r="F69" s="2"/>
      <c r="G69" s="2"/>
      <c r="H69" s="2"/>
      <c r="I69" s="2"/>
      <c r="J69" s="2"/>
      <c r="K69" s="2"/>
      <c r="L69" s="19"/>
      <c r="M69" s="19"/>
      <c r="N69" s="2"/>
      <c r="O69" s="2"/>
      <c r="P69" s="2"/>
      <c r="Q69" s="2"/>
      <c r="R69" s="2"/>
      <c r="S69" s="2"/>
      <c r="T69" s="2"/>
      <c r="U69" s="2"/>
      <c r="V69" s="2"/>
      <c r="W69" s="2"/>
      <c r="X69" s="2"/>
      <c r="Y69" s="2"/>
      <c r="Z69" s="2"/>
    </row>
    <row r="70" customFormat="false" ht="12" hidden="false" customHeight="true" outlineLevel="0" collapsed="false">
      <c r="A70" s="2"/>
      <c r="B70" s="19"/>
      <c r="C70" s="19"/>
      <c r="D70" s="2"/>
      <c r="E70" s="2"/>
      <c r="F70" s="2"/>
      <c r="G70" s="2"/>
      <c r="H70" s="2"/>
      <c r="I70" s="2"/>
      <c r="J70" s="2"/>
      <c r="K70" s="2"/>
      <c r="L70" s="19"/>
      <c r="M70" s="19"/>
      <c r="N70" s="2"/>
      <c r="O70" s="2"/>
      <c r="P70" s="2"/>
      <c r="Q70" s="2"/>
      <c r="R70" s="2"/>
      <c r="S70" s="2"/>
      <c r="T70" s="2"/>
      <c r="U70" s="2"/>
      <c r="V70" s="2"/>
      <c r="W70" s="2"/>
      <c r="X70" s="2"/>
      <c r="Y70" s="2"/>
      <c r="Z70" s="2"/>
    </row>
    <row r="71" customFormat="false" ht="12" hidden="false" customHeight="true" outlineLevel="0" collapsed="false">
      <c r="A71" s="2"/>
      <c r="B71" s="19"/>
      <c r="C71" s="19"/>
      <c r="D71" s="2"/>
      <c r="E71" s="2"/>
      <c r="F71" s="2"/>
      <c r="G71" s="2"/>
      <c r="H71" s="2"/>
      <c r="I71" s="2"/>
      <c r="J71" s="2"/>
      <c r="K71" s="2"/>
      <c r="L71" s="19"/>
      <c r="M71" s="19"/>
      <c r="N71" s="2"/>
      <c r="O71" s="2"/>
      <c r="P71" s="2"/>
      <c r="Q71" s="2"/>
      <c r="R71" s="2"/>
      <c r="S71" s="2"/>
      <c r="T71" s="2"/>
      <c r="U71" s="2"/>
      <c r="V71" s="2"/>
      <c r="W71" s="2"/>
      <c r="X71" s="2"/>
      <c r="Y71" s="2"/>
      <c r="Z71" s="2"/>
    </row>
    <row r="72" customFormat="false" ht="12" hidden="false" customHeight="true" outlineLevel="0" collapsed="false">
      <c r="A72" s="2"/>
      <c r="B72" s="19"/>
      <c r="C72" s="19"/>
      <c r="D72" s="2"/>
      <c r="E72" s="2"/>
      <c r="F72" s="2"/>
      <c r="G72" s="2"/>
      <c r="H72" s="2"/>
      <c r="I72" s="2"/>
      <c r="J72" s="2"/>
      <c r="K72" s="2"/>
      <c r="L72" s="19"/>
      <c r="M72" s="19"/>
      <c r="N72" s="2"/>
      <c r="O72" s="2"/>
      <c r="P72" s="2"/>
      <c r="Q72" s="2"/>
      <c r="R72" s="2"/>
      <c r="S72" s="2"/>
      <c r="T72" s="2"/>
      <c r="U72" s="2"/>
      <c r="V72" s="2"/>
      <c r="W72" s="2"/>
      <c r="X72" s="2"/>
      <c r="Y72" s="2"/>
      <c r="Z72" s="2"/>
    </row>
    <row r="73" customFormat="false" ht="12" hidden="false" customHeight="true" outlineLevel="0" collapsed="false">
      <c r="A73" s="2"/>
      <c r="B73" s="19"/>
      <c r="C73" s="19"/>
      <c r="D73" s="2"/>
      <c r="E73" s="2"/>
      <c r="F73" s="2"/>
      <c r="G73" s="2"/>
      <c r="H73" s="2"/>
      <c r="I73" s="2"/>
      <c r="J73" s="2"/>
      <c r="K73" s="2"/>
      <c r="L73" s="19"/>
      <c r="M73" s="19"/>
      <c r="N73" s="2"/>
      <c r="O73" s="2"/>
      <c r="P73" s="2"/>
      <c r="Q73" s="2"/>
      <c r="R73" s="2"/>
      <c r="S73" s="2"/>
      <c r="T73" s="2"/>
      <c r="U73" s="2"/>
      <c r="V73" s="2"/>
      <c r="W73" s="2"/>
      <c r="X73" s="2"/>
      <c r="Y73" s="2"/>
      <c r="Z73" s="2"/>
    </row>
    <row r="74" customFormat="false" ht="12" hidden="false" customHeight="true" outlineLevel="0" collapsed="false">
      <c r="A74" s="2"/>
      <c r="B74" s="19"/>
      <c r="C74" s="19"/>
      <c r="D74" s="2"/>
      <c r="E74" s="2"/>
      <c r="F74" s="2"/>
      <c r="G74" s="2"/>
      <c r="H74" s="2"/>
      <c r="I74" s="2"/>
      <c r="J74" s="2"/>
      <c r="K74" s="2"/>
      <c r="L74" s="19"/>
      <c r="M74" s="19"/>
      <c r="N74" s="2"/>
      <c r="O74" s="2"/>
      <c r="P74" s="2"/>
      <c r="Q74" s="2"/>
      <c r="R74" s="2"/>
      <c r="S74" s="2"/>
      <c r="T74" s="2"/>
      <c r="U74" s="2"/>
      <c r="V74" s="2"/>
      <c r="W74" s="2"/>
      <c r="X74" s="2"/>
      <c r="Y74" s="2"/>
      <c r="Z74" s="2"/>
    </row>
    <row r="75" customFormat="false" ht="12" hidden="false" customHeight="true" outlineLevel="0" collapsed="false">
      <c r="A75" s="2"/>
      <c r="B75" s="19"/>
      <c r="C75" s="19"/>
      <c r="D75" s="2"/>
      <c r="E75" s="2"/>
      <c r="F75" s="2"/>
      <c r="G75" s="2"/>
      <c r="H75" s="2"/>
      <c r="I75" s="2"/>
      <c r="J75" s="2"/>
      <c r="K75" s="2"/>
      <c r="L75" s="19"/>
      <c r="M75" s="19"/>
      <c r="N75" s="2"/>
      <c r="O75" s="2"/>
      <c r="P75" s="2"/>
      <c r="Q75" s="2"/>
      <c r="R75" s="2"/>
      <c r="S75" s="2"/>
      <c r="T75" s="2"/>
      <c r="U75" s="2"/>
      <c r="V75" s="2"/>
      <c r="W75" s="2"/>
      <c r="X75" s="2"/>
      <c r="Y75" s="2"/>
      <c r="Z75" s="2"/>
    </row>
    <row r="76" customFormat="false" ht="12" hidden="false" customHeight="true" outlineLevel="0" collapsed="false">
      <c r="A76" s="2"/>
      <c r="B76" s="19"/>
      <c r="C76" s="19"/>
      <c r="D76" s="2"/>
      <c r="E76" s="2"/>
      <c r="F76" s="2"/>
      <c r="G76" s="2"/>
      <c r="H76" s="2"/>
      <c r="I76" s="2"/>
      <c r="J76" s="2"/>
      <c r="K76" s="2"/>
      <c r="L76" s="19"/>
      <c r="M76" s="19"/>
      <c r="N76" s="2"/>
      <c r="O76" s="2"/>
      <c r="P76" s="2"/>
      <c r="Q76" s="2"/>
      <c r="R76" s="2"/>
      <c r="S76" s="2"/>
      <c r="T76" s="2"/>
      <c r="U76" s="2"/>
      <c r="V76" s="2"/>
      <c r="W76" s="2"/>
      <c r="X76" s="2"/>
      <c r="Y76" s="2"/>
      <c r="Z76" s="2"/>
    </row>
    <row r="77" customFormat="false" ht="12" hidden="false" customHeight="true" outlineLevel="0" collapsed="false">
      <c r="A77" s="2"/>
      <c r="B77" s="19"/>
      <c r="C77" s="19"/>
      <c r="D77" s="2"/>
      <c r="E77" s="2"/>
      <c r="F77" s="2"/>
      <c r="G77" s="2"/>
      <c r="H77" s="2"/>
      <c r="I77" s="2"/>
      <c r="J77" s="2"/>
      <c r="K77" s="2"/>
      <c r="L77" s="19"/>
      <c r="M77" s="19"/>
      <c r="N77" s="2"/>
      <c r="O77" s="2"/>
      <c r="P77" s="2"/>
      <c r="Q77" s="2"/>
      <c r="R77" s="2"/>
      <c r="S77" s="2"/>
      <c r="T77" s="2"/>
      <c r="U77" s="2"/>
      <c r="V77" s="2"/>
      <c r="W77" s="2"/>
      <c r="X77" s="2"/>
      <c r="Y77" s="2"/>
      <c r="Z77" s="2"/>
    </row>
    <row r="78" customFormat="false" ht="12" hidden="false" customHeight="true" outlineLevel="0" collapsed="false">
      <c r="A78" s="2"/>
      <c r="B78" s="19"/>
      <c r="C78" s="19"/>
      <c r="D78" s="2"/>
      <c r="E78" s="2"/>
      <c r="F78" s="2"/>
      <c r="G78" s="2"/>
      <c r="H78" s="2"/>
      <c r="I78" s="2"/>
      <c r="J78" s="2"/>
      <c r="K78" s="2"/>
      <c r="L78" s="19"/>
      <c r="M78" s="19"/>
      <c r="N78" s="2"/>
      <c r="O78" s="2"/>
      <c r="P78" s="2"/>
      <c r="Q78" s="2"/>
      <c r="R78" s="2"/>
      <c r="S78" s="2"/>
      <c r="T78" s="2"/>
      <c r="U78" s="2"/>
      <c r="V78" s="2"/>
      <c r="W78" s="2"/>
      <c r="X78" s="2"/>
      <c r="Y78" s="2"/>
      <c r="Z78" s="2"/>
    </row>
    <row r="79" customFormat="false" ht="12" hidden="false" customHeight="true" outlineLevel="0" collapsed="false">
      <c r="A79" s="2"/>
      <c r="B79" s="19"/>
      <c r="C79" s="19"/>
      <c r="D79" s="2"/>
      <c r="E79" s="2"/>
      <c r="F79" s="2"/>
      <c r="G79" s="2"/>
      <c r="H79" s="2"/>
      <c r="I79" s="2"/>
      <c r="J79" s="2"/>
      <c r="K79" s="2"/>
      <c r="L79" s="19"/>
      <c r="M79" s="19"/>
      <c r="N79" s="2"/>
      <c r="O79" s="2"/>
      <c r="P79" s="2"/>
      <c r="Q79" s="2"/>
      <c r="R79" s="2"/>
      <c r="S79" s="2"/>
      <c r="T79" s="2"/>
      <c r="U79" s="2"/>
      <c r="V79" s="2"/>
      <c r="W79" s="2"/>
      <c r="X79" s="2"/>
      <c r="Y79" s="2"/>
      <c r="Z79" s="2"/>
    </row>
    <row r="80" customFormat="false" ht="12" hidden="false" customHeight="true" outlineLevel="0" collapsed="false">
      <c r="A80" s="2"/>
      <c r="B80" s="19"/>
      <c r="C80" s="19"/>
      <c r="D80" s="2"/>
      <c r="E80" s="2"/>
      <c r="F80" s="2"/>
      <c r="G80" s="2"/>
      <c r="H80" s="2"/>
      <c r="I80" s="2"/>
      <c r="J80" s="2"/>
      <c r="K80" s="2"/>
      <c r="L80" s="19"/>
      <c r="M80" s="19"/>
      <c r="N80" s="2"/>
      <c r="O80" s="2"/>
      <c r="P80" s="2"/>
      <c r="Q80" s="2"/>
      <c r="R80" s="2"/>
      <c r="S80" s="2"/>
      <c r="T80" s="2"/>
      <c r="U80" s="2"/>
      <c r="V80" s="2"/>
      <c r="W80" s="2"/>
      <c r="X80" s="2"/>
      <c r="Y80" s="2"/>
      <c r="Z80" s="2"/>
    </row>
    <row r="81" customFormat="false" ht="12" hidden="false" customHeight="true" outlineLevel="0" collapsed="false">
      <c r="A81" s="2"/>
      <c r="B81" s="19"/>
      <c r="C81" s="19"/>
      <c r="D81" s="2"/>
      <c r="E81" s="2"/>
      <c r="F81" s="2"/>
      <c r="G81" s="2"/>
      <c r="H81" s="2"/>
      <c r="I81" s="2"/>
      <c r="J81" s="2"/>
      <c r="K81" s="2"/>
      <c r="L81" s="19"/>
      <c r="M81" s="19"/>
      <c r="N81" s="2"/>
      <c r="O81" s="2"/>
      <c r="P81" s="2"/>
      <c r="Q81" s="2"/>
      <c r="R81" s="2"/>
      <c r="S81" s="2"/>
      <c r="T81" s="2"/>
      <c r="U81" s="2"/>
      <c r="V81" s="2"/>
      <c r="W81" s="2"/>
      <c r="X81" s="2"/>
      <c r="Y81" s="2"/>
      <c r="Z81" s="2"/>
    </row>
    <row r="82" customFormat="false" ht="12" hidden="false" customHeight="true" outlineLevel="0" collapsed="false">
      <c r="A82" s="2"/>
      <c r="B82" s="19"/>
      <c r="C82" s="19"/>
      <c r="D82" s="2"/>
      <c r="E82" s="2"/>
      <c r="F82" s="2"/>
      <c r="G82" s="2"/>
      <c r="H82" s="2"/>
      <c r="I82" s="2"/>
      <c r="J82" s="2"/>
      <c r="K82" s="2"/>
      <c r="L82" s="19"/>
      <c r="M82" s="19"/>
      <c r="N82" s="2"/>
      <c r="O82" s="2"/>
      <c r="P82" s="2"/>
      <c r="Q82" s="2"/>
      <c r="R82" s="2"/>
      <c r="S82" s="2"/>
      <c r="T82" s="2"/>
      <c r="U82" s="2"/>
      <c r="V82" s="2"/>
      <c r="W82" s="2"/>
      <c r="X82" s="2"/>
      <c r="Y82" s="2"/>
      <c r="Z82" s="2"/>
    </row>
    <row r="83" customFormat="false" ht="12" hidden="false" customHeight="true" outlineLevel="0" collapsed="false">
      <c r="A83" s="2"/>
      <c r="B83" s="19"/>
      <c r="C83" s="19"/>
      <c r="D83" s="2"/>
      <c r="E83" s="2"/>
      <c r="F83" s="2"/>
      <c r="G83" s="2"/>
      <c r="H83" s="2"/>
      <c r="I83" s="2"/>
      <c r="J83" s="2"/>
      <c r="K83" s="2"/>
      <c r="L83" s="19"/>
      <c r="M83" s="19"/>
      <c r="N83" s="2"/>
      <c r="O83" s="2"/>
      <c r="P83" s="2"/>
      <c r="Q83" s="2"/>
      <c r="R83" s="2"/>
      <c r="S83" s="2"/>
      <c r="T83" s="2"/>
      <c r="U83" s="2"/>
      <c r="V83" s="2"/>
      <c r="W83" s="2"/>
      <c r="X83" s="2"/>
      <c r="Y83" s="2"/>
      <c r="Z83" s="2"/>
    </row>
    <row r="84" customFormat="false" ht="12" hidden="false" customHeight="true" outlineLevel="0" collapsed="false">
      <c r="A84" s="2"/>
      <c r="B84" s="19"/>
      <c r="C84" s="19"/>
      <c r="D84" s="2"/>
      <c r="E84" s="2"/>
      <c r="F84" s="2"/>
      <c r="G84" s="2"/>
      <c r="H84" s="2"/>
      <c r="I84" s="2"/>
      <c r="J84" s="2"/>
      <c r="K84" s="2"/>
      <c r="L84" s="19"/>
      <c r="M84" s="19"/>
      <c r="N84" s="2"/>
      <c r="O84" s="2"/>
      <c r="P84" s="2"/>
      <c r="Q84" s="2"/>
      <c r="R84" s="2"/>
      <c r="S84" s="2"/>
      <c r="T84" s="2"/>
      <c r="U84" s="2"/>
      <c r="V84" s="2"/>
      <c r="W84" s="2"/>
      <c r="X84" s="2"/>
      <c r="Y84" s="2"/>
      <c r="Z84" s="2"/>
    </row>
    <row r="85" customFormat="false" ht="12" hidden="false" customHeight="true" outlineLevel="0" collapsed="false">
      <c r="A85" s="2"/>
      <c r="B85" s="19"/>
      <c r="C85" s="19"/>
      <c r="D85" s="2"/>
      <c r="E85" s="2"/>
      <c r="F85" s="2"/>
      <c r="G85" s="2"/>
      <c r="H85" s="2"/>
      <c r="I85" s="2"/>
      <c r="J85" s="2"/>
      <c r="K85" s="2"/>
      <c r="L85" s="19"/>
      <c r="M85" s="19"/>
      <c r="N85" s="2"/>
      <c r="O85" s="2"/>
      <c r="P85" s="2"/>
      <c r="Q85" s="2"/>
      <c r="R85" s="2"/>
      <c r="S85" s="2"/>
      <c r="T85" s="2"/>
      <c r="U85" s="2"/>
      <c r="V85" s="2"/>
      <c r="W85" s="2"/>
      <c r="X85" s="2"/>
      <c r="Y85" s="2"/>
      <c r="Z85" s="2"/>
    </row>
    <row r="86" customFormat="false" ht="12" hidden="false" customHeight="true" outlineLevel="0" collapsed="false">
      <c r="A86" s="2"/>
      <c r="B86" s="19"/>
      <c r="C86" s="19"/>
      <c r="D86" s="2"/>
      <c r="E86" s="2"/>
      <c r="F86" s="2"/>
      <c r="G86" s="2"/>
      <c r="H86" s="2"/>
      <c r="I86" s="2"/>
      <c r="J86" s="2"/>
      <c r="K86" s="2"/>
      <c r="L86" s="19"/>
      <c r="M86" s="19"/>
      <c r="N86" s="2"/>
      <c r="O86" s="2"/>
      <c r="P86" s="2"/>
      <c r="Q86" s="2"/>
      <c r="R86" s="2"/>
      <c r="S86" s="2"/>
      <c r="T86" s="2"/>
      <c r="U86" s="2"/>
      <c r="V86" s="2"/>
      <c r="W86" s="2"/>
      <c r="X86" s="2"/>
      <c r="Y86" s="2"/>
      <c r="Z86" s="2"/>
    </row>
    <row r="87" customFormat="false" ht="12" hidden="false" customHeight="true" outlineLevel="0" collapsed="false">
      <c r="A87" s="2"/>
      <c r="B87" s="19"/>
      <c r="C87" s="19"/>
      <c r="D87" s="2"/>
      <c r="E87" s="2"/>
      <c r="F87" s="2"/>
      <c r="G87" s="2"/>
      <c r="H87" s="2"/>
      <c r="I87" s="2"/>
      <c r="J87" s="2"/>
      <c r="K87" s="2"/>
      <c r="L87" s="19"/>
      <c r="M87" s="19"/>
      <c r="N87" s="2"/>
      <c r="O87" s="2"/>
      <c r="P87" s="2"/>
      <c r="Q87" s="2"/>
      <c r="R87" s="2"/>
      <c r="S87" s="2"/>
      <c r="T87" s="2"/>
      <c r="U87" s="2"/>
      <c r="V87" s="2"/>
      <c r="W87" s="2"/>
      <c r="X87" s="2"/>
      <c r="Y87" s="2"/>
      <c r="Z87" s="2"/>
    </row>
    <row r="88" customFormat="false" ht="12" hidden="false" customHeight="true" outlineLevel="0" collapsed="false">
      <c r="A88" s="2"/>
      <c r="B88" s="19"/>
      <c r="C88" s="19"/>
      <c r="D88" s="2"/>
      <c r="E88" s="2"/>
      <c r="F88" s="2"/>
      <c r="G88" s="2"/>
      <c r="H88" s="2"/>
      <c r="I88" s="2"/>
      <c r="J88" s="2"/>
      <c r="K88" s="2"/>
      <c r="L88" s="19"/>
      <c r="M88" s="19"/>
      <c r="N88" s="2"/>
      <c r="O88" s="2"/>
      <c r="P88" s="2"/>
      <c r="Q88" s="2"/>
      <c r="R88" s="2"/>
      <c r="S88" s="2"/>
      <c r="T88" s="2"/>
      <c r="U88" s="2"/>
      <c r="V88" s="2"/>
      <c r="W88" s="2"/>
      <c r="X88" s="2"/>
      <c r="Y88" s="2"/>
      <c r="Z88" s="2"/>
    </row>
    <row r="89" customFormat="false" ht="12" hidden="false" customHeight="true" outlineLevel="0" collapsed="false">
      <c r="A89" s="2"/>
      <c r="B89" s="19"/>
      <c r="C89" s="19"/>
      <c r="D89" s="2"/>
      <c r="E89" s="2"/>
      <c r="F89" s="2"/>
      <c r="G89" s="2"/>
      <c r="H89" s="2"/>
      <c r="I89" s="2"/>
      <c r="J89" s="2"/>
      <c r="K89" s="2"/>
      <c r="L89" s="19"/>
      <c r="M89" s="19"/>
      <c r="N89" s="2"/>
      <c r="O89" s="2"/>
      <c r="P89" s="2"/>
      <c r="Q89" s="2"/>
      <c r="R89" s="2"/>
      <c r="S89" s="2"/>
      <c r="T89" s="2"/>
      <c r="U89" s="2"/>
      <c r="V89" s="2"/>
      <c r="W89" s="2"/>
      <c r="X89" s="2"/>
      <c r="Y89" s="2"/>
      <c r="Z89" s="2"/>
    </row>
    <row r="90" customFormat="false" ht="12" hidden="false" customHeight="true" outlineLevel="0" collapsed="false">
      <c r="A90" s="2"/>
      <c r="B90" s="19"/>
      <c r="C90" s="19"/>
      <c r="D90" s="2"/>
      <c r="E90" s="2"/>
      <c r="F90" s="2"/>
      <c r="G90" s="2"/>
      <c r="H90" s="2"/>
      <c r="I90" s="2"/>
      <c r="J90" s="2"/>
      <c r="K90" s="2"/>
      <c r="L90" s="19"/>
      <c r="M90" s="19"/>
      <c r="N90" s="2"/>
      <c r="O90" s="2"/>
      <c r="P90" s="2"/>
      <c r="Q90" s="2"/>
      <c r="R90" s="2"/>
      <c r="S90" s="2"/>
      <c r="T90" s="2"/>
      <c r="U90" s="2"/>
      <c r="V90" s="2"/>
      <c r="W90" s="2"/>
      <c r="X90" s="2"/>
      <c r="Y90" s="2"/>
      <c r="Z90" s="2"/>
    </row>
    <row r="91" customFormat="false" ht="12" hidden="false" customHeight="true" outlineLevel="0" collapsed="false">
      <c r="A91" s="2"/>
      <c r="B91" s="19"/>
      <c r="C91" s="19"/>
      <c r="D91" s="2"/>
      <c r="E91" s="2"/>
      <c r="F91" s="2"/>
      <c r="G91" s="2"/>
      <c r="H91" s="2"/>
      <c r="I91" s="2"/>
      <c r="J91" s="2"/>
      <c r="K91" s="2"/>
      <c r="L91" s="19"/>
      <c r="M91" s="19"/>
      <c r="N91" s="2"/>
      <c r="O91" s="2"/>
      <c r="P91" s="2"/>
      <c r="Q91" s="2"/>
      <c r="R91" s="2"/>
      <c r="S91" s="2"/>
      <c r="T91" s="2"/>
      <c r="U91" s="2"/>
      <c r="V91" s="2"/>
      <c r="W91" s="2"/>
      <c r="X91" s="2"/>
      <c r="Y91" s="2"/>
      <c r="Z91" s="2"/>
    </row>
    <row r="92" customFormat="false" ht="12" hidden="false" customHeight="true" outlineLevel="0" collapsed="false">
      <c r="A92" s="2"/>
      <c r="B92" s="19"/>
      <c r="C92" s="19"/>
      <c r="D92" s="2"/>
      <c r="E92" s="2"/>
      <c r="F92" s="2"/>
      <c r="G92" s="2"/>
      <c r="H92" s="2"/>
      <c r="I92" s="2"/>
      <c r="J92" s="2"/>
      <c r="K92" s="2"/>
      <c r="L92" s="19"/>
      <c r="M92" s="19"/>
      <c r="N92" s="2"/>
      <c r="O92" s="2"/>
      <c r="P92" s="2"/>
      <c r="Q92" s="2"/>
      <c r="R92" s="2"/>
      <c r="S92" s="2"/>
      <c r="T92" s="2"/>
      <c r="U92" s="2"/>
      <c r="V92" s="2"/>
      <c r="W92" s="2"/>
      <c r="X92" s="2"/>
      <c r="Y92" s="2"/>
      <c r="Z92" s="2"/>
    </row>
    <row r="93" customFormat="false" ht="12" hidden="false" customHeight="true" outlineLevel="0" collapsed="false">
      <c r="A93" s="2"/>
      <c r="B93" s="19"/>
      <c r="C93" s="19"/>
      <c r="D93" s="2"/>
      <c r="E93" s="2"/>
      <c r="F93" s="2"/>
      <c r="G93" s="2"/>
      <c r="H93" s="2"/>
      <c r="I93" s="2"/>
      <c r="J93" s="2"/>
      <c r="K93" s="2"/>
      <c r="L93" s="19"/>
      <c r="M93" s="19"/>
      <c r="N93" s="2"/>
      <c r="O93" s="2"/>
      <c r="P93" s="2"/>
      <c r="Q93" s="2"/>
      <c r="R93" s="2"/>
      <c r="S93" s="2"/>
      <c r="T93" s="2"/>
      <c r="U93" s="2"/>
      <c r="V93" s="2"/>
      <c r="W93" s="2"/>
      <c r="X93" s="2"/>
      <c r="Y93" s="2"/>
      <c r="Z93" s="2"/>
    </row>
    <row r="94" customFormat="false" ht="12" hidden="false" customHeight="true" outlineLevel="0" collapsed="false">
      <c r="A94" s="2"/>
      <c r="B94" s="19"/>
      <c r="C94" s="19"/>
      <c r="D94" s="2"/>
      <c r="E94" s="2"/>
      <c r="F94" s="2"/>
      <c r="G94" s="2"/>
      <c r="H94" s="2"/>
      <c r="I94" s="2"/>
      <c r="J94" s="2"/>
      <c r="K94" s="2"/>
      <c r="L94" s="19"/>
      <c r="M94" s="19"/>
      <c r="N94" s="2"/>
      <c r="O94" s="2"/>
      <c r="P94" s="2"/>
      <c r="Q94" s="2"/>
      <c r="R94" s="2"/>
      <c r="S94" s="2"/>
      <c r="T94" s="2"/>
      <c r="U94" s="2"/>
      <c r="V94" s="2"/>
      <c r="W94" s="2"/>
      <c r="X94" s="2"/>
      <c r="Y94" s="2"/>
      <c r="Z94" s="2"/>
    </row>
    <row r="95" customFormat="false" ht="12" hidden="false" customHeight="true" outlineLevel="0" collapsed="false">
      <c r="A95" s="2"/>
      <c r="B95" s="19"/>
      <c r="C95" s="19"/>
      <c r="D95" s="2"/>
      <c r="E95" s="2"/>
      <c r="F95" s="2"/>
      <c r="G95" s="2"/>
      <c r="H95" s="2"/>
      <c r="I95" s="2"/>
      <c r="J95" s="2"/>
      <c r="K95" s="2"/>
      <c r="L95" s="19"/>
      <c r="M95" s="19"/>
      <c r="N95" s="2"/>
      <c r="O95" s="2"/>
      <c r="P95" s="2"/>
      <c r="Q95" s="2"/>
      <c r="R95" s="2"/>
      <c r="S95" s="2"/>
      <c r="T95" s="2"/>
      <c r="U95" s="2"/>
      <c r="V95" s="2"/>
      <c r="W95" s="2"/>
      <c r="X95" s="2"/>
      <c r="Y95" s="2"/>
      <c r="Z95" s="2"/>
    </row>
    <row r="96" customFormat="false" ht="12" hidden="false" customHeight="true" outlineLevel="0" collapsed="false">
      <c r="A96" s="2"/>
      <c r="B96" s="19"/>
      <c r="C96" s="19"/>
      <c r="D96" s="2"/>
      <c r="E96" s="2"/>
      <c r="F96" s="2"/>
      <c r="G96" s="2"/>
      <c r="H96" s="2"/>
      <c r="I96" s="2"/>
      <c r="J96" s="2"/>
      <c r="K96" s="2"/>
      <c r="L96" s="19"/>
      <c r="M96" s="19"/>
      <c r="N96" s="2"/>
      <c r="O96" s="2"/>
      <c r="P96" s="2"/>
      <c r="Q96" s="2"/>
      <c r="R96" s="2"/>
      <c r="S96" s="2"/>
      <c r="T96" s="2"/>
      <c r="U96" s="2"/>
      <c r="V96" s="2"/>
      <c r="W96" s="2"/>
      <c r="X96" s="2"/>
      <c r="Y96" s="2"/>
      <c r="Z96" s="2"/>
    </row>
    <row r="97" customFormat="false" ht="12" hidden="false" customHeight="true" outlineLevel="0" collapsed="false">
      <c r="A97" s="2"/>
      <c r="B97" s="19"/>
      <c r="C97" s="19"/>
      <c r="D97" s="2"/>
      <c r="E97" s="2"/>
      <c r="F97" s="2"/>
      <c r="G97" s="2"/>
      <c r="H97" s="2"/>
      <c r="I97" s="2"/>
      <c r="J97" s="2"/>
      <c r="K97" s="2"/>
      <c r="L97" s="19"/>
      <c r="M97" s="19"/>
      <c r="N97" s="2"/>
      <c r="O97" s="2"/>
      <c r="P97" s="2"/>
      <c r="Q97" s="2"/>
      <c r="R97" s="2"/>
      <c r="S97" s="2"/>
      <c r="T97" s="2"/>
      <c r="U97" s="2"/>
      <c r="V97" s="2"/>
      <c r="W97" s="2"/>
      <c r="X97" s="2"/>
      <c r="Y97" s="2"/>
      <c r="Z97" s="2"/>
    </row>
    <row r="98" customFormat="false" ht="12" hidden="false" customHeight="true" outlineLevel="0" collapsed="false">
      <c r="A98" s="2"/>
      <c r="B98" s="19"/>
      <c r="C98" s="19"/>
      <c r="D98" s="2"/>
      <c r="E98" s="2"/>
      <c r="F98" s="2"/>
      <c r="G98" s="2"/>
      <c r="H98" s="2"/>
      <c r="I98" s="2"/>
      <c r="J98" s="2"/>
      <c r="K98" s="2"/>
      <c r="L98" s="19"/>
      <c r="M98" s="19"/>
      <c r="N98" s="2"/>
      <c r="O98" s="2"/>
      <c r="P98" s="2"/>
      <c r="Q98" s="2"/>
      <c r="R98" s="2"/>
      <c r="S98" s="2"/>
      <c r="T98" s="2"/>
      <c r="U98" s="2"/>
      <c r="V98" s="2"/>
      <c r="W98" s="2"/>
      <c r="X98" s="2"/>
      <c r="Y98" s="2"/>
      <c r="Z98" s="2"/>
    </row>
    <row r="99" customFormat="false" ht="12" hidden="false" customHeight="true" outlineLevel="0" collapsed="false">
      <c r="A99" s="2"/>
      <c r="B99" s="19"/>
      <c r="C99" s="19"/>
      <c r="D99" s="2"/>
      <c r="E99" s="2"/>
      <c r="F99" s="2"/>
      <c r="G99" s="2"/>
      <c r="H99" s="2"/>
      <c r="I99" s="2"/>
      <c r="J99" s="2"/>
      <c r="K99" s="2"/>
      <c r="L99" s="19"/>
      <c r="M99" s="19"/>
      <c r="N99" s="2"/>
      <c r="O99" s="2"/>
      <c r="P99" s="2"/>
      <c r="Q99" s="2"/>
      <c r="R99" s="2"/>
      <c r="S99" s="2"/>
      <c r="T99" s="2"/>
      <c r="U99" s="2"/>
      <c r="V99" s="2"/>
      <c r="W99" s="2"/>
      <c r="X99" s="2"/>
      <c r="Y99" s="2"/>
      <c r="Z99" s="2"/>
    </row>
    <row r="100" customFormat="false" ht="12" hidden="false" customHeight="true" outlineLevel="0" collapsed="false">
      <c r="A100" s="2"/>
      <c r="B100" s="19"/>
      <c r="C100" s="19"/>
      <c r="D100" s="2"/>
      <c r="E100" s="2"/>
      <c r="F100" s="2"/>
      <c r="G100" s="2"/>
      <c r="H100" s="2"/>
      <c r="I100" s="2"/>
      <c r="J100" s="2"/>
      <c r="K100" s="2"/>
      <c r="L100" s="19"/>
      <c r="M100" s="19"/>
      <c r="N100" s="2"/>
      <c r="O100" s="2"/>
      <c r="P100" s="2"/>
      <c r="Q100" s="2"/>
      <c r="R100" s="2"/>
      <c r="S100" s="2"/>
      <c r="T100" s="2"/>
      <c r="U100" s="2"/>
      <c r="V100" s="2"/>
      <c r="W100" s="2"/>
      <c r="X100" s="2"/>
      <c r="Y100" s="2"/>
      <c r="Z100" s="2"/>
    </row>
    <row r="101" customFormat="false" ht="12" hidden="false" customHeight="true" outlineLevel="0" collapsed="false">
      <c r="A101" s="2"/>
      <c r="B101" s="19"/>
      <c r="C101" s="19"/>
      <c r="D101" s="2"/>
      <c r="E101" s="2"/>
      <c r="F101" s="2"/>
      <c r="G101" s="2"/>
      <c r="H101" s="2"/>
      <c r="I101" s="2"/>
      <c r="J101" s="2"/>
      <c r="K101" s="2"/>
      <c r="L101" s="19"/>
      <c r="M101" s="19"/>
      <c r="N101" s="2"/>
      <c r="O101" s="2"/>
      <c r="P101" s="2"/>
      <c r="Q101" s="2"/>
      <c r="R101" s="2"/>
      <c r="S101" s="2"/>
      <c r="T101" s="2"/>
      <c r="U101" s="2"/>
      <c r="V101" s="2"/>
      <c r="W101" s="2"/>
      <c r="X101" s="2"/>
      <c r="Y101" s="2"/>
      <c r="Z101" s="2"/>
    </row>
    <row r="102" customFormat="false" ht="12" hidden="false" customHeight="true" outlineLevel="0" collapsed="false">
      <c r="A102" s="2"/>
      <c r="B102" s="19"/>
      <c r="C102" s="19"/>
      <c r="D102" s="2"/>
      <c r="E102" s="2"/>
      <c r="F102" s="2"/>
      <c r="G102" s="2"/>
      <c r="H102" s="2"/>
      <c r="I102" s="2"/>
      <c r="J102" s="2"/>
      <c r="K102" s="2"/>
      <c r="L102" s="19"/>
      <c r="M102" s="19"/>
      <c r="N102" s="2"/>
      <c r="O102" s="2"/>
      <c r="P102" s="2"/>
      <c r="Q102" s="2"/>
      <c r="R102" s="2"/>
      <c r="S102" s="2"/>
      <c r="T102" s="2"/>
      <c r="U102" s="2"/>
      <c r="V102" s="2"/>
      <c r="W102" s="2"/>
      <c r="X102" s="2"/>
      <c r="Y102" s="2"/>
      <c r="Z102" s="2"/>
    </row>
    <row r="103" customFormat="false" ht="12" hidden="false" customHeight="true" outlineLevel="0" collapsed="false">
      <c r="A103" s="2"/>
      <c r="B103" s="19"/>
      <c r="C103" s="19"/>
      <c r="D103" s="2"/>
      <c r="E103" s="2"/>
      <c r="F103" s="2"/>
      <c r="G103" s="2"/>
      <c r="H103" s="2"/>
      <c r="I103" s="2"/>
      <c r="J103" s="2"/>
      <c r="K103" s="2"/>
      <c r="L103" s="19"/>
      <c r="M103" s="19"/>
      <c r="N103" s="2"/>
      <c r="O103" s="2"/>
      <c r="P103" s="2"/>
      <c r="Q103" s="2"/>
      <c r="R103" s="2"/>
      <c r="S103" s="2"/>
      <c r="T103" s="2"/>
      <c r="U103" s="2"/>
      <c r="V103" s="2"/>
      <c r="W103" s="2"/>
      <c r="X103" s="2"/>
      <c r="Y103" s="2"/>
      <c r="Z103" s="2"/>
    </row>
    <row r="104" customFormat="false" ht="12" hidden="false" customHeight="true" outlineLevel="0" collapsed="false">
      <c r="A104" s="2"/>
      <c r="B104" s="19"/>
      <c r="C104" s="19"/>
      <c r="D104" s="2"/>
      <c r="E104" s="2"/>
      <c r="F104" s="2"/>
      <c r="G104" s="2"/>
      <c r="H104" s="2"/>
      <c r="I104" s="2"/>
      <c r="J104" s="2"/>
      <c r="K104" s="2"/>
      <c r="L104" s="19"/>
      <c r="M104" s="19"/>
      <c r="N104" s="2"/>
      <c r="O104" s="2"/>
      <c r="P104" s="2"/>
      <c r="Q104" s="2"/>
      <c r="R104" s="2"/>
      <c r="S104" s="2"/>
      <c r="T104" s="2"/>
      <c r="U104" s="2"/>
      <c r="V104" s="2"/>
      <c r="W104" s="2"/>
      <c r="X104" s="2"/>
      <c r="Y104" s="2"/>
      <c r="Z104" s="2"/>
    </row>
    <row r="105" customFormat="false" ht="12" hidden="false" customHeight="true" outlineLevel="0" collapsed="false">
      <c r="A105" s="2"/>
      <c r="B105" s="19"/>
      <c r="C105" s="19"/>
      <c r="D105" s="2"/>
      <c r="E105" s="2"/>
      <c r="F105" s="2"/>
      <c r="G105" s="2"/>
      <c r="H105" s="2"/>
      <c r="I105" s="2"/>
      <c r="J105" s="2"/>
      <c r="K105" s="2"/>
      <c r="L105" s="19"/>
      <c r="M105" s="19"/>
      <c r="N105" s="2"/>
      <c r="O105" s="2"/>
      <c r="P105" s="2"/>
      <c r="Q105" s="2"/>
      <c r="R105" s="2"/>
      <c r="S105" s="2"/>
      <c r="T105" s="2"/>
      <c r="U105" s="2"/>
      <c r="V105" s="2"/>
      <c r="W105" s="2"/>
      <c r="X105" s="2"/>
      <c r="Y105" s="2"/>
      <c r="Z105" s="2"/>
    </row>
    <row r="106" customFormat="false" ht="12" hidden="false" customHeight="true" outlineLevel="0" collapsed="false">
      <c r="A106" s="2"/>
      <c r="B106" s="19"/>
      <c r="C106" s="19"/>
      <c r="D106" s="2"/>
      <c r="E106" s="2"/>
      <c r="F106" s="2"/>
      <c r="G106" s="2"/>
      <c r="H106" s="2"/>
      <c r="I106" s="2"/>
      <c r="J106" s="2"/>
      <c r="K106" s="2"/>
      <c r="L106" s="19"/>
      <c r="M106" s="19"/>
      <c r="N106" s="2"/>
      <c r="O106" s="2"/>
      <c r="P106" s="2"/>
      <c r="Q106" s="2"/>
      <c r="R106" s="2"/>
      <c r="S106" s="2"/>
      <c r="T106" s="2"/>
      <c r="U106" s="2"/>
      <c r="V106" s="2"/>
      <c r="W106" s="2"/>
      <c r="X106" s="2"/>
      <c r="Y106" s="2"/>
      <c r="Z106" s="2"/>
    </row>
    <row r="107" customFormat="false" ht="12" hidden="false" customHeight="true" outlineLevel="0" collapsed="false">
      <c r="A107" s="2"/>
      <c r="B107" s="19"/>
      <c r="C107" s="19"/>
      <c r="D107" s="2"/>
      <c r="E107" s="2"/>
      <c r="F107" s="2"/>
      <c r="G107" s="2"/>
      <c r="H107" s="2"/>
      <c r="I107" s="2"/>
      <c r="J107" s="2"/>
      <c r="K107" s="2"/>
      <c r="L107" s="19"/>
      <c r="M107" s="19"/>
      <c r="N107" s="2"/>
      <c r="O107" s="2"/>
      <c r="P107" s="2"/>
      <c r="Q107" s="2"/>
      <c r="R107" s="2"/>
      <c r="S107" s="2"/>
      <c r="T107" s="2"/>
      <c r="U107" s="2"/>
      <c r="V107" s="2"/>
      <c r="W107" s="2"/>
      <c r="X107" s="2"/>
      <c r="Y107" s="2"/>
      <c r="Z107" s="2"/>
    </row>
    <row r="108" customFormat="false" ht="12" hidden="false" customHeight="true" outlineLevel="0" collapsed="false">
      <c r="A108" s="2"/>
      <c r="B108" s="19"/>
      <c r="C108" s="19"/>
      <c r="D108" s="2"/>
      <c r="E108" s="2"/>
      <c r="F108" s="2"/>
      <c r="G108" s="2"/>
      <c r="H108" s="2"/>
      <c r="I108" s="2"/>
      <c r="J108" s="2"/>
      <c r="K108" s="2"/>
      <c r="L108" s="19"/>
      <c r="M108" s="19"/>
      <c r="N108" s="2"/>
      <c r="O108" s="2"/>
      <c r="P108" s="2"/>
      <c r="Q108" s="2"/>
      <c r="R108" s="2"/>
      <c r="S108" s="2"/>
      <c r="T108" s="2"/>
      <c r="U108" s="2"/>
      <c r="V108" s="2"/>
      <c r="W108" s="2"/>
      <c r="X108" s="2"/>
      <c r="Y108" s="2"/>
      <c r="Z108" s="2"/>
    </row>
    <row r="109" customFormat="false" ht="12" hidden="false" customHeight="true" outlineLevel="0" collapsed="false">
      <c r="A109" s="2"/>
      <c r="B109" s="19"/>
      <c r="C109" s="19"/>
      <c r="D109" s="2"/>
      <c r="E109" s="2"/>
      <c r="F109" s="2"/>
      <c r="G109" s="2"/>
      <c r="H109" s="2"/>
      <c r="I109" s="2"/>
      <c r="J109" s="2"/>
      <c r="K109" s="2"/>
      <c r="L109" s="19"/>
      <c r="M109" s="19"/>
      <c r="N109" s="2"/>
      <c r="O109" s="2"/>
      <c r="P109" s="2"/>
      <c r="Q109" s="2"/>
      <c r="R109" s="2"/>
      <c r="S109" s="2"/>
      <c r="T109" s="2"/>
      <c r="U109" s="2"/>
      <c r="V109" s="2"/>
      <c r="W109" s="2"/>
      <c r="X109" s="2"/>
      <c r="Y109" s="2"/>
      <c r="Z109" s="2"/>
    </row>
    <row r="110" customFormat="false" ht="12" hidden="false" customHeight="true" outlineLevel="0" collapsed="false">
      <c r="A110" s="2"/>
      <c r="B110" s="19"/>
      <c r="C110" s="19"/>
      <c r="D110" s="2"/>
      <c r="E110" s="2"/>
      <c r="F110" s="2"/>
      <c r="G110" s="2"/>
      <c r="H110" s="2"/>
      <c r="I110" s="2"/>
      <c r="J110" s="2"/>
      <c r="K110" s="2"/>
      <c r="L110" s="19"/>
      <c r="M110" s="19"/>
      <c r="N110" s="2"/>
      <c r="O110" s="2"/>
      <c r="P110" s="2"/>
      <c r="Q110" s="2"/>
      <c r="R110" s="2"/>
      <c r="S110" s="2"/>
      <c r="T110" s="2"/>
      <c r="U110" s="2"/>
      <c r="V110" s="2"/>
      <c r="W110" s="2"/>
      <c r="X110" s="2"/>
      <c r="Y110" s="2"/>
      <c r="Z110" s="2"/>
    </row>
    <row r="111" customFormat="false" ht="12" hidden="false" customHeight="true" outlineLevel="0" collapsed="false">
      <c r="A111" s="2"/>
      <c r="B111" s="19"/>
      <c r="C111" s="19"/>
      <c r="D111" s="2"/>
      <c r="E111" s="2"/>
      <c r="F111" s="2"/>
      <c r="G111" s="2"/>
      <c r="H111" s="2"/>
      <c r="I111" s="2"/>
      <c r="J111" s="2"/>
      <c r="K111" s="2"/>
      <c r="L111" s="19"/>
      <c r="M111" s="19"/>
      <c r="N111" s="2"/>
      <c r="O111" s="2"/>
      <c r="P111" s="2"/>
      <c r="Q111" s="2"/>
      <c r="R111" s="2"/>
      <c r="S111" s="2"/>
      <c r="T111" s="2"/>
      <c r="U111" s="2"/>
      <c r="V111" s="2"/>
      <c r="W111" s="2"/>
      <c r="X111" s="2"/>
      <c r="Y111" s="2"/>
      <c r="Z111" s="2"/>
    </row>
    <row r="112" customFormat="false" ht="12" hidden="false" customHeight="true" outlineLevel="0" collapsed="false">
      <c r="A112" s="2"/>
      <c r="B112" s="19"/>
      <c r="C112" s="19"/>
      <c r="D112" s="2"/>
      <c r="E112" s="2"/>
      <c r="F112" s="2"/>
      <c r="G112" s="2"/>
      <c r="H112" s="2"/>
      <c r="I112" s="2"/>
      <c r="J112" s="2"/>
      <c r="K112" s="2"/>
      <c r="L112" s="19"/>
      <c r="M112" s="19"/>
      <c r="N112" s="2"/>
      <c r="O112" s="2"/>
      <c r="P112" s="2"/>
      <c r="Q112" s="2"/>
      <c r="R112" s="2"/>
      <c r="S112" s="2"/>
      <c r="T112" s="2"/>
      <c r="U112" s="2"/>
      <c r="V112" s="2"/>
      <c r="W112" s="2"/>
      <c r="X112" s="2"/>
      <c r="Y112" s="2"/>
      <c r="Z112" s="2"/>
    </row>
    <row r="113" customFormat="false" ht="12" hidden="false" customHeight="true" outlineLevel="0" collapsed="false">
      <c r="A113" s="2"/>
      <c r="B113" s="19"/>
      <c r="C113" s="19"/>
      <c r="D113" s="2"/>
      <c r="E113" s="2"/>
      <c r="F113" s="2"/>
      <c r="G113" s="2"/>
      <c r="H113" s="2"/>
      <c r="I113" s="2"/>
      <c r="J113" s="2"/>
      <c r="K113" s="2"/>
      <c r="L113" s="19"/>
      <c r="M113" s="19"/>
      <c r="N113" s="2"/>
      <c r="O113" s="2"/>
      <c r="P113" s="2"/>
      <c r="Q113" s="2"/>
      <c r="R113" s="2"/>
      <c r="S113" s="2"/>
      <c r="T113" s="2"/>
      <c r="U113" s="2"/>
      <c r="V113" s="2"/>
      <c r="W113" s="2"/>
      <c r="X113" s="2"/>
      <c r="Y113" s="2"/>
      <c r="Z113" s="2"/>
    </row>
    <row r="114" customFormat="false" ht="12" hidden="false" customHeight="true" outlineLevel="0" collapsed="false">
      <c r="A114" s="2"/>
      <c r="B114" s="19"/>
      <c r="C114" s="19"/>
      <c r="D114" s="2"/>
      <c r="E114" s="2"/>
      <c r="F114" s="2"/>
      <c r="G114" s="2"/>
      <c r="H114" s="2"/>
      <c r="I114" s="2"/>
      <c r="J114" s="2"/>
      <c r="K114" s="2"/>
      <c r="L114" s="19"/>
      <c r="M114" s="19"/>
      <c r="N114" s="2"/>
      <c r="O114" s="2"/>
      <c r="P114" s="2"/>
      <c r="Q114" s="2"/>
      <c r="R114" s="2"/>
      <c r="S114" s="2"/>
      <c r="T114" s="2"/>
      <c r="U114" s="2"/>
      <c r="V114" s="2"/>
      <c r="W114" s="2"/>
      <c r="X114" s="2"/>
      <c r="Y114" s="2"/>
      <c r="Z114" s="2"/>
    </row>
    <row r="115" customFormat="false" ht="12" hidden="false" customHeight="true" outlineLevel="0" collapsed="false">
      <c r="A115" s="2"/>
      <c r="B115" s="19"/>
      <c r="C115" s="19"/>
      <c r="D115" s="2"/>
      <c r="E115" s="2"/>
      <c r="F115" s="2"/>
      <c r="G115" s="2"/>
      <c r="H115" s="2"/>
      <c r="I115" s="2"/>
      <c r="J115" s="2"/>
      <c r="K115" s="2"/>
      <c r="L115" s="19"/>
      <c r="M115" s="19"/>
      <c r="N115" s="2"/>
      <c r="O115" s="2"/>
      <c r="P115" s="2"/>
      <c r="Q115" s="2"/>
      <c r="R115" s="2"/>
      <c r="S115" s="2"/>
      <c r="T115" s="2"/>
      <c r="U115" s="2"/>
      <c r="V115" s="2"/>
      <c r="W115" s="2"/>
      <c r="X115" s="2"/>
      <c r="Y115" s="2"/>
      <c r="Z115" s="2"/>
    </row>
    <row r="116" customFormat="false" ht="12" hidden="false" customHeight="true" outlineLevel="0" collapsed="false">
      <c r="A116" s="2"/>
      <c r="B116" s="19"/>
      <c r="C116" s="19"/>
      <c r="D116" s="2"/>
      <c r="E116" s="2"/>
      <c r="F116" s="2"/>
      <c r="G116" s="2"/>
      <c r="H116" s="2"/>
      <c r="I116" s="2"/>
      <c r="J116" s="2"/>
      <c r="K116" s="2"/>
      <c r="L116" s="19"/>
      <c r="M116" s="19"/>
      <c r="N116" s="2"/>
      <c r="O116" s="2"/>
      <c r="P116" s="2"/>
      <c r="Q116" s="2"/>
      <c r="R116" s="2"/>
      <c r="S116" s="2"/>
      <c r="T116" s="2"/>
      <c r="U116" s="2"/>
      <c r="V116" s="2"/>
      <c r="W116" s="2"/>
      <c r="X116" s="2"/>
      <c r="Y116" s="2"/>
      <c r="Z116" s="2"/>
    </row>
    <row r="117" customFormat="false" ht="12" hidden="false" customHeight="true" outlineLevel="0" collapsed="false">
      <c r="A117" s="2"/>
      <c r="B117" s="19"/>
      <c r="C117" s="19"/>
      <c r="D117" s="2"/>
      <c r="E117" s="2"/>
      <c r="F117" s="2"/>
      <c r="G117" s="2"/>
      <c r="H117" s="2"/>
      <c r="I117" s="2"/>
      <c r="J117" s="2"/>
      <c r="K117" s="2"/>
      <c r="L117" s="19"/>
      <c r="M117" s="19"/>
      <c r="N117" s="2"/>
      <c r="O117" s="2"/>
      <c r="P117" s="2"/>
      <c r="Q117" s="2"/>
      <c r="R117" s="2"/>
      <c r="S117" s="2"/>
      <c r="T117" s="2"/>
      <c r="U117" s="2"/>
      <c r="V117" s="2"/>
      <c r="W117" s="2"/>
      <c r="X117" s="2"/>
      <c r="Y117" s="2"/>
      <c r="Z117" s="2"/>
    </row>
    <row r="118" customFormat="false" ht="12" hidden="false" customHeight="true" outlineLevel="0" collapsed="false">
      <c r="A118" s="2"/>
      <c r="B118" s="19"/>
      <c r="C118" s="19"/>
      <c r="D118" s="2"/>
      <c r="E118" s="2"/>
      <c r="F118" s="2"/>
      <c r="G118" s="2"/>
      <c r="H118" s="2"/>
      <c r="I118" s="2"/>
      <c r="J118" s="2"/>
      <c r="K118" s="2"/>
      <c r="L118" s="19"/>
      <c r="M118" s="19"/>
      <c r="N118" s="2"/>
      <c r="O118" s="2"/>
      <c r="P118" s="2"/>
      <c r="Q118" s="2"/>
      <c r="R118" s="2"/>
      <c r="S118" s="2"/>
      <c r="T118" s="2"/>
      <c r="U118" s="2"/>
      <c r="V118" s="2"/>
      <c r="W118" s="2"/>
      <c r="X118" s="2"/>
      <c r="Y118" s="2"/>
      <c r="Z118" s="2"/>
    </row>
    <row r="119" customFormat="false" ht="12" hidden="false" customHeight="true" outlineLevel="0" collapsed="false">
      <c r="A119" s="2"/>
      <c r="B119" s="19"/>
      <c r="C119" s="19"/>
      <c r="D119" s="2"/>
      <c r="E119" s="2"/>
      <c r="F119" s="2"/>
      <c r="G119" s="2"/>
      <c r="H119" s="2"/>
      <c r="I119" s="2"/>
      <c r="J119" s="2"/>
      <c r="K119" s="2"/>
      <c r="L119" s="19"/>
      <c r="M119" s="19"/>
      <c r="N119" s="2"/>
      <c r="O119" s="2"/>
      <c r="P119" s="2"/>
      <c r="Q119" s="2"/>
      <c r="R119" s="2"/>
      <c r="S119" s="2"/>
      <c r="T119" s="2"/>
      <c r="U119" s="2"/>
      <c r="V119" s="2"/>
      <c r="W119" s="2"/>
      <c r="X119" s="2"/>
      <c r="Y119" s="2"/>
      <c r="Z119" s="2"/>
    </row>
    <row r="120" customFormat="false" ht="12" hidden="false" customHeight="true" outlineLevel="0" collapsed="false">
      <c r="A120" s="2"/>
      <c r="B120" s="19"/>
      <c r="C120" s="19"/>
      <c r="D120" s="2"/>
      <c r="E120" s="2"/>
      <c r="F120" s="2"/>
      <c r="G120" s="2"/>
      <c r="H120" s="2"/>
      <c r="I120" s="2"/>
      <c r="J120" s="2"/>
      <c r="K120" s="2"/>
      <c r="L120" s="19"/>
      <c r="M120" s="19"/>
      <c r="N120" s="2"/>
      <c r="O120" s="2"/>
      <c r="P120" s="2"/>
      <c r="Q120" s="2"/>
      <c r="R120" s="2"/>
      <c r="S120" s="2"/>
      <c r="T120" s="2"/>
      <c r="U120" s="2"/>
      <c r="V120" s="2"/>
      <c r="W120" s="2"/>
      <c r="X120" s="2"/>
      <c r="Y120" s="2"/>
      <c r="Z120" s="2"/>
    </row>
    <row r="121" customFormat="false" ht="12" hidden="false" customHeight="true" outlineLevel="0" collapsed="false">
      <c r="A121" s="2"/>
      <c r="B121" s="19"/>
      <c r="C121" s="19"/>
      <c r="D121" s="2"/>
      <c r="E121" s="2"/>
      <c r="F121" s="2"/>
      <c r="G121" s="2"/>
      <c r="H121" s="2"/>
      <c r="I121" s="2"/>
      <c r="J121" s="2"/>
      <c r="K121" s="2"/>
      <c r="L121" s="19"/>
      <c r="M121" s="19"/>
      <c r="N121" s="2"/>
      <c r="O121" s="2"/>
      <c r="P121" s="2"/>
      <c r="Q121" s="2"/>
      <c r="R121" s="2"/>
      <c r="S121" s="2"/>
      <c r="T121" s="2"/>
      <c r="U121" s="2"/>
      <c r="V121" s="2"/>
      <c r="W121" s="2"/>
      <c r="X121" s="2"/>
      <c r="Y121" s="2"/>
      <c r="Z121" s="2"/>
    </row>
    <row r="122" customFormat="false" ht="12" hidden="false" customHeight="true" outlineLevel="0" collapsed="false">
      <c r="A122" s="2"/>
      <c r="B122" s="19"/>
      <c r="C122" s="19"/>
      <c r="D122" s="2"/>
      <c r="E122" s="2"/>
      <c r="F122" s="2"/>
      <c r="G122" s="2"/>
      <c r="H122" s="2"/>
      <c r="I122" s="2"/>
      <c r="J122" s="2"/>
      <c r="K122" s="2"/>
      <c r="L122" s="19"/>
      <c r="M122" s="19"/>
      <c r="N122" s="2"/>
      <c r="O122" s="2"/>
      <c r="P122" s="2"/>
      <c r="Q122" s="2"/>
      <c r="R122" s="2"/>
      <c r="S122" s="2"/>
      <c r="T122" s="2"/>
      <c r="U122" s="2"/>
      <c r="V122" s="2"/>
      <c r="W122" s="2"/>
      <c r="X122" s="2"/>
      <c r="Y122" s="2"/>
      <c r="Z122" s="2"/>
    </row>
    <row r="123" customFormat="false" ht="12" hidden="false" customHeight="true" outlineLevel="0" collapsed="false">
      <c r="A123" s="2"/>
      <c r="B123" s="19"/>
      <c r="C123" s="19"/>
      <c r="D123" s="2"/>
      <c r="E123" s="2"/>
      <c r="F123" s="2"/>
      <c r="G123" s="2"/>
      <c r="H123" s="2"/>
      <c r="I123" s="2"/>
      <c r="J123" s="2"/>
      <c r="K123" s="2"/>
      <c r="L123" s="19"/>
      <c r="M123" s="19"/>
      <c r="N123" s="2"/>
      <c r="O123" s="2"/>
      <c r="P123" s="2"/>
      <c r="Q123" s="2"/>
      <c r="R123" s="2"/>
      <c r="S123" s="2"/>
      <c r="T123" s="2"/>
      <c r="U123" s="2"/>
      <c r="V123" s="2"/>
      <c r="W123" s="2"/>
      <c r="X123" s="2"/>
      <c r="Y123" s="2"/>
      <c r="Z123" s="2"/>
    </row>
    <row r="124" customFormat="false" ht="12" hidden="false" customHeight="true" outlineLevel="0" collapsed="false">
      <c r="A124" s="2"/>
      <c r="B124" s="19"/>
      <c r="C124" s="19"/>
      <c r="D124" s="2"/>
      <c r="E124" s="2"/>
      <c r="F124" s="2"/>
      <c r="G124" s="2"/>
      <c r="H124" s="2"/>
      <c r="I124" s="2"/>
      <c r="J124" s="2"/>
      <c r="K124" s="2"/>
      <c r="L124" s="19"/>
      <c r="M124" s="19"/>
      <c r="N124" s="2"/>
      <c r="O124" s="2"/>
      <c r="P124" s="2"/>
      <c r="Q124" s="2"/>
      <c r="R124" s="2"/>
      <c r="S124" s="2"/>
      <c r="T124" s="2"/>
      <c r="U124" s="2"/>
      <c r="V124" s="2"/>
      <c r="W124" s="2"/>
      <c r="X124" s="2"/>
      <c r="Y124" s="2"/>
      <c r="Z124" s="2"/>
    </row>
    <row r="125" customFormat="false" ht="12" hidden="false" customHeight="true" outlineLevel="0" collapsed="false">
      <c r="A125" s="2"/>
      <c r="B125" s="19"/>
      <c r="C125" s="19"/>
      <c r="D125" s="2"/>
      <c r="E125" s="2"/>
      <c r="F125" s="2"/>
      <c r="G125" s="2"/>
      <c r="H125" s="2"/>
      <c r="I125" s="2"/>
      <c r="J125" s="2"/>
      <c r="K125" s="2"/>
      <c r="L125" s="19"/>
      <c r="M125" s="19"/>
      <c r="N125" s="2"/>
      <c r="O125" s="2"/>
      <c r="P125" s="2"/>
      <c r="Q125" s="2"/>
      <c r="R125" s="2"/>
      <c r="S125" s="2"/>
      <c r="T125" s="2"/>
      <c r="U125" s="2"/>
      <c r="V125" s="2"/>
      <c r="W125" s="2"/>
      <c r="X125" s="2"/>
      <c r="Y125" s="2"/>
      <c r="Z125" s="2"/>
    </row>
    <row r="126" customFormat="false" ht="12" hidden="false" customHeight="true" outlineLevel="0" collapsed="false">
      <c r="A126" s="2"/>
      <c r="B126" s="19"/>
      <c r="C126" s="19"/>
      <c r="D126" s="2"/>
      <c r="E126" s="2"/>
      <c r="F126" s="2"/>
      <c r="G126" s="2"/>
      <c r="H126" s="2"/>
      <c r="I126" s="2"/>
      <c r="J126" s="2"/>
      <c r="K126" s="2"/>
      <c r="L126" s="19"/>
      <c r="M126" s="19"/>
      <c r="N126" s="2"/>
      <c r="O126" s="2"/>
      <c r="P126" s="2"/>
      <c r="Q126" s="2"/>
      <c r="R126" s="2"/>
      <c r="S126" s="2"/>
      <c r="T126" s="2"/>
      <c r="U126" s="2"/>
      <c r="V126" s="2"/>
      <c r="W126" s="2"/>
      <c r="X126" s="2"/>
      <c r="Y126" s="2"/>
      <c r="Z126" s="2"/>
    </row>
    <row r="127" customFormat="false" ht="12" hidden="false" customHeight="true" outlineLevel="0" collapsed="false">
      <c r="A127" s="2"/>
      <c r="B127" s="19"/>
      <c r="C127" s="19"/>
      <c r="D127" s="2"/>
      <c r="E127" s="2"/>
      <c r="F127" s="2"/>
      <c r="G127" s="2"/>
      <c r="H127" s="2"/>
      <c r="I127" s="2"/>
      <c r="J127" s="2"/>
      <c r="K127" s="2"/>
      <c r="L127" s="19"/>
      <c r="M127" s="19"/>
      <c r="N127" s="2"/>
      <c r="O127" s="2"/>
      <c r="P127" s="2"/>
      <c r="Q127" s="2"/>
      <c r="R127" s="2"/>
      <c r="S127" s="2"/>
      <c r="T127" s="2"/>
      <c r="U127" s="2"/>
      <c r="V127" s="2"/>
      <c r="W127" s="2"/>
      <c r="X127" s="2"/>
      <c r="Y127" s="2"/>
      <c r="Z127" s="2"/>
    </row>
    <row r="128" customFormat="false" ht="12" hidden="false" customHeight="true" outlineLevel="0" collapsed="false">
      <c r="A128" s="2"/>
      <c r="B128" s="19"/>
      <c r="C128" s="19"/>
      <c r="D128" s="2"/>
      <c r="E128" s="2"/>
      <c r="F128" s="2"/>
      <c r="G128" s="2"/>
      <c r="H128" s="2"/>
      <c r="I128" s="2"/>
      <c r="J128" s="2"/>
      <c r="K128" s="2"/>
      <c r="L128" s="19"/>
      <c r="M128" s="19"/>
      <c r="N128" s="2"/>
      <c r="O128" s="2"/>
      <c r="P128" s="2"/>
      <c r="Q128" s="2"/>
      <c r="R128" s="2"/>
      <c r="S128" s="2"/>
      <c r="T128" s="2"/>
      <c r="U128" s="2"/>
      <c r="V128" s="2"/>
      <c r="W128" s="2"/>
      <c r="X128" s="2"/>
      <c r="Y128" s="2"/>
      <c r="Z128" s="2"/>
    </row>
    <row r="129" customFormat="false" ht="12" hidden="false" customHeight="true" outlineLevel="0" collapsed="false">
      <c r="A129" s="2"/>
      <c r="B129" s="19"/>
      <c r="C129" s="19"/>
      <c r="D129" s="2"/>
      <c r="E129" s="2"/>
      <c r="F129" s="2"/>
      <c r="G129" s="2"/>
      <c r="H129" s="2"/>
      <c r="I129" s="2"/>
      <c r="J129" s="2"/>
      <c r="K129" s="2"/>
      <c r="L129" s="19"/>
      <c r="M129" s="19"/>
      <c r="N129" s="2"/>
      <c r="O129" s="2"/>
      <c r="P129" s="2"/>
      <c r="Q129" s="2"/>
      <c r="R129" s="2"/>
      <c r="S129" s="2"/>
      <c r="T129" s="2"/>
      <c r="U129" s="2"/>
      <c r="V129" s="2"/>
      <c r="W129" s="2"/>
      <c r="X129" s="2"/>
      <c r="Y129" s="2"/>
      <c r="Z129" s="2"/>
    </row>
    <row r="130" customFormat="false" ht="12" hidden="false" customHeight="true" outlineLevel="0" collapsed="false">
      <c r="A130" s="2"/>
      <c r="B130" s="19"/>
      <c r="C130" s="19"/>
      <c r="D130" s="2"/>
      <c r="E130" s="2"/>
      <c r="F130" s="2"/>
      <c r="G130" s="2"/>
      <c r="H130" s="2"/>
      <c r="I130" s="2"/>
      <c r="J130" s="2"/>
      <c r="K130" s="2"/>
      <c r="L130" s="19"/>
      <c r="M130" s="19"/>
      <c r="N130" s="2"/>
      <c r="O130" s="2"/>
      <c r="P130" s="2"/>
      <c r="Q130" s="2"/>
      <c r="R130" s="2"/>
      <c r="S130" s="2"/>
      <c r="T130" s="2"/>
      <c r="U130" s="2"/>
      <c r="V130" s="2"/>
      <c r="W130" s="2"/>
      <c r="X130" s="2"/>
      <c r="Y130" s="2"/>
      <c r="Z130" s="2"/>
    </row>
    <row r="131" customFormat="false" ht="12" hidden="false" customHeight="true" outlineLevel="0" collapsed="false">
      <c r="A131" s="2"/>
      <c r="B131" s="19"/>
      <c r="C131" s="19"/>
      <c r="D131" s="2"/>
      <c r="E131" s="2"/>
      <c r="F131" s="2"/>
      <c r="G131" s="2"/>
      <c r="H131" s="2"/>
      <c r="I131" s="2"/>
      <c r="J131" s="2"/>
      <c r="K131" s="2"/>
      <c r="L131" s="19"/>
      <c r="M131" s="19"/>
      <c r="N131" s="2"/>
      <c r="O131" s="2"/>
      <c r="P131" s="2"/>
      <c r="Q131" s="2"/>
      <c r="R131" s="2"/>
      <c r="S131" s="2"/>
      <c r="T131" s="2"/>
      <c r="U131" s="2"/>
      <c r="V131" s="2"/>
      <c r="W131" s="2"/>
      <c r="X131" s="2"/>
      <c r="Y131" s="2"/>
      <c r="Z131" s="2"/>
    </row>
    <row r="132" customFormat="false" ht="12" hidden="false" customHeight="true" outlineLevel="0" collapsed="false">
      <c r="A132" s="2"/>
      <c r="B132" s="19"/>
      <c r="C132" s="19"/>
      <c r="D132" s="2"/>
      <c r="E132" s="2"/>
      <c r="F132" s="2"/>
      <c r="G132" s="2"/>
      <c r="H132" s="2"/>
      <c r="I132" s="2"/>
      <c r="J132" s="2"/>
      <c r="K132" s="2"/>
      <c r="L132" s="19"/>
      <c r="M132" s="19"/>
      <c r="N132" s="2"/>
      <c r="O132" s="2"/>
      <c r="P132" s="2"/>
      <c r="Q132" s="2"/>
      <c r="R132" s="2"/>
      <c r="S132" s="2"/>
      <c r="T132" s="2"/>
      <c r="U132" s="2"/>
      <c r="V132" s="2"/>
      <c r="W132" s="2"/>
      <c r="X132" s="2"/>
      <c r="Y132" s="2"/>
      <c r="Z132" s="2"/>
    </row>
    <row r="133" customFormat="false" ht="12" hidden="false" customHeight="true" outlineLevel="0" collapsed="false">
      <c r="A133" s="2"/>
      <c r="B133" s="19"/>
      <c r="C133" s="19"/>
      <c r="D133" s="2"/>
      <c r="E133" s="2"/>
      <c r="F133" s="2"/>
      <c r="G133" s="2"/>
      <c r="H133" s="2"/>
      <c r="I133" s="2"/>
      <c r="J133" s="2"/>
      <c r="K133" s="2"/>
      <c r="L133" s="19"/>
      <c r="M133" s="19"/>
      <c r="N133" s="2"/>
      <c r="O133" s="2"/>
      <c r="P133" s="2"/>
      <c r="Q133" s="2"/>
      <c r="R133" s="2"/>
      <c r="S133" s="2"/>
      <c r="T133" s="2"/>
      <c r="U133" s="2"/>
      <c r="V133" s="2"/>
      <c r="W133" s="2"/>
      <c r="X133" s="2"/>
      <c r="Y133" s="2"/>
      <c r="Z133" s="2"/>
    </row>
    <row r="134" customFormat="false" ht="12" hidden="false" customHeight="true" outlineLevel="0" collapsed="false">
      <c r="A134" s="2"/>
      <c r="B134" s="19"/>
      <c r="C134" s="19"/>
      <c r="D134" s="2"/>
      <c r="E134" s="2"/>
      <c r="F134" s="2"/>
      <c r="G134" s="2"/>
      <c r="H134" s="2"/>
      <c r="I134" s="2"/>
      <c r="J134" s="2"/>
      <c r="K134" s="2"/>
      <c r="L134" s="19"/>
      <c r="M134" s="19"/>
      <c r="N134" s="2"/>
      <c r="O134" s="2"/>
      <c r="P134" s="2"/>
      <c r="Q134" s="2"/>
      <c r="R134" s="2"/>
      <c r="S134" s="2"/>
      <c r="T134" s="2"/>
      <c r="U134" s="2"/>
      <c r="V134" s="2"/>
      <c r="W134" s="2"/>
      <c r="X134" s="2"/>
      <c r="Y134" s="2"/>
      <c r="Z134" s="2"/>
    </row>
    <row r="135" customFormat="false" ht="12" hidden="false" customHeight="true" outlineLevel="0" collapsed="false">
      <c r="A135" s="2"/>
      <c r="B135" s="19"/>
      <c r="C135" s="19"/>
      <c r="D135" s="2"/>
      <c r="E135" s="2"/>
      <c r="F135" s="2"/>
      <c r="G135" s="2"/>
      <c r="H135" s="2"/>
      <c r="I135" s="2"/>
      <c r="J135" s="2"/>
      <c r="K135" s="2"/>
      <c r="L135" s="19"/>
      <c r="M135" s="19"/>
      <c r="N135" s="2"/>
      <c r="O135" s="2"/>
      <c r="P135" s="2"/>
      <c r="Q135" s="2"/>
      <c r="R135" s="2"/>
      <c r="S135" s="2"/>
      <c r="T135" s="2"/>
      <c r="U135" s="2"/>
      <c r="V135" s="2"/>
      <c r="W135" s="2"/>
      <c r="X135" s="2"/>
      <c r="Y135" s="2"/>
      <c r="Z135" s="2"/>
    </row>
    <row r="136" customFormat="false" ht="12" hidden="false" customHeight="true" outlineLevel="0" collapsed="false">
      <c r="A136" s="2"/>
      <c r="B136" s="19"/>
      <c r="C136" s="19"/>
      <c r="D136" s="2"/>
      <c r="E136" s="2"/>
      <c r="F136" s="2"/>
      <c r="G136" s="2"/>
      <c r="H136" s="2"/>
      <c r="I136" s="2"/>
      <c r="J136" s="2"/>
      <c r="K136" s="2"/>
      <c r="L136" s="19"/>
      <c r="M136" s="19"/>
      <c r="N136" s="2"/>
      <c r="O136" s="2"/>
      <c r="P136" s="2"/>
      <c r="Q136" s="2"/>
      <c r="R136" s="2"/>
      <c r="S136" s="2"/>
      <c r="T136" s="2"/>
      <c r="U136" s="2"/>
      <c r="V136" s="2"/>
      <c r="W136" s="2"/>
      <c r="X136" s="2"/>
      <c r="Y136" s="2"/>
      <c r="Z136" s="2"/>
    </row>
    <row r="137" customFormat="false" ht="12" hidden="false" customHeight="true" outlineLevel="0" collapsed="false">
      <c r="A137" s="2"/>
      <c r="B137" s="19"/>
      <c r="C137" s="19"/>
      <c r="D137" s="2"/>
      <c r="E137" s="2"/>
      <c r="F137" s="2"/>
      <c r="G137" s="2"/>
      <c r="H137" s="2"/>
      <c r="I137" s="2"/>
      <c r="J137" s="2"/>
      <c r="K137" s="2"/>
      <c r="L137" s="19"/>
      <c r="M137" s="19"/>
      <c r="N137" s="2"/>
      <c r="O137" s="2"/>
      <c r="P137" s="2"/>
      <c r="Q137" s="2"/>
      <c r="R137" s="2"/>
      <c r="S137" s="2"/>
      <c r="T137" s="2"/>
      <c r="U137" s="2"/>
      <c r="V137" s="2"/>
      <c r="W137" s="2"/>
      <c r="X137" s="2"/>
      <c r="Y137" s="2"/>
      <c r="Z137" s="2"/>
    </row>
    <row r="138" customFormat="false" ht="12" hidden="false" customHeight="true" outlineLevel="0" collapsed="false">
      <c r="A138" s="2"/>
      <c r="B138" s="19"/>
      <c r="C138" s="19"/>
      <c r="D138" s="2"/>
      <c r="E138" s="2"/>
      <c r="F138" s="2"/>
      <c r="G138" s="2"/>
      <c r="H138" s="2"/>
      <c r="I138" s="2"/>
      <c r="J138" s="2"/>
      <c r="K138" s="2"/>
      <c r="L138" s="19"/>
      <c r="M138" s="19"/>
      <c r="N138" s="2"/>
      <c r="O138" s="2"/>
      <c r="P138" s="2"/>
      <c r="Q138" s="2"/>
      <c r="R138" s="2"/>
      <c r="S138" s="2"/>
      <c r="T138" s="2"/>
      <c r="U138" s="2"/>
      <c r="V138" s="2"/>
      <c r="W138" s="2"/>
      <c r="X138" s="2"/>
      <c r="Y138" s="2"/>
      <c r="Z138" s="2"/>
    </row>
    <row r="139" customFormat="false" ht="12" hidden="false" customHeight="true" outlineLevel="0" collapsed="false">
      <c r="A139" s="2"/>
      <c r="B139" s="19"/>
      <c r="C139" s="19"/>
      <c r="D139" s="2"/>
      <c r="E139" s="2"/>
      <c r="F139" s="2"/>
      <c r="G139" s="2"/>
      <c r="H139" s="2"/>
      <c r="I139" s="2"/>
      <c r="J139" s="2"/>
      <c r="K139" s="2"/>
      <c r="L139" s="19"/>
      <c r="M139" s="19"/>
      <c r="N139" s="2"/>
      <c r="O139" s="2"/>
      <c r="P139" s="2"/>
      <c r="Q139" s="2"/>
      <c r="R139" s="2"/>
      <c r="S139" s="2"/>
      <c r="T139" s="2"/>
      <c r="U139" s="2"/>
      <c r="V139" s="2"/>
      <c r="W139" s="2"/>
      <c r="X139" s="2"/>
      <c r="Y139" s="2"/>
      <c r="Z139" s="2"/>
    </row>
    <row r="140" customFormat="false" ht="12" hidden="false" customHeight="true" outlineLevel="0" collapsed="false">
      <c r="A140" s="2"/>
      <c r="B140" s="19"/>
      <c r="C140" s="19"/>
      <c r="D140" s="2"/>
      <c r="E140" s="2"/>
      <c r="F140" s="2"/>
      <c r="G140" s="2"/>
      <c r="H140" s="2"/>
      <c r="I140" s="2"/>
      <c r="J140" s="2"/>
      <c r="K140" s="2"/>
      <c r="L140" s="19"/>
      <c r="M140" s="19"/>
      <c r="N140" s="2"/>
      <c r="O140" s="2"/>
      <c r="P140" s="2"/>
      <c r="Q140" s="2"/>
      <c r="R140" s="2"/>
      <c r="S140" s="2"/>
      <c r="T140" s="2"/>
      <c r="U140" s="2"/>
      <c r="V140" s="2"/>
      <c r="W140" s="2"/>
      <c r="X140" s="2"/>
      <c r="Y140" s="2"/>
      <c r="Z140" s="2"/>
    </row>
    <row r="141" customFormat="false" ht="12" hidden="false" customHeight="true" outlineLevel="0" collapsed="false">
      <c r="A141" s="2"/>
      <c r="B141" s="19"/>
      <c r="C141" s="19"/>
      <c r="D141" s="2"/>
      <c r="E141" s="2"/>
      <c r="F141" s="2"/>
      <c r="G141" s="2"/>
      <c r="H141" s="2"/>
      <c r="I141" s="2"/>
      <c r="J141" s="2"/>
      <c r="K141" s="2"/>
      <c r="L141" s="19"/>
      <c r="M141" s="19"/>
      <c r="N141" s="2"/>
      <c r="O141" s="2"/>
      <c r="P141" s="2"/>
      <c r="Q141" s="2"/>
      <c r="R141" s="2"/>
      <c r="S141" s="2"/>
      <c r="T141" s="2"/>
      <c r="U141" s="2"/>
      <c r="V141" s="2"/>
      <c r="W141" s="2"/>
      <c r="X141" s="2"/>
      <c r="Y141" s="2"/>
      <c r="Z141" s="2"/>
    </row>
    <row r="142" customFormat="false" ht="12" hidden="false" customHeight="true" outlineLevel="0" collapsed="false">
      <c r="A142" s="2"/>
      <c r="B142" s="19"/>
      <c r="C142" s="19"/>
      <c r="D142" s="2"/>
      <c r="E142" s="2"/>
      <c r="F142" s="2"/>
      <c r="G142" s="2"/>
      <c r="H142" s="2"/>
      <c r="I142" s="2"/>
      <c r="J142" s="2"/>
      <c r="K142" s="2"/>
      <c r="L142" s="19"/>
      <c r="M142" s="19"/>
      <c r="N142" s="2"/>
      <c r="O142" s="2"/>
      <c r="P142" s="2"/>
      <c r="Q142" s="2"/>
      <c r="R142" s="2"/>
      <c r="S142" s="2"/>
      <c r="T142" s="2"/>
      <c r="U142" s="2"/>
      <c r="V142" s="2"/>
      <c r="W142" s="2"/>
      <c r="X142" s="2"/>
      <c r="Y142" s="2"/>
      <c r="Z142" s="2"/>
    </row>
    <row r="143" customFormat="false" ht="12" hidden="false" customHeight="true" outlineLevel="0" collapsed="false">
      <c r="A143" s="2"/>
      <c r="B143" s="19"/>
      <c r="C143" s="19"/>
      <c r="D143" s="2"/>
      <c r="E143" s="2"/>
      <c r="F143" s="2"/>
      <c r="G143" s="2"/>
      <c r="H143" s="2"/>
      <c r="I143" s="2"/>
      <c r="J143" s="2"/>
      <c r="K143" s="2"/>
      <c r="L143" s="19"/>
      <c r="M143" s="19"/>
      <c r="N143" s="2"/>
      <c r="O143" s="2"/>
      <c r="P143" s="2"/>
      <c r="Q143" s="2"/>
      <c r="R143" s="2"/>
      <c r="S143" s="2"/>
      <c r="T143" s="2"/>
      <c r="U143" s="2"/>
      <c r="V143" s="2"/>
      <c r="W143" s="2"/>
      <c r="X143" s="2"/>
      <c r="Y143" s="2"/>
      <c r="Z143" s="2"/>
    </row>
    <row r="144" customFormat="false" ht="12" hidden="false" customHeight="true" outlineLevel="0" collapsed="false">
      <c r="A144" s="2"/>
      <c r="B144" s="19"/>
      <c r="C144" s="19"/>
      <c r="D144" s="2"/>
      <c r="E144" s="2"/>
      <c r="F144" s="2"/>
      <c r="G144" s="2"/>
      <c r="H144" s="2"/>
      <c r="I144" s="2"/>
      <c r="J144" s="2"/>
      <c r="K144" s="2"/>
      <c r="L144" s="19"/>
      <c r="M144" s="19"/>
      <c r="N144" s="2"/>
      <c r="O144" s="2"/>
      <c r="P144" s="2"/>
      <c r="Q144" s="2"/>
      <c r="R144" s="2"/>
      <c r="S144" s="2"/>
      <c r="T144" s="2"/>
      <c r="U144" s="2"/>
      <c r="V144" s="2"/>
      <c r="W144" s="2"/>
      <c r="X144" s="2"/>
      <c r="Y144" s="2"/>
      <c r="Z144" s="2"/>
    </row>
    <row r="145" customFormat="false" ht="12" hidden="false" customHeight="true" outlineLevel="0" collapsed="false">
      <c r="A145" s="2"/>
      <c r="B145" s="19"/>
      <c r="C145" s="19"/>
      <c r="D145" s="2"/>
      <c r="E145" s="2"/>
      <c r="F145" s="2"/>
      <c r="G145" s="2"/>
      <c r="H145" s="2"/>
      <c r="I145" s="2"/>
      <c r="J145" s="2"/>
      <c r="K145" s="2"/>
      <c r="L145" s="19"/>
      <c r="M145" s="19"/>
      <c r="N145" s="2"/>
      <c r="O145" s="2"/>
      <c r="P145" s="2"/>
      <c r="Q145" s="2"/>
      <c r="R145" s="2"/>
      <c r="S145" s="2"/>
      <c r="T145" s="2"/>
      <c r="U145" s="2"/>
      <c r="V145" s="2"/>
      <c r="W145" s="2"/>
      <c r="X145" s="2"/>
      <c r="Y145" s="2"/>
      <c r="Z145" s="2"/>
    </row>
    <row r="146" customFormat="false" ht="12" hidden="false" customHeight="true" outlineLevel="0" collapsed="false">
      <c r="A146" s="2"/>
      <c r="B146" s="19"/>
      <c r="C146" s="19"/>
      <c r="D146" s="2"/>
      <c r="E146" s="2"/>
      <c r="F146" s="2"/>
      <c r="G146" s="2"/>
      <c r="H146" s="2"/>
      <c r="I146" s="2"/>
      <c r="J146" s="2"/>
      <c r="K146" s="2"/>
      <c r="L146" s="19"/>
      <c r="M146" s="19"/>
      <c r="N146" s="2"/>
      <c r="O146" s="2"/>
      <c r="P146" s="2"/>
      <c r="Q146" s="2"/>
      <c r="R146" s="2"/>
      <c r="S146" s="2"/>
      <c r="T146" s="2"/>
      <c r="U146" s="2"/>
      <c r="V146" s="2"/>
      <c r="W146" s="2"/>
      <c r="X146" s="2"/>
      <c r="Y146" s="2"/>
      <c r="Z146" s="2"/>
    </row>
    <row r="147" customFormat="false" ht="12" hidden="false" customHeight="true" outlineLevel="0" collapsed="false">
      <c r="A147" s="2"/>
      <c r="B147" s="19"/>
      <c r="C147" s="19"/>
      <c r="D147" s="2"/>
      <c r="E147" s="2"/>
      <c r="F147" s="2"/>
      <c r="G147" s="2"/>
      <c r="H147" s="2"/>
      <c r="I147" s="2"/>
      <c r="J147" s="2"/>
      <c r="K147" s="2"/>
      <c r="L147" s="19"/>
      <c r="M147" s="19"/>
      <c r="N147" s="2"/>
      <c r="O147" s="2"/>
      <c r="P147" s="2"/>
      <c r="Q147" s="2"/>
      <c r="R147" s="2"/>
      <c r="S147" s="2"/>
      <c r="T147" s="2"/>
      <c r="U147" s="2"/>
      <c r="V147" s="2"/>
      <c r="W147" s="2"/>
      <c r="X147" s="2"/>
      <c r="Y147" s="2"/>
      <c r="Z147" s="2"/>
    </row>
    <row r="148" customFormat="false" ht="12" hidden="false" customHeight="true" outlineLevel="0" collapsed="false">
      <c r="A148" s="2"/>
      <c r="B148" s="19"/>
      <c r="C148" s="19"/>
      <c r="D148" s="2"/>
      <c r="E148" s="2"/>
      <c r="F148" s="2"/>
      <c r="G148" s="2"/>
      <c r="H148" s="2"/>
      <c r="I148" s="2"/>
      <c r="J148" s="2"/>
      <c r="K148" s="2"/>
      <c r="L148" s="19"/>
      <c r="M148" s="19"/>
      <c r="N148" s="2"/>
      <c r="O148" s="2"/>
      <c r="P148" s="2"/>
      <c r="Q148" s="2"/>
      <c r="R148" s="2"/>
      <c r="S148" s="2"/>
      <c r="T148" s="2"/>
      <c r="U148" s="2"/>
      <c r="V148" s="2"/>
      <c r="W148" s="2"/>
      <c r="X148" s="2"/>
      <c r="Y148" s="2"/>
      <c r="Z148" s="2"/>
    </row>
    <row r="149" customFormat="false" ht="12" hidden="false" customHeight="true" outlineLevel="0" collapsed="false">
      <c r="A149" s="2"/>
      <c r="B149" s="19"/>
      <c r="C149" s="19"/>
      <c r="D149" s="2"/>
      <c r="E149" s="2"/>
      <c r="F149" s="2"/>
      <c r="G149" s="2"/>
      <c r="H149" s="2"/>
      <c r="I149" s="2"/>
      <c r="J149" s="2"/>
      <c r="K149" s="2"/>
      <c r="L149" s="19"/>
      <c r="M149" s="19"/>
      <c r="N149" s="2"/>
      <c r="O149" s="2"/>
      <c r="P149" s="2"/>
      <c r="Q149" s="2"/>
      <c r="R149" s="2"/>
      <c r="S149" s="2"/>
      <c r="T149" s="2"/>
      <c r="U149" s="2"/>
      <c r="V149" s="2"/>
      <c r="W149" s="2"/>
      <c r="X149" s="2"/>
      <c r="Y149" s="2"/>
      <c r="Z149" s="2"/>
    </row>
    <row r="150" customFormat="false" ht="12" hidden="false" customHeight="true" outlineLevel="0" collapsed="false">
      <c r="A150" s="2"/>
      <c r="B150" s="19"/>
      <c r="C150" s="19"/>
      <c r="D150" s="2"/>
      <c r="E150" s="2"/>
      <c r="F150" s="2"/>
      <c r="G150" s="2"/>
      <c r="H150" s="2"/>
      <c r="I150" s="2"/>
      <c r="J150" s="2"/>
      <c r="K150" s="2"/>
      <c r="L150" s="19"/>
      <c r="M150" s="19"/>
      <c r="N150" s="2"/>
      <c r="O150" s="2"/>
      <c r="P150" s="2"/>
      <c r="Q150" s="2"/>
      <c r="R150" s="2"/>
      <c r="S150" s="2"/>
      <c r="T150" s="2"/>
      <c r="U150" s="2"/>
      <c r="V150" s="2"/>
      <c r="W150" s="2"/>
      <c r="X150" s="2"/>
      <c r="Y150" s="2"/>
      <c r="Z150" s="2"/>
    </row>
    <row r="151" customFormat="false" ht="12" hidden="false" customHeight="true" outlineLevel="0" collapsed="false">
      <c r="A151" s="2"/>
      <c r="B151" s="19"/>
      <c r="C151" s="19"/>
      <c r="D151" s="2"/>
      <c r="E151" s="2"/>
      <c r="F151" s="2"/>
      <c r="G151" s="2"/>
      <c r="H151" s="2"/>
      <c r="I151" s="2"/>
      <c r="J151" s="2"/>
      <c r="K151" s="2"/>
      <c r="L151" s="19"/>
      <c r="M151" s="19"/>
      <c r="N151" s="2"/>
      <c r="O151" s="2"/>
      <c r="P151" s="2"/>
      <c r="Q151" s="2"/>
      <c r="R151" s="2"/>
      <c r="S151" s="2"/>
      <c r="T151" s="2"/>
      <c r="U151" s="2"/>
      <c r="V151" s="2"/>
      <c r="W151" s="2"/>
      <c r="X151" s="2"/>
      <c r="Y151" s="2"/>
      <c r="Z151" s="2"/>
    </row>
    <row r="152" customFormat="false" ht="12" hidden="false" customHeight="true" outlineLevel="0" collapsed="false">
      <c r="A152" s="2"/>
      <c r="B152" s="19"/>
      <c r="C152" s="19"/>
      <c r="D152" s="2"/>
      <c r="E152" s="2"/>
      <c r="F152" s="2"/>
      <c r="G152" s="2"/>
      <c r="H152" s="2"/>
      <c r="I152" s="2"/>
      <c r="J152" s="2"/>
      <c r="K152" s="2"/>
      <c r="L152" s="19"/>
      <c r="M152" s="19"/>
      <c r="N152" s="2"/>
      <c r="O152" s="2"/>
      <c r="P152" s="2"/>
      <c r="Q152" s="2"/>
      <c r="R152" s="2"/>
      <c r="S152" s="2"/>
      <c r="T152" s="2"/>
      <c r="U152" s="2"/>
      <c r="V152" s="2"/>
      <c r="W152" s="2"/>
      <c r="X152" s="2"/>
      <c r="Y152" s="2"/>
      <c r="Z152" s="2"/>
    </row>
    <row r="153" customFormat="false" ht="12" hidden="false" customHeight="true" outlineLevel="0" collapsed="false">
      <c r="A153" s="2"/>
      <c r="B153" s="19"/>
      <c r="C153" s="19"/>
      <c r="D153" s="2"/>
      <c r="E153" s="2"/>
      <c r="F153" s="2"/>
      <c r="G153" s="2"/>
      <c r="H153" s="2"/>
      <c r="I153" s="2"/>
      <c r="J153" s="2"/>
      <c r="K153" s="2"/>
      <c r="L153" s="19"/>
      <c r="M153" s="19"/>
      <c r="N153" s="2"/>
      <c r="O153" s="2"/>
      <c r="P153" s="2"/>
      <c r="Q153" s="2"/>
      <c r="R153" s="2"/>
      <c r="S153" s="2"/>
      <c r="T153" s="2"/>
      <c r="U153" s="2"/>
      <c r="V153" s="2"/>
      <c r="W153" s="2"/>
      <c r="X153" s="2"/>
      <c r="Y153" s="2"/>
      <c r="Z153" s="2"/>
    </row>
    <row r="154" customFormat="false" ht="12" hidden="false" customHeight="true" outlineLevel="0" collapsed="false">
      <c r="A154" s="2"/>
      <c r="B154" s="19"/>
      <c r="C154" s="19"/>
      <c r="D154" s="2"/>
      <c r="E154" s="2"/>
      <c r="F154" s="2"/>
      <c r="G154" s="2"/>
      <c r="H154" s="2"/>
      <c r="I154" s="2"/>
      <c r="J154" s="2"/>
      <c r="K154" s="2"/>
      <c r="L154" s="19"/>
      <c r="M154" s="19"/>
      <c r="N154" s="2"/>
      <c r="O154" s="2"/>
      <c r="P154" s="2"/>
      <c r="Q154" s="2"/>
      <c r="R154" s="2"/>
      <c r="S154" s="2"/>
      <c r="T154" s="2"/>
      <c r="U154" s="2"/>
      <c r="V154" s="2"/>
      <c r="W154" s="2"/>
      <c r="X154" s="2"/>
      <c r="Y154" s="2"/>
      <c r="Z154" s="2"/>
    </row>
    <row r="155" customFormat="false" ht="12" hidden="false" customHeight="true" outlineLevel="0" collapsed="false">
      <c r="A155" s="2"/>
      <c r="B155" s="19"/>
      <c r="C155" s="19"/>
      <c r="D155" s="2"/>
      <c r="E155" s="2"/>
      <c r="F155" s="2"/>
      <c r="G155" s="2"/>
      <c r="H155" s="2"/>
      <c r="I155" s="2"/>
      <c r="J155" s="2"/>
      <c r="K155" s="2"/>
      <c r="L155" s="19"/>
      <c r="M155" s="19"/>
      <c r="N155" s="2"/>
      <c r="O155" s="2"/>
      <c r="P155" s="2"/>
      <c r="Q155" s="2"/>
      <c r="R155" s="2"/>
      <c r="S155" s="2"/>
      <c r="T155" s="2"/>
      <c r="U155" s="2"/>
      <c r="V155" s="2"/>
      <c r="W155" s="2"/>
      <c r="X155" s="2"/>
      <c r="Y155" s="2"/>
      <c r="Z155" s="2"/>
    </row>
    <row r="156" customFormat="false" ht="12" hidden="false" customHeight="true" outlineLevel="0" collapsed="false">
      <c r="A156" s="2"/>
      <c r="B156" s="19"/>
      <c r="C156" s="19"/>
      <c r="D156" s="2"/>
      <c r="E156" s="2"/>
      <c r="F156" s="2"/>
      <c r="G156" s="2"/>
      <c r="H156" s="2"/>
      <c r="I156" s="2"/>
      <c r="J156" s="2"/>
      <c r="K156" s="2"/>
      <c r="L156" s="19"/>
      <c r="M156" s="19"/>
      <c r="N156" s="2"/>
      <c r="O156" s="2"/>
      <c r="P156" s="2"/>
      <c r="Q156" s="2"/>
      <c r="R156" s="2"/>
      <c r="S156" s="2"/>
      <c r="T156" s="2"/>
      <c r="U156" s="2"/>
      <c r="V156" s="2"/>
      <c r="W156" s="2"/>
      <c r="X156" s="2"/>
      <c r="Y156" s="2"/>
      <c r="Z156" s="2"/>
    </row>
    <row r="157" customFormat="false" ht="12" hidden="false" customHeight="true" outlineLevel="0" collapsed="false">
      <c r="A157" s="2"/>
      <c r="B157" s="19"/>
      <c r="C157" s="19"/>
      <c r="D157" s="2"/>
      <c r="E157" s="2"/>
      <c r="F157" s="2"/>
      <c r="G157" s="2"/>
      <c r="H157" s="2"/>
      <c r="I157" s="2"/>
      <c r="J157" s="2"/>
      <c r="K157" s="2"/>
      <c r="L157" s="19"/>
      <c r="M157" s="19"/>
      <c r="N157" s="2"/>
      <c r="O157" s="2"/>
      <c r="P157" s="2"/>
      <c r="Q157" s="2"/>
      <c r="R157" s="2"/>
      <c r="S157" s="2"/>
      <c r="T157" s="2"/>
      <c r="U157" s="2"/>
      <c r="V157" s="2"/>
      <c r="W157" s="2"/>
      <c r="X157" s="2"/>
      <c r="Y157" s="2"/>
      <c r="Z157" s="2"/>
    </row>
    <row r="158" customFormat="false" ht="12" hidden="false" customHeight="true" outlineLevel="0" collapsed="false">
      <c r="A158" s="2"/>
      <c r="B158" s="19"/>
      <c r="C158" s="19"/>
      <c r="D158" s="2"/>
      <c r="E158" s="2"/>
      <c r="F158" s="2"/>
      <c r="G158" s="2"/>
      <c r="H158" s="2"/>
      <c r="I158" s="2"/>
      <c r="J158" s="2"/>
      <c r="K158" s="2"/>
      <c r="L158" s="19"/>
      <c r="M158" s="19"/>
      <c r="N158" s="2"/>
      <c r="O158" s="2"/>
      <c r="P158" s="2"/>
      <c r="Q158" s="2"/>
      <c r="R158" s="2"/>
      <c r="S158" s="2"/>
      <c r="T158" s="2"/>
      <c r="U158" s="2"/>
      <c r="V158" s="2"/>
      <c r="W158" s="2"/>
      <c r="X158" s="2"/>
      <c r="Y158" s="2"/>
      <c r="Z158" s="2"/>
    </row>
    <row r="159" customFormat="false" ht="12" hidden="false" customHeight="true" outlineLevel="0" collapsed="false">
      <c r="A159" s="2"/>
      <c r="B159" s="19"/>
      <c r="C159" s="19"/>
      <c r="D159" s="2"/>
      <c r="E159" s="2"/>
      <c r="F159" s="2"/>
      <c r="G159" s="2"/>
      <c r="H159" s="2"/>
      <c r="I159" s="2"/>
      <c r="J159" s="2"/>
      <c r="K159" s="2"/>
      <c r="L159" s="19"/>
      <c r="M159" s="19"/>
      <c r="N159" s="2"/>
      <c r="O159" s="2"/>
      <c r="P159" s="2"/>
      <c r="Q159" s="2"/>
      <c r="R159" s="2"/>
      <c r="S159" s="2"/>
      <c r="T159" s="2"/>
      <c r="U159" s="2"/>
      <c r="V159" s="2"/>
      <c r="W159" s="2"/>
      <c r="X159" s="2"/>
      <c r="Y159" s="2"/>
      <c r="Z159" s="2"/>
    </row>
    <row r="160" customFormat="false" ht="12" hidden="false" customHeight="true" outlineLevel="0" collapsed="false">
      <c r="A160" s="2"/>
      <c r="B160" s="19"/>
      <c r="C160" s="19"/>
      <c r="D160" s="2"/>
      <c r="E160" s="2"/>
      <c r="F160" s="2"/>
      <c r="G160" s="2"/>
      <c r="H160" s="2"/>
      <c r="I160" s="2"/>
      <c r="J160" s="2"/>
      <c r="K160" s="2"/>
      <c r="L160" s="19"/>
      <c r="M160" s="19"/>
      <c r="N160" s="2"/>
      <c r="O160" s="2"/>
      <c r="P160" s="2"/>
      <c r="Q160" s="2"/>
      <c r="R160" s="2"/>
      <c r="S160" s="2"/>
      <c r="T160" s="2"/>
      <c r="U160" s="2"/>
      <c r="V160" s="2"/>
      <c r="W160" s="2"/>
      <c r="X160" s="2"/>
      <c r="Y160" s="2"/>
      <c r="Z160" s="2"/>
    </row>
    <row r="161" customFormat="false" ht="12" hidden="false" customHeight="true" outlineLevel="0" collapsed="false">
      <c r="A161" s="2"/>
      <c r="B161" s="19"/>
      <c r="C161" s="19"/>
      <c r="D161" s="2"/>
      <c r="E161" s="2"/>
      <c r="F161" s="2"/>
      <c r="G161" s="2"/>
      <c r="H161" s="2"/>
      <c r="I161" s="2"/>
      <c r="J161" s="2"/>
      <c r="K161" s="2"/>
      <c r="L161" s="19"/>
      <c r="M161" s="19"/>
      <c r="N161" s="2"/>
      <c r="O161" s="2"/>
      <c r="P161" s="2"/>
      <c r="Q161" s="2"/>
      <c r="R161" s="2"/>
      <c r="S161" s="2"/>
      <c r="T161" s="2"/>
      <c r="U161" s="2"/>
      <c r="V161" s="2"/>
      <c r="W161" s="2"/>
      <c r="X161" s="2"/>
      <c r="Y161" s="2"/>
      <c r="Z161" s="2"/>
    </row>
    <row r="162" customFormat="false" ht="12" hidden="false" customHeight="true" outlineLevel="0" collapsed="false">
      <c r="A162" s="2"/>
      <c r="B162" s="19"/>
      <c r="C162" s="19"/>
      <c r="D162" s="2"/>
      <c r="E162" s="2"/>
      <c r="F162" s="2"/>
      <c r="G162" s="2"/>
      <c r="H162" s="2"/>
      <c r="I162" s="2"/>
      <c r="J162" s="2"/>
      <c r="K162" s="2"/>
      <c r="L162" s="19"/>
      <c r="M162" s="19"/>
      <c r="N162" s="2"/>
      <c r="O162" s="2"/>
      <c r="P162" s="2"/>
      <c r="Q162" s="2"/>
      <c r="R162" s="2"/>
      <c r="S162" s="2"/>
      <c r="T162" s="2"/>
      <c r="U162" s="2"/>
      <c r="V162" s="2"/>
      <c r="W162" s="2"/>
      <c r="X162" s="2"/>
      <c r="Y162" s="2"/>
      <c r="Z162" s="2"/>
    </row>
    <row r="163" customFormat="false" ht="12" hidden="false" customHeight="true" outlineLevel="0" collapsed="false">
      <c r="A163" s="2"/>
      <c r="B163" s="19"/>
      <c r="C163" s="19"/>
      <c r="D163" s="2"/>
      <c r="E163" s="2"/>
      <c r="F163" s="2"/>
      <c r="G163" s="2"/>
      <c r="H163" s="2"/>
      <c r="I163" s="2"/>
      <c r="J163" s="2"/>
      <c r="K163" s="2"/>
      <c r="L163" s="19"/>
      <c r="M163" s="19"/>
      <c r="N163" s="2"/>
      <c r="O163" s="2"/>
      <c r="P163" s="2"/>
      <c r="Q163" s="2"/>
      <c r="R163" s="2"/>
      <c r="S163" s="2"/>
      <c r="T163" s="2"/>
      <c r="U163" s="2"/>
      <c r="V163" s="2"/>
      <c r="W163" s="2"/>
      <c r="X163" s="2"/>
      <c r="Y163" s="2"/>
      <c r="Z163" s="2"/>
    </row>
    <row r="164" customFormat="false" ht="12" hidden="false" customHeight="true" outlineLevel="0" collapsed="false">
      <c r="A164" s="2"/>
      <c r="B164" s="19"/>
      <c r="C164" s="19"/>
      <c r="D164" s="2"/>
      <c r="E164" s="2"/>
      <c r="F164" s="2"/>
      <c r="G164" s="2"/>
      <c r="H164" s="2"/>
      <c r="I164" s="2"/>
      <c r="J164" s="2"/>
      <c r="K164" s="2"/>
      <c r="L164" s="19"/>
      <c r="M164" s="19"/>
      <c r="N164" s="2"/>
      <c r="O164" s="2"/>
      <c r="P164" s="2"/>
      <c r="Q164" s="2"/>
      <c r="R164" s="2"/>
      <c r="S164" s="2"/>
      <c r="T164" s="2"/>
      <c r="U164" s="2"/>
      <c r="V164" s="2"/>
      <c r="W164" s="2"/>
      <c r="X164" s="2"/>
      <c r="Y164" s="2"/>
      <c r="Z164" s="2"/>
    </row>
    <row r="165" customFormat="false" ht="12" hidden="false" customHeight="true" outlineLevel="0" collapsed="false">
      <c r="A165" s="2"/>
      <c r="B165" s="19"/>
      <c r="C165" s="19"/>
      <c r="D165" s="2"/>
      <c r="E165" s="2"/>
      <c r="F165" s="2"/>
      <c r="G165" s="2"/>
      <c r="H165" s="2"/>
      <c r="I165" s="2"/>
      <c r="J165" s="2"/>
      <c r="K165" s="2"/>
      <c r="L165" s="19"/>
      <c r="M165" s="19"/>
      <c r="N165" s="2"/>
      <c r="O165" s="2"/>
      <c r="P165" s="2"/>
      <c r="Q165" s="2"/>
      <c r="R165" s="2"/>
      <c r="S165" s="2"/>
      <c r="T165" s="2"/>
      <c r="U165" s="2"/>
      <c r="V165" s="2"/>
      <c r="W165" s="2"/>
      <c r="X165" s="2"/>
      <c r="Y165" s="2"/>
      <c r="Z165" s="2"/>
    </row>
    <row r="166" customFormat="false" ht="12" hidden="false" customHeight="true" outlineLevel="0" collapsed="false">
      <c r="A166" s="2"/>
      <c r="B166" s="19"/>
      <c r="C166" s="19"/>
      <c r="D166" s="2"/>
      <c r="E166" s="2"/>
      <c r="F166" s="2"/>
      <c r="G166" s="2"/>
      <c r="H166" s="2"/>
      <c r="I166" s="2"/>
      <c r="J166" s="2"/>
      <c r="K166" s="2"/>
      <c r="L166" s="19"/>
      <c r="M166" s="19"/>
      <c r="N166" s="2"/>
      <c r="O166" s="2"/>
      <c r="P166" s="2"/>
      <c r="Q166" s="2"/>
      <c r="R166" s="2"/>
      <c r="S166" s="2"/>
      <c r="T166" s="2"/>
      <c r="U166" s="2"/>
      <c r="V166" s="2"/>
      <c r="W166" s="2"/>
      <c r="X166" s="2"/>
      <c r="Y166" s="2"/>
      <c r="Z166" s="2"/>
    </row>
    <row r="167" customFormat="false" ht="12" hidden="false" customHeight="true" outlineLevel="0" collapsed="false">
      <c r="A167" s="2"/>
      <c r="B167" s="19"/>
      <c r="C167" s="19"/>
      <c r="D167" s="2"/>
      <c r="E167" s="2"/>
      <c r="F167" s="2"/>
      <c r="G167" s="2"/>
      <c r="H167" s="2"/>
      <c r="I167" s="2"/>
      <c r="J167" s="2"/>
      <c r="K167" s="2"/>
      <c r="L167" s="19"/>
      <c r="M167" s="19"/>
      <c r="N167" s="2"/>
      <c r="O167" s="2"/>
      <c r="P167" s="2"/>
      <c r="Q167" s="2"/>
      <c r="R167" s="2"/>
      <c r="S167" s="2"/>
      <c r="T167" s="2"/>
      <c r="U167" s="2"/>
      <c r="V167" s="2"/>
      <c r="W167" s="2"/>
      <c r="X167" s="2"/>
      <c r="Y167" s="2"/>
      <c r="Z167" s="2"/>
    </row>
    <row r="168" customFormat="false" ht="12" hidden="false" customHeight="true" outlineLevel="0" collapsed="false">
      <c r="A168" s="2"/>
      <c r="B168" s="19"/>
      <c r="C168" s="19"/>
      <c r="D168" s="2"/>
      <c r="E168" s="2"/>
      <c r="F168" s="2"/>
      <c r="G168" s="2"/>
      <c r="H168" s="2"/>
      <c r="I168" s="2"/>
      <c r="J168" s="2"/>
      <c r="K168" s="2"/>
      <c r="L168" s="19"/>
      <c r="M168" s="19"/>
      <c r="N168" s="2"/>
      <c r="O168" s="2"/>
      <c r="P168" s="2"/>
      <c r="Q168" s="2"/>
      <c r="R168" s="2"/>
      <c r="S168" s="2"/>
      <c r="T168" s="2"/>
      <c r="U168" s="2"/>
      <c r="V168" s="2"/>
      <c r="W168" s="2"/>
      <c r="X168" s="2"/>
      <c r="Y168" s="2"/>
      <c r="Z168" s="2"/>
    </row>
    <row r="169" customFormat="false" ht="12" hidden="false" customHeight="true" outlineLevel="0" collapsed="false">
      <c r="A169" s="2"/>
      <c r="B169" s="19"/>
      <c r="C169" s="19"/>
      <c r="D169" s="2"/>
      <c r="E169" s="2"/>
      <c r="F169" s="2"/>
      <c r="G169" s="2"/>
      <c r="H169" s="2"/>
      <c r="I169" s="2"/>
      <c r="J169" s="2"/>
      <c r="K169" s="2"/>
      <c r="L169" s="19"/>
      <c r="M169" s="19"/>
      <c r="N169" s="2"/>
      <c r="O169" s="2"/>
      <c r="P169" s="2"/>
      <c r="Q169" s="2"/>
      <c r="R169" s="2"/>
      <c r="S169" s="2"/>
      <c r="T169" s="2"/>
      <c r="U169" s="2"/>
      <c r="V169" s="2"/>
      <c r="W169" s="2"/>
      <c r="X169" s="2"/>
      <c r="Y169" s="2"/>
      <c r="Z169" s="2"/>
    </row>
    <row r="170" customFormat="false" ht="12" hidden="false" customHeight="true" outlineLevel="0" collapsed="false">
      <c r="A170" s="2"/>
      <c r="B170" s="19"/>
      <c r="C170" s="19"/>
      <c r="D170" s="2"/>
      <c r="E170" s="2"/>
      <c r="F170" s="2"/>
      <c r="G170" s="2"/>
      <c r="H170" s="2"/>
      <c r="I170" s="2"/>
      <c r="J170" s="2"/>
      <c r="K170" s="2"/>
      <c r="L170" s="19"/>
      <c r="M170" s="19"/>
      <c r="N170" s="2"/>
      <c r="O170" s="2"/>
      <c r="P170" s="2"/>
      <c r="Q170" s="2"/>
      <c r="R170" s="2"/>
      <c r="S170" s="2"/>
      <c r="T170" s="2"/>
      <c r="U170" s="2"/>
      <c r="V170" s="2"/>
      <c r="W170" s="2"/>
      <c r="X170" s="2"/>
      <c r="Y170" s="2"/>
      <c r="Z170" s="2"/>
    </row>
    <row r="171" customFormat="false" ht="12" hidden="false" customHeight="true" outlineLevel="0" collapsed="false">
      <c r="A171" s="2"/>
      <c r="B171" s="19"/>
      <c r="C171" s="19"/>
      <c r="D171" s="2"/>
      <c r="E171" s="2"/>
      <c r="F171" s="2"/>
      <c r="G171" s="2"/>
      <c r="H171" s="2"/>
      <c r="I171" s="2"/>
      <c r="J171" s="2"/>
      <c r="K171" s="2"/>
      <c r="L171" s="19"/>
      <c r="M171" s="19"/>
      <c r="N171" s="2"/>
      <c r="O171" s="2"/>
      <c r="P171" s="2"/>
      <c r="Q171" s="2"/>
      <c r="R171" s="2"/>
      <c r="S171" s="2"/>
      <c r="T171" s="2"/>
      <c r="U171" s="2"/>
      <c r="V171" s="2"/>
      <c r="W171" s="2"/>
      <c r="X171" s="2"/>
      <c r="Y171" s="2"/>
      <c r="Z171" s="2"/>
    </row>
    <row r="172" customFormat="false" ht="12" hidden="false" customHeight="true" outlineLevel="0" collapsed="false">
      <c r="A172" s="2"/>
      <c r="B172" s="19"/>
      <c r="C172" s="19"/>
      <c r="D172" s="2"/>
      <c r="E172" s="2"/>
      <c r="F172" s="2"/>
      <c r="G172" s="2"/>
      <c r="H172" s="2"/>
      <c r="I172" s="2"/>
      <c r="J172" s="2"/>
      <c r="K172" s="2"/>
      <c r="L172" s="19"/>
      <c r="M172" s="19"/>
      <c r="N172" s="2"/>
      <c r="O172" s="2"/>
      <c r="P172" s="2"/>
      <c r="Q172" s="2"/>
      <c r="R172" s="2"/>
      <c r="S172" s="2"/>
      <c r="T172" s="2"/>
      <c r="U172" s="2"/>
      <c r="V172" s="2"/>
      <c r="W172" s="2"/>
      <c r="X172" s="2"/>
      <c r="Y172" s="2"/>
      <c r="Z172" s="2"/>
    </row>
    <row r="173" customFormat="false" ht="12" hidden="false" customHeight="true" outlineLevel="0" collapsed="false">
      <c r="A173" s="2"/>
      <c r="B173" s="19"/>
      <c r="C173" s="19"/>
      <c r="D173" s="2"/>
      <c r="E173" s="2"/>
      <c r="F173" s="2"/>
      <c r="G173" s="2"/>
      <c r="H173" s="2"/>
      <c r="I173" s="2"/>
      <c r="J173" s="2"/>
      <c r="K173" s="2"/>
      <c r="L173" s="19"/>
      <c r="M173" s="19"/>
      <c r="N173" s="2"/>
      <c r="O173" s="2"/>
      <c r="P173" s="2"/>
      <c r="Q173" s="2"/>
      <c r="R173" s="2"/>
      <c r="S173" s="2"/>
      <c r="T173" s="2"/>
      <c r="U173" s="2"/>
      <c r="V173" s="2"/>
      <c r="W173" s="2"/>
      <c r="X173" s="2"/>
      <c r="Y173" s="2"/>
      <c r="Z173" s="2"/>
    </row>
    <row r="174" customFormat="false" ht="12" hidden="false" customHeight="true" outlineLevel="0" collapsed="false">
      <c r="A174" s="2"/>
      <c r="B174" s="19"/>
      <c r="C174" s="19"/>
      <c r="D174" s="2"/>
      <c r="E174" s="2"/>
      <c r="F174" s="2"/>
      <c r="G174" s="2"/>
      <c r="H174" s="2"/>
      <c r="I174" s="2"/>
      <c r="J174" s="2"/>
      <c r="K174" s="2"/>
      <c r="L174" s="19"/>
      <c r="M174" s="19"/>
      <c r="N174" s="2"/>
      <c r="O174" s="2"/>
      <c r="P174" s="2"/>
      <c r="Q174" s="2"/>
      <c r="R174" s="2"/>
      <c r="S174" s="2"/>
      <c r="T174" s="2"/>
      <c r="U174" s="2"/>
      <c r="V174" s="2"/>
      <c r="W174" s="2"/>
      <c r="X174" s="2"/>
      <c r="Y174" s="2"/>
      <c r="Z174" s="2"/>
    </row>
    <row r="175" customFormat="false" ht="12" hidden="false" customHeight="true" outlineLevel="0" collapsed="false">
      <c r="A175" s="2"/>
      <c r="B175" s="19"/>
      <c r="C175" s="19"/>
      <c r="D175" s="2"/>
      <c r="E175" s="2"/>
      <c r="F175" s="2"/>
      <c r="G175" s="2"/>
      <c r="H175" s="2"/>
      <c r="I175" s="2"/>
      <c r="J175" s="2"/>
      <c r="K175" s="2"/>
      <c r="L175" s="19"/>
      <c r="M175" s="19"/>
      <c r="N175" s="2"/>
      <c r="O175" s="2"/>
      <c r="P175" s="2"/>
      <c r="Q175" s="2"/>
      <c r="R175" s="2"/>
      <c r="S175" s="2"/>
      <c r="T175" s="2"/>
      <c r="U175" s="2"/>
      <c r="V175" s="2"/>
      <c r="W175" s="2"/>
      <c r="X175" s="2"/>
      <c r="Y175" s="2"/>
      <c r="Z175" s="2"/>
    </row>
    <row r="176" customFormat="false" ht="12" hidden="false" customHeight="true" outlineLevel="0" collapsed="false">
      <c r="A176" s="2"/>
      <c r="B176" s="19"/>
      <c r="C176" s="19"/>
      <c r="D176" s="2"/>
      <c r="E176" s="2"/>
      <c r="F176" s="2"/>
      <c r="G176" s="2"/>
      <c r="H176" s="2"/>
      <c r="I176" s="2"/>
      <c r="J176" s="2"/>
      <c r="K176" s="2"/>
      <c r="L176" s="19"/>
      <c r="M176" s="19"/>
      <c r="N176" s="2"/>
      <c r="O176" s="2"/>
      <c r="P176" s="2"/>
      <c r="Q176" s="2"/>
      <c r="R176" s="2"/>
      <c r="S176" s="2"/>
      <c r="T176" s="2"/>
      <c r="U176" s="2"/>
      <c r="V176" s="2"/>
      <c r="W176" s="2"/>
      <c r="X176" s="2"/>
      <c r="Y176" s="2"/>
      <c r="Z176" s="2"/>
    </row>
    <row r="177" customFormat="false" ht="12" hidden="false" customHeight="true" outlineLevel="0" collapsed="false">
      <c r="A177" s="2"/>
      <c r="B177" s="19"/>
      <c r="C177" s="19"/>
      <c r="D177" s="2"/>
      <c r="E177" s="2"/>
      <c r="F177" s="2"/>
      <c r="G177" s="2"/>
      <c r="H177" s="2"/>
      <c r="I177" s="2"/>
      <c r="J177" s="2"/>
      <c r="K177" s="2"/>
      <c r="L177" s="19"/>
      <c r="M177" s="19"/>
      <c r="N177" s="2"/>
      <c r="O177" s="2"/>
      <c r="P177" s="2"/>
      <c r="Q177" s="2"/>
      <c r="R177" s="2"/>
      <c r="S177" s="2"/>
      <c r="T177" s="2"/>
      <c r="U177" s="2"/>
      <c r="V177" s="2"/>
      <c r="W177" s="2"/>
      <c r="X177" s="2"/>
      <c r="Y177" s="2"/>
      <c r="Z177" s="2"/>
    </row>
    <row r="178" customFormat="false" ht="12" hidden="false" customHeight="true" outlineLevel="0" collapsed="false">
      <c r="A178" s="2"/>
      <c r="B178" s="19"/>
      <c r="C178" s="19"/>
      <c r="D178" s="2"/>
      <c r="E178" s="2"/>
      <c r="F178" s="2"/>
      <c r="G178" s="2"/>
      <c r="H178" s="2"/>
      <c r="I178" s="2"/>
      <c r="J178" s="2"/>
      <c r="K178" s="2"/>
      <c r="L178" s="19"/>
      <c r="M178" s="19"/>
      <c r="N178" s="2"/>
      <c r="O178" s="2"/>
      <c r="P178" s="2"/>
      <c r="Q178" s="2"/>
      <c r="R178" s="2"/>
      <c r="S178" s="2"/>
      <c r="T178" s="2"/>
      <c r="U178" s="2"/>
      <c r="V178" s="2"/>
      <c r="W178" s="2"/>
      <c r="X178" s="2"/>
      <c r="Y178" s="2"/>
      <c r="Z178" s="2"/>
    </row>
    <row r="179" customFormat="false" ht="12" hidden="false" customHeight="true" outlineLevel="0" collapsed="false">
      <c r="A179" s="2"/>
      <c r="B179" s="19"/>
      <c r="C179" s="19"/>
      <c r="D179" s="2"/>
      <c r="E179" s="2"/>
      <c r="F179" s="2"/>
      <c r="G179" s="2"/>
      <c r="H179" s="2"/>
      <c r="I179" s="2"/>
      <c r="J179" s="2"/>
      <c r="K179" s="2"/>
      <c r="L179" s="19"/>
      <c r="M179" s="19"/>
      <c r="N179" s="2"/>
      <c r="O179" s="2"/>
      <c r="P179" s="2"/>
      <c r="Q179" s="2"/>
      <c r="R179" s="2"/>
      <c r="S179" s="2"/>
      <c r="T179" s="2"/>
      <c r="U179" s="2"/>
      <c r="V179" s="2"/>
      <c r="W179" s="2"/>
      <c r="X179" s="2"/>
      <c r="Y179" s="2"/>
      <c r="Z179" s="2"/>
    </row>
    <row r="180" customFormat="false" ht="12" hidden="false" customHeight="true" outlineLevel="0" collapsed="false">
      <c r="A180" s="2"/>
      <c r="B180" s="19"/>
      <c r="C180" s="19"/>
      <c r="D180" s="2"/>
      <c r="E180" s="2"/>
      <c r="F180" s="2"/>
      <c r="G180" s="2"/>
      <c r="H180" s="2"/>
      <c r="I180" s="2"/>
      <c r="J180" s="2"/>
      <c r="K180" s="2"/>
      <c r="L180" s="19"/>
      <c r="M180" s="19"/>
      <c r="N180" s="2"/>
      <c r="O180" s="2"/>
      <c r="P180" s="2"/>
      <c r="Q180" s="2"/>
      <c r="R180" s="2"/>
      <c r="S180" s="2"/>
      <c r="T180" s="2"/>
      <c r="U180" s="2"/>
      <c r="V180" s="2"/>
      <c r="W180" s="2"/>
      <c r="X180" s="2"/>
      <c r="Y180" s="2"/>
      <c r="Z180" s="2"/>
    </row>
    <row r="181" customFormat="false" ht="12" hidden="false" customHeight="true" outlineLevel="0" collapsed="false">
      <c r="A181" s="2"/>
      <c r="B181" s="19"/>
      <c r="C181" s="19"/>
      <c r="D181" s="2"/>
      <c r="E181" s="2"/>
      <c r="F181" s="2"/>
      <c r="G181" s="2"/>
      <c r="H181" s="2"/>
      <c r="I181" s="2"/>
      <c r="J181" s="2"/>
      <c r="K181" s="2"/>
      <c r="L181" s="19"/>
      <c r="M181" s="19"/>
      <c r="N181" s="2"/>
      <c r="O181" s="2"/>
      <c r="P181" s="2"/>
      <c r="Q181" s="2"/>
      <c r="R181" s="2"/>
      <c r="S181" s="2"/>
      <c r="T181" s="2"/>
      <c r="U181" s="2"/>
      <c r="V181" s="2"/>
      <c r="W181" s="2"/>
      <c r="X181" s="2"/>
      <c r="Y181" s="2"/>
      <c r="Z181" s="2"/>
    </row>
    <row r="182" customFormat="false" ht="12" hidden="false" customHeight="true" outlineLevel="0" collapsed="false">
      <c r="A182" s="2"/>
      <c r="B182" s="19"/>
      <c r="C182" s="19"/>
      <c r="D182" s="2"/>
      <c r="E182" s="2"/>
      <c r="F182" s="2"/>
      <c r="G182" s="2"/>
      <c r="H182" s="2"/>
      <c r="I182" s="2"/>
      <c r="J182" s="2"/>
      <c r="K182" s="2"/>
      <c r="L182" s="19"/>
      <c r="M182" s="19"/>
      <c r="N182" s="2"/>
      <c r="O182" s="2"/>
      <c r="P182" s="2"/>
      <c r="Q182" s="2"/>
      <c r="R182" s="2"/>
      <c r="S182" s="2"/>
      <c r="T182" s="2"/>
      <c r="U182" s="2"/>
      <c r="V182" s="2"/>
      <c r="W182" s="2"/>
      <c r="X182" s="2"/>
      <c r="Y182" s="2"/>
      <c r="Z182" s="2"/>
    </row>
    <row r="183" customFormat="false" ht="12" hidden="false" customHeight="true" outlineLevel="0" collapsed="false">
      <c r="A183" s="2"/>
      <c r="B183" s="19"/>
      <c r="C183" s="19"/>
      <c r="D183" s="2"/>
      <c r="E183" s="2"/>
      <c r="F183" s="2"/>
      <c r="G183" s="2"/>
      <c r="H183" s="2"/>
      <c r="I183" s="2"/>
      <c r="J183" s="2"/>
      <c r="K183" s="2"/>
      <c r="L183" s="19"/>
      <c r="M183" s="19"/>
      <c r="N183" s="2"/>
      <c r="O183" s="2"/>
      <c r="P183" s="2"/>
      <c r="Q183" s="2"/>
      <c r="R183" s="2"/>
      <c r="S183" s="2"/>
      <c r="T183" s="2"/>
      <c r="U183" s="2"/>
      <c r="V183" s="2"/>
      <c r="W183" s="2"/>
      <c r="X183" s="2"/>
      <c r="Y183" s="2"/>
      <c r="Z183" s="2"/>
    </row>
    <row r="184" customFormat="false" ht="12" hidden="false" customHeight="true" outlineLevel="0" collapsed="false">
      <c r="A184" s="2"/>
      <c r="B184" s="19"/>
      <c r="C184" s="19"/>
      <c r="D184" s="2"/>
      <c r="E184" s="2"/>
      <c r="F184" s="2"/>
      <c r="G184" s="2"/>
      <c r="H184" s="2"/>
      <c r="I184" s="2"/>
      <c r="J184" s="2"/>
      <c r="K184" s="2"/>
      <c r="L184" s="19"/>
      <c r="M184" s="19"/>
      <c r="N184" s="2"/>
      <c r="O184" s="2"/>
      <c r="P184" s="2"/>
      <c r="Q184" s="2"/>
      <c r="R184" s="2"/>
      <c r="S184" s="2"/>
      <c r="T184" s="2"/>
      <c r="U184" s="2"/>
      <c r="V184" s="2"/>
      <c r="W184" s="2"/>
      <c r="X184" s="2"/>
      <c r="Y184" s="2"/>
      <c r="Z184" s="2"/>
    </row>
    <row r="185" customFormat="false" ht="12" hidden="false" customHeight="true" outlineLevel="0" collapsed="false">
      <c r="A185" s="2"/>
      <c r="B185" s="19"/>
      <c r="C185" s="19"/>
      <c r="D185" s="2"/>
      <c r="E185" s="2"/>
      <c r="F185" s="2"/>
      <c r="G185" s="2"/>
      <c r="H185" s="2"/>
      <c r="I185" s="2"/>
      <c r="J185" s="2"/>
      <c r="K185" s="2"/>
      <c r="L185" s="19"/>
      <c r="M185" s="19"/>
      <c r="N185" s="2"/>
      <c r="O185" s="2"/>
      <c r="P185" s="2"/>
      <c r="Q185" s="2"/>
      <c r="R185" s="2"/>
      <c r="S185" s="2"/>
      <c r="T185" s="2"/>
      <c r="U185" s="2"/>
      <c r="V185" s="2"/>
      <c r="W185" s="2"/>
      <c r="X185" s="2"/>
      <c r="Y185" s="2"/>
      <c r="Z185" s="2"/>
    </row>
    <row r="186" customFormat="false" ht="12" hidden="false" customHeight="true" outlineLevel="0" collapsed="false">
      <c r="A186" s="2"/>
      <c r="B186" s="19"/>
      <c r="C186" s="19"/>
      <c r="D186" s="2"/>
      <c r="E186" s="2"/>
      <c r="F186" s="2"/>
      <c r="G186" s="2"/>
      <c r="H186" s="2"/>
      <c r="I186" s="2"/>
      <c r="J186" s="2"/>
      <c r="K186" s="2"/>
      <c r="L186" s="19"/>
      <c r="M186" s="19"/>
      <c r="N186" s="2"/>
      <c r="O186" s="2"/>
      <c r="P186" s="2"/>
      <c r="Q186" s="2"/>
      <c r="R186" s="2"/>
      <c r="S186" s="2"/>
      <c r="T186" s="2"/>
      <c r="U186" s="2"/>
      <c r="V186" s="2"/>
      <c r="W186" s="2"/>
      <c r="X186" s="2"/>
      <c r="Y186" s="2"/>
      <c r="Z186" s="2"/>
    </row>
    <row r="187" customFormat="false" ht="12" hidden="false" customHeight="true" outlineLevel="0" collapsed="false">
      <c r="A187" s="2"/>
      <c r="B187" s="19"/>
      <c r="C187" s="19"/>
      <c r="D187" s="2"/>
      <c r="E187" s="2"/>
      <c r="F187" s="2"/>
      <c r="G187" s="2"/>
      <c r="H187" s="2"/>
      <c r="I187" s="2"/>
      <c r="J187" s="2"/>
      <c r="K187" s="2"/>
      <c r="L187" s="19"/>
      <c r="M187" s="19"/>
      <c r="N187" s="2"/>
      <c r="O187" s="2"/>
      <c r="P187" s="2"/>
      <c r="Q187" s="2"/>
      <c r="R187" s="2"/>
      <c r="S187" s="2"/>
      <c r="T187" s="2"/>
      <c r="U187" s="2"/>
      <c r="V187" s="2"/>
      <c r="W187" s="2"/>
      <c r="X187" s="2"/>
      <c r="Y187" s="2"/>
      <c r="Z187" s="2"/>
    </row>
    <row r="188" customFormat="false" ht="12" hidden="false" customHeight="true" outlineLevel="0" collapsed="false">
      <c r="A188" s="2"/>
      <c r="B188" s="19"/>
      <c r="C188" s="19"/>
      <c r="D188" s="2"/>
      <c r="E188" s="2"/>
      <c r="F188" s="2"/>
      <c r="G188" s="2"/>
      <c r="H188" s="2"/>
      <c r="I188" s="2"/>
      <c r="J188" s="2"/>
      <c r="K188" s="2"/>
      <c r="L188" s="19"/>
      <c r="M188" s="19"/>
      <c r="N188" s="2"/>
      <c r="O188" s="2"/>
      <c r="P188" s="2"/>
      <c r="Q188" s="2"/>
      <c r="R188" s="2"/>
      <c r="S188" s="2"/>
      <c r="T188" s="2"/>
      <c r="U188" s="2"/>
      <c r="V188" s="2"/>
      <c r="W188" s="2"/>
      <c r="X188" s="2"/>
      <c r="Y188" s="2"/>
      <c r="Z188" s="2"/>
    </row>
    <row r="189" customFormat="false" ht="12" hidden="false" customHeight="true" outlineLevel="0" collapsed="false">
      <c r="A189" s="2"/>
      <c r="B189" s="19"/>
      <c r="C189" s="19"/>
      <c r="D189" s="2"/>
      <c r="E189" s="2"/>
      <c r="F189" s="2"/>
      <c r="G189" s="2"/>
      <c r="H189" s="2"/>
      <c r="I189" s="2"/>
      <c r="J189" s="2"/>
      <c r="K189" s="2"/>
      <c r="L189" s="19"/>
      <c r="M189" s="19"/>
      <c r="N189" s="2"/>
      <c r="O189" s="2"/>
      <c r="P189" s="2"/>
      <c r="Q189" s="2"/>
      <c r="R189" s="2"/>
      <c r="S189" s="2"/>
      <c r="T189" s="2"/>
      <c r="U189" s="2"/>
      <c r="V189" s="2"/>
      <c r="W189" s="2"/>
      <c r="X189" s="2"/>
      <c r="Y189" s="2"/>
      <c r="Z189" s="2"/>
    </row>
    <row r="190" customFormat="false" ht="12" hidden="false" customHeight="true" outlineLevel="0" collapsed="false">
      <c r="A190" s="2"/>
      <c r="B190" s="19"/>
      <c r="C190" s="19"/>
      <c r="D190" s="2"/>
      <c r="E190" s="2"/>
      <c r="F190" s="2"/>
      <c r="G190" s="2"/>
      <c r="H190" s="2"/>
      <c r="I190" s="2"/>
      <c r="J190" s="2"/>
      <c r="K190" s="2"/>
      <c r="L190" s="19"/>
      <c r="M190" s="19"/>
      <c r="N190" s="2"/>
      <c r="O190" s="2"/>
      <c r="P190" s="2"/>
      <c r="Q190" s="2"/>
      <c r="R190" s="2"/>
      <c r="S190" s="2"/>
      <c r="T190" s="2"/>
      <c r="U190" s="2"/>
      <c r="V190" s="2"/>
      <c r="W190" s="2"/>
      <c r="X190" s="2"/>
      <c r="Y190" s="2"/>
      <c r="Z190" s="2"/>
    </row>
    <row r="191" customFormat="false" ht="12" hidden="false" customHeight="true" outlineLevel="0" collapsed="false">
      <c r="A191" s="2"/>
      <c r="B191" s="19"/>
      <c r="C191" s="19"/>
      <c r="D191" s="2"/>
      <c r="E191" s="2"/>
      <c r="F191" s="2"/>
      <c r="G191" s="2"/>
      <c r="H191" s="2"/>
      <c r="I191" s="2"/>
      <c r="J191" s="2"/>
      <c r="K191" s="2"/>
      <c r="L191" s="19"/>
      <c r="M191" s="19"/>
      <c r="N191" s="2"/>
      <c r="O191" s="2"/>
      <c r="P191" s="2"/>
      <c r="Q191" s="2"/>
      <c r="R191" s="2"/>
      <c r="S191" s="2"/>
      <c r="T191" s="2"/>
      <c r="U191" s="2"/>
      <c r="V191" s="2"/>
      <c r="W191" s="2"/>
      <c r="X191" s="2"/>
      <c r="Y191" s="2"/>
      <c r="Z191" s="2"/>
    </row>
    <row r="192" customFormat="false" ht="12" hidden="false" customHeight="true" outlineLevel="0" collapsed="false">
      <c r="A192" s="2"/>
      <c r="B192" s="19"/>
      <c r="C192" s="19"/>
      <c r="D192" s="2"/>
      <c r="E192" s="2"/>
      <c r="F192" s="2"/>
      <c r="G192" s="2"/>
      <c r="H192" s="2"/>
      <c r="I192" s="2"/>
      <c r="J192" s="2"/>
      <c r="K192" s="2"/>
      <c r="L192" s="19"/>
      <c r="M192" s="19"/>
      <c r="N192" s="2"/>
      <c r="O192" s="2"/>
      <c r="P192" s="2"/>
      <c r="Q192" s="2"/>
      <c r="R192" s="2"/>
      <c r="S192" s="2"/>
      <c r="T192" s="2"/>
      <c r="U192" s="2"/>
      <c r="V192" s="2"/>
      <c r="W192" s="2"/>
      <c r="X192" s="2"/>
      <c r="Y192" s="2"/>
      <c r="Z192" s="2"/>
    </row>
    <row r="193" customFormat="false" ht="12" hidden="false" customHeight="true" outlineLevel="0" collapsed="false">
      <c r="A193" s="2"/>
      <c r="B193" s="19"/>
      <c r="C193" s="19"/>
      <c r="D193" s="2"/>
      <c r="E193" s="2"/>
      <c r="F193" s="2"/>
      <c r="G193" s="2"/>
      <c r="H193" s="2"/>
      <c r="I193" s="2"/>
      <c r="J193" s="2"/>
      <c r="K193" s="2"/>
      <c r="L193" s="19"/>
      <c r="M193" s="19"/>
      <c r="N193" s="2"/>
      <c r="O193" s="2"/>
      <c r="P193" s="2"/>
      <c r="Q193" s="2"/>
      <c r="R193" s="2"/>
      <c r="S193" s="2"/>
      <c r="T193" s="2"/>
      <c r="U193" s="2"/>
      <c r="V193" s="2"/>
      <c r="W193" s="2"/>
      <c r="X193" s="2"/>
      <c r="Y193" s="2"/>
      <c r="Z193" s="2"/>
    </row>
    <row r="194" customFormat="false" ht="12" hidden="false" customHeight="true" outlineLevel="0" collapsed="false">
      <c r="A194" s="2"/>
      <c r="B194" s="19"/>
      <c r="C194" s="19"/>
      <c r="D194" s="2"/>
      <c r="E194" s="2"/>
      <c r="F194" s="2"/>
      <c r="G194" s="2"/>
      <c r="H194" s="2"/>
      <c r="I194" s="2"/>
      <c r="J194" s="2"/>
      <c r="K194" s="2"/>
      <c r="L194" s="19"/>
      <c r="M194" s="19"/>
      <c r="N194" s="2"/>
      <c r="O194" s="2"/>
      <c r="P194" s="2"/>
      <c r="Q194" s="2"/>
      <c r="R194" s="2"/>
      <c r="S194" s="2"/>
      <c r="T194" s="2"/>
      <c r="U194" s="2"/>
      <c r="V194" s="2"/>
      <c r="W194" s="2"/>
      <c r="X194" s="2"/>
      <c r="Y194" s="2"/>
      <c r="Z194" s="2"/>
    </row>
    <row r="195" customFormat="false" ht="12" hidden="false" customHeight="true" outlineLevel="0" collapsed="false">
      <c r="A195" s="2"/>
      <c r="B195" s="19"/>
      <c r="C195" s="19"/>
      <c r="D195" s="2"/>
      <c r="E195" s="2"/>
      <c r="F195" s="2"/>
      <c r="G195" s="2"/>
      <c r="H195" s="2"/>
      <c r="I195" s="2"/>
      <c r="J195" s="2"/>
      <c r="K195" s="2"/>
      <c r="L195" s="19"/>
      <c r="M195" s="19"/>
      <c r="N195" s="2"/>
      <c r="O195" s="2"/>
      <c r="P195" s="2"/>
      <c r="Q195" s="2"/>
      <c r="R195" s="2"/>
      <c r="S195" s="2"/>
      <c r="T195" s="2"/>
      <c r="U195" s="2"/>
      <c r="V195" s="2"/>
      <c r="W195" s="2"/>
      <c r="X195" s="2"/>
      <c r="Y195" s="2"/>
      <c r="Z195" s="2"/>
    </row>
    <row r="196" customFormat="false" ht="12" hidden="false" customHeight="true" outlineLevel="0" collapsed="false">
      <c r="A196" s="2"/>
      <c r="B196" s="19"/>
      <c r="C196" s="19"/>
      <c r="D196" s="2"/>
      <c r="E196" s="2"/>
      <c r="F196" s="2"/>
      <c r="G196" s="2"/>
      <c r="H196" s="2"/>
      <c r="I196" s="2"/>
      <c r="J196" s="2"/>
      <c r="K196" s="2"/>
      <c r="L196" s="19"/>
      <c r="M196" s="19"/>
      <c r="N196" s="2"/>
      <c r="O196" s="2"/>
      <c r="P196" s="2"/>
      <c r="Q196" s="2"/>
      <c r="R196" s="2"/>
      <c r="S196" s="2"/>
      <c r="T196" s="2"/>
      <c r="U196" s="2"/>
      <c r="V196" s="2"/>
      <c r="W196" s="2"/>
      <c r="X196" s="2"/>
      <c r="Y196" s="2"/>
      <c r="Z196" s="2"/>
    </row>
    <row r="197" customFormat="false" ht="12" hidden="false" customHeight="true" outlineLevel="0" collapsed="false">
      <c r="A197" s="2"/>
      <c r="B197" s="19"/>
      <c r="C197" s="19"/>
      <c r="D197" s="2"/>
      <c r="E197" s="2"/>
      <c r="F197" s="2"/>
      <c r="G197" s="2"/>
      <c r="H197" s="2"/>
      <c r="I197" s="2"/>
      <c r="J197" s="2"/>
      <c r="K197" s="2"/>
      <c r="L197" s="19"/>
      <c r="M197" s="19"/>
      <c r="N197" s="2"/>
      <c r="O197" s="2"/>
      <c r="P197" s="2"/>
      <c r="Q197" s="2"/>
      <c r="R197" s="2"/>
      <c r="S197" s="2"/>
      <c r="T197" s="2"/>
      <c r="U197" s="2"/>
      <c r="V197" s="2"/>
      <c r="W197" s="2"/>
      <c r="X197" s="2"/>
      <c r="Y197" s="2"/>
      <c r="Z197" s="2"/>
    </row>
    <row r="198" customFormat="false" ht="12" hidden="false" customHeight="true" outlineLevel="0" collapsed="false">
      <c r="A198" s="2"/>
      <c r="B198" s="19"/>
      <c r="C198" s="19"/>
      <c r="D198" s="2"/>
      <c r="E198" s="2"/>
      <c r="F198" s="2"/>
      <c r="G198" s="2"/>
      <c r="H198" s="2"/>
      <c r="I198" s="2"/>
      <c r="J198" s="2"/>
      <c r="K198" s="2"/>
      <c r="L198" s="19"/>
      <c r="M198" s="19"/>
      <c r="N198" s="2"/>
      <c r="O198" s="2"/>
      <c r="P198" s="2"/>
      <c r="Q198" s="2"/>
      <c r="R198" s="2"/>
      <c r="S198" s="2"/>
      <c r="T198" s="2"/>
      <c r="U198" s="2"/>
      <c r="V198" s="2"/>
      <c r="W198" s="2"/>
      <c r="X198" s="2"/>
      <c r="Y198" s="2"/>
      <c r="Z198" s="2"/>
    </row>
    <row r="199" customFormat="false" ht="12" hidden="false" customHeight="true" outlineLevel="0" collapsed="false">
      <c r="A199" s="2"/>
      <c r="B199" s="19"/>
      <c r="C199" s="19"/>
      <c r="D199" s="2"/>
      <c r="E199" s="2"/>
      <c r="F199" s="2"/>
      <c r="G199" s="2"/>
      <c r="H199" s="2"/>
      <c r="I199" s="2"/>
      <c r="J199" s="2"/>
      <c r="K199" s="2"/>
      <c r="L199" s="19"/>
      <c r="M199" s="19"/>
      <c r="N199" s="2"/>
      <c r="O199" s="2"/>
      <c r="P199" s="2"/>
      <c r="Q199" s="2"/>
      <c r="R199" s="2"/>
      <c r="S199" s="2"/>
      <c r="T199" s="2"/>
      <c r="U199" s="2"/>
      <c r="V199" s="2"/>
      <c r="W199" s="2"/>
      <c r="X199" s="2"/>
      <c r="Y199" s="2"/>
      <c r="Z199" s="2"/>
    </row>
    <row r="200" customFormat="false" ht="12" hidden="false" customHeight="true" outlineLevel="0" collapsed="false">
      <c r="A200" s="2"/>
      <c r="B200" s="19"/>
      <c r="C200" s="19"/>
      <c r="D200" s="2"/>
      <c r="E200" s="2"/>
      <c r="F200" s="2"/>
      <c r="G200" s="2"/>
      <c r="H200" s="2"/>
      <c r="I200" s="2"/>
      <c r="J200" s="2"/>
      <c r="K200" s="2"/>
      <c r="L200" s="19"/>
      <c r="M200" s="19"/>
      <c r="N200" s="2"/>
      <c r="O200" s="2"/>
      <c r="P200" s="2"/>
      <c r="Q200" s="2"/>
      <c r="R200" s="2"/>
      <c r="S200" s="2"/>
      <c r="T200" s="2"/>
      <c r="U200" s="2"/>
      <c r="V200" s="2"/>
      <c r="W200" s="2"/>
      <c r="X200" s="2"/>
      <c r="Y200" s="2"/>
      <c r="Z200" s="2"/>
    </row>
    <row r="201" customFormat="false" ht="12" hidden="false" customHeight="true" outlineLevel="0" collapsed="false">
      <c r="A201" s="2"/>
      <c r="B201" s="19"/>
      <c r="C201" s="19"/>
      <c r="D201" s="2"/>
      <c r="E201" s="2"/>
      <c r="F201" s="2"/>
      <c r="G201" s="2"/>
      <c r="H201" s="2"/>
      <c r="I201" s="2"/>
      <c r="J201" s="2"/>
      <c r="K201" s="2"/>
      <c r="L201" s="19"/>
      <c r="M201" s="19"/>
      <c r="N201" s="2"/>
      <c r="O201" s="2"/>
      <c r="P201" s="2"/>
      <c r="Q201" s="2"/>
      <c r="R201" s="2"/>
      <c r="S201" s="2"/>
      <c r="T201" s="2"/>
      <c r="U201" s="2"/>
      <c r="V201" s="2"/>
      <c r="W201" s="2"/>
      <c r="X201" s="2"/>
      <c r="Y201" s="2"/>
      <c r="Z201" s="2"/>
    </row>
    <row r="202" customFormat="false" ht="12" hidden="false" customHeight="true" outlineLevel="0" collapsed="false">
      <c r="A202" s="2"/>
      <c r="B202" s="19"/>
      <c r="C202" s="19"/>
      <c r="D202" s="2"/>
      <c r="E202" s="2"/>
      <c r="F202" s="2"/>
      <c r="G202" s="2"/>
      <c r="H202" s="2"/>
      <c r="I202" s="2"/>
      <c r="J202" s="2"/>
      <c r="K202" s="2"/>
      <c r="L202" s="19"/>
      <c r="M202" s="19"/>
      <c r="N202" s="2"/>
      <c r="O202" s="2"/>
      <c r="P202" s="2"/>
      <c r="Q202" s="2"/>
      <c r="R202" s="2"/>
      <c r="S202" s="2"/>
      <c r="T202" s="2"/>
      <c r="U202" s="2"/>
      <c r="V202" s="2"/>
      <c r="W202" s="2"/>
      <c r="X202" s="2"/>
      <c r="Y202" s="2"/>
      <c r="Z202" s="2"/>
    </row>
    <row r="203" customFormat="false" ht="12" hidden="false" customHeight="true" outlineLevel="0" collapsed="false">
      <c r="A203" s="2"/>
      <c r="B203" s="19"/>
      <c r="C203" s="19"/>
      <c r="D203" s="2"/>
      <c r="E203" s="2"/>
      <c r="F203" s="2"/>
      <c r="G203" s="2"/>
      <c r="H203" s="2"/>
      <c r="I203" s="2"/>
      <c r="J203" s="2"/>
      <c r="K203" s="2"/>
      <c r="L203" s="19"/>
      <c r="M203" s="19"/>
      <c r="N203" s="2"/>
      <c r="O203" s="2"/>
      <c r="P203" s="2"/>
      <c r="Q203" s="2"/>
      <c r="R203" s="2"/>
      <c r="S203" s="2"/>
      <c r="T203" s="2"/>
      <c r="U203" s="2"/>
      <c r="V203" s="2"/>
      <c r="W203" s="2"/>
      <c r="X203" s="2"/>
      <c r="Y203" s="2"/>
      <c r="Z203" s="2"/>
    </row>
    <row r="204" customFormat="false" ht="12" hidden="false" customHeight="true" outlineLevel="0" collapsed="false">
      <c r="A204" s="2"/>
      <c r="B204" s="19"/>
      <c r="C204" s="19"/>
      <c r="D204" s="2"/>
      <c r="E204" s="2"/>
      <c r="F204" s="2"/>
      <c r="G204" s="2"/>
      <c r="H204" s="2"/>
      <c r="I204" s="2"/>
      <c r="J204" s="2"/>
      <c r="K204" s="2"/>
      <c r="L204" s="19"/>
      <c r="M204" s="19"/>
      <c r="N204" s="2"/>
      <c r="O204" s="2"/>
      <c r="P204" s="2"/>
      <c r="Q204" s="2"/>
      <c r="R204" s="2"/>
      <c r="S204" s="2"/>
      <c r="T204" s="2"/>
      <c r="U204" s="2"/>
      <c r="V204" s="2"/>
      <c r="W204" s="2"/>
      <c r="X204" s="2"/>
      <c r="Y204" s="2"/>
      <c r="Z204" s="2"/>
    </row>
    <row r="205" customFormat="false" ht="12" hidden="false" customHeight="true" outlineLevel="0" collapsed="false">
      <c r="A205" s="2"/>
      <c r="B205" s="19"/>
      <c r="C205" s="19"/>
      <c r="D205" s="2"/>
      <c r="E205" s="2"/>
      <c r="F205" s="2"/>
      <c r="G205" s="2"/>
      <c r="H205" s="2"/>
      <c r="I205" s="2"/>
      <c r="J205" s="2"/>
      <c r="K205" s="2"/>
      <c r="L205" s="19"/>
      <c r="M205" s="19"/>
      <c r="N205" s="2"/>
      <c r="O205" s="2"/>
      <c r="P205" s="2"/>
      <c r="Q205" s="2"/>
      <c r="R205" s="2"/>
      <c r="S205" s="2"/>
      <c r="T205" s="2"/>
      <c r="U205" s="2"/>
      <c r="V205" s="2"/>
      <c r="W205" s="2"/>
      <c r="X205" s="2"/>
      <c r="Y205" s="2"/>
      <c r="Z205" s="2"/>
    </row>
    <row r="206" customFormat="false" ht="12" hidden="false" customHeight="true" outlineLevel="0" collapsed="false">
      <c r="A206" s="2"/>
      <c r="B206" s="19"/>
      <c r="C206" s="19"/>
      <c r="D206" s="2"/>
      <c r="E206" s="2"/>
      <c r="F206" s="2"/>
      <c r="G206" s="2"/>
      <c r="H206" s="2"/>
      <c r="I206" s="2"/>
      <c r="J206" s="2"/>
      <c r="K206" s="2"/>
      <c r="L206" s="19"/>
      <c r="M206" s="19"/>
      <c r="N206" s="2"/>
      <c r="O206" s="2"/>
      <c r="P206" s="2"/>
      <c r="Q206" s="2"/>
      <c r="R206" s="2"/>
      <c r="S206" s="2"/>
      <c r="T206" s="2"/>
      <c r="U206" s="2"/>
      <c r="V206" s="2"/>
      <c r="W206" s="2"/>
      <c r="X206" s="2"/>
      <c r="Y206" s="2"/>
      <c r="Z206" s="2"/>
    </row>
    <row r="207" customFormat="false" ht="12" hidden="false" customHeight="true" outlineLevel="0" collapsed="false">
      <c r="A207" s="2"/>
      <c r="B207" s="19"/>
      <c r="C207" s="19"/>
      <c r="D207" s="2"/>
      <c r="E207" s="2"/>
      <c r="F207" s="2"/>
      <c r="G207" s="2"/>
      <c r="H207" s="2"/>
      <c r="I207" s="2"/>
      <c r="J207" s="2"/>
      <c r="K207" s="2"/>
      <c r="L207" s="19"/>
      <c r="M207" s="19"/>
      <c r="N207" s="2"/>
      <c r="O207" s="2"/>
      <c r="P207" s="2"/>
      <c r="Q207" s="2"/>
      <c r="R207" s="2"/>
      <c r="S207" s="2"/>
      <c r="T207" s="2"/>
      <c r="U207" s="2"/>
      <c r="V207" s="2"/>
      <c r="W207" s="2"/>
      <c r="X207" s="2"/>
      <c r="Y207" s="2"/>
      <c r="Z207" s="2"/>
    </row>
    <row r="208" customFormat="false" ht="12" hidden="false" customHeight="true" outlineLevel="0" collapsed="false">
      <c r="A208" s="2"/>
      <c r="B208" s="19"/>
      <c r="C208" s="19"/>
      <c r="D208" s="2"/>
      <c r="E208" s="2"/>
      <c r="F208" s="2"/>
      <c r="G208" s="2"/>
      <c r="H208" s="2"/>
      <c r="I208" s="2"/>
      <c r="J208" s="2"/>
      <c r="K208" s="2"/>
      <c r="L208" s="19"/>
      <c r="M208" s="19"/>
      <c r="N208" s="2"/>
      <c r="O208" s="2"/>
      <c r="P208" s="2"/>
      <c r="Q208" s="2"/>
      <c r="R208" s="2"/>
      <c r="S208" s="2"/>
      <c r="T208" s="2"/>
      <c r="U208" s="2"/>
      <c r="V208" s="2"/>
      <c r="W208" s="2"/>
      <c r="X208" s="2"/>
      <c r="Y208" s="2"/>
      <c r="Z208" s="2"/>
    </row>
    <row r="209" customFormat="false" ht="12" hidden="false" customHeight="true" outlineLevel="0" collapsed="false">
      <c r="A209" s="2"/>
      <c r="B209" s="19"/>
      <c r="C209" s="19"/>
      <c r="D209" s="2"/>
      <c r="E209" s="2"/>
      <c r="F209" s="2"/>
      <c r="G209" s="2"/>
      <c r="H209" s="2"/>
      <c r="I209" s="2"/>
      <c r="J209" s="2"/>
      <c r="K209" s="2"/>
      <c r="L209" s="19"/>
      <c r="M209" s="19"/>
      <c r="N209" s="2"/>
      <c r="O209" s="2"/>
      <c r="P209" s="2"/>
      <c r="Q209" s="2"/>
      <c r="R209" s="2"/>
      <c r="S209" s="2"/>
      <c r="T209" s="2"/>
      <c r="U209" s="2"/>
      <c r="V209" s="2"/>
      <c r="W209" s="2"/>
      <c r="X209" s="2"/>
      <c r="Y209" s="2"/>
      <c r="Z209" s="2"/>
    </row>
    <row r="210" customFormat="false" ht="12" hidden="false" customHeight="true" outlineLevel="0" collapsed="false">
      <c r="A210" s="2"/>
      <c r="B210" s="19"/>
      <c r="C210" s="19"/>
      <c r="D210" s="2"/>
      <c r="E210" s="2"/>
      <c r="F210" s="2"/>
      <c r="G210" s="2"/>
      <c r="H210" s="2"/>
      <c r="I210" s="2"/>
      <c r="J210" s="2"/>
      <c r="K210" s="2"/>
      <c r="L210" s="19"/>
      <c r="M210" s="19"/>
      <c r="N210" s="2"/>
      <c r="O210" s="2"/>
      <c r="P210" s="2"/>
      <c r="Q210" s="2"/>
      <c r="R210" s="2"/>
      <c r="S210" s="2"/>
      <c r="T210" s="2"/>
      <c r="U210" s="2"/>
      <c r="V210" s="2"/>
      <c r="W210" s="2"/>
      <c r="X210" s="2"/>
      <c r="Y210" s="2"/>
      <c r="Z210" s="2"/>
    </row>
    <row r="211" customFormat="false" ht="12" hidden="false" customHeight="true" outlineLevel="0" collapsed="false">
      <c r="A211" s="2"/>
      <c r="B211" s="19"/>
      <c r="C211" s="19"/>
      <c r="D211" s="2"/>
      <c r="E211" s="2"/>
      <c r="F211" s="2"/>
      <c r="G211" s="2"/>
      <c r="H211" s="2"/>
      <c r="I211" s="2"/>
      <c r="J211" s="2"/>
      <c r="K211" s="2"/>
      <c r="L211" s="19"/>
      <c r="M211" s="19"/>
      <c r="N211" s="2"/>
      <c r="O211" s="2"/>
      <c r="P211" s="2"/>
      <c r="Q211" s="2"/>
      <c r="R211" s="2"/>
      <c r="S211" s="2"/>
      <c r="T211" s="2"/>
      <c r="U211" s="2"/>
      <c r="V211" s="2"/>
      <c r="W211" s="2"/>
      <c r="X211" s="2"/>
      <c r="Y211" s="2"/>
      <c r="Z211" s="2"/>
    </row>
    <row r="212" customFormat="false" ht="12" hidden="false" customHeight="true" outlineLevel="0" collapsed="false">
      <c r="A212" s="2"/>
      <c r="B212" s="19"/>
      <c r="C212" s="19"/>
      <c r="D212" s="2"/>
      <c r="E212" s="2"/>
      <c r="F212" s="2"/>
      <c r="G212" s="2"/>
      <c r="H212" s="2"/>
      <c r="I212" s="2"/>
      <c r="J212" s="2"/>
      <c r="K212" s="2"/>
      <c r="L212" s="19"/>
      <c r="M212" s="19"/>
      <c r="N212" s="2"/>
      <c r="O212" s="2"/>
      <c r="P212" s="2"/>
      <c r="Q212" s="2"/>
      <c r="R212" s="2"/>
      <c r="S212" s="2"/>
      <c r="T212" s="2"/>
      <c r="U212" s="2"/>
      <c r="V212" s="2"/>
      <c r="W212" s="2"/>
      <c r="X212" s="2"/>
      <c r="Y212" s="2"/>
      <c r="Z212" s="2"/>
    </row>
    <row r="213" customFormat="false" ht="12" hidden="false" customHeight="true" outlineLevel="0" collapsed="false">
      <c r="A213" s="2"/>
      <c r="B213" s="19"/>
      <c r="C213" s="19"/>
      <c r="D213" s="2"/>
      <c r="E213" s="2"/>
      <c r="F213" s="2"/>
      <c r="G213" s="2"/>
      <c r="H213" s="2"/>
      <c r="I213" s="2"/>
      <c r="J213" s="2"/>
      <c r="K213" s="2"/>
      <c r="L213" s="19"/>
      <c r="M213" s="19"/>
      <c r="N213" s="2"/>
      <c r="O213" s="2"/>
      <c r="P213" s="2"/>
      <c r="Q213" s="2"/>
      <c r="R213" s="2"/>
      <c r="S213" s="2"/>
      <c r="T213" s="2"/>
      <c r="U213" s="2"/>
      <c r="V213" s="2"/>
      <c r="W213" s="2"/>
      <c r="X213" s="2"/>
      <c r="Y213" s="2"/>
      <c r="Z213" s="2"/>
    </row>
    <row r="214" customFormat="false" ht="12" hidden="false" customHeight="true" outlineLevel="0" collapsed="false">
      <c r="A214" s="2"/>
      <c r="B214" s="19"/>
      <c r="C214" s="19"/>
      <c r="D214" s="2"/>
      <c r="E214" s="2"/>
      <c r="F214" s="2"/>
      <c r="G214" s="2"/>
      <c r="H214" s="2"/>
      <c r="I214" s="2"/>
      <c r="J214" s="2"/>
      <c r="K214" s="2"/>
      <c r="L214" s="19"/>
      <c r="M214" s="19"/>
      <c r="N214" s="2"/>
      <c r="O214" s="2"/>
      <c r="P214" s="2"/>
      <c r="Q214" s="2"/>
      <c r="R214" s="2"/>
      <c r="S214" s="2"/>
      <c r="T214" s="2"/>
      <c r="U214" s="2"/>
      <c r="V214" s="2"/>
      <c r="W214" s="2"/>
      <c r="X214" s="2"/>
      <c r="Y214" s="2"/>
      <c r="Z214" s="2"/>
    </row>
    <row r="215" customFormat="false" ht="12" hidden="false" customHeight="true" outlineLevel="0" collapsed="false">
      <c r="A215" s="2"/>
      <c r="B215" s="19"/>
      <c r="C215" s="19"/>
      <c r="D215" s="2"/>
      <c r="E215" s="2"/>
      <c r="F215" s="2"/>
      <c r="G215" s="2"/>
      <c r="H215" s="2"/>
      <c r="I215" s="2"/>
      <c r="J215" s="2"/>
      <c r="K215" s="2"/>
      <c r="L215" s="19"/>
      <c r="M215" s="19"/>
      <c r="N215" s="2"/>
      <c r="O215" s="2"/>
      <c r="P215" s="2"/>
      <c r="Q215" s="2"/>
      <c r="R215" s="2"/>
      <c r="S215" s="2"/>
      <c r="T215" s="2"/>
      <c r="U215" s="2"/>
      <c r="V215" s="2"/>
      <c r="W215" s="2"/>
      <c r="X215" s="2"/>
      <c r="Y215" s="2"/>
      <c r="Z215" s="2"/>
    </row>
    <row r="216" customFormat="false" ht="12" hidden="false" customHeight="true" outlineLevel="0" collapsed="false">
      <c r="A216" s="2"/>
      <c r="B216" s="19"/>
      <c r="C216" s="19"/>
      <c r="D216" s="2"/>
      <c r="E216" s="2"/>
      <c r="F216" s="2"/>
      <c r="G216" s="2"/>
      <c r="H216" s="2"/>
      <c r="I216" s="2"/>
      <c r="J216" s="2"/>
      <c r="K216" s="2"/>
      <c r="L216" s="19"/>
      <c r="M216" s="19"/>
      <c r="N216" s="2"/>
      <c r="O216" s="2"/>
      <c r="P216" s="2"/>
      <c r="Q216" s="2"/>
      <c r="R216" s="2"/>
      <c r="S216" s="2"/>
      <c r="T216" s="2"/>
      <c r="U216" s="2"/>
      <c r="V216" s="2"/>
      <c r="W216" s="2"/>
      <c r="X216" s="2"/>
      <c r="Y216" s="2"/>
      <c r="Z216" s="2"/>
    </row>
    <row r="217" customFormat="false" ht="12" hidden="false" customHeight="true" outlineLevel="0" collapsed="false">
      <c r="A217" s="2"/>
      <c r="B217" s="19"/>
      <c r="C217" s="19"/>
      <c r="D217" s="2"/>
      <c r="E217" s="2"/>
      <c r="F217" s="2"/>
      <c r="G217" s="2"/>
      <c r="H217" s="2"/>
      <c r="I217" s="2"/>
      <c r="J217" s="2"/>
      <c r="K217" s="2"/>
      <c r="L217" s="19"/>
      <c r="M217" s="19"/>
      <c r="N217" s="2"/>
      <c r="O217" s="2"/>
      <c r="P217" s="2"/>
      <c r="Q217" s="2"/>
      <c r="R217" s="2"/>
      <c r="S217" s="2"/>
      <c r="T217" s="2"/>
      <c r="U217" s="2"/>
      <c r="V217" s="2"/>
      <c r="W217" s="2"/>
      <c r="X217" s="2"/>
      <c r="Y217" s="2"/>
      <c r="Z217" s="2"/>
    </row>
    <row r="218" customFormat="false" ht="12" hidden="false" customHeight="true" outlineLevel="0" collapsed="false">
      <c r="A218" s="2"/>
      <c r="B218" s="19"/>
      <c r="C218" s="19"/>
      <c r="D218" s="2"/>
      <c r="E218" s="2"/>
      <c r="F218" s="2"/>
      <c r="G218" s="2"/>
      <c r="H218" s="2"/>
      <c r="I218" s="2"/>
      <c r="J218" s="2"/>
      <c r="K218" s="2"/>
      <c r="L218" s="19"/>
      <c r="M218" s="19"/>
      <c r="N218" s="2"/>
      <c r="O218" s="2"/>
      <c r="P218" s="2"/>
      <c r="Q218" s="2"/>
      <c r="R218" s="2"/>
      <c r="S218" s="2"/>
      <c r="T218" s="2"/>
      <c r="U218" s="2"/>
      <c r="V218" s="2"/>
      <c r="W218" s="2"/>
      <c r="X218" s="2"/>
      <c r="Y218" s="2"/>
      <c r="Z218" s="2"/>
    </row>
    <row r="219" customFormat="false" ht="12" hidden="false" customHeight="true" outlineLevel="0" collapsed="false">
      <c r="A219" s="2"/>
      <c r="B219" s="19"/>
      <c r="C219" s="19"/>
      <c r="D219" s="2"/>
      <c r="E219" s="2"/>
      <c r="F219" s="2"/>
      <c r="G219" s="2"/>
      <c r="H219" s="2"/>
      <c r="I219" s="2"/>
      <c r="J219" s="2"/>
      <c r="K219" s="2"/>
      <c r="L219" s="19"/>
      <c r="M219" s="19"/>
      <c r="N219" s="2"/>
      <c r="O219" s="2"/>
      <c r="P219" s="2"/>
      <c r="Q219" s="2"/>
      <c r="R219" s="2"/>
      <c r="S219" s="2"/>
      <c r="T219" s="2"/>
      <c r="U219" s="2"/>
      <c r="V219" s="2"/>
      <c r="W219" s="2"/>
      <c r="X219" s="2"/>
      <c r="Y219" s="2"/>
      <c r="Z219" s="2"/>
    </row>
    <row r="220" customFormat="false" ht="12" hidden="false" customHeight="true" outlineLevel="0" collapsed="false">
      <c r="A220" s="2"/>
      <c r="B220" s="19"/>
      <c r="C220" s="19"/>
      <c r="D220" s="2"/>
      <c r="E220" s="2"/>
      <c r="F220" s="2"/>
      <c r="G220" s="2"/>
      <c r="H220" s="2"/>
      <c r="I220" s="2"/>
      <c r="J220" s="2"/>
      <c r="K220" s="2"/>
      <c r="L220" s="19"/>
      <c r="M220" s="19"/>
      <c r="N220" s="2"/>
      <c r="O220" s="2"/>
      <c r="P220" s="2"/>
      <c r="Q220" s="2"/>
      <c r="R220" s="2"/>
      <c r="S220" s="2"/>
      <c r="T220" s="2"/>
      <c r="U220" s="2"/>
      <c r="V220" s="2"/>
      <c r="W220" s="2"/>
      <c r="X220" s="2"/>
      <c r="Y220" s="2"/>
      <c r="Z220" s="2"/>
    </row>
    <row r="221" customFormat="false" ht="12" hidden="false" customHeight="true" outlineLevel="0" collapsed="false">
      <c r="A221" s="2"/>
      <c r="B221" s="19"/>
      <c r="C221" s="19"/>
      <c r="D221" s="2"/>
      <c r="E221" s="2"/>
      <c r="F221" s="2"/>
      <c r="G221" s="2"/>
      <c r="H221" s="2"/>
      <c r="I221" s="2"/>
      <c r="J221" s="2"/>
      <c r="K221" s="2"/>
      <c r="L221" s="19"/>
      <c r="M221" s="19"/>
      <c r="N221" s="2"/>
      <c r="O221" s="2"/>
      <c r="P221" s="2"/>
      <c r="Q221" s="2"/>
      <c r="R221" s="2"/>
      <c r="S221" s="2"/>
      <c r="T221" s="2"/>
      <c r="U221" s="2"/>
      <c r="V221" s="2"/>
      <c r="W221" s="2"/>
      <c r="X221" s="2"/>
      <c r="Y221" s="2"/>
      <c r="Z221" s="2"/>
    </row>
    <row r="222" customFormat="false" ht="12" hidden="false" customHeight="true" outlineLevel="0" collapsed="false">
      <c r="A222" s="2"/>
      <c r="B222" s="19"/>
      <c r="C222" s="19"/>
      <c r="D222" s="2"/>
      <c r="E222" s="2"/>
      <c r="F222" s="2"/>
      <c r="G222" s="2"/>
      <c r="H222" s="2"/>
      <c r="I222" s="2"/>
      <c r="J222" s="2"/>
      <c r="K222" s="2"/>
      <c r="L222" s="19"/>
      <c r="M222" s="19"/>
      <c r="N222" s="2"/>
      <c r="O222" s="2"/>
      <c r="P222" s="2"/>
      <c r="Q222" s="2"/>
      <c r="R222" s="2"/>
      <c r="S222" s="2"/>
      <c r="T222" s="2"/>
      <c r="U222" s="2"/>
      <c r="V222" s="2"/>
      <c r="W222" s="2"/>
      <c r="X222" s="2"/>
      <c r="Y222" s="2"/>
      <c r="Z222" s="2"/>
    </row>
    <row r="223" customFormat="false" ht="12" hidden="false" customHeight="true" outlineLevel="0" collapsed="false">
      <c r="A223" s="2"/>
      <c r="B223" s="19"/>
      <c r="C223" s="19"/>
      <c r="D223" s="2"/>
      <c r="E223" s="2"/>
      <c r="F223" s="2"/>
      <c r="G223" s="2"/>
      <c r="H223" s="2"/>
      <c r="I223" s="2"/>
      <c r="J223" s="2"/>
      <c r="K223" s="2"/>
      <c r="L223" s="19"/>
      <c r="M223" s="19"/>
      <c r="N223" s="2"/>
      <c r="O223" s="2"/>
      <c r="P223" s="2"/>
      <c r="Q223" s="2"/>
      <c r="R223" s="2"/>
      <c r="S223" s="2"/>
      <c r="T223" s="2"/>
      <c r="U223" s="2"/>
      <c r="V223" s="2"/>
      <c r="W223" s="2"/>
      <c r="X223" s="2"/>
      <c r="Y223" s="2"/>
      <c r="Z223" s="2"/>
    </row>
    <row r="224" customFormat="false" ht="12" hidden="false" customHeight="true" outlineLevel="0" collapsed="false">
      <c r="A224" s="2"/>
      <c r="B224" s="19"/>
      <c r="C224" s="19"/>
      <c r="D224" s="2"/>
      <c r="E224" s="2"/>
      <c r="F224" s="2"/>
      <c r="G224" s="2"/>
      <c r="H224" s="2"/>
      <c r="I224" s="2"/>
      <c r="J224" s="2"/>
      <c r="K224" s="2"/>
      <c r="L224" s="19"/>
      <c r="M224" s="19"/>
      <c r="N224" s="2"/>
      <c r="O224" s="2"/>
      <c r="P224" s="2"/>
      <c r="Q224" s="2"/>
      <c r="R224" s="2"/>
      <c r="S224" s="2"/>
      <c r="T224" s="2"/>
      <c r="U224" s="2"/>
      <c r="V224" s="2"/>
      <c r="W224" s="2"/>
      <c r="X224" s="2"/>
      <c r="Y224" s="2"/>
      <c r="Z224" s="2"/>
    </row>
    <row r="225" customFormat="false" ht="12" hidden="false" customHeight="true" outlineLevel="0" collapsed="false">
      <c r="A225" s="2"/>
      <c r="B225" s="19"/>
      <c r="C225" s="19"/>
      <c r="D225" s="2"/>
      <c r="E225" s="2"/>
      <c r="F225" s="2"/>
      <c r="G225" s="2"/>
      <c r="H225" s="2"/>
      <c r="I225" s="2"/>
      <c r="J225" s="2"/>
      <c r="K225" s="2"/>
      <c r="L225" s="19"/>
      <c r="M225" s="19"/>
      <c r="N225" s="2"/>
      <c r="O225" s="2"/>
      <c r="P225" s="2"/>
      <c r="Q225" s="2"/>
      <c r="R225" s="2"/>
      <c r="S225" s="2"/>
      <c r="T225" s="2"/>
      <c r="U225" s="2"/>
      <c r="V225" s="2"/>
      <c r="W225" s="2"/>
      <c r="X225" s="2"/>
      <c r="Y225" s="2"/>
      <c r="Z225" s="2"/>
    </row>
    <row r="226" customFormat="false" ht="12" hidden="false" customHeight="true" outlineLevel="0" collapsed="false">
      <c r="A226" s="2"/>
      <c r="B226" s="19"/>
      <c r="C226" s="19"/>
      <c r="D226" s="2"/>
      <c r="E226" s="2"/>
      <c r="F226" s="2"/>
      <c r="G226" s="2"/>
      <c r="H226" s="2"/>
      <c r="I226" s="2"/>
      <c r="J226" s="2"/>
      <c r="K226" s="2"/>
      <c r="L226" s="19"/>
      <c r="M226" s="19"/>
      <c r="N226" s="2"/>
      <c r="O226" s="2"/>
      <c r="P226" s="2"/>
      <c r="Q226" s="2"/>
      <c r="R226" s="2"/>
      <c r="S226" s="2"/>
      <c r="T226" s="2"/>
      <c r="U226" s="2"/>
      <c r="V226" s="2"/>
      <c r="W226" s="2"/>
      <c r="X226" s="2"/>
      <c r="Y226" s="2"/>
      <c r="Z226" s="2"/>
    </row>
    <row r="227" customFormat="false" ht="12" hidden="false" customHeight="true" outlineLevel="0" collapsed="false">
      <c r="A227" s="2"/>
      <c r="B227" s="19"/>
      <c r="C227" s="19"/>
      <c r="D227" s="2"/>
      <c r="E227" s="2"/>
      <c r="F227" s="2"/>
      <c r="G227" s="2"/>
      <c r="H227" s="2"/>
      <c r="I227" s="2"/>
      <c r="J227" s="2"/>
      <c r="K227" s="2"/>
      <c r="L227" s="19"/>
      <c r="M227" s="19"/>
      <c r="N227" s="2"/>
      <c r="O227" s="2"/>
      <c r="P227" s="2"/>
      <c r="Q227" s="2"/>
      <c r="R227" s="2"/>
      <c r="S227" s="2"/>
      <c r="T227" s="2"/>
      <c r="U227" s="2"/>
      <c r="V227" s="2"/>
      <c r="W227" s="2"/>
      <c r="X227" s="2"/>
      <c r="Y227" s="2"/>
      <c r="Z227" s="2"/>
    </row>
    <row r="228" customFormat="false" ht="12" hidden="false" customHeight="true" outlineLevel="0" collapsed="false">
      <c r="A228" s="2"/>
      <c r="B228" s="19"/>
      <c r="C228" s="19"/>
      <c r="D228" s="2"/>
      <c r="E228" s="2"/>
      <c r="F228" s="2"/>
      <c r="G228" s="2"/>
      <c r="H228" s="2"/>
      <c r="I228" s="2"/>
      <c r="J228" s="2"/>
      <c r="K228" s="2"/>
      <c r="L228" s="19"/>
      <c r="M228" s="19"/>
      <c r="N228" s="2"/>
      <c r="O228" s="2"/>
      <c r="P228" s="2"/>
      <c r="Q228" s="2"/>
      <c r="R228" s="2"/>
      <c r="S228" s="2"/>
      <c r="T228" s="2"/>
      <c r="U228" s="2"/>
      <c r="V228" s="2"/>
      <c r="W228" s="2"/>
      <c r="X228" s="2"/>
      <c r="Y228" s="2"/>
      <c r="Z228" s="2"/>
    </row>
    <row r="229" customFormat="false" ht="12" hidden="false" customHeight="true" outlineLevel="0" collapsed="false">
      <c r="A229" s="2"/>
      <c r="B229" s="19"/>
      <c r="C229" s="19"/>
      <c r="D229" s="2"/>
      <c r="E229" s="2"/>
      <c r="F229" s="2"/>
      <c r="G229" s="2"/>
      <c r="H229" s="2"/>
      <c r="I229" s="2"/>
      <c r="J229" s="2"/>
      <c r="K229" s="2"/>
      <c r="L229" s="19"/>
      <c r="M229" s="19"/>
      <c r="N229" s="2"/>
      <c r="O229" s="2"/>
      <c r="P229" s="2"/>
      <c r="Q229" s="2"/>
      <c r="R229" s="2"/>
      <c r="S229" s="2"/>
      <c r="T229" s="2"/>
      <c r="U229" s="2"/>
      <c r="V229" s="2"/>
      <c r="W229" s="2"/>
      <c r="X229" s="2"/>
      <c r="Y229" s="2"/>
      <c r="Z229" s="2"/>
    </row>
    <row r="230" customFormat="false" ht="12" hidden="false" customHeight="true" outlineLevel="0" collapsed="false">
      <c r="A230" s="2"/>
      <c r="B230" s="19"/>
      <c r="C230" s="19"/>
      <c r="D230" s="2"/>
      <c r="E230" s="2"/>
      <c r="F230" s="2"/>
      <c r="G230" s="2"/>
      <c r="H230" s="2"/>
      <c r="I230" s="2"/>
      <c r="J230" s="2"/>
      <c r="K230" s="2"/>
      <c r="L230" s="19"/>
      <c r="M230" s="19"/>
      <c r="N230" s="2"/>
      <c r="O230" s="2"/>
      <c r="P230" s="2"/>
      <c r="Q230" s="2"/>
      <c r="R230" s="2"/>
      <c r="S230" s="2"/>
      <c r="T230" s="2"/>
      <c r="U230" s="2"/>
      <c r="V230" s="2"/>
      <c r="W230" s="2"/>
      <c r="X230" s="2"/>
      <c r="Y230" s="2"/>
      <c r="Z230" s="2"/>
    </row>
    <row r="231" customFormat="false" ht="12" hidden="false" customHeight="true" outlineLevel="0" collapsed="false">
      <c r="A231" s="2"/>
      <c r="B231" s="19"/>
      <c r="C231" s="19"/>
      <c r="D231" s="2"/>
      <c r="E231" s="2"/>
      <c r="F231" s="2"/>
      <c r="G231" s="2"/>
      <c r="H231" s="2"/>
      <c r="I231" s="2"/>
      <c r="J231" s="2"/>
      <c r="K231" s="2"/>
      <c r="L231" s="19"/>
      <c r="M231" s="19"/>
      <c r="N231" s="2"/>
      <c r="O231" s="2"/>
      <c r="P231" s="2"/>
      <c r="Q231" s="2"/>
      <c r="R231" s="2"/>
      <c r="S231" s="2"/>
      <c r="T231" s="2"/>
      <c r="U231" s="2"/>
      <c r="V231" s="2"/>
      <c r="W231" s="2"/>
      <c r="X231" s="2"/>
      <c r="Y231" s="2"/>
      <c r="Z231" s="2"/>
    </row>
    <row r="232" customFormat="false" ht="12" hidden="false" customHeight="true" outlineLevel="0" collapsed="false">
      <c r="A232" s="2"/>
      <c r="B232" s="19"/>
      <c r="C232" s="19"/>
      <c r="D232" s="2"/>
      <c r="E232" s="2"/>
      <c r="F232" s="2"/>
      <c r="G232" s="2"/>
      <c r="H232" s="2"/>
      <c r="I232" s="2"/>
      <c r="J232" s="2"/>
      <c r="K232" s="2"/>
      <c r="L232" s="19"/>
      <c r="M232" s="19"/>
      <c r="N232" s="2"/>
      <c r="O232" s="2"/>
      <c r="P232" s="2"/>
      <c r="Q232" s="2"/>
      <c r="R232" s="2"/>
      <c r="S232" s="2"/>
      <c r="T232" s="2"/>
      <c r="U232" s="2"/>
      <c r="V232" s="2"/>
      <c r="W232" s="2"/>
      <c r="X232" s="2"/>
      <c r="Y232" s="2"/>
      <c r="Z232" s="2"/>
    </row>
    <row r="233" customFormat="false" ht="12" hidden="false" customHeight="true" outlineLevel="0" collapsed="false">
      <c r="A233" s="2"/>
      <c r="B233" s="19"/>
      <c r="C233" s="19"/>
      <c r="D233" s="2"/>
      <c r="E233" s="2"/>
      <c r="F233" s="2"/>
      <c r="G233" s="2"/>
      <c r="H233" s="2"/>
      <c r="I233" s="2"/>
      <c r="J233" s="2"/>
      <c r="K233" s="2"/>
      <c r="L233" s="19"/>
      <c r="M233" s="19"/>
      <c r="N233" s="2"/>
      <c r="O233" s="2"/>
      <c r="P233" s="2"/>
      <c r="Q233" s="2"/>
      <c r="R233" s="2"/>
      <c r="S233" s="2"/>
      <c r="T233" s="2"/>
      <c r="U233" s="2"/>
      <c r="V233" s="2"/>
      <c r="W233" s="2"/>
      <c r="X233" s="2"/>
      <c r="Y233" s="2"/>
      <c r="Z233" s="2"/>
    </row>
    <row r="234" customFormat="false" ht="12" hidden="false" customHeight="true" outlineLevel="0" collapsed="false">
      <c r="A234" s="2"/>
      <c r="B234" s="19"/>
      <c r="C234" s="19"/>
      <c r="D234" s="2"/>
      <c r="E234" s="2"/>
      <c r="F234" s="2"/>
      <c r="G234" s="2"/>
      <c r="H234" s="2"/>
      <c r="I234" s="2"/>
      <c r="J234" s="2"/>
      <c r="K234" s="2"/>
      <c r="L234" s="19"/>
      <c r="M234" s="19"/>
      <c r="N234" s="2"/>
      <c r="O234" s="2"/>
      <c r="P234" s="2"/>
      <c r="Q234" s="2"/>
      <c r="R234" s="2"/>
      <c r="S234" s="2"/>
      <c r="T234" s="2"/>
      <c r="U234" s="2"/>
      <c r="V234" s="2"/>
      <c r="W234" s="2"/>
      <c r="X234" s="2"/>
      <c r="Y234" s="2"/>
      <c r="Z234" s="2"/>
    </row>
    <row r="235" customFormat="false" ht="12" hidden="false" customHeight="true" outlineLevel="0" collapsed="false">
      <c r="A235" s="2"/>
      <c r="B235" s="19"/>
      <c r="C235" s="19"/>
      <c r="D235" s="2"/>
      <c r="E235" s="2"/>
      <c r="F235" s="2"/>
      <c r="G235" s="2"/>
      <c r="H235" s="2"/>
      <c r="I235" s="2"/>
      <c r="J235" s="2"/>
      <c r="K235" s="2"/>
      <c r="L235" s="19"/>
      <c r="M235" s="19"/>
      <c r="N235" s="2"/>
      <c r="O235" s="2"/>
      <c r="P235" s="2"/>
      <c r="Q235" s="2"/>
      <c r="R235" s="2"/>
      <c r="S235" s="2"/>
      <c r="T235" s="2"/>
      <c r="U235" s="2"/>
      <c r="V235" s="2"/>
      <c r="W235" s="2"/>
      <c r="X235" s="2"/>
      <c r="Y235" s="2"/>
      <c r="Z235" s="2"/>
    </row>
    <row r="236" customFormat="false" ht="12" hidden="false" customHeight="true" outlineLevel="0" collapsed="false">
      <c r="A236" s="2"/>
      <c r="B236" s="19"/>
      <c r="C236" s="19"/>
      <c r="D236" s="2"/>
      <c r="E236" s="2"/>
      <c r="F236" s="2"/>
      <c r="G236" s="2"/>
      <c r="H236" s="2"/>
      <c r="I236" s="2"/>
      <c r="J236" s="2"/>
      <c r="K236" s="2"/>
      <c r="L236" s="19"/>
      <c r="M236" s="19"/>
      <c r="N236" s="2"/>
      <c r="O236" s="2"/>
      <c r="P236" s="2"/>
      <c r="Q236" s="2"/>
      <c r="R236" s="2"/>
      <c r="S236" s="2"/>
      <c r="T236" s="2"/>
      <c r="U236" s="2"/>
      <c r="V236" s="2"/>
      <c r="W236" s="2"/>
      <c r="X236" s="2"/>
      <c r="Y236" s="2"/>
      <c r="Z236" s="2"/>
    </row>
    <row r="237" customFormat="false" ht="12" hidden="false" customHeight="true" outlineLevel="0" collapsed="false">
      <c r="A237" s="2"/>
      <c r="B237" s="19"/>
      <c r="C237" s="19"/>
      <c r="D237" s="2"/>
      <c r="E237" s="2"/>
      <c r="F237" s="2"/>
      <c r="G237" s="2"/>
      <c r="H237" s="2"/>
      <c r="I237" s="2"/>
      <c r="J237" s="2"/>
      <c r="K237" s="2"/>
      <c r="L237" s="19"/>
      <c r="M237" s="19"/>
      <c r="N237" s="2"/>
      <c r="O237" s="2"/>
      <c r="P237" s="2"/>
      <c r="Q237" s="2"/>
      <c r="R237" s="2"/>
      <c r="S237" s="2"/>
      <c r="T237" s="2"/>
      <c r="U237" s="2"/>
      <c r="V237" s="2"/>
      <c r="W237" s="2"/>
      <c r="X237" s="2"/>
      <c r="Y237" s="2"/>
      <c r="Z237" s="2"/>
    </row>
    <row r="238" customFormat="false" ht="12" hidden="false" customHeight="true" outlineLevel="0" collapsed="false">
      <c r="A238" s="2"/>
      <c r="B238" s="19"/>
      <c r="C238" s="19"/>
      <c r="D238" s="2"/>
      <c r="E238" s="2"/>
      <c r="F238" s="2"/>
      <c r="G238" s="2"/>
      <c r="H238" s="2"/>
      <c r="I238" s="2"/>
      <c r="J238" s="2"/>
      <c r="K238" s="2"/>
      <c r="L238" s="19"/>
      <c r="M238" s="19"/>
      <c r="N238" s="2"/>
      <c r="O238" s="2"/>
      <c r="P238" s="2"/>
      <c r="Q238" s="2"/>
      <c r="R238" s="2"/>
      <c r="S238" s="2"/>
      <c r="T238" s="2"/>
      <c r="U238" s="2"/>
      <c r="V238" s="2"/>
      <c r="W238" s="2"/>
      <c r="X238" s="2"/>
      <c r="Y238" s="2"/>
      <c r="Z238" s="2"/>
    </row>
    <row r="239" customFormat="false" ht="12" hidden="false" customHeight="true" outlineLevel="0" collapsed="false">
      <c r="A239" s="2"/>
      <c r="B239" s="19"/>
      <c r="C239" s="19"/>
      <c r="D239" s="2"/>
      <c r="E239" s="2"/>
      <c r="F239" s="2"/>
      <c r="G239" s="2"/>
      <c r="H239" s="2"/>
      <c r="I239" s="2"/>
      <c r="J239" s="2"/>
      <c r="K239" s="2"/>
      <c r="L239" s="19"/>
      <c r="M239" s="19"/>
      <c r="N239" s="2"/>
      <c r="O239" s="2"/>
      <c r="P239" s="2"/>
      <c r="Q239" s="2"/>
      <c r="R239" s="2"/>
      <c r="S239" s="2"/>
      <c r="T239" s="2"/>
      <c r="U239" s="2"/>
      <c r="V239" s="2"/>
      <c r="W239" s="2"/>
      <c r="X239" s="2"/>
      <c r="Y239" s="2"/>
      <c r="Z239" s="2"/>
    </row>
    <row r="240" customFormat="false" ht="12" hidden="false" customHeight="true" outlineLevel="0" collapsed="false">
      <c r="A240" s="2"/>
      <c r="B240" s="19"/>
      <c r="C240" s="19"/>
      <c r="D240" s="2"/>
      <c r="E240" s="2"/>
      <c r="F240" s="2"/>
      <c r="G240" s="2"/>
      <c r="H240" s="2"/>
      <c r="I240" s="2"/>
      <c r="J240" s="2"/>
      <c r="K240" s="2"/>
      <c r="L240" s="19"/>
      <c r="M240" s="19"/>
      <c r="N240" s="2"/>
      <c r="O240" s="2"/>
      <c r="P240" s="2"/>
      <c r="Q240" s="2"/>
      <c r="R240" s="2"/>
      <c r="S240" s="2"/>
      <c r="T240" s="2"/>
      <c r="U240" s="2"/>
      <c r="V240" s="2"/>
      <c r="W240" s="2"/>
      <c r="X240" s="2"/>
      <c r="Y240" s="2"/>
      <c r="Z240" s="2"/>
    </row>
    <row r="241" customFormat="false" ht="12" hidden="false" customHeight="true" outlineLevel="0" collapsed="false">
      <c r="A241" s="2"/>
      <c r="B241" s="19"/>
      <c r="C241" s="19"/>
      <c r="D241" s="2"/>
      <c r="E241" s="2"/>
      <c r="F241" s="2"/>
      <c r="G241" s="2"/>
      <c r="H241" s="2"/>
      <c r="I241" s="2"/>
      <c r="J241" s="2"/>
      <c r="K241" s="2"/>
      <c r="L241" s="19"/>
      <c r="M241" s="19"/>
      <c r="N241" s="2"/>
      <c r="O241" s="2"/>
      <c r="P241" s="2"/>
      <c r="Q241" s="2"/>
      <c r="R241" s="2"/>
      <c r="S241" s="2"/>
      <c r="T241" s="2"/>
      <c r="U241" s="2"/>
      <c r="V241" s="2"/>
      <c r="W241" s="2"/>
      <c r="X241" s="2"/>
      <c r="Y241" s="2"/>
      <c r="Z241" s="2"/>
    </row>
    <row r="242" customFormat="false" ht="12" hidden="false" customHeight="true" outlineLevel="0" collapsed="false">
      <c r="A242" s="2"/>
      <c r="B242" s="19"/>
      <c r="C242" s="19"/>
      <c r="D242" s="2"/>
      <c r="E242" s="2"/>
      <c r="F242" s="2"/>
      <c r="G242" s="2"/>
      <c r="H242" s="2"/>
      <c r="I242" s="2"/>
      <c r="J242" s="2"/>
      <c r="K242" s="2"/>
      <c r="L242" s="19"/>
      <c r="M242" s="19"/>
      <c r="N242" s="2"/>
      <c r="O242" s="2"/>
      <c r="P242" s="2"/>
      <c r="Q242" s="2"/>
      <c r="R242" s="2"/>
      <c r="S242" s="2"/>
      <c r="T242" s="2"/>
      <c r="U242" s="2"/>
      <c r="V242" s="2"/>
      <c r="W242" s="2"/>
      <c r="X242" s="2"/>
      <c r="Y242" s="2"/>
      <c r="Z242" s="2"/>
    </row>
    <row r="243" customFormat="false" ht="12" hidden="false" customHeight="true" outlineLevel="0" collapsed="false">
      <c r="A243" s="2"/>
      <c r="B243" s="19"/>
      <c r="C243" s="19"/>
      <c r="D243" s="2"/>
      <c r="E243" s="2"/>
      <c r="F243" s="2"/>
      <c r="G243" s="2"/>
      <c r="H243" s="2"/>
      <c r="I243" s="2"/>
      <c r="J243" s="2"/>
      <c r="K243" s="2"/>
      <c r="L243" s="19"/>
      <c r="M243" s="19"/>
      <c r="N243" s="2"/>
      <c r="O243" s="2"/>
      <c r="P243" s="2"/>
      <c r="Q243" s="2"/>
      <c r="R243" s="2"/>
      <c r="S243" s="2"/>
      <c r="T243" s="2"/>
      <c r="U243" s="2"/>
      <c r="V243" s="2"/>
      <c r="W243" s="2"/>
      <c r="X243" s="2"/>
      <c r="Y243" s="2"/>
      <c r="Z243" s="2"/>
    </row>
    <row r="244" customFormat="false" ht="12" hidden="false" customHeight="true" outlineLevel="0" collapsed="false">
      <c r="A244" s="2"/>
      <c r="B244" s="19"/>
      <c r="C244" s="19"/>
      <c r="D244" s="2"/>
      <c r="E244" s="2"/>
      <c r="F244" s="2"/>
      <c r="G244" s="2"/>
      <c r="H244" s="2"/>
      <c r="I244" s="2"/>
      <c r="J244" s="2"/>
      <c r="K244" s="2"/>
      <c r="L244" s="19"/>
      <c r="M244" s="19"/>
      <c r="N244" s="2"/>
      <c r="O244" s="2"/>
      <c r="P244" s="2"/>
      <c r="Q244" s="2"/>
      <c r="R244" s="2"/>
      <c r="S244" s="2"/>
      <c r="T244" s="2"/>
      <c r="U244" s="2"/>
      <c r="V244" s="2"/>
      <c r="W244" s="2"/>
      <c r="X244" s="2"/>
      <c r="Y244" s="2"/>
      <c r="Z244" s="2"/>
    </row>
    <row r="245" customFormat="false" ht="12" hidden="false" customHeight="true" outlineLevel="0" collapsed="false">
      <c r="A245" s="2"/>
      <c r="B245" s="19"/>
      <c r="C245" s="19"/>
      <c r="D245" s="2"/>
      <c r="E245" s="2"/>
      <c r="F245" s="2"/>
      <c r="G245" s="2"/>
      <c r="H245" s="2"/>
      <c r="I245" s="2"/>
      <c r="J245" s="2"/>
      <c r="K245" s="2"/>
      <c r="L245" s="19"/>
      <c r="M245" s="19"/>
      <c r="N245" s="2"/>
      <c r="O245" s="2"/>
      <c r="P245" s="2"/>
      <c r="Q245" s="2"/>
      <c r="R245" s="2"/>
      <c r="S245" s="2"/>
      <c r="T245" s="2"/>
      <c r="U245" s="2"/>
      <c r="V245" s="2"/>
      <c r="W245" s="2"/>
      <c r="X245" s="2"/>
      <c r="Y245" s="2"/>
      <c r="Z245" s="2"/>
    </row>
    <row r="246" customFormat="false" ht="12" hidden="false" customHeight="true" outlineLevel="0" collapsed="false">
      <c r="A246" s="2"/>
      <c r="B246" s="19"/>
      <c r="C246" s="19"/>
      <c r="D246" s="2"/>
      <c r="E246" s="2"/>
      <c r="F246" s="2"/>
      <c r="G246" s="2"/>
      <c r="H246" s="2"/>
      <c r="I246" s="2"/>
      <c r="J246" s="2"/>
      <c r="K246" s="2"/>
      <c r="L246" s="19"/>
      <c r="M246" s="19"/>
      <c r="N246" s="2"/>
      <c r="O246" s="2"/>
      <c r="P246" s="2"/>
      <c r="Q246" s="2"/>
      <c r="R246" s="2"/>
      <c r="S246" s="2"/>
      <c r="T246" s="2"/>
      <c r="U246" s="2"/>
      <c r="V246" s="2"/>
      <c r="W246" s="2"/>
      <c r="X246" s="2"/>
      <c r="Y246" s="2"/>
      <c r="Z246" s="2"/>
    </row>
    <row r="247" customFormat="false" ht="12" hidden="false" customHeight="true" outlineLevel="0" collapsed="false">
      <c r="A247" s="2"/>
      <c r="B247" s="19"/>
      <c r="C247" s="19"/>
      <c r="D247" s="2"/>
      <c r="E247" s="2"/>
      <c r="F247" s="2"/>
      <c r="G247" s="2"/>
      <c r="H247" s="2"/>
      <c r="I247" s="2"/>
      <c r="J247" s="2"/>
      <c r="K247" s="2"/>
      <c r="L247" s="19"/>
      <c r="M247" s="19"/>
      <c r="N247" s="2"/>
      <c r="O247" s="2"/>
      <c r="P247" s="2"/>
      <c r="Q247" s="2"/>
      <c r="R247" s="2"/>
      <c r="S247" s="2"/>
      <c r="T247" s="2"/>
      <c r="U247" s="2"/>
      <c r="V247" s="2"/>
      <c r="W247" s="2"/>
      <c r="X247" s="2"/>
      <c r="Y247" s="2"/>
      <c r="Z247" s="2"/>
    </row>
    <row r="248" customFormat="false" ht="12" hidden="false" customHeight="true" outlineLevel="0" collapsed="false">
      <c r="A248" s="2"/>
      <c r="B248" s="19"/>
      <c r="C248" s="19"/>
      <c r="D248" s="2"/>
      <c r="E248" s="2"/>
      <c r="F248" s="2"/>
      <c r="G248" s="2"/>
      <c r="H248" s="2"/>
      <c r="I248" s="2"/>
      <c r="J248" s="2"/>
      <c r="K248" s="2"/>
      <c r="L248" s="19"/>
      <c r="M248" s="19"/>
      <c r="N248" s="2"/>
      <c r="O248" s="2"/>
      <c r="P248" s="2"/>
      <c r="Q248" s="2"/>
      <c r="R248" s="2"/>
      <c r="S248" s="2"/>
      <c r="T248" s="2"/>
      <c r="U248" s="2"/>
      <c r="V248" s="2"/>
      <c r="W248" s="2"/>
      <c r="X248" s="2"/>
      <c r="Y248" s="2"/>
      <c r="Z248" s="2"/>
    </row>
    <row r="249" customFormat="false" ht="12" hidden="false" customHeight="true" outlineLevel="0" collapsed="false">
      <c r="A249" s="2"/>
      <c r="B249" s="19"/>
      <c r="C249" s="19"/>
      <c r="D249" s="2"/>
      <c r="E249" s="2"/>
      <c r="F249" s="2"/>
      <c r="G249" s="2"/>
      <c r="H249" s="2"/>
      <c r="I249" s="2"/>
      <c r="J249" s="2"/>
      <c r="K249" s="2"/>
      <c r="L249" s="19"/>
      <c r="M249" s="19"/>
      <c r="N249" s="2"/>
      <c r="O249" s="2"/>
      <c r="P249" s="2"/>
      <c r="Q249" s="2"/>
      <c r="R249" s="2"/>
      <c r="S249" s="2"/>
      <c r="T249" s="2"/>
      <c r="U249" s="2"/>
      <c r="V249" s="2"/>
      <c r="W249" s="2"/>
      <c r="X249" s="2"/>
      <c r="Y249" s="2"/>
      <c r="Z249" s="2"/>
    </row>
    <row r="250" customFormat="false" ht="12" hidden="false" customHeight="true" outlineLevel="0" collapsed="false">
      <c r="A250" s="2"/>
      <c r="B250" s="19"/>
      <c r="C250" s="19"/>
      <c r="D250" s="2"/>
      <c r="E250" s="2"/>
      <c r="F250" s="2"/>
      <c r="G250" s="2"/>
      <c r="H250" s="2"/>
      <c r="I250" s="2"/>
      <c r="J250" s="2"/>
      <c r="K250" s="2"/>
      <c r="L250" s="19"/>
      <c r="M250" s="19"/>
      <c r="N250" s="2"/>
      <c r="O250" s="2"/>
      <c r="P250" s="2"/>
      <c r="Q250" s="2"/>
      <c r="R250" s="2"/>
      <c r="S250" s="2"/>
      <c r="T250" s="2"/>
      <c r="U250" s="2"/>
      <c r="V250" s="2"/>
      <c r="W250" s="2"/>
      <c r="X250" s="2"/>
      <c r="Y250" s="2"/>
      <c r="Z250" s="2"/>
    </row>
    <row r="251" customFormat="false" ht="12" hidden="false" customHeight="true" outlineLevel="0" collapsed="false">
      <c r="A251" s="2"/>
      <c r="B251" s="19"/>
      <c r="C251" s="19"/>
      <c r="D251" s="2"/>
      <c r="E251" s="2"/>
      <c r="F251" s="2"/>
      <c r="G251" s="2"/>
      <c r="H251" s="2"/>
      <c r="I251" s="2"/>
      <c r="J251" s="2"/>
      <c r="K251" s="2"/>
      <c r="L251" s="19"/>
      <c r="M251" s="19"/>
      <c r="N251" s="2"/>
      <c r="O251" s="2"/>
      <c r="P251" s="2"/>
      <c r="Q251" s="2"/>
      <c r="R251" s="2"/>
      <c r="S251" s="2"/>
      <c r="T251" s="2"/>
      <c r="U251" s="2"/>
      <c r="V251" s="2"/>
      <c r="W251" s="2"/>
      <c r="X251" s="2"/>
      <c r="Y251" s="2"/>
      <c r="Z251" s="2"/>
    </row>
    <row r="252" customFormat="false" ht="12" hidden="false" customHeight="true" outlineLevel="0" collapsed="false">
      <c r="A252" s="2"/>
      <c r="B252" s="19"/>
      <c r="C252" s="19"/>
      <c r="D252" s="2"/>
      <c r="E252" s="2"/>
      <c r="F252" s="2"/>
      <c r="G252" s="2"/>
      <c r="H252" s="2"/>
      <c r="I252" s="2"/>
      <c r="J252" s="2"/>
      <c r="K252" s="2"/>
      <c r="L252" s="19"/>
      <c r="M252" s="19"/>
      <c r="N252" s="2"/>
      <c r="O252" s="2"/>
      <c r="P252" s="2"/>
      <c r="Q252" s="2"/>
      <c r="R252" s="2"/>
      <c r="S252" s="2"/>
      <c r="T252" s="2"/>
      <c r="U252" s="2"/>
      <c r="V252" s="2"/>
      <c r="W252" s="2"/>
      <c r="X252" s="2"/>
      <c r="Y252" s="2"/>
      <c r="Z252" s="2"/>
    </row>
    <row r="253" customFormat="false" ht="12" hidden="false" customHeight="true" outlineLevel="0" collapsed="false">
      <c r="A253" s="2"/>
      <c r="B253" s="19"/>
      <c r="C253" s="19"/>
      <c r="D253" s="2"/>
      <c r="E253" s="2"/>
      <c r="F253" s="2"/>
      <c r="G253" s="2"/>
      <c r="H253" s="2"/>
      <c r="I253" s="2"/>
      <c r="J253" s="2"/>
      <c r="K253" s="2"/>
      <c r="L253" s="19"/>
      <c r="M253" s="19"/>
      <c r="N253" s="2"/>
      <c r="O253" s="2"/>
      <c r="P253" s="2"/>
      <c r="Q253" s="2"/>
      <c r="R253" s="2"/>
      <c r="S253" s="2"/>
      <c r="T253" s="2"/>
      <c r="U253" s="2"/>
      <c r="V253" s="2"/>
      <c r="W253" s="2"/>
      <c r="X253" s="2"/>
      <c r="Y253" s="2"/>
      <c r="Z253" s="2"/>
    </row>
    <row r="254" customFormat="false" ht="12" hidden="false" customHeight="true" outlineLevel="0" collapsed="false">
      <c r="A254" s="2"/>
      <c r="B254" s="19"/>
      <c r="C254" s="19"/>
      <c r="D254" s="2"/>
      <c r="E254" s="2"/>
      <c r="F254" s="2"/>
      <c r="G254" s="2"/>
      <c r="H254" s="2"/>
      <c r="I254" s="2"/>
      <c r="J254" s="2"/>
      <c r="K254" s="2"/>
      <c r="L254" s="19"/>
      <c r="M254" s="19"/>
      <c r="N254" s="2"/>
      <c r="O254" s="2"/>
      <c r="P254" s="2"/>
      <c r="Q254" s="2"/>
      <c r="R254" s="2"/>
      <c r="S254" s="2"/>
      <c r="T254" s="2"/>
      <c r="U254" s="2"/>
      <c r="V254" s="2"/>
      <c r="W254" s="2"/>
      <c r="X254" s="2"/>
      <c r="Y254" s="2"/>
      <c r="Z254" s="2"/>
    </row>
    <row r="255" customFormat="false" ht="12" hidden="false" customHeight="true" outlineLevel="0" collapsed="false">
      <c r="A255" s="2"/>
      <c r="B255" s="19"/>
      <c r="C255" s="19"/>
      <c r="D255" s="2"/>
      <c r="E255" s="2"/>
      <c r="F255" s="2"/>
      <c r="G255" s="2"/>
      <c r="H255" s="2"/>
      <c r="I255" s="2"/>
      <c r="J255" s="2"/>
      <c r="K255" s="2"/>
      <c r="L255" s="19"/>
      <c r="M255" s="19"/>
      <c r="N255" s="2"/>
      <c r="O255" s="2"/>
      <c r="P255" s="2"/>
      <c r="Q255" s="2"/>
      <c r="R255" s="2"/>
      <c r="S255" s="2"/>
      <c r="T255" s="2"/>
      <c r="U255" s="2"/>
      <c r="V255" s="2"/>
      <c r="W255" s="2"/>
      <c r="X255" s="2"/>
      <c r="Y255" s="2"/>
      <c r="Z255" s="2"/>
    </row>
    <row r="256" customFormat="false" ht="12" hidden="false" customHeight="true" outlineLevel="0" collapsed="false">
      <c r="A256" s="2"/>
      <c r="B256" s="19"/>
      <c r="C256" s="19"/>
      <c r="D256" s="2"/>
      <c r="E256" s="2"/>
      <c r="F256" s="2"/>
      <c r="G256" s="2"/>
      <c r="H256" s="2"/>
      <c r="I256" s="2"/>
      <c r="J256" s="2"/>
      <c r="K256" s="2"/>
      <c r="L256" s="19"/>
      <c r="M256" s="19"/>
      <c r="N256" s="2"/>
      <c r="O256" s="2"/>
      <c r="P256" s="2"/>
      <c r="Q256" s="2"/>
      <c r="R256" s="2"/>
      <c r="S256" s="2"/>
      <c r="T256" s="2"/>
      <c r="U256" s="2"/>
      <c r="V256" s="2"/>
      <c r="W256" s="2"/>
      <c r="X256" s="2"/>
      <c r="Y256" s="2"/>
      <c r="Z256" s="2"/>
    </row>
    <row r="257" customFormat="false" ht="12" hidden="false" customHeight="true" outlineLevel="0" collapsed="false">
      <c r="A257" s="2"/>
      <c r="B257" s="19"/>
      <c r="C257" s="19"/>
      <c r="D257" s="2"/>
      <c r="E257" s="2"/>
      <c r="F257" s="2"/>
      <c r="G257" s="2"/>
      <c r="H257" s="2"/>
      <c r="I257" s="2"/>
      <c r="J257" s="2"/>
      <c r="K257" s="2"/>
      <c r="L257" s="19"/>
      <c r="M257" s="19"/>
      <c r="N257" s="2"/>
      <c r="O257" s="2"/>
      <c r="P257" s="2"/>
      <c r="Q257" s="2"/>
      <c r="R257" s="2"/>
      <c r="S257" s="2"/>
      <c r="T257" s="2"/>
      <c r="U257" s="2"/>
      <c r="V257" s="2"/>
      <c r="W257" s="2"/>
      <c r="X257" s="2"/>
      <c r="Y257" s="2"/>
      <c r="Z257" s="2"/>
    </row>
    <row r="258" customFormat="false" ht="12" hidden="false" customHeight="true" outlineLevel="0" collapsed="false">
      <c r="A258" s="2"/>
      <c r="B258" s="19"/>
      <c r="C258" s="19"/>
      <c r="D258" s="2"/>
      <c r="E258" s="2"/>
      <c r="F258" s="2"/>
      <c r="G258" s="2"/>
      <c r="H258" s="2"/>
      <c r="I258" s="2"/>
      <c r="J258" s="2"/>
      <c r="K258" s="2"/>
      <c r="L258" s="19"/>
      <c r="M258" s="19"/>
      <c r="N258" s="2"/>
      <c r="O258" s="2"/>
      <c r="P258" s="2"/>
      <c r="Q258" s="2"/>
      <c r="R258" s="2"/>
      <c r="S258" s="2"/>
      <c r="T258" s="2"/>
      <c r="U258" s="2"/>
      <c r="V258" s="2"/>
      <c r="W258" s="2"/>
      <c r="X258" s="2"/>
      <c r="Y258" s="2"/>
      <c r="Z258" s="2"/>
    </row>
    <row r="259" customFormat="false" ht="12" hidden="false" customHeight="true" outlineLevel="0" collapsed="false">
      <c r="A259" s="2"/>
      <c r="B259" s="19"/>
      <c r="C259" s="19"/>
      <c r="D259" s="2"/>
      <c r="E259" s="2"/>
      <c r="F259" s="2"/>
      <c r="G259" s="2"/>
      <c r="H259" s="2"/>
      <c r="I259" s="2"/>
      <c r="J259" s="2"/>
      <c r="K259" s="2"/>
      <c r="L259" s="19"/>
      <c r="M259" s="19"/>
      <c r="N259" s="2"/>
      <c r="O259" s="2"/>
      <c r="P259" s="2"/>
      <c r="Q259" s="2"/>
      <c r="R259" s="2"/>
      <c r="S259" s="2"/>
      <c r="T259" s="2"/>
      <c r="U259" s="2"/>
      <c r="V259" s="2"/>
      <c r="W259" s="2"/>
      <c r="X259" s="2"/>
      <c r="Y259" s="2"/>
      <c r="Z259" s="2"/>
    </row>
    <row r="260" customFormat="false" ht="12" hidden="false" customHeight="true" outlineLevel="0" collapsed="false">
      <c r="A260" s="2"/>
      <c r="B260" s="19"/>
      <c r="C260" s="19"/>
      <c r="D260" s="2"/>
      <c r="E260" s="2"/>
      <c r="F260" s="2"/>
      <c r="G260" s="2"/>
      <c r="H260" s="2"/>
      <c r="I260" s="2"/>
      <c r="J260" s="2"/>
      <c r="K260" s="2"/>
      <c r="L260" s="19"/>
      <c r="M260" s="19"/>
      <c r="N260" s="2"/>
      <c r="O260" s="2"/>
      <c r="P260" s="2"/>
      <c r="Q260" s="2"/>
      <c r="R260" s="2"/>
      <c r="S260" s="2"/>
      <c r="T260" s="2"/>
      <c r="U260" s="2"/>
      <c r="V260" s="2"/>
      <c r="W260" s="2"/>
      <c r="X260" s="2"/>
      <c r="Y260" s="2"/>
      <c r="Z260" s="2"/>
    </row>
    <row r="261" customFormat="false" ht="12" hidden="false" customHeight="true" outlineLevel="0" collapsed="false">
      <c r="A261" s="2"/>
      <c r="B261" s="19"/>
      <c r="C261" s="19"/>
      <c r="D261" s="2"/>
      <c r="E261" s="2"/>
      <c r="F261" s="2"/>
      <c r="G261" s="2"/>
      <c r="H261" s="2"/>
      <c r="I261" s="2"/>
      <c r="J261" s="2"/>
      <c r="K261" s="2"/>
      <c r="L261" s="19"/>
      <c r="M261" s="19"/>
      <c r="N261" s="2"/>
      <c r="O261" s="2"/>
      <c r="P261" s="2"/>
      <c r="Q261" s="2"/>
      <c r="R261" s="2"/>
      <c r="S261" s="2"/>
      <c r="T261" s="2"/>
      <c r="U261" s="2"/>
      <c r="V261" s="2"/>
      <c r="W261" s="2"/>
      <c r="X261" s="2"/>
      <c r="Y261" s="2"/>
      <c r="Z261" s="2"/>
    </row>
    <row r="262" customFormat="false" ht="12" hidden="false" customHeight="true" outlineLevel="0" collapsed="false">
      <c r="A262" s="2"/>
      <c r="B262" s="19"/>
      <c r="C262" s="19"/>
      <c r="D262" s="2"/>
      <c r="E262" s="2"/>
      <c r="F262" s="2"/>
      <c r="G262" s="2"/>
      <c r="H262" s="2"/>
      <c r="I262" s="2"/>
      <c r="J262" s="2"/>
      <c r="K262" s="2"/>
      <c r="L262" s="19"/>
      <c r="M262" s="19"/>
      <c r="N262" s="2"/>
      <c r="O262" s="2"/>
      <c r="P262" s="2"/>
      <c r="Q262" s="2"/>
      <c r="R262" s="2"/>
      <c r="S262" s="2"/>
      <c r="T262" s="2"/>
      <c r="U262" s="2"/>
      <c r="V262" s="2"/>
      <c r="W262" s="2"/>
      <c r="X262" s="2"/>
      <c r="Y262" s="2"/>
      <c r="Z262" s="2"/>
    </row>
    <row r="263" customFormat="false" ht="12" hidden="false" customHeight="true" outlineLevel="0" collapsed="false">
      <c r="A263" s="2"/>
      <c r="B263" s="19"/>
      <c r="C263" s="19"/>
      <c r="D263" s="2"/>
      <c r="E263" s="2"/>
      <c r="F263" s="2"/>
      <c r="G263" s="2"/>
      <c r="H263" s="2"/>
      <c r="I263" s="2"/>
      <c r="J263" s="2"/>
      <c r="K263" s="2"/>
      <c r="L263" s="19"/>
      <c r="M263" s="19"/>
      <c r="N263" s="2"/>
      <c r="O263" s="2"/>
      <c r="P263" s="2"/>
      <c r="Q263" s="2"/>
      <c r="R263" s="2"/>
      <c r="S263" s="2"/>
      <c r="T263" s="2"/>
      <c r="U263" s="2"/>
      <c r="V263" s="2"/>
      <c r="W263" s="2"/>
      <c r="X263" s="2"/>
      <c r="Y263" s="2"/>
      <c r="Z263" s="2"/>
    </row>
    <row r="264" customFormat="false" ht="12" hidden="false" customHeight="true" outlineLevel="0" collapsed="false">
      <c r="A264" s="2"/>
      <c r="B264" s="19"/>
      <c r="C264" s="19"/>
      <c r="D264" s="2"/>
      <c r="E264" s="2"/>
      <c r="F264" s="2"/>
      <c r="G264" s="2"/>
      <c r="H264" s="2"/>
      <c r="I264" s="2"/>
      <c r="J264" s="2"/>
      <c r="K264" s="2"/>
      <c r="L264" s="19"/>
      <c r="M264" s="19"/>
      <c r="N264" s="2"/>
      <c r="O264" s="2"/>
      <c r="P264" s="2"/>
      <c r="Q264" s="2"/>
      <c r="R264" s="2"/>
      <c r="S264" s="2"/>
      <c r="T264" s="2"/>
      <c r="U264" s="2"/>
      <c r="V264" s="2"/>
      <c r="W264" s="2"/>
      <c r="X264" s="2"/>
      <c r="Y264" s="2"/>
      <c r="Z264" s="2"/>
    </row>
    <row r="265" customFormat="false" ht="12" hidden="false" customHeight="true" outlineLevel="0" collapsed="false">
      <c r="A265" s="2"/>
      <c r="B265" s="19"/>
      <c r="C265" s="19"/>
      <c r="D265" s="2"/>
      <c r="E265" s="2"/>
      <c r="F265" s="2"/>
      <c r="G265" s="2"/>
      <c r="H265" s="2"/>
      <c r="I265" s="2"/>
      <c r="J265" s="2"/>
      <c r="K265" s="2"/>
      <c r="L265" s="19"/>
      <c r="M265" s="19"/>
      <c r="N265" s="2"/>
      <c r="O265" s="2"/>
      <c r="P265" s="2"/>
      <c r="Q265" s="2"/>
      <c r="R265" s="2"/>
      <c r="S265" s="2"/>
      <c r="T265" s="2"/>
      <c r="U265" s="2"/>
      <c r="V265" s="2"/>
      <c r="W265" s="2"/>
      <c r="X265" s="2"/>
      <c r="Y265" s="2"/>
      <c r="Z265" s="2"/>
    </row>
    <row r="266" customFormat="false" ht="12" hidden="false" customHeight="true" outlineLevel="0" collapsed="false">
      <c r="A266" s="2"/>
      <c r="B266" s="19"/>
      <c r="C266" s="19"/>
      <c r="D266" s="2"/>
      <c r="E266" s="2"/>
      <c r="F266" s="2"/>
      <c r="G266" s="2"/>
      <c r="H266" s="2"/>
      <c r="I266" s="2"/>
      <c r="J266" s="2"/>
      <c r="K266" s="2"/>
      <c r="L266" s="19"/>
      <c r="M266" s="19"/>
      <c r="N266" s="2"/>
      <c r="O266" s="2"/>
      <c r="P266" s="2"/>
      <c r="Q266" s="2"/>
      <c r="R266" s="2"/>
      <c r="S266" s="2"/>
      <c r="T266" s="2"/>
      <c r="U266" s="2"/>
      <c r="V266" s="2"/>
      <c r="W266" s="2"/>
      <c r="X266" s="2"/>
      <c r="Y266" s="2"/>
      <c r="Z266" s="2"/>
    </row>
    <row r="267" customFormat="false" ht="12" hidden="false" customHeight="true" outlineLevel="0" collapsed="false">
      <c r="A267" s="2"/>
      <c r="B267" s="19"/>
      <c r="C267" s="19"/>
      <c r="D267" s="2"/>
      <c r="E267" s="2"/>
      <c r="F267" s="2"/>
      <c r="G267" s="2"/>
      <c r="H267" s="2"/>
      <c r="I267" s="2"/>
      <c r="J267" s="2"/>
      <c r="K267" s="2"/>
      <c r="L267" s="19"/>
      <c r="M267" s="19"/>
      <c r="N267" s="2"/>
      <c r="O267" s="2"/>
      <c r="P267" s="2"/>
      <c r="Q267" s="2"/>
      <c r="R267" s="2"/>
      <c r="S267" s="2"/>
      <c r="T267" s="2"/>
      <c r="U267" s="2"/>
      <c r="V267" s="2"/>
      <c r="W267" s="2"/>
      <c r="X267" s="2"/>
      <c r="Y267" s="2"/>
      <c r="Z267" s="2"/>
    </row>
    <row r="268" customFormat="false" ht="12" hidden="false" customHeight="true" outlineLevel="0" collapsed="false">
      <c r="A268" s="2"/>
      <c r="B268" s="19"/>
      <c r="C268" s="19"/>
      <c r="D268" s="2"/>
      <c r="E268" s="2"/>
      <c r="F268" s="2"/>
      <c r="G268" s="2"/>
      <c r="H268" s="2"/>
      <c r="I268" s="2"/>
      <c r="J268" s="2"/>
      <c r="K268" s="2"/>
      <c r="L268" s="19"/>
      <c r="M268" s="19"/>
      <c r="N268" s="2"/>
      <c r="O268" s="2"/>
      <c r="P268" s="2"/>
      <c r="Q268" s="2"/>
      <c r="R268" s="2"/>
      <c r="S268" s="2"/>
      <c r="T268" s="2"/>
      <c r="U268" s="2"/>
      <c r="V268" s="2"/>
      <c r="W268" s="2"/>
      <c r="X268" s="2"/>
      <c r="Y268" s="2"/>
      <c r="Z268" s="2"/>
    </row>
    <row r="269" customFormat="false" ht="12" hidden="false" customHeight="true" outlineLevel="0" collapsed="false">
      <c r="A269" s="2"/>
      <c r="B269" s="19"/>
      <c r="C269" s="19"/>
      <c r="D269" s="2"/>
      <c r="E269" s="2"/>
      <c r="F269" s="2"/>
      <c r="G269" s="2"/>
      <c r="H269" s="2"/>
      <c r="I269" s="2"/>
      <c r="J269" s="2"/>
      <c r="K269" s="2"/>
      <c r="L269" s="19"/>
      <c r="M269" s="19"/>
      <c r="N269" s="2"/>
      <c r="O269" s="2"/>
      <c r="P269" s="2"/>
      <c r="Q269" s="2"/>
      <c r="R269" s="2"/>
      <c r="S269" s="2"/>
      <c r="T269" s="2"/>
      <c r="U269" s="2"/>
      <c r="V269" s="2"/>
      <c r="W269" s="2"/>
      <c r="X269" s="2"/>
      <c r="Y269" s="2"/>
      <c r="Z269" s="2"/>
    </row>
    <row r="270" customFormat="false" ht="12" hidden="false" customHeight="true" outlineLevel="0" collapsed="false">
      <c r="A270" s="2"/>
      <c r="B270" s="19"/>
      <c r="C270" s="19"/>
      <c r="D270" s="2"/>
      <c r="E270" s="2"/>
      <c r="F270" s="2"/>
      <c r="G270" s="2"/>
      <c r="H270" s="2"/>
      <c r="I270" s="2"/>
      <c r="J270" s="2"/>
      <c r="K270" s="2"/>
      <c r="L270" s="19"/>
      <c r="M270" s="19"/>
      <c r="N270" s="2"/>
      <c r="O270" s="2"/>
      <c r="P270" s="2"/>
      <c r="Q270" s="2"/>
      <c r="R270" s="2"/>
      <c r="S270" s="2"/>
      <c r="T270" s="2"/>
      <c r="U270" s="2"/>
      <c r="V270" s="2"/>
      <c r="W270" s="2"/>
      <c r="X270" s="2"/>
      <c r="Y270" s="2"/>
      <c r="Z270" s="2"/>
    </row>
    <row r="271" customFormat="false" ht="12" hidden="false" customHeight="true" outlineLevel="0" collapsed="false">
      <c r="A271" s="2"/>
      <c r="B271" s="19"/>
      <c r="C271" s="19"/>
      <c r="D271" s="2"/>
      <c r="E271" s="2"/>
      <c r="F271" s="2"/>
      <c r="G271" s="2"/>
      <c r="H271" s="2"/>
      <c r="I271" s="2"/>
      <c r="J271" s="2"/>
      <c r="K271" s="2"/>
      <c r="L271" s="19"/>
      <c r="M271" s="19"/>
      <c r="N271" s="2"/>
      <c r="O271" s="2"/>
      <c r="P271" s="2"/>
      <c r="Q271" s="2"/>
      <c r="R271" s="2"/>
      <c r="S271" s="2"/>
      <c r="T271" s="2"/>
      <c r="U271" s="2"/>
      <c r="V271" s="2"/>
      <c r="W271" s="2"/>
      <c r="X271" s="2"/>
      <c r="Y271" s="2"/>
      <c r="Z271" s="2"/>
    </row>
    <row r="272" customFormat="false" ht="12" hidden="false" customHeight="true" outlineLevel="0" collapsed="false">
      <c r="A272" s="2"/>
      <c r="B272" s="19"/>
      <c r="C272" s="19"/>
      <c r="D272" s="2"/>
      <c r="E272" s="2"/>
      <c r="F272" s="2"/>
      <c r="G272" s="2"/>
      <c r="H272" s="2"/>
      <c r="I272" s="2"/>
      <c r="J272" s="2"/>
      <c r="K272" s="2"/>
      <c r="L272" s="19"/>
      <c r="M272" s="19"/>
      <c r="N272" s="2"/>
      <c r="O272" s="2"/>
      <c r="P272" s="2"/>
      <c r="Q272" s="2"/>
      <c r="R272" s="2"/>
      <c r="S272" s="2"/>
      <c r="T272" s="2"/>
      <c r="U272" s="2"/>
      <c r="V272" s="2"/>
      <c r="W272" s="2"/>
      <c r="X272" s="2"/>
      <c r="Y272" s="2"/>
      <c r="Z272" s="2"/>
    </row>
    <row r="273" customFormat="false" ht="12" hidden="false" customHeight="true" outlineLevel="0" collapsed="false">
      <c r="A273" s="2"/>
      <c r="B273" s="19"/>
      <c r="C273" s="19"/>
      <c r="D273" s="2"/>
      <c r="E273" s="2"/>
      <c r="F273" s="2"/>
      <c r="G273" s="2"/>
      <c r="H273" s="2"/>
      <c r="I273" s="2"/>
      <c r="J273" s="2"/>
      <c r="K273" s="2"/>
      <c r="L273" s="19"/>
      <c r="M273" s="19"/>
      <c r="N273" s="2"/>
      <c r="O273" s="2"/>
      <c r="P273" s="2"/>
      <c r="Q273" s="2"/>
      <c r="R273" s="2"/>
      <c r="S273" s="2"/>
      <c r="T273" s="2"/>
      <c r="U273" s="2"/>
      <c r="V273" s="2"/>
      <c r="W273" s="2"/>
      <c r="X273" s="2"/>
      <c r="Y273" s="2"/>
      <c r="Z273" s="2"/>
    </row>
    <row r="274" customFormat="false" ht="12" hidden="false" customHeight="true" outlineLevel="0" collapsed="false">
      <c r="A274" s="2"/>
      <c r="B274" s="19"/>
      <c r="C274" s="19"/>
      <c r="D274" s="2"/>
      <c r="E274" s="2"/>
      <c r="F274" s="2"/>
      <c r="G274" s="2"/>
      <c r="H274" s="2"/>
      <c r="I274" s="2"/>
      <c r="J274" s="2"/>
      <c r="K274" s="2"/>
      <c r="L274" s="19"/>
      <c r="M274" s="19"/>
      <c r="N274" s="2"/>
      <c r="O274" s="2"/>
      <c r="P274" s="2"/>
      <c r="Q274" s="2"/>
      <c r="R274" s="2"/>
      <c r="S274" s="2"/>
      <c r="T274" s="2"/>
      <c r="U274" s="2"/>
      <c r="V274" s="2"/>
      <c r="W274" s="2"/>
      <c r="X274" s="2"/>
      <c r="Y274" s="2"/>
      <c r="Z274" s="2"/>
    </row>
    <row r="275" customFormat="false" ht="12" hidden="false" customHeight="true" outlineLevel="0" collapsed="false">
      <c r="A275" s="2"/>
      <c r="B275" s="19"/>
      <c r="C275" s="19"/>
      <c r="D275" s="2"/>
      <c r="E275" s="2"/>
      <c r="F275" s="2"/>
      <c r="G275" s="2"/>
      <c r="H275" s="2"/>
      <c r="I275" s="2"/>
      <c r="J275" s="2"/>
      <c r="K275" s="2"/>
      <c r="L275" s="19"/>
      <c r="M275" s="19"/>
      <c r="N275" s="2"/>
      <c r="O275" s="2"/>
      <c r="P275" s="2"/>
      <c r="Q275" s="2"/>
      <c r="R275" s="2"/>
      <c r="S275" s="2"/>
      <c r="T275" s="2"/>
      <c r="U275" s="2"/>
      <c r="V275" s="2"/>
      <c r="W275" s="2"/>
      <c r="X275" s="2"/>
      <c r="Y275" s="2"/>
      <c r="Z275" s="2"/>
    </row>
    <row r="276" customFormat="false" ht="12" hidden="false" customHeight="true" outlineLevel="0" collapsed="false">
      <c r="A276" s="2"/>
      <c r="B276" s="19"/>
      <c r="C276" s="19"/>
      <c r="D276" s="2"/>
      <c r="E276" s="2"/>
      <c r="F276" s="2"/>
      <c r="G276" s="2"/>
      <c r="H276" s="2"/>
      <c r="I276" s="2"/>
      <c r="J276" s="2"/>
      <c r="K276" s="2"/>
      <c r="L276" s="19"/>
      <c r="M276" s="19"/>
      <c r="N276" s="2"/>
      <c r="O276" s="2"/>
      <c r="P276" s="2"/>
      <c r="Q276" s="2"/>
      <c r="R276" s="2"/>
      <c r="S276" s="2"/>
      <c r="T276" s="2"/>
      <c r="U276" s="2"/>
      <c r="V276" s="2"/>
      <c r="W276" s="2"/>
      <c r="X276" s="2"/>
      <c r="Y276" s="2"/>
      <c r="Z276" s="2"/>
    </row>
    <row r="277" customFormat="false" ht="12" hidden="false" customHeight="true" outlineLevel="0" collapsed="false">
      <c r="A277" s="2"/>
      <c r="B277" s="19"/>
      <c r="C277" s="19"/>
      <c r="D277" s="2"/>
      <c r="E277" s="2"/>
      <c r="F277" s="2"/>
      <c r="G277" s="2"/>
      <c r="H277" s="2"/>
      <c r="I277" s="2"/>
      <c r="J277" s="2"/>
      <c r="K277" s="2"/>
      <c r="L277" s="19"/>
      <c r="M277" s="19"/>
      <c r="N277" s="2"/>
      <c r="O277" s="2"/>
      <c r="P277" s="2"/>
      <c r="Q277" s="2"/>
      <c r="R277" s="2"/>
      <c r="S277" s="2"/>
      <c r="T277" s="2"/>
      <c r="U277" s="2"/>
      <c r="V277" s="2"/>
      <c r="W277" s="2"/>
      <c r="X277" s="2"/>
      <c r="Y277" s="2"/>
      <c r="Z277" s="2"/>
    </row>
    <row r="278" customFormat="false" ht="12" hidden="false" customHeight="true" outlineLevel="0" collapsed="false">
      <c r="A278" s="2"/>
      <c r="B278" s="19"/>
      <c r="C278" s="19"/>
      <c r="D278" s="2"/>
      <c r="E278" s="2"/>
      <c r="F278" s="2"/>
      <c r="G278" s="2"/>
      <c r="H278" s="2"/>
      <c r="I278" s="2"/>
      <c r="J278" s="2"/>
      <c r="K278" s="2"/>
      <c r="L278" s="19"/>
      <c r="M278" s="19"/>
      <c r="N278" s="2"/>
      <c r="O278" s="2"/>
      <c r="P278" s="2"/>
      <c r="Q278" s="2"/>
      <c r="R278" s="2"/>
      <c r="S278" s="2"/>
      <c r="T278" s="2"/>
      <c r="U278" s="2"/>
      <c r="V278" s="2"/>
      <c r="W278" s="2"/>
      <c r="X278" s="2"/>
      <c r="Y278" s="2"/>
      <c r="Z278" s="2"/>
    </row>
    <row r="279" customFormat="false" ht="12" hidden="false" customHeight="true" outlineLevel="0" collapsed="false">
      <c r="A279" s="2"/>
      <c r="B279" s="19"/>
      <c r="C279" s="19"/>
      <c r="D279" s="2"/>
      <c r="E279" s="2"/>
      <c r="F279" s="2"/>
      <c r="G279" s="2"/>
      <c r="H279" s="2"/>
      <c r="I279" s="2"/>
      <c r="J279" s="2"/>
      <c r="K279" s="2"/>
      <c r="L279" s="19"/>
      <c r="M279" s="19"/>
      <c r="N279" s="2"/>
      <c r="O279" s="2"/>
      <c r="P279" s="2"/>
      <c r="Q279" s="2"/>
      <c r="R279" s="2"/>
      <c r="S279" s="2"/>
      <c r="T279" s="2"/>
      <c r="U279" s="2"/>
      <c r="V279" s="2"/>
      <c r="W279" s="2"/>
      <c r="X279" s="2"/>
      <c r="Y279" s="2"/>
      <c r="Z279" s="2"/>
    </row>
    <row r="280" customFormat="false" ht="12" hidden="false" customHeight="true" outlineLevel="0" collapsed="false">
      <c r="A280" s="2"/>
      <c r="B280" s="19"/>
      <c r="C280" s="19"/>
      <c r="D280" s="2"/>
      <c r="E280" s="2"/>
      <c r="F280" s="2"/>
      <c r="G280" s="2"/>
      <c r="H280" s="2"/>
      <c r="I280" s="2"/>
      <c r="J280" s="2"/>
      <c r="K280" s="2"/>
      <c r="L280" s="19"/>
      <c r="M280" s="19"/>
      <c r="N280" s="2"/>
      <c r="O280" s="2"/>
      <c r="P280" s="2"/>
      <c r="Q280" s="2"/>
      <c r="R280" s="2"/>
      <c r="S280" s="2"/>
      <c r="T280" s="2"/>
      <c r="U280" s="2"/>
      <c r="V280" s="2"/>
      <c r="W280" s="2"/>
      <c r="X280" s="2"/>
      <c r="Y280" s="2"/>
      <c r="Z280" s="2"/>
    </row>
    <row r="281" customFormat="false" ht="12" hidden="false" customHeight="true" outlineLevel="0" collapsed="false">
      <c r="A281" s="2"/>
      <c r="B281" s="19"/>
      <c r="C281" s="19"/>
      <c r="D281" s="2"/>
      <c r="E281" s="2"/>
      <c r="F281" s="2"/>
      <c r="G281" s="2"/>
      <c r="H281" s="2"/>
      <c r="I281" s="2"/>
      <c r="J281" s="2"/>
      <c r="K281" s="2"/>
      <c r="L281" s="19"/>
      <c r="M281" s="19"/>
      <c r="N281" s="2"/>
      <c r="O281" s="2"/>
      <c r="P281" s="2"/>
      <c r="Q281" s="2"/>
      <c r="R281" s="2"/>
      <c r="S281" s="2"/>
      <c r="T281" s="2"/>
      <c r="U281" s="2"/>
      <c r="V281" s="2"/>
      <c r="W281" s="2"/>
      <c r="X281" s="2"/>
      <c r="Y281" s="2"/>
      <c r="Z281" s="2"/>
    </row>
    <row r="282" customFormat="false" ht="12" hidden="false" customHeight="true" outlineLevel="0" collapsed="false">
      <c r="A282" s="2"/>
      <c r="B282" s="19"/>
      <c r="C282" s="19"/>
      <c r="D282" s="2"/>
      <c r="E282" s="2"/>
      <c r="F282" s="2"/>
      <c r="G282" s="2"/>
      <c r="H282" s="2"/>
      <c r="I282" s="2"/>
      <c r="J282" s="2"/>
      <c r="K282" s="2"/>
      <c r="L282" s="19"/>
      <c r="M282" s="19"/>
      <c r="N282" s="2"/>
      <c r="O282" s="2"/>
      <c r="P282" s="2"/>
      <c r="Q282" s="2"/>
      <c r="R282" s="2"/>
      <c r="S282" s="2"/>
      <c r="T282" s="2"/>
      <c r="U282" s="2"/>
      <c r="V282" s="2"/>
      <c r="W282" s="2"/>
      <c r="X282" s="2"/>
      <c r="Y282" s="2"/>
      <c r="Z282" s="2"/>
    </row>
    <row r="283" customFormat="false" ht="12" hidden="false" customHeight="true" outlineLevel="0" collapsed="false">
      <c r="A283" s="2"/>
      <c r="B283" s="19"/>
      <c r="C283" s="19"/>
      <c r="D283" s="2"/>
      <c r="E283" s="2"/>
      <c r="F283" s="2"/>
      <c r="G283" s="2"/>
      <c r="H283" s="2"/>
      <c r="I283" s="2"/>
      <c r="J283" s="2"/>
      <c r="K283" s="2"/>
      <c r="L283" s="19"/>
      <c r="M283" s="19"/>
      <c r="N283" s="2"/>
      <c r="O283" s="2"/>
      <c r="P283" s="2"/>
      <c r="Q283" s="2"/>
      <c r="R283" s="2"/>
      <c r="S283" s="2"/>
      <c r="T283" s="2"/>
      <c r="U283" s="2"/>
      <c r="V283" s="2"/>
      <c r="W283" s="2"/>
      <c r="X283" s="2"/>
      <c r="Y283" s="2"/>
      <c r="Z283" s="2"/>
    </row>
    <row r="284" customFormat="false" ht="12" hidden="false" customHeight="true" outlineLevel="0" collapsed="false">
      <c r="A284" s="2"/>
      <c r="B284" s="19"/>
      <c r="C284" s="19"/>
      <c r="D284" s="2"/>
      <c r="E284" s="2"/>
      <c r="F284" s="2"/>
      <c r="G284" s="2"/>
      <c r="H284" s="2"/>
      <c r="I284" s="2"/>
      <c r="J284" s="2"/>
      <c r="K284" s="2"/>
      <c r="L284" s="19"/>
      <c r="M284" s="19"/>
      <c r="N284" s="2"/>
      <c r="O284" s="2"/>
      <c r="P284" s="2"/>
      <c r="Q284" s="2"/>
      <c r="R284" s="2"/>
      <c r="S284" s="2"/>
      <c r="T284" s="2"/>
      <c r="U284" s="2"/>
      <c r="V284" s="2"/>
      <c r="W284" s="2"/>
      <c r="X284" s="2"/>
      <c r="Y284" s="2"/>
      <c r="Z284" s="2"/>
    </row>
    <row r="285" customFormat="false" ht="12" hidden="false" customHeight="true" outlineLevel="0" collapsed="false">
      <c r="A285" s="2"/>
      <c r="B285" s="19"/>
      <c r="C285" s="19"/>
      <c r="D285" s="2"/>
      <c r="E285" s="2"/>
      <c r="F285" s="2"/>
      <c r="G285" s="2"/>
      <c r="H285" s="2"/>
      <c r="I285" s="2"/>
      <c r="J285" s="2"/>
      <c r="K285" s="2"/>
      <c r="L285" s="19"/>
      <c r="M285" s="19"/>
      <c r="N285" s="2"/>
      <c r="O285" s="2"/>
      <c r="P285" s="2"/>
      <c r="Q285" s="2"/>
      <c r="R285" s="2"/>
      <c r="S285" s="2"/>
      <c r="T285" s="2"/>
      <c r="U285" s="2"/>
      <c r="V285" s="2"/>
      <c r="W285" s="2"/>
      <c r="X285" s="2"/>
      <c r="Y285" s="2"/>
      <c r="Z285" s="2"/>
    </row>
    <row r="286" customFormat="false" ht="12" hidden="false" customHeight="true" outlineLevel="0" collapsed="false">
      <c r="A286" s="2"/>
      <c r="B286" s="19"/>
      <c r="C286" s="19"/>
      <c r="D286" s="2"/>
      <c r="E286" s="2"/>
      <c r="F286" s="2"/>
      <c r="G286" s="2"/>
      <c r="H286" s="2"/>
      <c r="I286" s="2"/>
      <c r="J286" s="2"/>
      <c r="K286" s="2"/>
      <c r="L286" s="19"/>
      <c r="M286" s="19"/>
      <c r="N286" s="2"/>
      <c r="O286" s="2"/>
      <c r="P286" s="2"/>
      <c r="Q286" s="2"/>
      <c r="R286" s="2"/>
      <c r="S286" s="2"/>
      <c r="T286" s="2"/>
      <c r="U286" s="2"/>
      <c r="V286" s="2"/>
      <c r="W286" s="2"/>
      <c r="X286" s="2"/>
      <c r="Y286" s="2"/>
      <c r="Z286" s="2"/>
    </row>
    <row r="287" customFormat="false" ht="12" hidden="false" customHeight="true" outlineLevel="0" collapsed="false">
      <c r="A287" s="2"/>
      <c r="B287" s="19"/>
      <c r="C287" s="19"/>
      <c r="D287" s="2"/>
      <c r="E287" s="2"/>
      <c r="F287" s="2"/>
      <c r="G287" s="2"/>
      <c r="H287" s="2"/>
      <c r="I287" s="2"/>
      <c r="J287" s="2"/>
      <c r="K287" s="2"/>
      <c r="L287" s="19"/>
      <c r="M287" s="19"/>
      <c r="N287" s="2"/>
      <c r="O287" s="2"/>
      <c r="P287" s="2"/>
      <c r="Q287" s="2"/>
      <c r="R287" s="2"/>
      <c r="S287" s="2"/>
      <c r="T287" s="2"/>
      <c r="U287" s="2"/>
      <c r="V287" s="2"/>
      <c r="W287" s="2"/>
      <c r="X287" s="2"/>
      <c r="Y287" s="2"/>
      <c r="Z287" s="2"/>
    </row>
    <row r="288" customFormat="false" ht="12" hidden="false" customHeight="true" outlineLevel="0" collapsed="false">
      <c r="A288" s="2"/>
      <c r="B288" s="19"/>
      <c r="C288" s="19"/>
      <c r="D288" s="2"/>
      <c r="E288" s="2"/>
      <c r="F288" s="2"/>
      <c r="G288" s="2"/>
      <c r="H288" s="2"/>
      <c r="I288" s="2"/>
      <c r="J288" s="2"/>
      <c r="K288" s="2"/>
      <c r="L288" s="19"/>
      <c r="M288" s="19"/>
      <c r="N288" s="2"/>
      <c r="O288" s="2"/>
      <c r="P288" s="2"/>
      <c r="Q288" s="2"/>
      <c r="R288" s="2"/>
      <c r="S288" s="2"/>
      <c r="T288" s="2"/>
      <c r="U288" s="2"/>
      <c r="V288" s="2"/>
      <c r="W288" s="2"/>
      <c r="X288" s="2"/>
      <c r="Y288" s="2"/>
      <c r="Z288" s="2"/>
    </row>
    <row r="289" customFormat="false" ht="12" hidden="false" customHeight="true" outlineLevel="0" collapsed="false">
      <c r="A289" s="2"/>
      <c r="B289" s="19"/>
      <c r="C289" s="19"/>
      <c r="D289" s="2"/>
      <c r="E289" s="2"/>
      <c r="F289" s="2"/>
      <c r="G289" s="2"/>
      <c r="H289" s="2"/>
      <c r="I289" s="2"/>
      <c r="J289" s="2"/>
      <c r="K289" s="2"/>
      <c r="L289" s="19"/>
      <c r="M289" s="19"/>
      <c r="N289" s="2"/>
      <c r="O289" s="2"/>
      <c r="P289" s="2"/>
      <c r="Q289" s="2"/>
      <c r="R289" s="2"/>
      <c r="S289" s="2"/>
      <c r="T289" s="2"/>
      <c r="U289" s="2"/>
      <c r="V289" s="2"/>
      <c r="W289" s="2"/>
      <c r="X289" s="2"/>
      <c r="Y289" s="2"/>
      <c r="Z289" s="2"/>
    </row>
    <row r="290" customFormat="false" ht="12" hidden="false" customHeight="true" outlineLevel="0" collapsed="false">
      <c r="A290" s="2"/>
      <c r="B290" s="19"/>
      <c r="C290" s="19"/>
      <c r="D290" s="2"/>
      <c r="E290" s="2"/>
      <c r="F290" s="2"/>
      <c r="G290" s="2"/>
      <c r="H290" s="2"/>
      <c r="I290" s="2"/>
      <c r="J290" s="2"/>
      <c r="K290" s="2"/>
      <c r="L290" s="19"/>
      <c r="M290" s="19"/>
      <c r="N290" s="2"/>
      <c r="O290" s="2"/>
      <c r="P290" s="2"/>
      <c r="Q290" s="2"/>
      <c r="R290" s="2"/>
      <c r="S290" s="2"/>
      <c r="T290" s="2"/>
      <c r="U290" s="2"/>
      <c r="V290" s="2"/>
      <c r="W290" s="2"/>
      <c r="X290" s="2"/>
      <c r="Y290" s="2"/>
      <c r="Z290" s="2"/>
    </row>
    <row r="291" customFormat="false" ht="12" hidden="false" customHeight="true" outlineLevel="0" collapsed="false">
      <c r="A291" s="2"/>
      <c r="B291" s="19"/>
      <c r="C291" s="19"/>
      <c r="D291" s="2"/>
      <c r="E291" s="2"/>
      <c r="F291" s="2"/>
      <c r="G291" s="2"/>
      <c r="H291" s="2"/>
      <c r="I291" s="2"/>
      <c r="J291" s="2"/>
      <c r="K291" s="2"/>
      <c r="L291" s="19"/>
      <c r="M291" s="19"/>
      <c r="N291" s="2"/>
      <c r="O291" s="2"/>
      <c r="P291" s="2"/>
      <c r="Q291" s="2"/>
      <c r="R291" s="2"/>
      <c r="S291" s="2"/>
      <c r="T291" s="2"/>
      <c r="U291" s="2"/>
      <c r="V291" s="2"/>
      <c r="W291" s="2"/>
      <c r="X291" s="2"/>
      <c r="Y291" s="2"/>
      <c r="Z291" s="2"/>
    </row>
    <row r="292" customFormat="false" ht="12" hidden="false" customHeight="true" outlineLevel="0" collapsed="false">
      <c r="A292" s="2"/>
      <c r="B292" s="19"/>
      <c r="C292" s="19"/>
      <c r="D292" s="2"/>
      <c r="E292" s="2"/>
      <c r="F292" s="2"/>
      <c r="G292" s="2"/>
      <c r="H292" s="2"/>
      <c r="I292" s="2"/>
      <c r="J292" s="2"/>
      <c r="K292" s="2"/>
      <c r="L292" s="19"/>
      <c r="M292" s="19"/>
      <c r="N292" s="2"/>
      <c r="O292" s="2"/>
      <c r="P292" s="2"/>
      <c r="Q292" s="2"/>
      <c r="R292" s="2"/>
      <c r="S292" s="2"/>
      <c r="T292" s="2"/>
      <c r="U292" s="2"/>
      <c r="V292" s="2"/>
      <c r="W292" s="2"/>
      <c r="X292" s="2"/>
      <c r="Y292" s="2"/>
      <c r="Z292" s="2"/>
    </row>
    <row r="293" customFormat="false" ht="12" hidden="false" customHeight="true" outlineLevel="0" collapsed="false">
      <c r="A293" s="2"/>
      <c r="B293" s="19"/>
      <c r="C293" s="19"/>
      <c r="D293" s="2"/>
      <c r="E293" s="2"/>
      <c r="F293" s="2"/>
      <c r="G293" s="2"/>
      <c r="H293" s="2"/>
      <c r="I293" s="2"/>
      <c r="J293" s="2"/>
      <c r="K293" s="2"/>
      <c r="L293" s="19"/>
      <c r="M293" s="19"/>
      <c r="N293" s="2"/>
      <c r="O293" s="2"/>
      <c r="P293" s="2"/>
      <c r="Q293" s="2"/>
      <c r="R293" s="2"/>
      <c r="S293" s="2"/>
      <c r="T293" s="2"/>
      <c r="U293" s="2"/>
      <c r="V293" s="2"/>
      <c r="W293" s="2"/>
      <c r="X293" s="2"/>
      <c r="Y293" s="2"/>
      <c r="Z293" s="2"/>
    </row>
    <row r="294" customFormat="false" ht="12" hidden="false" customHeight="true" outlineLevel="0" collapsed="false">
      <c r="A294" s="2"/>
      <c r="B294" s="19"/>
      <c r="C294" s="19"/>
      <c r="D294" s="2"/>
      <c r="E294" s="2"/>
      <c r="F294" s="2"/>
      <c r="G294" s="2"/>
      <c r="H294" s="2"/>
      <c r="I294" s="2"/>
      <c r="J294" s="2"/>
      <c r="K294" s="2"/>
      <c r="L294" s="19"/>
      <c r="M294" s="19"/>
      <c r="N294" s="2"/>
      <c r="O294" s="2"/>
      <c r="P294" s="2"/>
      <c r="Q294" s="2"/>
      <c r="R294" s="2"/>
      <c r="S294" s="2"/>
      <c r="T294" s="2"/>
      <c r="U294" s="2"/>
      <c r="V294" s="2"/>
      <c r="W294" s="2"/>
      <c r="X294" s="2"/>
      <c r="Y294" s="2"/>
      <c r="Z294" s="2"/>
    </row>
    <row r="295" customFormat="false" ht="12" hidden="false" customHeight="true" outlineLevel="0" collapsed="false">
      <c r="A295" s="2"/>
      <c r="B295" s="19"/>
      <c r="C295" s="19"/>
      <c r="D295" s="2"/>
      <c r="E295" s="2"/>
      <c r="F295" s="2"/>
      <c r="G295" s="2"/>
      <c r="H295" s="2"/>
      <c r="I295" s="2"/>
      <c r="J295" s="2"/>
      <c r="K295" s="2"/>
      <c r="L295" s="19"/>
      <c r="M295" s="19"/>
      <c r="N295" s="2"/>
      <c r="O295" s="2"/>
      <c r="P295" s="2"/>
      <c r="Q295" s="2"/>
      <c r="R295" s="2"/>
      <c r="S295" s="2"/>
      <c r="T295" s="2"/>
      <c r="U295" s="2"/>
      <c r="V295" s="2"/>
      <c r="W295" s="2"/>
      <c r="X295" s="2"/>
      <c r="Y295" s="2"/>
      <c r="Z295" s="2"/>
    </row>
    <row r="296" customFormat="false" ht="12" hidden="false" customHeight="true" outlineLevel="0" collapsed="false">
      <c r="A296" s="2"/>
      <c r="B296" s="19"/>
      <c r="C296" s="19"/>
      <c r="D296" s="2"/>
      <c r="E296" s="2"/>
      <c r="F296" s="2"/>
      <c r="G296" s="2"/>
      <c r="H296" s="2"/>
      <c r="I296" s="2"/>
      <c r="J296" s="2"/>
      <c r="K296" s="2"/>
      <c r="L296" s="19"/>
      <c r="M296" s="19"/>
      <c r="N296" s="2"/>
      <c r="O296" s="2"/>
      <c r="P296" s="2"/>
      <c r="Q296" s="2"/>
      <c r="R296" s="2"/>
      <c r="S296" s="2"/>
      <c r="T296" s="2"/>
      <c r="U296" s="2"/>
      <c r="V296" s="2"/>
      <c r="W296" s="2"/>
      <c r="X296" s="2"/>
      <c r="Y296" s="2"/>
      <c r="Z296" s="2"/>
    </row>
    <row r="297" customFormat="false" ht="12" hidden="false" customHeight="true" outlineLevel="0" collapsed="false">
      <c r="A297" s="2"/>
      <c r="B297" s="19"/>
      <c r="C297" s="19"/>
      <c r="D297" s="2"/>
      <c r="E297" s="2"/>
      <c r="F297" s="2"/>
      <c r="G297" s="2"/>
      <c r="H297" s="2"/>
      <c r="I297" s="2"/>
      <c r="J297" s="2"/>
      <c r="K297" s="2"/>
      <c r="L297" s="19"/>
      <c r="M297" s="19"/>
      <c r="N297" s="2"/>
      <c r="O297" s="2"/>
      <c r="P297" s="2"/>
      <c r="Q297" s="2"/>
      <c r="R297" s="2"/>
      <c r="S297" s="2"/>
      <c r="T297" s="2"/>
      <c r="U297" s="2"/>
      <c r="V297" s="2"/>
      <c r="W297" s="2"/>
      <c r="X297" s="2"/>
      <c r="Y297" s="2"/>
      <c r="Z297" s="2"/>
    </row>
    <row r="298" customFormat="false" ht="12" hidden="false" customHeight="true" outlineLevel="0" collapsed="false">
      <c r="A298" s="2"/>
      <c r="B298" s="19"/>
      <c r="C298" s="19"/>
      <c r="D298" s="2"/>
      <c r="E298" s="2"/>
      <c r="F298" s="2"/>
      <c r="G298" s="2"/>
      <c r="H298" s="2"/>
      <c r="I298" s="2"/>
      <c r="J298" s="2"/>
      <c r="K298" s="2"/>
      <c r="L298" s="19"/>
      <c r="M298" s="19"/>
      <c r="N298" s="2"/>
      <c r="O298" s="2"/>
      <c r="P298" s="2"/>
      <c r="Q298" s="2"/>
      <c r="R298" s="2"/>
      <c r="S298" s="2"/>
      <c r="T298" s="2"/>
      <c r="U298" s="2"/>
      <c r="V298" s="2"/>
      <c r="W298" s="2"/>
      <c r="X298" s="2"/>
      <c r="Y298" s="2"/>
      <c r="Z298" s="2"/>
    </row>
    <row r="299" customFormat="false" ht="12" hidden="false" customHeight="true" outlineLevel="0" collapsed="false">
      <c r="A299" s="2"/>
      <c r="B299" s="19"/>
      <c r="C299" s="19"/>
      <c r="D299" s="2"/>
      <c r="E299" s="2"/>
      <c r="F299" s="2"/>
      <c r="G299" s="2"/>
      <c r="H299" s="2"/>
      <c r="I299" s="2"/>
      <c r="J299" s="2"/>
      <c r="K299" s="2"/>
      <c r="L299" s="19"/>
      <c r="M299" s="19"/>
      <c r="N299" s="2"/>
      <c r="O299" s="2"/>
      <c r="P299" s="2"/>
      <c r="Q299" s="2"/>
      <c r="R299" s="2"/>
      <c r="S299" s="2"/>
      <c r="T299" s="2"/>
      <c r="U299" s="2"/>
      <c r="V299" s="2"/>
      <c r="W299" s="2"/>
      <c r="X299" s="2"/>
      <c r="Y299" s="2"/>
      <c r="Z299" s="2"/>
    </row>
    <row r="300" customFormat="false" ht="12" hidden="false" customHeight="true" outlineLevel="0" collapsed="false">
      <c r="A300" s="2"/>
      <c r="B300" s="19"/>
      <c r="C300" s="19"/>
      <c r="D300" s="2"/>
      <c r="E300" s="2"/>
      <c r="F300" s="2"/>
      <c r="G300" s="2"/>
      <c r="H300" s="2"/>
      <c r="I300" s="2"/>
      <c r="J300" s="2"/>
      <c r="K300" s="2"/>
      <c r="L300" s="19"/>
      <c r="M300" s="19"/>
      <c r="N300" s="2"/>
      <c r="O300" s="2"/>
      <c r="P300" s="2"/>
      <c r="Q300" s="2"/>
      <c r="R300" s="2"/>
      <c r="S300" s="2"/>
      <c r="T300" s="2"/>
      <c r="U300" s="2"/>
      <c r="V300" s="2"/>
      <c r="W300" s="2"/>
      <c r="X300" s="2"/>
      <c r="Y300" s="2"/>
      <c r="Z300" s="2"/>
    </row>
    <row r="301" customFormat="false" ht="12" hidden="false" customHeight="true" outlineLevel="0" collapsed="false">
      <c r="A301" s="2"/>
      <c r="B301" s="19"/>
      <c r="C301" s="19"/>
      <c r="D301" s="2"/>
      <c r="E301" s="2"/>
      <c r="F301" s="2"/>
      <c r="G301" s="2"/>
      <c r="H301" s="2"/>
      <c r="I301" s="2"/>
      <c r="J301" s="2"/>
      <c r="K301" s="2"/>
      <c r="L301" s="19"/>
      <c r="M301" s="19"/>
      <c r="N301" s="2"/>
      <c r="O301" s="2"/>
      <c r="P301" s="2"/>
      <c r="Q301" s="2"/>
      <c r="R301" s="2"/>
      <c r="S301" s="2"/>
      <c r="T301" s="2"/>
      <c r="U301" s="2"/>
      <c r="V301" s="2"/>
      <c r="W301" s="2"/>
      <c r="X301" s="2"/>
      <c r="Y301" s="2"/>
      <c r="Z301" s="2"/>
    </row>
    <row r="302" customFormat="false" ht="12" hidden="false" customHeight="true" outlineLevel="0" collapsed="false">
      <c r="A302" s="2"/>
      <c r="B302" s="19"/>
      <c r="C302" s="19"/>
      <c r="D302" s="2"/>
      <c r="E302" s="2"/>
      <c r="F302" s="2"/>
      <c r="G302" s="2"/>
      <c r="H302" s="2"/>
      <c r="I302" s="2"/>
      <c r="J302" s="2"/>
      <c r="K302" s="2"/>
      <c r="L302" s="19"/>
      <c r="M302" s="19"/>
      <c r="N302" s="2"/>
      <c r="O302" s="2"/>
      <c r="P302" s="2"/>
      <c r="Q302" s="2"/>
      <c r="R302" s="2"/>
      <c r="S302" s="2"/>
      <c r="T302" s="2"/>
      <c r="U302" s="2"/>
      <c r="V302" s="2"/>
      <c r="W302" s="2"/>
      <c r="X302" s="2"/>
      <c r="Y302" s="2"/>
      <c r="Z302" s="2"/>
    </row>
    <row r="303" customFormat="false" ht="12" hidden="false" customHeight="true" outlineLevel="0" collapsed="false">
      <c r="A303" s="2"/>
      <c r="B303" s="19"/>
      <c r="C303" s="19"/>
      <c r="D303" s="2"/>
      <c r="E303" s="2"/>
      <c r="F303" s="2"/>
      <c r="G303" s="2"/>
      <c r="H303" s="2"/>
      <c r="I303" s="2"/>
      <c r="J303" s="2"/>
      <c r="K303" s="2"/>
      <c r="L303" s="19"/>
      <c r="M303" s="19"/>
      <c r="N303" s="2"/>
      <c r="O303" s="2"/>
      <c r="P303" s="2"/>
      <c r="Q303" s="2"/>
      <c r="R303" s="2"/>
      <c r="S303" s="2"/>
      <c r="T303" s="2"/>
      <c r="U303" s="2"/>
      <c r="V303" s="2"/>
      <c r="W303" s="2"/>
      <c r="X303" s="2"/>
      <c r="Y303" s="2"/>
      <c r="Z303" s="2"/>
    </row>
    <row r="304" customFormat="false" ht="12" hidden="false" customHeight="true" outlineLevel="0" collapsed="false">
      <c r="A304" s="2"/>
      <c r="B304" s="19"/>
      <c r="C304" s="19"/>
      <c r="D304" s="2"/>
      <c r="E304" s="2"/>
      <c r="F304" s="2"/>
      <c r="G304" s="2"/>
      <c r="H304" s="2"/>
      <c r="I304" s="2"/>
      <c r="J304" s="2"/>
      <c r="K304" s="2"/>
      <c r="L304" s="19"/>
      <c r="M304" s="19"/>
      <c r="N304" s="2"/>
      <c r="O304" s="2"/>
      <c r="P304" s="2"/>
      <c r="Q304" s="2"/>
      <c r="R304" s="2"/>
      <c r="S304" s="2"/>
      <c r="T304" s="2"/>
      <c r="U304" s="2"/>
      <c r="V304" s="2"/>
      <c r="W304" s="2"/>
      <c r="X304" s="2"/>
      <c r="Y304" s="2"/>
      <c r="Z304" s="2"/>
    </row>
    <row r="305" customFormat="false" ht="12" hidden="false" customHeight="true" outlineLevel="0" collapsed="false">
      <c r="A305" s="2"/>
      <c r="B305" s="19"/>
      <c r="C305" s="19"/>
      <c r="D305" s="2"/>
      <c r="E305" s="2"/>
      <c r="F305" s="2"/>
      <c r="G305" s="2"/>
      <c r="H305" s="2"/>
      <c r="I305" s="2"/>
      <c r="J305" s="2"/>
      <c r="K305" s="2"/>
      <c r="L305" s="19"/>
      <c r="M305" s="19"/>
      <c r="N305" s="2"/>
      <c r="O305" s="2"/>
      <c r="P305" s="2"/>
      <c r="Q305" s="2"/>
      <c r="R305" s="2"/>
      <c r="S305" s="2"/>
      <c r="T305" s="2"/>
      <c r="U305" s="2"/>
      <c r="V305" s="2"/>
      <c r="W305" s="2"/>
      <c r="X305" s="2"/>
      <c r="Y305" s="2"/>
      <c r="Z305" s="2"/>
    </row>
    <row r="306" customFormat="false" ht="12" hidden="false" customHeight="true" outlineLevel="0" collapsed="false">
      <c r="A306" s="2"/>
      <c r="B306" s="19"/>
      <c r="C306" s="19"/>
      <c r="D306" s="2"/>
      <c r="E306" s="2"/>
      <c r="F306" s="2"/>
      <c r="G306" s="2"/>
      <c r="H306" s="2"/>
      <c r="I306" s="2"/>
      <c r="J306" s="2"/>
      <c r="K306" s="2"/>
      <c r="L306" s="19"/>
      <c r="M306" s="19"/>
      <c r="N306" s="2"/>
      <c r="O306" s="2"/>
      <c r="P306" s="2"/>
      <c r="Q306" s="2"/>
      <c r="R306" s="2"/>
      <c r="S306" s="2"/>
      <c r="T306" s="2"/>
      <c r="U306" s="2"/>
      <c r="V306" s="2"/>
      <c r="W306" s="2"/>
      <c r="X306" s="2"/>
      <c r="Y306" s="2"/>
      <c r="Z306" s="2"/>
    </row>
    <row r="307" customFormat="false" ht="12" hidden="false" customHeight="true" outlineLevel="0" collapsed="false">
      <c r="A307" s="2"/>
      <c r="B307" s="19"/>
      <c r="C307" s="19"/>
      <c r="D307" s="2"/>
      <c r="E307" s="2"/>
      <c r="F307" s="2"/>
      <c r="G307" s="2"/>
      <c r="H307" s="2"/>
      <c r="I307" s="2"/>
      <c r="J307" s="2"/>
      <c r="K307" s="2"/>
      <c r="L307" s="19"/>
      <c r="M307" s="19"/>
      <c r="N307" s="2"/>
      <c r="O307" s="2"/>
      <c r="P307" s="2"/>
      <c r="Q307" s="2"/>
      <c r="R307" s="2"/>
      <c r="S307" s="2"/>
      <c r="T307" s="2"/>
      <c r="U307" s="2"/>
      <c r="V307" s="2"/>
      <c r="W307" s="2"/>
      <c r="X307" s="2"/>
      <c r="Y307" s="2"/>
      <c r="Z307" s="2"/>
    </row>
    <row r="308" customFormat="false" ht="12" hidden="false" customHeight="true" outlineLevel="0" collapsed="false">
      <c r="A308" s="2"/>
      <c r="B308" s="19"/>
      <c r="C308" s="19"/>
      <c r="D308" s="2"/>
      <c r="E308" s="2"/>
      <c r="F308" s="2"/>
      <c r="G308" s="2"/>
      <c r="H308" s="2"/>
      <c r="I308" s="2"/>
      <c r="J308" s="2"/>
      <c r="K308" s="2"/>
      <c r="L308" s="19"/>
      <c r="M308" s="19"/>
      <c r="N308" s="2"/>
      <c r="O308" s="2"/>
      <c r="P308" s="2"/>
      <c r="Q308" s="2"/>
      <c r="R308" s="2"/>
      <c r="S308" s="2"/>
      <c r="T308" s="2"/>
      <c r="U308" s="2"/>
      <c r="V308" s="2"/>
      <c r="W308" s="2"/>
      <c r="X308" s="2"/>
      <c r="Y308" s="2"/>
      <c r="Z308" s="2"/>
    </row>
    <row r="309" customFormat="false" ht="12" hidden="false" customHeight="true" outlineLevel="0" collapsed="false">
      <c r="A309" s="2"/>
      <c r="B309" s="19"/>
      <c r="C309" s="19"/>
      <c r="D309" s="2"/>
      <c r="E309" s="2"/>
      <c r="F309" s="2"/>
      <c r="G309" s="2"/>
      <c r="H309" s="2"/>
      <c r="I309" s="2"/>
      <c r="J309" s="2"/>
      <c r="K309" s="2"/>
      <c r="L309" s="19"/>
      <c r="M309" s="19"/>
      <c r="N309" s="2"/>
      <c r="O309" s="2"/>
      <c r="P309" s="2"/>
      <c r="Q309" s="2"/>
      <c r="R309" s="2"/>
      <c r="S309" s="2"/>
      <c r="T309" s="2"/>
      <c r="U309" s="2"/>
      <c r="V309" s="2"/>
      <c r="W309" s="2"/>
      <c r="X309" s="2"/>
      <c r="Y309" s="2"/>
      <c r="Z309" s="2"/>
    </row>
    <row r="310" customFormat="false" ht="12" hidden="false" customHeight="true" outlineLevel="0" collapsed="false">
      <c r="A310" s="2"/>
      <c r="B310" s="19"/>
      <c r="C310" s="19"/>
      <c r="D310" s="2"/>
      <c r="E310" s="2"/>
      <c r="F310" s="2"/>
      <c r="G310" s="2"/>
      <c r="H310" s="2"/>
      <c r="I310" s="2"/>
      <c r="J310" s="2"/>
      <c r="K310" s="2"/>
      <c r="L310" s="19"/>
      <c r="M310" s="19"/>
      <c r="N310" s="2"/>
      <c r="O310" s="2"/>
      <c r="P310" s="2"/>
      <c r="Q310" s="2"/>
      <c r="R310" s="2"/>
      <c r="S310" s="2"/>
      <c r="T310" s="2"/>
      <c r="U310" s="2"/>
      <c r="V310" s="2"/>
      <c r="W310" s="2"/>
      <c r="X310" s="2"/>
      <c r="Y310" s="2"/>
      <c r="Z310" s="2"/>
    </row>
    <row r="311" customFormat="false" ht="12" hidden="false" customHeight="true" outlineLevel="0" collapsed="false">
      <c r="A311" s="2"/>
      <c r="B311" s="19"/>
      <c r="C311" s="19"/>
      <c r="D311" s="2"/>
      <c r="E311" s="2"/>
      <c r="F311" s="2"/>
      <c r="G311" s="2"/>
      <c r="H311" s="2"/>
      <c r="I311" s="2"/>
      <c r="J311" s="2"/>
      <c r="K311" s="2"/>
      <c r="L311" s="19"/>
      <c r="M311" s="19"/>
      <c r="N311" s="2"/>
      <c r="O311" s="2"/>
      <c r="P311" s="2"/>
      <c r="Q311" s="2"/>
      <c r="R311" s="2"/>
      <c r="S311" s="2"/>
      <c r="T311" s="2"/>
      <c r="U311" s="2"/>
      <c r="V311" s="2"/>
      <c r="W311" s="2"/>
      <c r="X311" s="2"/>
      <c r="Y311" s="2"/>
      <c r="Z311" s="2"/>
    </row>
    <row r="312" customFormat="false" ht="12" hidden="false" customHeight="true" outlineLevel="0" collapsed="false">
      <c r="A312" s="2"/>
      <c r="B312" s="19"/>
      <c r="C312" s="19"/>
      <c r="D312" s="2"/>
      <c r="E312" s="2"/>
      <c r="F312" s="2"/>
      <c r="G312" s="2"/>
      <c r="H312" s="2"/>
      <c r="I312" s="2"/>
      <c r="J312" s="2"/>
      <c r="K312" s="2"/>
      <c r="L312" s="19"/>
      <c r="M312" s="19"/>
      <c r="N312" s="2"/>
      <c r="O312" s="2"/>
      <c r="P312" s="2"/>
      <c r="Q312" s="2"/>
      <c r="R312" s="2"/>
      <c r="S312" s="2"/>
      <c r="T312" s="2"/>
      <c r="U312" s="2"/>
      <c r="V312" s="2"/>
      <c r="W312" s="2"/>
      <c r="X312" s="2"/>
      <c r="Y312" s="2"/>
      <c r="Z312" s="2"/>
    </row>
    <row r="313" customFormat="false" ht="12" hidden="false" customHeight="true" outlineLevel="0" collapsed="false">
      <c r="A313" s="2"/>
      <c r="B313" s="19"/>
      <c r="C313" s="19"/>
      <c r="D313" s="2"/>
      <c r="E313" s="2"/>
      <c r="F313" s="2"/>
      <c r="G313" s="2"/>
      <c r="H313" s="2"/>
      <c r="I313" s="2"/>
      <c r="J313" s="2"/>
      <c r="K313" s="2"/>
      <c r="L313" s="19"/>
      <c r="M313" s="19"/>
      <c r="N313" s="2"/>
      <c r="O313" s="2"/>
      <c r="P313" s="2"/>
      <c r="Q313" s="2"/>
      <c r="R313" s="2"/>
      <c r="S313" s="2"/>
      <c r="T313" s="2"/>
      <c r="U313" s="2"/>
      <c r="V313" s="2"/>
      <c r="W313" s="2"/>
      <c r="X313" s="2"/>
      <c r="Y313" s="2"/>
      <c r="Z313" s="2"/>
    </row>
    <row r="314" customFormat="false" ht="12" hidden="false" customHeight="true" outlineLevel="0" collapsed="false">
      <c r="A314" s="2"/>
      <c r="B314" s="19"/>
      <c r="C314" s="19"/>
      <c r="D314" s="2"/>
      <c r="E314" s="2"/>
      <c r="F314" s="2"/>
      <c r="G314" s="2"/>
      <c r="H314" s="2"/>
      <c r="I314" s="2"/>
      <c r="J314" s="2"/>
      <c r="K314" s="2"/>
      <c r="L314" s="19"/>
      <c r="M314" s="19"/>
      <c r="N314" s="2"/>
      <c r="O314" s="2"/>
      <c r="P314" s="2"/>
      <c r="Q314" s="2"/>
      <c r="R314" s="2"/>
      <c r="S314" s="2"/>
      <c r="T314" s="2"/>
      <c r="U314" s="2"/>
      <c r="V314" s="2"/>
      <c r="W314" s="2"/>
      <c r="X314" s="2"/>
      <c r="Y314" s="2"/>
      <c r="Z314" s="2"/>
    </row>
    <row r="315" customFormat="false" ht="12" hidden="false" customHeight="true" outlineLevel="0" collapsed="false">
      <c r="A315" s="2"/>
      <c r="B315" s="19"/>
      <c r="C315" s="19"/>
      <c r="D315" s="2"/>
      <c r="E315" s="2"/>
      <c r="F315" s="2"/>
      <c r="G315" s="2"/>
      <c r="H315" s="2"/>
      <c r="I315" s="2"/>
      <c r="J315" s="2"/>
      <c r="K315" s="2"/>
      <c r="L315" s="19"/>
      <c r="M315" s="19"/>
      <c r="N315" s="2"/>
      <c r="O315" s="2"/>
      <c r="P315" s="2"/>
      <c r="Q315" s="2"/>
      <c r="R315" s="2"/>
      <c r="S315" s="2"/>
      <c r="T315" s="2"/>
      <c r="U315" s="2"/>
      <c r="V315" s="2"/>
      <c r="W315" s="2"/>
      <c r="X315" s="2"/>
      <c r="Y315" s="2"/>
      <c r="Z315" s="2"/>
    </row>
    <row r="316" customFormat="false" ht="12" hidden="false" customHeight="true" outlineLevel="0" collapsed="false">
      <c r="A316" s="2"/>
      <c r="B316" s="19"/>
      <c r="C316" s="19"/>
      <c r="D316" s="2"/>
      <c r="E316" s="2"/>
      <c r="F316" s="2"/>
      <c r="G316" s="2"/>
      <c r="H316" s="2"/>
      <c r="I316" s="2"/>
      <c r="J316" s="2"/>
      <c r="K316" s="2"/>
      <c r="L316" s="19"/>
      <c r="M316" s="19"/>
      <c r="N316" s="2"/>
      <c r="O316" s="2"/>
      <c r="P316" s="2"/>
      <c r="Q316" s="2"/>
      <c r="R316" s="2"/>
      <c r="S316" s="2"/>
      <c r="T316" s="2"/>
      <c r="U316" s="2"/>
      <c r="V316" s="2"/>
      <c r="W316" s="2"/>
      <c r="X316" s="2"/>
      <c r="Y316" s="2"/>
      <c r="Z316" s="2"/>
    </row>
    <row r="317" customFormat="false" ht="12" hidden="false" customHeight="true" outlineLevel="0" collapsed="false">
      <c r="A317" s="2"/>
      <c r="B317" s="19"/>
      <c r="C317" s="19"/>
      <c r="D317" s="2"/>
      <c r="E317" s="2"/>
      <c r="F317" s="2"/>
      <c r="G317" s="2"/>
      <c r="H317" s="2"/>
      <c r="I317" s="2"/>
      <c r="J317" s="2"/>
      <c r="K317" s="2"/>
      <c r="L317" s="19"/>
      <c r="M317" s="19"/>
      <c r="N317" s="2"/>
      <c r="O317" s="2"/>
      <c r="P317" s="2"/>
      <c r="Q317" s="2"/>
      <c r="R317" s="2"/>
      <c r="S317" s="2"/>
      <c r="T317" s="2"/>
      <c r="U317" s="2"/>
      <c r="V317" s="2"/>
      <c r="W317" s="2"/>
      <c r="X317" s="2"/>
      <c r="Y317" s="2"/>
      <c r="Z317" s="2"/>
    </row>
    <row r="318" customFormat="false" ht="12" hidden="false" customHeight="true" outlineLevel="0" collapsed="false">
      <c r="A318" s="2"/>
      <c r="B318" s="19"/>
      <c r="C318" s="19"/>
      <c r="D318" s="2"/>
      <c r="E318" s="2"/>
      <c r="F318" s="2"/>
      <c r="G318" s="2"/>
      <c r="H318" s="2"/>
      <c r="I318" s="2"/>
      <c r="J318" s="2"/>
      <c r="K318" s="2"/>
      <c r="L318" s="19"/>
      <c r="M318" s="19"/>
      <c r="N318" s="2"/>
      <c r="O318" s="2"/>
      <c r="P318" s="2"/>
      <c r="Q318" s="2"/>
      <c r="R318" s="2"/>
      <c r="S318" s="2"/>
      <c r="T318" s="2"/>
      <c r="U318" s="2"/>
      <c r="V318" s="2"/>
      <c r="W318" s="2"/>
      <c r="X318" s="2"/>
      <c r="Y318" s="2"/>
      <c r="Z318" s="2"/>
    </row>
    <row r="319" customFormat="false" ht="12" hidden="false" customHeight="true" outlineLevel="0" collapsed="false">
      <c r="A319" s="2"/>
      <c r="B319" s="19"/>
      <c r="C319" s="19"/>
      <c r="D319" s="2"/>
      <c r="E319" s="2"/>
      <c r="F319" s="2"/>
      <c r="G319" s="2"/>
      <c r="H319" s="2"/>
      <c r="I319" s="2"/>
      <c r="J319" s="2"/>
      <c r="K319" s="2"/>
      <c r="L319" s="19"/>
      <c r="M319" s="19"/>
      <c r="N319" s="2"/>
      <c r="O319" s="2"/>
      <c r="P319" s="2"/>
      <c r="Q319" s="2"/>
      <c r="R319" s="2"/>
      <c r="S319" s="2"/>
      <c r="T319" s="2"/>
      <c r="U319" s="2"/>
      <c r="V319" s="2"/>
      <c r="W319" s="2"/>
      <c r="X319" s="2"/>
      <c r="Y319" s="2"/>
      <c r="Z319" s="2"/>
    </row>
    <row r="320" customFormat="false" ht="12" hidden="false" customHeight="true" outlineLevel="0" collapsed="false">
      <c r="A320" s="2"/>
      <c r="B320" s="19"/>
      <c r="C320" s="19"/>
      <c r="D320" s="2"/>
      <c r="E320" s="2"/>
      <c r="F320" s="2"/>
      <c r="G320" s="2"/>
      <c r="H320" s="2"/>
      <c r="I320" s="2"/>
      <c r="J320" s="2"/>
      <c r="K320" s="2"/>
      <c r="L320" s="19"/>
      <c r="M320" s="19"/>
      <c r="N320" s="2"/>
      <c r="O320" s="2"/>
      <c r="P320" s="2"/>
      <c r="Q320" s="2"/>
      <c r="R320" s="2"/>
      <c r="S320" s="2"/>
      <c r="T320" s="2"/>
      <c r="U320" s="2"/>
      <c r="V320" s="2"/>
      <c r="W320" s="2"/>
      <c r="X320" s="2"/>
      <c r="Y320" s="2"/>
      <c r="Z320" s="2"/>
    </row>
    <row r="321" customFormat="false" ht="12" hidden="false" customHeight="true" outlineLevel="0" collapsed="false">
      <c r="A321" s="2"/>
      <c r="B321" s="19"/>
      <c r="C321" s="19"/>
      <c r="D321" s="2"/>
      <c r="E321" s="2"/>
      <c r="F321" s="2"/>
      <c r="G321" s="2"/>
      <c r="H321" s="2"/>
      <c r="I321" s="2"/>
      <c r="J321" s="2"/>
      <c r="K321" s="2"/>
      <c r="L321" s="19"/>
      <c r="M321" s="19"/>
      <c r="N321" s="2"/>
      <c r="O321" s="2"/>
      <c r="P321" s="2"/>
      <c r="Q321" s="2"/>
      <c r="R321" s="2"/>
      <c r="S321" s="2"/>
      <c r="T321" s="2"/>
      <c r="U321" s="2"/>
      <c r="V321" s="2"/>
      <c r="W321" s="2"/>
      <c r="X321" s="2"/>
      <c r="Y321" s="2"/>
      <c r="Z321" s="2"/>
    </row>
    <row r="322" customFormat="false" ht="12" hidden="false" customHeight="true" outlineLevel="0" collapsed="false">
      <c r="A322" s="2"/>
      <c r="B322" s="19"/>
      <c r="C322" s="19"/>
      <c r="D322" s="2"/>
      <c r="E322" s="2"/>
      <c r="F322" s="2"/>
      <c r="G322" s="2"/>
      <c r="H322" s="2"/>
      <c r="I322" s="2"/>
      <c r="J322" s="2"/>
      <c r="K322" s="2"/>
      <c r="L322" s="19"/>
      <c r="M322" s="19"/>
      <c r="N322" s="2"/>
      <c r="O322" s="2"/>
      <c r="P322" s="2"/>
      <c r="Q322" s="2"/>
      <c r="R322" s="2"/>
      <c r="S322" s="2"/>
      <c r="T322" s="2"/>
      <c r="U322" s="2"/>
      <c r="V322" s="2"/>
      <c r="W322" s="2"/>
      <c r="X322" s="2"/>
      <c r="Y322" s="2"/>
      <c r="Z322" s="2"/>
    </row>
    <row r="323" customFormat="false" ht="12" hidden="false" customHeight="true" outlineLevel="0" collapsed="false">
      <c r="A323" s="2"/>
      <c r="B323" s="19"/>
      <c r="C323" s="19"/>
      <c r="D323" s="2"/>
      <c r="E323" s="2"/>
      <c r="F323" s="2"/>
      <c r="G323" s="2"/>
      <c r="H323" s="2"/>
      <c r="I323" s="2"/>
      <c r="J323" s="2"/>
      <c r="K323" s="2"/>
      <c r="L323" s="19"/>
      <c r="M323" s="19"/>
      <c r="N323" s="2"/>
      <c r="O323" s="2"/>
      <c r="P323" s="2"/>
      <c r="Q323" s="2"/>
      <c r="R323" s="2"/>
      <c r="S323" s="2"/>
      <c r="T323" s="2"/>
      <c r="U323" s="2"/>
      <c r="V323" s="2"/>
      <c r="W323" s="2"/>
      <c r="X323" s="2"/>
      <c r="Y323" s="2"/>
      <c r="Z323" s="2"/>
    </row>
    <row r="324" customFormat="false" ht="12" hidden="false" customHeight="true" outlineLevel="0" collapsed="false">
      <c r="A324" s="2"/>
      <c r="B324" s="19"/>
      <c r="C324" s="19"/>
      <c r="D324" s="2"/>
      <c r="E324" s="2"/>
      <c r="F324" s="2"/>
      <c r="G324" s="2"/>
      <c r="H324" s="2"/>
      <c r="I324" s="2"/>
      <c r="J324" s="2"/>
      <c r="K324" s="2"/>
      <c r="L324" s="19"/>
      <c r="M324" s="19"/>
      <c r="N324" s="2"/>
      <c r="O324" s="2"/>
      <c r="P324" s="2"/>
      <c r="Q324" s="2"/>
      <c r="R324" s="2"/>
      <c r="S324" s="2"/>
      <c r="T324" s="2"/>
      <c r="U324" s="2"/>
      <c r="V324" s="2"/>
      <c r="W324" s="2"/>
      <c r="X324" s="2"/>
      <c r="Y324" s="2"/>
      <c r="Z324" s="2"/>
    </row>
    <row r="325" customFormat="false" ht="12" hidden="false" customHeight="true" outlineLevel="0" collapsed="false">
      <c r="A325" s="2"/>
      <c r="B325" s="19"/>
      <c r="C325" s="19"/>
      <c r="D325" s="2"/>
      <c r="E325" s="2"/>
      <c r="F325" s="2"/>
      <c r="G325" s="2"/>
      <c r="H325" s="2"/>
      <c r="I325" s="2"/>
      <c r="J325" s="2"/>
      <c r="K325" s="2"/>
      <c r="L325" s="19"/>
      <c r="M325" s="19"/>
      <c r="N325" s="2"/>
      <c r="O325" s="2"/>
      <c r="P325" s="2"/>
      <c r="Q325" s="2"/>
      <c r="R325" s="2"/>
      <c r="S325" s="2"/>
      <c r="T325" s="2"/>
      <c r="U325" s="2"/>
      <c r="V325" s="2"/>
      <c r="W325" s="2"/>
      <c r="X325" s="2"/>
      <c r="Y325" s="2"/>
      <c r="Z325" s="2"/>
    </row>
    <row r="326" customFormat="false" ht="12" hidden="false" customHeight="true" outlineLevel="0" collapsed="false">
      <c r="A326" s="2"/>
      <c r="B326" s="19"/>
      <c r="C326" s="19"/>
      <c r="D326" s="2"/>
      <c r="E326" s="2"/>
      <c r="F326" s="2"/>
      <c r="G326" s="2"/>
      <c r="H326" s="2"/>
      <c r="I326" s="2"/>
      <c r="J326" s="2"/>
      <c r="K326" s="2"/>
      <c r="L326" s="19"/>
      <c r="M326" s="19"/>
      <c r="N326" s="2"/>
      <c r="O326" s="2"/>
      <c r="P326" s="2"/>
      <c r="Q326" s="2"/>
      <c r="R326" s="2"/>
      <c r="S326" s="2"/>
      <c r="T326" s="2"/>
      <c r="U326" s="2"/>
      <c r="V326" s="2"/>
      <c r="W326" s="2"/>
      <c r="X326" s="2"/>
      <c r="Y326" s="2"/>
      <c r="Z326" s="2"/>
    </row>
    <row r="327" customFormat="false" ht="12" hidden="false" customHeight="true" outlineLevel="0" collapsed="false">
      <c r="A327" s="2"/>
      <c r="B327" s="19"/>
      <c r="C327" s="19"/>
      <c r="D327" s="2"/>
      <c r="E327" s="2"/>
      <c r="F327" s="2"/>
      <c r="G327" s="2"/>
      <c r="H327" s="2"/>
      <c r="I327" s="2"/>
      <c r="J327" s="2"/>
      <c r="K327" s="2"/>
      <c r="L327" s="19"/>
      <c r="M327" s="19"/>
      <c r="N327" s="2"/>
      <c r="O327" s="2"/>
      <c r="P327" s="2"/>
      <c r="Q327" s="2"/>
      <c r="R327" s="2"/>
      <c r="S327" s="2"/>
      <c r="T327" s="2"/>
      <c r="U327" s="2"/>
      <c r="V327" s="2"/>
      <c r="W327" s="2"/>
      <c r="X327" s="2"/>
      <c r="Y327" s="2"/>
      <c r="Z327" s="2"/>
    </row>
    <row r="328" customFormat="false" ht="12" hidden="false" customHeight="true" outlineLevel="0" collapsed="false">
      <c r="A328" s="2"/>
      <c r="B328" s="19"/>
      <c r="C328" s="19"/>
      <c r="D328" s="2"/>
      <c r="E328" s="2"/>
      <c r="F328" s="2"/>
      <c r="G328" s="2"/>
      <c r="H328" s="2"/>
      <c r="I328" s="2"/>
      <c r="J328" s="2"/>
      <c r="K328" s="2"/>
      <c r="L328" s="19"/>
      <c r="M328" s="19"/>
      <c r="N328" s="2"/>
      <c r="O328" s="2"/>
      <c r="P328" s="2"/>
      <c r="Q328" s="2"/>
      <c r="R328" s="2"/>
      <c r="S328" s="2"/>
      <c r="T328" s="2"/>
      <c r="U328" s="2"/>
      <c r="V328" s="2"/>
      <c r="W328" s="2"/>
      <c r="X328" s="2"/>
      <c r="Y328" s="2"/>
      <c r="Z328" s="2"/>
    </row>
    <row r="329" customFormat="false" ht="12" hidden="false" customHeight="true" outlineLevel="0" collapsed="false">
      <c r="A329" s="2"/>
      <c r="B329" s="19"/>
      <c r="C329" s="19"/>
      <c r="D329" s="2"/>
      <c r="E329" s="2"/>
      <c r="F329" s="2"/>
      <c r="G329" s="2"/>
      <c r="H329" s="2"/>
      <c r="I329" s="2"/>
      <c r="J329" s="2"/>
      <c r="K329" s="2"/>
      <c r="L329" s="19"/>
      <c r="M329" s="19"/>
      <c r="N329" s="2"/>
      <c r="O329" s="2"/>
      <c r="P329" s="2"/>
      <c r="Q329" s="2"/>
      <c r="R329" s="2"/>
      <c r="S329" s="2"/>
      <c r="T329" s="2"/>
      <c r="U329" s="2"/>
      <c r="V329" s="2"/>
      <c r="W329" s="2"/>
      <c r="X329" s="2"/>
      <c r="Y329" s="2"/>
      <c r="Z329" s="2"/>
    </row>
    <row r="330" customFormat="false" ht="12" hidden="false" customHeight="true" outlineLevel="0" collapsed="false">
      <c r="A330" s="2"/>
      <c r="B330" s="19"/>
      <c r="C330" s="19"/>
      <c r="D330" s="2"/>
      <c r="E330" s="2"/>
      <c r="F330" s="2"/>
      <c r="G330" s="2"/>
      <c r="H330" s="2"/>
      <c r="I330" s="2"/>
      <c r="J330" s="2"/>
      <c r="K330" s="2"/>
      <c r="L330" s="19"/>
      <c r="M330" s="19"/>
      <c r="N330" s="2"/>
      <c r="O330" s="2"/>
      <c r="P330" s="2"/>
      <c r="Q330" s="2"/>
      <c r="R330" s="2"/>
      <c r="S330" s="2"/>
      <c r="T330" s="2"/>
      <c r="U330" s="2"/>
      <c r="V330" s="2"/>
      <c r="W330" s="2"/>
      <c r="X330" s="2"/>
      <c r="Y330" s="2"/>
      <c r="Z330" s="2"/>
    </row>
    <row r="331" customFormat="false" ht="12" hidden="false" customHeight="true" outlineLevel="0" collapsed="false">
      <c r="A331" s="2"/>
      <c r="B331" s="19"/>
      <c r="C331" s="19"/>
      <c r="D331" s="2"/>
      <c r="E331" s="2"/>
      <c r="F331" s="2"/>
      <c r="G331" s="2"/>
      <c r="H331" s="2"/>
      <c r="I331" s="2"/>
      <c r="J331" s="2"/>
      <c r="K331" s="2"/>
      <c r="L331" s="19"/>
      <c r="M331" s="19"/>
      <c r="N331" s="2"/>
      <c r="O331" s="2"/>
      <c r="P331" s="2"/>
      <c r="Q331" s="2"/>
      <c r="R331" s="2"/>
      <c r="S331" s="2"/>
      <c r="T331" s="2"/>
      <c r="U331" s="2"/>
      <c r="V331" s="2"/>
      <c r="W331" s="2"/>
      <c r="X331" s="2"/>
      <c r="Y331" s="2"/>
      <c r="Z331" s="2"/>
    </row>
    <row r="332" customFormat="false" ht="12" hidden="false" customHeight="true" outlineLevel="0" collapsed="false">
      <c r="A332" s="2"/>
      <c r="B332" s="19"/>
      <c r="C332" s="19"/>
      <c r="D332" s="2"/>
      <c r="E332" s="2"/>
      <c r="F332" s="2"/>
      <c r="G332" s="2"/>
      <c r="H332" s="2"/>
      <c r="I332" s="2"/>
      <c r="J332" s="2"/>
      <c r="K332" s="2"/>
      <c r="L332" s="19"/>
      <c r="M332" s="19"/>
      <c r="N332" s="2"/>
      <c r="O332" s="2"/>
      <c r="P332" s="2"/>
      <c r="Q332" s="2"/>
      <c r="R332" s="2"/>
      <c r="S332" s="2"/>
      <c r="T332" s="2"/>
      <c r="U332" s="2"/>
      <c r="V332" s="2"/>
      <c r="W332" s="2"/>
      <c r="X332" s="2"/>
      <c r="Y332" s="2"/>
      <c r="Z332" s="2"/>
    </row>
    <row r="333" customFormat="false" ht="12" hidden="false" customHeight="true" outlineLevel="0" collapsed="false">
      <c r="A333" s="2"/>
      <c r="B333" s="19"/>
      <c r="C333" s="19"/>
      <c r="D333" s="2"/>
      <c r="E333" s="2"/>
      <c r="F333" s="2"/>
      <c r="G333" s="2"/>
      <c r="H333" s="2"/>
      <c r="I333" s="2"/>
      <c r="J333" s="2"/>
      <c r="K333" s="2"/>
      <c r="L333" s="19"/>
      <c r="M333" s="19"/>
      <c r="N333" s="2"/>
      <c r="O333" s="2"/>
      <c r="P333" s="2"/>
      <c r="Q333" s="2"/>
      <c r="R333" s="2"/>
      <c r="S333" s="2"/>
      <c r="T333" s="2"/>
      <c r="U333" s="2"/>
      <c r="V333" s="2"/>
      <c r="W333" s="2"/>
      <c r="X333" s="2"/>
      <c r="Y333" s="2"/>
      <c r="Z333" s="2"/>
    </row>
    <row r="334" customFormat="false" ht="12" hidden="false" customHeight="true" outlineLevel="0" collapsed="false">
      <c r="A334" s="2"/>
      <c r="B334" s="19"/>
      <c r="C334" s="19"/>
      <c r="D334" s="2"/>
      <c r="E334" s="2"/>
      <c r="F334" s="2"/>
      <c r="G334" s="2"/>
      <c r="H334" s="2"/>
      <c r="I334" s="2"/>
      <c r="J334" s="2"/>
      <c r="K334" s="2"/>
      <c r="L334" s="19"/>
      <c r="M334" s="19"/>
      <c r="N334" s="2"/>
      <c r="O334" s="2"/>
      <c r="P334" s="2"/>
      <c r="Q334" s="2"/>
      <c r="R334" s="2"/>
      <c r="S334" s="2"/>
      <c r="T334" s="2"/>
      <c r="U334" s="2"/>
      <c r="V334" s="2"/>
      <c r="W334" s="2"/>
      <c r="X334" s="2"/>
      <c r="Y334" s="2"/>
      <c r="Z334" s="2"/>
    </row>
    <row r="335" customFormat="false" ht="12" hidden="false" customHeight="true" outlineLevel="0" collapsed="false">
      <c r="A335" s="2"/>
      <c r="B335" s="19"/>
      <c r="C335" s="19"/>
      <c r="D335" s="2"/>
      <c r="E335" s="2"/>
      <c r="F335" s="2"/>
      <c r="G335" s="2"/>
      <c r="H335" s="2"/>
      <c r="I335" s="2"/>
      <c r="J335" s="2"/>
      <c r="K335" s="2"/>
      <c r="L335" s="19"/>
      <c r="M335" s="19"/>
      <c r="N335" s="2"/>
      <c r="O335" s="2"/>
      <c r="P335" s="2"/>
      <c r="Q335" s="2"/>
      <c r="R335" s="2"/>
      <c r="S335" s="2"/>
      <c r="T335" s="2"/>
      <c r="U335" s="2"/>
      <c r="V335" s="2"/>
      <c r="W335" s="2"/>
      <c r="X335" s="2"/>
      <c r="Y335" s="2"/>
      <c r="Z335" s="2"/>
    </row>
    <row r="336" customFormat="false" ht="12" hidden="false" customHeight="true" outlineLevel="0" collapsed="false">
      <c r="A336" s="2"/>
      <c r="B336" s="19"/>
      <c r="C336" s="19"/>
      <c r="D336" s="2"/>
      <c r="E336" s="2"/>
      <c r="F336" s="2"/>
      <c r="G336" s="2"/>
      <c r="H336" s="2"/>
      <c r="I336" s="2"/>
      <c r="J336" s="2"/>
      <c r="K336" s="2"/>
      <c r="L336" s="19"/>
      <c r="M336" s="19"/>
      <c r="N336" s="2"/>
      <c r="O336" s="2"/>
      <c r="P336" s="2"/>
      <c r="Q336" s="2"/>
      <c r="R336" s="2"/>
      <c r="S336" s="2"/>
      <c r="T336" s="2"/>
      <c r="U336" s="2"/>
      <c r="V336" s="2"/>
      <c r="W336" s="2"/>
      <c r="X336" s="2"/>
      <c r="Y336" s="2"/>
      <c r="Z336" s="2"/>
    </row>
    <row r="337" customFormat="false" ht="12" hidden="false" customHeight="true" outlineLevel="0" collapsed="false">
      <c r="A337" s="2"/>
      <c r="B337" s="19"/>
      <c r="C337" s="19"/>
      <c r="D337" s="2"/>
      <c r="E337" s="2"/>
      <c r="F337" s="2"/>
      <c r="G337" s="2"/>
      <c r="H337" s="2"/>
      <c r="I337" s="2"/>
      <c r="J337" s="2"/>
      <c r="K337" s="2"/>
      <c r="L337" s="19"/>
      <c r="M337" s="19"/>
      <c r="N337" s="2"/>
      <c r="O337" s="2"/>
      <c r="P337" s="2"/>
      <c r="Q337" s="2"/>
      <c r="R337" s="2"/>
      <c r="S337" s="2"/>
      <c r="T337" s="2"/>
      <c r="U337" s="2"/>
      <c r="V337" s="2"/>
      <c r="W337" s="2"/>
      <c r="X337" s="2"/>
      <c r="Y337" s="2"/>
      <c r="Z337" s="2"/>
    </row>
    <row r="338" customFormat="false" ht="12" hidden="false" customHeight="true" outlineLevel="0" collapsed="false">
      <c r="A338" s="2"/>
      <c r="B338" s="19"/>
      <c r="C338" s="19"/>
      <c r="D338" s="2"/>
      <c r="E338" s="2"/>
      <c r="F338" s="2"/>
      <c r="G338" s="2"/>
      <c r="H338" s="2"/>
      <c r="I338" s="2"/>
      <c r="J338" s="2"/>
      <c r="K338" s="2"/>
      <c r="L338" s="19"/>
      <c r="M338" s="19"/>
      <c r="N338" s="2"/>
      <c r="O338" s="2"/>
      <c r="P338" s="2"/>
      <c r="Q338" s="2"/>
      <c r="R338" s="2"/>
      <c r="S338" s="2"/>
      <c r="T338" s="2"/>
      <c r="U338" s="2"/>
      <c r="V338" s="2"/>
      <c r="W338" s="2"/>
      <c r="X338" s="2"/>
      <c r="Y338" s="2"/>
      <c r="Z338" s="2"/>
    </row>
    <row r="339" customFormat="false" ht="12" hidden="false" customHeight="true" outlineLevel="0" collapsed="false">
      <c r="A339" s="2"/>
      <c r="B339" s="19"/>
      <c r="C339" s="19"/>
      <c r="D339" s="2"/>
      <c r="E339" s="2"/>
      <c r="F339" s="2"/>
      <c r="G339" s="2"/>
      <c r="H339" s="2"/>
      <c r="I339" s="2"/>
      <c r="J339" s="2"/>
      <c r="K339" s="2"/>
      <c r="L339" s="19"/>
      <c r="M339" s="19"/>
      <c r="N339" s="2"/>
      <c r="O339" s="2"/>
      <c r="P339" s="2"/>
      <c r="Q339" s="2"/>
      <c r="R339" s="2"/>
      <c r="S339" s="2"/>
      <c r="T339" s="2"/>
      <c r="U339" s="2"/>
      <c r="V339" s="2"/>
      <c r="W339" s="2"/>
      <c r="X339" s="2"/>
      <c r="Y339" s="2"/>
      <c r="Z339" s="2"/>
    </row>
    <row r="340" customFormat="false" ht="12" hidden="false" customHeight="true" outlineLevel="0" collapsed="false">
      <c r="A340" s="2"/>
      <c r="B340" s="19"/>
      <c r="C340" s="19"/>
      <c r="D340" s="2"/>
      <c r="E340" s="2"/>
      <c r="F340" s="2"/>
      <c r="G340" s="2"/>
      <c r="H340" s="2"/>
      <c r="I340" s="2"/>
      <c r="J340" s="2"/>
      <c r="K340" s="2"/>
      <c r="L340" s="19"/>
      <c r="M340" s="19"/>
      <c r="N340" s="2"/>
      <c r="O340" s="2"/>
      <c r="P340" s="2"/>
      <c r="Q340" s="2"/>
      <c r="R340" s="2"/>
      <c r="S340" s="2"/>
      <c r="T340" s="2"/>
      <c r="U340" s="2"/>
      <c r="V340" s="2"/>
      <c r="W340" s="2"/>
      <c r="X340" s="2"/>
      <c r="Y340" s="2"/>
      <c r="Z340" s="2"/>
    </row>
    <row r="341" customFormat="false" ht="12" hidden="false" customHeight="true" outlineLevel="0" collapsed="false">
      <c r="A341" s="2"/>
      <c r="B341" s="19"/>
      <c r="C341" s="19"/>
      <c r="D341" s="2"/>
      <c r="E341" s="2"/>
      <c r="F341" s="2"/>
      <c r="G341" s="2"/>
      <c r="H341" s="2"/>
      <c r="I341" s="2"/>
      <c r="J341" s="2"/>
      <c r="K341" s="2"/>
      <c r="L341" s="19"/>
      <c r="M341" s="19"/>
      <c r="N341" s="2"/>
      <c r="O341" s="2"/>
      <c r="P341" s="2"/>
      <c r="Q341" s="2"/>
      <c r="R341" s="2"/>
      <c r="S341" s="2"/>
      <c r="T341" s="2"/>
      <c r="U341" s="2"/>
      <c r="V341" s="2"/>
      <c r="W341" s="2"/>
      <c r="X341" s="2"/>
      <c r="Y341" s="2"/>
      <c r="Z341" s="2"/>
    </row>
    <row r="342" customFormat="false" ht="12" hidden="false" customHeight="true" outlineLevel="0" collapsed="false">
      <c r="A342" s="2"/>
      <c r="B342" s="19"/>
      <c r="C342" s="19"/>
      <c r="D342" s="2"/>
      <c r="E342" s="2"/>
      <c r="F342" s="2"/>
      <c r="G342" s="2"/>
      <c r="H342" s="2"/>
      <c r="I342" s="2"/>
      <c r="J342" s="2"/>
      <c r="K342" s="2"/>
      <c r="L342" s="19"/>
      <c r="M342" s="19"/>
      <c r="N342" s="2"/>
      <c r="O342" s="2"/>
      <c r="P342" s="2"/>
      <c r="Q342" s="2"/>
      <c r="R342" s="2"/>
      <c r="S342" s="2"/>
      <c r="T342" s="2"/>
      <c r="U342" s="2"/>
      <c r="V342" s="2"/>
      <c r="W342" s="2"/>
      <c r="X342" s="2"/>
      <c r="Y342" s="2"/>
      <c r="Z342" s="2"/>
    </row>
    <row r="343" customFormat="false" ht="12" hidden="false" customHeight="true" outlineLevel="0" collapsed="false">
      <c r="A343" s="2"/>
      <c r="B343" s="19"/>
      <c r="C343" s="19"/>
      <c r="D343" s="2"/>
      <c r="E343" s="2"/>
      <c r="F343" s="2"/>
      <c r="G343" s="2"/>
      <c r="H343" s="2"/>
      <c r="I343" s="2"/>
      <c r="J343" s="2"/>
      <c r="K343" s="2"/>
      <c r="L343" s="19"/>
      <c r="M343" s="19"/>
      <c r="N343" s="2"/>
      <c r="O343" s="2"/>
      <c r="P343" s="2"/>
      <c r="Q343" s="2"/>
      <c r="R343" s="2"/>
      <c r="S343" s="2"/>
      <c r="T343" s="2"/>
      <c r="U343" s="2"/>
      <c r="V343" s="2"/>
      <c r="W343" s="2"/>
      <c r="X343" s="2"/>
      <c r="Y343" s="2"/>
      <c r="Z343" s="2"/>
    </row>
    <row r="344" customFormat="false" ht="12" hidden="false" customHeight="true" outlineLevel="0" collapsed="false">
      <c r="A344" s="2"/>
      <c r="B344" s="19"/>
      <c r="C344" s="19"/>
      <c r="D344" s="2"/>
      <c r="E344" s="2"/>
      <c r="F344" s="2"/>
      <c r="G344" s="2"/>
      <c r="H344" s="2"/>
      <c r="I344" s="2"/>
      <c r="J344" s="2"/>
      <c r="K344" s="2"/>
      <c r="L344" s="19"/>
      <c r="M344" s="19"/>
      <c r="N344" s="2"/>
      <c r="O344" s="2"/>
      <c r="P344" s="2"/>
      <c r="Q344" s="2"/>
      <c r="R344" s="2"/>
      <c r="S344" s="2"/>
      <c r="T344" s="2"/>
      <c r="U344" s="2"/>
      <c r="V344" s="2"/>
      <c r="W344" s="2"/>
      <c r="X344" s="2"/>
      <c r="Y344" s="2"/>
      <c r="Z344" s="2"/>
    </row>
    <row r="345" customFormat="false" ht="12" hidden="false" customHeight="true" outlineLevel="0" collapsed="false">
      <c r="A345" s="2"/>
      <c r="B345" s="19"/>
      <c r="C345" s="19"/>
      <c r="D345" s="2"/>
      <c r="E345" s="2"/>
      <c r="F345" s="2"/>
      <c r="G345" s="2"/>
      <c r="H345" s="2"/>
      <c r="I345" s="2"/>
      <c r="J345" s="2"/>
      <c r="K345" s="2"/>
      <c r="L345" s="19"/>
      <c r="M345" s="19"/>
      <c r="N345" s="2"/>
      <c r="O345" s="2"/>
      <c r="P345" s="2"/>
      <c r="Q345" s="2"/>
      <c r="R345" s="2"/>
      <c r="S345" s="2"/>
      <c r="T345" s="2"/>
      <c r="U345" s="2"/>
      <c r="V345" s="2"/>
      <c r="W345" s="2"/>
      <c r="X345" s="2"/>
      <c r="Y345" s="2"/>
      <c r="Z345" s="2"/>
    </row>
    <row r="346" customFormat="false" ht="12" hidden="false" customHeight="true" outlineLevel="0" collapsed="false">
      <c r="A346" s="2"/>
      <c r="B346" s="19"/>
      <c r="C346" s="19"/>
      <c r="D346" s="2"/>
      <c r="E346" s="2"/>
      <c r="F346" s="2"/>
      <c r="G346" s="2"/>
      <c r="H346" s="2"/>
      <c r="I346" s="2"/>
      <c r="J346" s="2"/>
      <c r="K346" s="2"/>
      <c r="L346" s="19"/>
      <c r="M346" s="19"/>
      <c r="N346" s="2"/>
      <c r="O346" s="2"/>
      <c r="P346" s="2"/>
      <c r="Q346" s="2"/>
      <c r="R346" s="2"/>
      <c r="S346" s="2"/>
      <c r="T346" s="2"/>
      <c r="U346" s="2"/>
      <c r="V346" s="2"/>
      <c r="W346" s="2"/>
      <c r="X346" s="2"/>
      <c r="Y346" s="2"/>
      <c r="Z346" s="2"/>
    </row>
    <row r="347" customFormat="false" ht="12" hidden="false" customHeight="true" outlineLevel="0" collapsed="false">
      <c r="A347" s="2"/>
      <c r="B347" s="19"/>
      <c r="C347" s="19"/>
      <c r="D347" s="2"/>
      <c r="E347" s="2"/>
      <c r="F347" s="2"/>
      <c r="G347" s="2"/>
      <c r="H347" s="2"/>
      <c r="I347" s="2"/>
      <c r="J347" s="2"/>
      <c r="K347" s="2"/>
      <c r="L347" s="19"/>
      <c r="M347" s="19"/>
      <c r="N347" s="2"/>
      <c r="O347" s="2"/>
      <c r="P347" s="2"/>
      <c r="Q347" s="2"/>
      <c r="R347" s="2"/>
      <c r="S347" s="2"/>
      <c r="T347" s="2"/>
      <c r="U347" s="2"/>
      <c r="V347" s="2"/>
      <c r="W347" s="2"/>
      <c r="X347" s="2"/>
      <c r="Y347" s="2"/>
      <c r="Z347" s="2"/>
    </row>
    <row r="348" customFormat="false" ht="12" hidden="false" customHeight="true" outlineLevel="0" collapsed="false">
      <c r="A348" s="2"/>
      <c r="B348" s="19"/>
      <c r="C348" s="19"/>
      <c r="D348" s="2"/>
      <c r="E348" s="2"/>
      <c r="F348" s="2"/>
      <c r="G348" s="2"/>
      <c r="H348" s="2"/>
      <c r="I348" s="2"/>
      <c r="J348" s="2"/>
      <c r="K348" s="2"/>
      <c r="L348" s="19"/>
      <c r="M348" s="19"/>
      <c r="N348" s="2"/>
      <c r="O348" s="2"/>
      <c r="P348" s="2"/>
      <c r="Q348" s="2"/>
      <c r="R348" s="2"/>
      <c r="S348" s="2"/>
      <c r="T348" s="2"/>
      <c r="U348" s="2"/>
      <c r="V348" s="2"/>
      <c r="W348" s="2"/>
      <c r="X348" s="2"/>
      <c r="Y348" s="2"/>
      <c r="Z348" s="2"/>
    </row>
    <row r="349" customFormat="false" ht="12" hidden="false" customHeight="true" outlineLevel="0" collapsed="false">
      <c r="A349" s="2"/>
      <c r="B349" s="19"/>
      <c r="C349" s="19"/>
      <c r="D349" s="2"/>
      <c r="E349" s="2"/>
      <c r="F349" s="2"/>
      <c r="G349" s="2"/>
      <c r="H349" s="2"/>
      <c r="I349" s="2"/>
      <c r="J349" s="2"/>
      <c r="K349" s="2"/>
      <c r="L349" s="19"/>
      <c r="M349" s="19"/>
      <c r="N349" s="2"/>
      <c r="O349" s="2"/>
      <c r="P349" s="2"/>
      <c r="Q349" s="2"/>
      <c r="R349" s="2"/>
      <c r="S349" s="2"/>
      <c r="T349" s="2"/>
      <c r="U349" s="2"/>
      <c r="V349" s="2"/>
      <c r="W349" s="2"/>
      <c r="X349" s="2"/>
      <c r="Y349" s="2"/>
      <c r="Z349" s="2"/>
    </row>
    <row r="350" customFormat="false" ht="12" hidden="false" customHeight="true" outlineLevel="0" collapsed="false">
      <c r="A350" s="2"/>
      <c r="B350" s="19"/>
      <c r="C350" s="19"/>
      <c r="D350" s="2"/>
      <c r="E350" s="2"/>
      <c r="F350" s="2"/>
      <c r="G350" s="2"/>
      <c r="H350" s="2"/>
      <c r="I350" s="2"/>
      <c r="J350" s="2"/>
      <c r="K350" s="2"/>
      <c r="L350" s="19"/>
      <c r="M350" s="19"/>
      <c r="N350" s="2"/>
      <c r="O350" s="2"/>
      <c r="P350" s="2"/>
      <c r="Q350" s="2"/>
      <c r="R350" s="2"/>
      <c r="S350" s="2"/>
      <c r="T350" s="2"/>
      <c r="U350" s="2"/>
      <c r="V350" s="2"/>
      <c r="W350" s="2"/>
      <c r="X350" s="2"/>
      <c r="Y350" s="2"/>
      <c r="Z350" s="2"/>
    </row>
    <row r="351" customFormat="false" ht="12" hidden="false" customHeight="true" outlineLevel="0" collapsed="false">
      <c r="A351" s="2"/>
      <c r="B351" s="19"/>
      <c r="C351" s="19"/>
      <c r="D351" s="2"/>
      <c r="E351" s="2"/>
      <c r="F351" s="2"/>
      <c r="G351" s="2"/>
      <c r="H351" s="2"/>
      <c r="I351" s="2"/>
      <c r="J351" s="2"/>
      <c r="K351" s="2"/>
      <c r="L351" s="19"/>
      <c r="M351" s="19"/>
      <c r="N351" s="2"/>
      <c r="O351" s="2"/>
      <c r="P351" s="2"/>
      <c r="Q351" s="2"/>
      <c r="R351" s="2"/>
      <c r="S351" s="2"/>
      <c r="T351" s="2"/>
      <c r="U351" s="2"/>
      <c r="V351" s="2"/>
      <c r="W351" s="2"/>
      <c r="X351" s="2"/>
      <c r="Y351" s="2"/>
      <c r="Z351" s="2"/>
    </row>
    <row r="352" customFormat="false" ht="12" hidden="false" customHeight="true" outlineLevel="0" collapsed="false">
      <c r="A352" s="2"/>
      <c r="B352" s="19"/>
      <c r="C352" s="19"/>
      <c r="D352" s="2"/>
      <c r="E352" s="2"/>
      <c r="F352" s="2"/>
      <c r="G352" s="2"/>
      <c r="H352" s="2"/>
      <c r="I352" s="2"/>
      <c r="J352" s="2"/>
      <c r="K352" s="2"/>
      <c r="L352" s="19"/>
      <c r="M352" s="19"/>
      <c r="N352" s="2"/>
      <c r="O352" s="2"/>
      <c r="P352" s="2"/>
      <c r="Q352" s="2"/>
      <c r="R352" s="2"/>
      <c r="S352" s="2"/>
      <c r="T352" s="2"/>
      <c r="U352" s="2"/>
      <c r="V352" s="2"/>
      <c r="W352" s="2"/>
      <c r="X352" s="2"/>
      <c r="Y352" s="2"/>
      <c r="Z352" s="2"/>
    </row>
    <row r="353" customFormat="false" ht="12" hidden="false" customHeight="true" outlineLevel="0" collapsed="false">
      <c r="A353" s="2"/>
      <c r="B353" s="19"/>
      <c r="C353" s="19"/>
      <c r="D353" s="2"/>
      <c r="E353" s="2"/>
      <c r="F353" s="2"/>
      <c r="G353" s="2"/>
      <c r="H353" s="2"/>
      <c r="I353" s="2"/>
      <c r="J353" s="2"/>
      <c r="K353" s="2"/>
      <c r="L353" s="19"/>
      <c r="M353" s="19"/>
      <c r="N353" s="2"/>
      <c r="O353" s="2"/>
      <c r="P353" s="2"/>
      <c r="Q353" s="2"/>
      <c r="R353" s="2"/>
      <c r="S353" s="2"/>
      <c r="T353" s="2"/>
      <c r="U353" s="2"/>
      <c r="V353" s="2"/>
      <c r="W353" s="2"/>
      <c r="X353" s="2"/>
      <c r="Y353" s="2"/>
      <c r="Z353" s="2"/>
    </row>
    <row r="354" customFormat="false" ht="12" hidden="false" customHeight="true" outlineLevel="0" collapsed="false">
      <c r="A354" s="2"/>
      <c r="B354" s="19"/>
      <c r="C354" s="19"/>
      <c r="D354" s="2"/>
      <c r="E354" s="2"/>
      <c r="F354" s="2"/>
      <c r="G354" s="2"/>
      <c r="H354" s="2"/>
      <c r="I354" s="2"/>
      <c r="J354" s="2"/>
      <c r="K354" s="2"/>
      <c r="L354" s="19"/>
      <c r="M354" s="19"/>
      <c r="N354" s="2"/>
      <c r="O354" s="2"/>
      <c r="P354" s="2"/>
      <c r="Q354" s="2"/>
      <c r="R354" s="2"/>
      <c r="S354" s="2"/>
      <c r="T354" s="2"/>
      <c r="U354" s="2"/>
      <c r="V354" s="2"/>
      <c r="W354" s="2"/>
      <c r="X354" s="2"/>
      <c r="Y354" s="2"/>
      <c r="Z354" s="2"/>
    </row>
    <row r="355" customFormat="false" ht="12" hidden="false" customHeight="true" outlineLevel="0" collapsed="false">
      <c r="A355" s="2"/>
      <c r="B355" s="19"/>
      <c r="C355" s="19"/>
      <c r="D355" s="2"/>
      <c r="E355" s="2"/>
      <c r="F355" s="2"/>
      <c r="G355" s="2"/>
      <c r="H355" s="2"/>
      <c r="I355" s="2"/>
      <c r="J355" s="2"/>
      <c r="K355" s="2"/>
      <c r="L355" s="19"/>
      <c r="M355" s="19"/>
      <c r="N355" s="2"/>
      <c r="O355" s="2"/>
      <c r="P355" s="2"/>
      <c r="Q355" s="2"/>
      <c r="R355" s="2"/>
      <c r="S355" s="2"/>
      <c r="T355" s="2"/>
      <c r="U355" s="2"/>
      <c r="V355" s="2"/>
      <c r="W355" s="2"/>
      <c r="X355" s="2"/>
      <c r="Y355" s="2"/>
      <c r="Z355" s="2"/>
    </row>
    <row r="356" customFormat="false" ht="12" hidden="false" customHeight="true" outlineLevel="0" collapsed="false">
      <c r="A356" s="2"/>
      <c r="B356" s="19"/>
      <c r="C356" s="19"/>
      <c r="D356" s="2"/>
      <c r="E356" s="2"/>
      <c r="F356" s="2"/>
      <c r="G356" s="2"/>
      <c r="H356" s="2"/>
      <c r="I356" s="2"/>
      <c r="J356" s="2"/>
      <c r="K356" s="2"/>
      <c r="L356" s="19"/>
      <c r="M356" s="19"/>
      <c r="N356" s="2"/>
      <c r="O356" s="2"/>
      <c r="P356" s="2"/>
      <c r="Q356" s="2"/>
      <c r="R356" s="2"/>
      <c r="S356" s="2"/>
      <c r="T356" s="2"/>
      <c r="U356" s="2"/>
      <c r="V356" s="2"/>
      <c r="W356" s="2"/>
      <c r="X356" s="2"/>
      <c r="Y356" s="2"/>
      <c r="Z356" s="2"/>
    </row>
    <row r="357" customFormat="false" ht="12" hidden="false" customHeight="true" outlineLevel="0" collapsed="false">
      <c r="A357" s="2"/>
      <c r="B357" s="19"/>
      <c r="C357" s="19"/>
      <c r="D357" s="2"/>
      <c r="E357" s="2"/>
      <c r="F357" s="2"/>
      <c r="G357" s="2"/>
      <c r="H357" s="2"/>
      <c r="I357" s="2"/>
      <c r="J357" s="2"/>
      <c r="K357" s="2"/>
      <c r="L357" s="19"/>
      <c r="M357" s="19"/>
      <c r="N357" s="2"/>
      <c r="O357" s="2"/>
      <c r="P357" s="2"/>
      <c r="Q357" s="2"/>
      <c r="R357" s="2"/>
      <c r="S357" s="2"/>
      <c r="T357" s="2"/>
      <c r="U357" s="2"/>
      <c r="V357" s="2"/>
      <c r="W357" s="2"/>
      <c r="X357" s="2"/>
      <c r="Y357" s="2"/>
      <c r="Z357" s="2"/>
    </row>
    <row r="358" customFormat="false" ht="12" hidden="false" customHeight="true" outlineLevel="0" collapsed="false">
      <c r="A358" s="2"/>
      <c r="B358" s="19"/>
      <c r="C358" s="19"/>
      <c r="D358" s="2"/>
      <c r="E358" s="2"/>
      <c r="F358" s="2"/>
      <c r="G358" s="2"/>
      <c r="H358" s="2"/>
      <c r="I358" s="2"/>
      <c r="J358" s="2"/>
      <c r="K358" s="2"/>
      <c r="L358" s="19"/>
      <c r="M358" s="19"/>
      <c r="N358" s="2"/>
      <c r="O358" s="2"/>
      <c r="P358" s="2"/>
      <c r="Q358" s="2"/>
      <c r="R358" s="2"/>
      <c r="S358" s="2"/>
      <c r="T358" s="2"/>
      <c r="U358" s="2"/>
      <c r="V358" s="2"/>
      <c r="W358" s="2"/>
      <c r="X358" s="2"/>
      <c r="Y358" s="2"/>
      <c r="Z358" s="2"/>
    </row>
    <row r="359" customFormat="false" ht="12" hidden="false" customHeight="true" outlineLevel="0" collapsed="false">
      <c r="A359" s="2"/>
      <c r="B359" s="19"/>
      <c r="C359" s="19"/>
      <c r="D359" s="2"/>
      <c r="E359" s="2"/>
      <c r="F359" s="2"/>
      <c r="G359" s="2"/>
      <c r="H359" s="2"/>
      <c r="I359" s="2"/>
      <c r="J359" s="2"/>
      <c r="K359" s="2"/>
      <c r="L359" s="19"/>
      <c r="M359" s="19"/>
      <c r="N359" s="2"/>
      <c r="O359" s="2"/>
      <c r="P359" s="2"/>
      <c r="Q359" s="2"/>
      <c r="R359" s="2"/>
      <c r="S359" s="2"/>
      <c r="T359" s="2"/>
      <c r="U359" s="2"/>
      <c r="V359" s="2"/>
      <c r="W359" s="2"/>
      <c r="X359" s="2"/>
      <c r="Y359" s="2"/>
      <c r="Z359" s="2"/>
    </row>
    <row r="360" customFormat="false" ht="12" hidden="false" customHeight="true" outlineLevel="0" collapsed="false">
      <c r="A360" s="2"/>
      <c r="B360" s="19"/>
      <c r="C360" s="19"/>
      <c r="D360" s="2"/>
      <c r="E360" s="2"/>
      <c r="F360" s="2"/>
      <c r="G360" s="2"/>
      <c r="H360" s="2"/>
      <c r="I360" s="2"/>
      <c r="J360" s="2"/>
      <c r="K360" s="2"/>
      <c r="L360" s="19"/>
      <c r="M360" s="19"/>
      <c r="N360" s="2"/>
      <c r="O360" s="2"/>
      <c r="P360" s="2"/>
      <c r="Q360" s="2"/>
      <c r="R360" s="2"/>
      <c r="S360" s="2"/>
      <c r="T360" s="2"/>
      <c r="U360" s="2"/>
      <c r="V360" s="2"/>
      <c r="W360" s="2"/>
      <c r="X360" s="2"/>
      <c r="Y360" s="2"/>
      <c r="Z360" s="2"/>
    </row>
    <row r="361" customFormat="false" ht="12" hidden="false" customHeight="true" outlineLevel="0" collapsed="false">
      <c r="A361" s="2"/>
      <c r="B361" s="19"/>
      <c r="C361" s="19"/>
      <c r="D361" s="2"/>
      <c r="E361" s="2"/>
      <c r="F361" s="2"/>
      <c r="G361" s="2"/>
      <c r="H361" s="2"/>
      <c r="I361" s="2"/>
      <c r="J361" s="2"/>
      <c r="K361" s="2"/>
      <c r="L361" s="19"/>
      <c r="M361" s="19"/>
      <c r="N361" s="2"/>
      <c r="O361" s="2"/>
      <c r="P361" s="2"/>
      <c r="Q361" s="2"/>
      <c r="R361" s="2"/>
      <c r="S361" s="2"/>
      <c r="T361" s="2"/>
      <c r="U361" s="2"/>
      <c r="V361" s="2"/>
      <c r="W361" s="2"/>
      <c r="X361" s="2"/>
      <c r="Y361" s="2"/>
      <c r="Z361" s="2"/>
    </row>
    <row r="362" customFormat="false" ht="12" hidden="false" customHeight="true" outlineLevel="0" collapsed="false">
      <c r="A362" s="2"/>
      <c r="B362" s="19"/>
      <c r="C362" s="19"/>
      <c r="D362" s="2"/>
      <c r="E362" s="2"/>
      <c r="F362" s="2"/>
      <c r="G362" s="2"/>
      <c r="H362" s="2"/>
      <c r="I362" s="2"/>
      <c r="J362" s="2"/>
      <c r="K362" s="2"/>
      <c r="L362" s="19"/>
      <c r="M362" s="19"/>
      <c r="N362" s="2"/>
      <c r="O362" s="2"/>
      <c r="P362" s="2"/>
      <c r="Q362" s="2"/>
      <c r="R362" s="2"/>
      <c r="S362" s="2"/>
      <c r="T362" s="2"/>
      <c r="U362" s="2"/>
      <c r="V362" s="2"/>
      <c r="W362" s="2"/>
      <c r="X362" s="2"/>
      <c r="Y362" s="2"/>
      <c r="Z362" s="2"/>
    </row>
    <row r="363" customFormat="false" ht="12" hidden="false" customHeight="true" outlineLevel="0" collapsed="false">
      <c r="A363" s="2"/>
      <c r="B363" s="19"/>
      <c r="C363" s="19"/>
      <c r="D363" s="2"/>
      <c r="E363" s="2"/>
      <c r="F363" s="2"/>
      <c r="G363" s="2"/>
      <c r="H363" s="2"/>
      <c r="I363" s="2"/>
      <c r="J363" s="2"/>
      <c r="K363" s="2"/>
      <c r="L363" s="19"/>
      <c r="M363" s="19"/>
      <c r="N363" s="2"/>
      <c r="O363" s="2"/>
      <c r="P363" s="2"/>
      <c r="Q363" s="2"/>
      <c r="R363" s="2"/>
      <c r="S363" s="2"/>
      <c r="T363" s="2"/>
      <c r="U363" s="2"/>
      <c r="V363" s="2"/>
      <c r="W363" s="2"/>
      <c r="X363" s="2"/>
      <c r="Y363" s="2"/>
      <c r="Z363" s="2"/>
    </row>
    <row r="364" customFormat="false" ht="12" hidden="false" customHeight="true" outlineLevel="0" collapsed="false">
      <c r="A364" s="2"/>
      <c r="B364" s="19"/>
      <c r="C364" s="19"/>
      <c r="D364" s="2"/>
      <c r="E364" s="2"/>
      <c r="F364" s="2"/>
      <c r="G364" s="2"/>
      <c r="H364" s="2"/>
      <c r="I364" s="2"/>
      <c r="J364" s="2"/>
      <c r="K364" s="2"/>
      <c r="L364" s="19"/>
      <c r="M364" s="19"/>
      <c r="N364" s="2"/>
      <c r="O364" s="2"/>
      <c r="P364" s="2"/>
      <c r="Q364" s="2"/>
      <c r="R364" s="2"/>
      <c r="S364" s="2"/>
      <c r="T364" s="2"/>
      <c r="U364" s="2"/>
      <c r="V364" s="2"/>
      <c r="W364" s="2"/>
      <c r="X364" s="2"/>
      <c r="Y364" s="2"/>
      <c r="Z364" s="2"/>
    </row>
    <row r="365" customFormat="false" ht="12" hidden="false" customHeight="true" outlineLevel="0" collapsed="false">
      <c r="A365" s="2"/>
      <c r="B365" s="19"/>
      <c r="C365" s="19"/>
      <c r="D365" s="2"/>
      <c r="E365" s="2"/>
      <c r="F365" s="2"/>
      <c r="G365" s="2"/>
      <c r="H365" s="2"/>
      <c r="I365" s="2"/>
      <c r="J365" s="2"/>
      <c r="K365" s="2"/>
      <c r="L365" s="19"/>
      <c r="M365" s="19"/>
      <c r="N365" s="2"/>
      <c r="O365" s="2"/>
      <c r="P365" s="2"/>
      <c r="Q365" s="2"/>
      <c r="R365" s="2"/>
      <c r="S365" s="2"/>
      <c r="T365" s="2"/>
      <c r="U365" s="2"/>
      <c r="V365" s="2"/>
      <c r="W365" s="2"/>
      <c r="X365" s="2"/>
      <c r="Y365" s="2"/>
      <c r="Z365" s="2"/>
    </row>
    <row r="366" customFormat="false" ht="12" hidden="false" customHeight="true" outlineLevel="0" collapsed="false">
      <c r="A366" s="2"/>
      <c r="B366" s="19"/>
      <c r="C366" s="19"/>
      <c r="D366" s="2"/>
      <c r="E366" s="2"/>
      <c r="F366" s="2"/>
      <c r="G366" s="2"/>
      <c r="H366" s="2"/>
      <c r="I366" s="2"/>
      <c r="J366" s="2"/>
      <c r="K366" s="2"/>
      <c r="L366" s="19"/>
      <c r="M366" s="19"/>
      <c r="N366" s="2"/>
      <c r="O366" s="2"/>
      <c r="P366" s="2"/>
      <c r="Q366" s="2"/>
      <c r="R366" s="2"/>
      <c r="S366" s="2"/>
      <c r="T366" s="2"/>
      <c r="U366" s="2"/>
      <c r="V366" s="2"/>
      <c r="W366" s="2"/>
      <c r="X366" s="2"/>
      <c r="Y366" s="2"/>
      <c r="Z366" s="2"/>
    </row>
    <row r="367" customFormat="false" ht="12" hidden="false" customHeight="true" outlineLevel="0" collapsed="false">
      <c r="A367" s="2"/>
      <c r="B367" s="19"/>
      <c r="C367" s="19"/>
      <c r="D367" s="2"/>
      <c r="E367" s="2"/>
      <c r="F367" s="2"/>
      <c r="G367" s="2"/>
      <c r="H367" s="2"/>
      <c r="I367" s="2"/>
      <c r="J367" s="2"/>
      <c r="K367" s="2"/>
      <c r="L367" s="19"/>
      <c r="M367" s="19"/>
      <c r="N367" s="2"/>
      <c r="O367" s="2"/>
      <c r="P367" s="2"/>
      <c r="Q367" s="2"/>
      <c r="R367" s="2"/>
      <c r="S367" s="2"/>
      <c r="T367" s="2"/>
      <c r="U367" s="2"/>
      <c r="V367" s="2"/>
      <c r="W367" s="2"/>
      <c r="X367" s="2"/>
      <c r="Y367" s="2"/>
      <c r="Z367" s="2"/>
    </row>
    <row r="368" customFormat="false" ht="12" hidden="false" customHeight="true" outlineLevel="0" collapsed="false">
      <c r="A368" s="2"/>
      <c r="B368" s="19"/>
      <c r="C368" s="19"/>
      <c r="D368" s="2"/>
      <c r="E368" s="2"/>
      <c r="F368" s="2"/>
      <c r="G368" s="2"/>
      <c r="H368" s="2"/>
      <c r="I368" s="2"/>
      <c r="J368" s="2"/>
      <c r="K368" s="2"/>
      <c r="L368" s="19"/>
      <c r="M368" s="19"/>
      <c r="N368" s="2"/>
      <c r="O368" s="2"/>
      <c r="P368" s="2"/>
      <c r="Q368" s="2"/>
      <c r="R368" s="2"/>
      <c r="S368" s="2"/>
      <c r="T368" s="2"/>
      <c r="U368" s="2"/>
      <c r="V368" s="2"/>
      <c r="W368" s="2"/>
      <c r="X368" s="2"/>
      <c r="Y368" s="2"/>
      <c r="Z368" s="2"/>
    </row>
    <row r="369" customFormat="false" ht="12" hidden="false" customHeight="true" outlineLevel="0" collapsed="false">
      <c r="A369" s="2"/>
      <c r="B369" s="19"/>
      <c r="C369" s="19"/>
      <c r="D369" s="2"/>
      <c r="E369" s="2"/>
      <c r="F369" s="2"/>
      <c r="G369" s="2"/>
      <c r="H369" s="2"/>
      <c r="I369" s="2"/>
      <c r="J369" s="2"/>
      <c r="K369" s="2"/>
      <c r="L369" s="19"/>
      <c r="M369" s="19"/>
      <c r="N369" s="2"/>
      <c r="O369" s="2"/>
      <c r="P369" s="2"/>
      <c r="Q369" s="2"/>
      <c r="R369" s="2"/>
      <c r="S369" s="2"/>
      <c r="T369" s="2"/>
      <c r="U369" s="2"/>
      <c r="V369" s="2"/>
      <c r="W369" s="2"/>
      <c r="X369" s="2"/>
      <c r="Y369" s="2"/>
      <c r="Z369" s="2"/>
    </row>
    <row r="370" customFormat="false" ht="12" hidden="false" customHeight="true" outlineLevel="0" collapsed="false">
      <c r="A370" s="2"/>
      <c r="B370" s="19"/>
      <c r="C370" s="19"/>
      <c r="D370" s="2"/>
      <c r="E370" s="2"/>
      <c r="F370" s="2"/>
      <c r="G370" s="2"/>
      <c r="H370" s="2"/>
      <c r="I370" s="2"/>
      <c r="J370" s="2"/>
      <c r="K370" s="2"/>
      <c r="L370" s="19"/>
      <c r="M370" s="19"/>
      <c r="N370" s="2"/>
      <c r="O370" s="2"/>
      <c r="P370" s="2"/>
      <c r="Q370" s="2"/>
      <c r="R370" s="2"/>
      <c r="S370" s="2"/>
      <c r="T370" s="2"/>
      <c r="U370" s="2"/>
      <c r="V370" s="2"/>
      <c r="W370" s="2"/>
      <c r="X370" s="2"/>
      <c r="Y370" s="2"/>
      <c r="Z370" s="2"/>
    </row>
    <row r="371" customFormat="false" ht="12" hidden="false" customHeight="true" outlineLevel="0" collapsed="false">
      <c r="A371" s="2"/>
      <c r="B371" s="19"/>
      <c r="C371" s="19"/>
      <c r="D371" s="2"/>
      <c r="E371" s="2"/>
      <c r="F371" s="2"/>
      <c r="G371" s="2"/>
      <c r="H371" s="2"/>
      <c r="I371" s="2"/>
      <c r="J371" s="2"/>
      <c r="K371" s="2"/>
      <c r="L371" s="19"/>
      <c r="M371" s="19"/>
      <c r="N371" s="2"/>
      <c r="O371" s="2"/>
      <c r="P371" s="2"/>
      <c r="Q371" s="2"/>
      <c r="R371" s="2"/>
      <c r="S371" s="2"/>
      <c r="T371" s="2"/>
      <c r="U371" s="2"/>
      <c r="V371" s="2"/>
      <c r="W371" s="2"/>
      <c r="X371" s="2"/>
      <c r="Y371" s="2"/>
      <c r="Z371" s="2"/>
    </row>
    <row r="372" customFormat="false" ht="12" hidden="false" customHeight="true" outlineLevel="0" collapsed="false">
      <c r="A372" s="2"/>
      <c r="B372" s="19"/>
      <c r="C372" s="19"/>
      <c r="D372" s="2"/>
      <c r="E372" s="2"/>
      <c r="F372" s="2"/>
      <c r="G372" s="2"/>
      <c r="H372" s="2"/>
      <c r="I372" s="2"/>
      <c r="J372" s="2"/>
      <c r="K372" s="2"/>
      <c r="L372" s="19"/>
      <c r="M372" s="19"/>
      <c r="N372" s="2"/>
      <c r="O372" s="2"/>
      <c r="P372" s="2"/>
      <c r="Q372" s="2"/>
      <c r="R372" s="2"/>
      <c r="S372" s="2"/>
      <c r="T372" s="2"/>
      <c r="U372" s="2"/>
      <c r="V372" s="2"/>
      <c r="W372" s="2"/>
      <c r="X372" s="2"/>
      <c r="Y372" s="2"/>
      <c r="Z372" s="2"/>
    </row>
    <row r="373" customFormat="false" ht="12" hidden="false" customHeight="true" outlineLevel="0" collapsed="false">
      <c r="A373" s="2"/>
      <c r="B373" s="19"/>
      <c r="C373" s="19"/>
      <c r="D373" s="2"/>
      <c r="E373" s="2"/>
      <c r="F373" s="2"/>
      <c r="G373" s="2"/>
      <c r="H373" s="2"/>
      <c r="I373" s="2"/>
      <c r="J373" s="2"/>
      <c r="K373" s="2"/>
      <c r="L373" s="19"/>
      <c r="M373" s="19"/>
      <c r="N373" s="2"/>
      <c r="O373" s="2"/>
      <c r="P373" s="2"/>
      <c r="Q373" s="2"/>
      <c r="R373" s="2"/>
      <c r="S373" s="2"/>
      <c r="T373" s="2"/>
      <c r="U373" s="2"/>
      <c r="V373" s="2"/>
      <c r="W373" s="2"/>
      <c r="X373" s="2"/>
      <c r="Y373" s="2"/>
      <c r="Z373" s="2"/>
    </row>
    <row r="374" customFormat="false" ht="12" hidden="false" customHeight="true" outlineLevel="0" collapsed="false">
      <c r="A374" s="2"/>
      <c r="B374" s="19"/>
      <c r="C374" s="19"/>
      <c r="D374" s="2"/>
      <c r="E374" s="2"/>
      <c r="F374" s="2"/>
      <c r="G374" s="2"/>
      <c r="H374" s="2"/>
      <c r="I374" s="2"/>
      <c r="J374" s="2"/>
      <c r="K374" s="2"/>
      <c r="L374" s="19"/>
      <c r="M374" s="19"/>
      <c r="N374" s="2"/>
      <c r="O374" s="2"/>
      <c r="P374" s="2"/>
      <c r="Q374" s="2"/>
      <c r="R374" s="2"/>
      <c r="S374" s="2"/>
      <c r="T374" s="2"/>
      <c r="U374" s="2"/>
      <c r="V374" s="2"/>
      <c r="W374" s="2"/>
      <c r="X374" s="2"/>
      <c r="Y374" s="2"/>
      <c r="Z374" s="2"/>
    </row>
    <row r="375" customFormat="false" ht="12" hidden="false" customHeight="true" outlineLevel="0" collapsed="false">
      <c r="A375" s="2"/>
      <c r="B375" s="19"/>
      <c r="C375" s="19"/>
      <c r="D375" s="2"/>
      <c r="E375" s="2"/>
      <c r="F375" s="2"/>
      <c r="G375" s="2"/>
      <c r="H375" s="2"/>
      <c r="I375" s="2"/>
      <c r="J375" s="2"/>
      <c r="K375" s="2"/>
      <c r="L375" s="19"/>
      <c r="M375" s="19"/>
      <c r="N375" s="2"/>
      <c r="O375" s="2"/>
      <c r="P375" s="2"/>
      <c r="Q375" s="2"/>
      <c r="R375" s="2"/>
      <c r="S375" s="2"/>
      <c r="T375" s="2"/>
      <c r="U375" s="2"/>
      <c r="V375" s="2"/>
      <c r="W375" s="2"/>
      <c r="X375" s="2"/>
      <c r="Y375" s="2"/>
      <c r="Z375" s="2"/>
    </row>
    <row r="376" customFormat="false" ht="12" hidden="false" customHeight="true" outlineLevel="0" collapsed="false">
      <c r="A376" s="2"/>
      <c r="B376" s="19"/>
      <c r="C376" s="19"/>
      <c r="D376" s="2"/>
      <c r="E376" s="2"/>
      <c r="F376" s="2"/>
      <c r="G376" s="2"/>
      <c r="H376" s="2"/>
      <c r="I376" s="2"/>
      <c r="J376" s="2"/>
      <c r="K376" s="2"/>
      <c r="L376" s="19"/>
      <c r="M376" s="19"/>
      <c r="N376" s="2"/>
      <c r="O376" s="2"/>
      <c r="P376" s="2"/>
      <c r="Q376" s="2"/>
      <c r="R376" s="2"/>
      <c r="S376" s="2"/>
      <c r="T376" s="2"/>
      <c r="U376" s="2"/>
      <c r="V376" s="2"/>
      <c r="W376" s="2"/>
      <c r="X376" s="2"/>
      <c r="Y376" s="2"/>
      <c r="Z376" s="2"/>
    </row>
    <row r="377" customFormat="false" ht="12" hidden="false" customHeight="true" outlineLevel="0" collapsed="false">
      <c r="A377" s="2"/>
      <c r="B377" s="19"/>
      <c r="C377" s="19"/>
      <c r="D377" s="2"/>
      <c r="E377" s="2"/>
      <c r="F377" s="2"/>
      <c r="G377" s="2"/>
      <c r="H377" s="2"/>
      <c r="I377" s="2"/>
      <c r="J377" s="2"/>
      <c r="K377" s="2"/>
      <c r="L377" s="19"/>
      <c r="M377" s="19"/>
      <c r="N377" s="2"/>
      <c r="O377" s="2"/>
      <c r="P377" s="2"/>
      <c r="Q377" s="2"/>
      <c r="R377" s="2"/>
      <c r="S377" s="2"/>
      <c r="T377" s="2"/>
      <c r="U377" s="2"/>
      <c r="V377" s="2"/>
      <c r="W377" s="2"/>
      <c r="X377" s="2"/>
      <c r="Y377" s="2"/>
      <c r="Z377" s="2"/>
    </row>
    <row r="378" customFormat="false" ht="12" hidden="false" customHeight="true" outlineLevel="0" collapsed="false">
      <c r="A378" s="2"/>
      <c r="B378" s="19"/>
      <c r="C378" s="19"/>
      <c r="D378" s="2"/>
      <c r="E378" s="2"/>
      <c r="F378" s="2"/>
      <c r="G378" s="2"/>
      <c r="H378" s="2"/>
      <c r="I378" s="2"/>
      <c r="J378" s="2"/>
      <c r="K378" s="2"/>
      <c r="L378" s="19"/>
      <c r="M378" s="19"/>
      <c r="N378" s="2"/>
      <c r="O378" s="2"/>
      <c r="P378" s="2"/>
      <c r="Q378" s="2"/>
      <c r="R378" s="2"/>
      <c r="S378" s="2"/>
      <c r="T378" s="2"/>
      <c r="U378" s="2"/>
      <c r="V378" s="2"/>
      <c r="W378" s="2"/>
      <c r="X378" s="2"/>
      <c r="Y378" s="2"/>
      <c r="Z378" s="2"/>
    </row>
    <row r="379" customFormat="false" ht="12" hidden="false" customHeight="true" outlineLevel="0" collapsed="false">
      <c r="A379" s="2"/>
      <c r="B379" s="19"/>
      <c r="C379" s="19"/>
      <c r="D379" s="2"/>
      <c r="E379" s="2"/>
      <c r="F379" s="2"/>
      <c r="G379" s="2"/>
      <c r="H379" s="2"/>
      <c r="I379" s="2"/>
      <c r="J379" s="2"/>
      <c r="K379" s="2"/>
      <c r="L379" s="19"/>
      <c r="M379" s="19"/>
      <c r="N379" s="2"/>
      <c r="O379" s="2"/>
      <c r="P379" s="2"/>
      <c r="Q379" s="2"/>
      <c r="R379" s="2"/>
      <c r="S379" s="2"/>
      <c r="T379" s="2"/>
      <c r="U379" s="2"/>
      <c r="V379" s="2"/>
      <c r="W379" s="2"/>
      <c r="X379" s="2"/>
      <c r="Y379" s="2"/>
      <c r="Z379" s="2"/>
    </row>
    <row r="380" customFormat="false" ht="12" hidden="false" customHeight="true" outlineLevel="0" collapsed="false">
      <c r="A380" s="2"/>
      <c r="B380" s="19"/>
      <c r="C380" s="19"/>
      <c r="D380" s="2"/>
      <c r="E380" s="2"/>
      <c r="F380" s="2"/>
      <c r="G380" s="2"/>
      <c r="H380" s="2"/>
      <c r="I380" s="2"/>
      <c r="J380" s="2"/>
      <c r="K380" s="2"/>
      <c r="L380" s="19"/>
      <c r="M380" s="19"/>
      <c r="N380" s="2"/>
      <c r="O380" s="2"/>
      <c r="P380" s="2"/>
      <c r="Q380" s="2"/>
      <c r="R380" s="2"/>
      <c r="S380" s="2"/>
      <c r="T380" s="2"/>
      <c r="U380" s="2"/>
      <c r="V380" s="2"/>
      <c r="W380" s="2"/>
      <c r="X380" s="2"/>
      <c r="Y380" s="2"/>
      <c r="Z380" s="2"/>
    </row>
    <row r="381" customFormat="false" ht="12" hidden="false" customHeight="true" outlineLevel="0" collapsed="false">
      <c r="A381" s="2"/>
      <c r="B381" s="19"/>
      <c r="C381" s="19"/>
      <c r="D381" s="2"/>
      <c r="E381" s="2"/>
      <c r="F381" s="2"/>
      <c r="G381" s="2"/>
      <c r="H381" s="2"/>
      <c r="I381" s="2"/>
      <c r="J381" s="2"/>
      <c r="K381" s="2"/>
      <c r="L381" s="19"/>
      <c r="M381" s="19"/>
      <c r="N381" s="2"/>
      <c r="O381" s="2"/>
      <c r="P381" s="2"/>
      <c r="Q381" s="2"/>
      <c r="R381" s="2"/>
      <c r="S381" s="2"/>
      <c r="T381" s="2"/>
      <c r="U381" s="2"/>
      <c r="V381" s="2"/>
      <c r="W381" s="2"/>
      <c r="X381" s="2"/>
      <c r="Y381" s="2"/>
      <c r="Z381" s="2"/>
    </row>
    <row r="382" customFormat="false" ht="12" hidden="false" customHeight="true" outlineLevel="0" collapsed="false">
      <c r="A382" s="2"/>
      <c r="B382" s="19"/>
      <c r="C382" s="19"/>
      <c r="D382" s="2"/>
      <c r="E382" s="2"/>
      <c r="F382" s="2"/>
      <c r="G382" s="2"/>
      <c r="H382" s="2"/>
      <c r="I382" s="2"/>
      <c r="J382" s="2"/>
      <c r="K382" s="2"/>
      <c r="L382" s="19"/>
      <c r="M382" s="19"/>
      <c r="N382" s="2"/>
      <c r="O382" s="2"/>
      <c r="P382" s="2"/>
      <c r="Q382" s="2"/>
      <c r="R382" s="2"/>
      <c r="S382" s="2"/>
      <c r="T382" s="2"/>
      <c r="U382" s="2"/>
      <c r="V382" s="2"/>
      <c r="W382" s="2"/>
      <c r="X382" s="2"/>
      <c r="Y382" s="2"/>
      <c r="Z382" s="2"/>
    </row>
    <row r="383" customFormat="false" ht="12" hidden="false" customHeight="true" outlineLevel="0" collapsed="false">
      <c r="A383" s="2"/>
      <c r="B383" s="19"/>
      <c r="C383" s="19"/>
      <c r="D383" s="2"/>
      <c r="E383" s="2"/>
      <c r="F383" s="2"/>
      <c r="G383" s="2"/>
      <c r="H383" s="2"/>
      <c r="I383" s="2"/>
      <c r="J383" s="2"/>
      <c r="K383" s="2"/>
      <c r="L383" s="19"/>
      <c r="M383" s="19"/>
      <c r="N383" s="2"/>
      <c r="O383" s="2"/>
      <c r="P383" s="2"/>
      <c r="Q383" s="2"/>
      <c r="R383" s="2"/>
      <c r="S383" s="2"/>
      <c r="T383" s="2"/>
      <c r="U383" s="2"/>
      <c r="V383" s="2"/>
      <c r="W383" s="2"/>
      <c r="X383" s="2"/>
      <c r="Y383" s="2"/>
      <c r="Z383" s="2"/>
    </row>
    <row r="384" customFormat="false" ht="12" hidden="false" customHeight="true" outlineLevel="0" collapsed="false">
      <c r="A384" s="2"/>
      <c r="B384" s="19"/>
      <c r="C384" s="19"/>
      <c r="D384" s="2"/>
      <c r="E384" s="2"/>
      <c r="F384" s="2"/>
      <c r="G384" s="2"/>
      <c r="H384" s="2"/>
      <c r="I384" s="2"/>
      <c r="J384" s="2"/>
      <c r="K384" s="2"/>
      <c r="L384" s="19"/>
      <c r="M384" s="19"/>
      <c r="N384" s="2"/>
      <c r="O384" s="2"/>
      <c r="P384" s="2"/>
      <c r="Q384" s="2"/>
      <c r="R384" s="2"/>
      <c r="S384" s="2"/>
      <c r="T384" s="2"/>
      <c r="U384" s="2"/>
      <c r="V384" s="2"/>
      <c r="W384" s="2"/>
      <c r="X384" s="2"/>
      <c r="Y384" s="2"/>
      <c r="Z384" s="2"/>
    </row>
    <row r="385" customFormat="false" ht="12" hidden="false" customHeight="true" outlineLevel="0" collapsed="false">
      <c r="A385" s="2"/>
      <c r="B385" s="19"/>
      <c r="C385" s="19"/>
      <c r="D385" s="2"/>
      <c r="E385" s="2"/>
      <c r="F385" s="2"/>
      <c r="G385" s="2"/>
      <c r="H385" s="2"/>
      <c r="I385" s="2"/>
      <c r="J385" s="2"/>
      <c r="K385" s="2"/>
      <c r="L385" s="19"/>
      <c r="M385" s="19"/>
      <c r="N385" s="2"/>
      <c r="O385" s="2"/>
      <c r="P385" s="2"/>
      <c r="Q385" s="2"/>
      <c r="R385" s="2"/>
      <c r="S385" s="2"/>
      <c r="T385" s="2"/>
      <c r="U385" s="2"/>
      <c r="V385" s="2"/>
      <c r="W385" s="2"/>
      <c r="X385" s="2"/>
      <c r="Y385" s="2"/>
      <c r="Z385" s="2"/>
    </row>
    <row r="386" customFormat="false" ht="12" hidden="false" customHeight="true" outlineLevel="0" collapsed="false">
      <c r="A386" s="2"/>
      <c r="B386" s="19"/>
      <c r="C386" s="19"/>
      <c r="D386" s="2"/>
      <c r="E386" s="2"/>
      <c r="F386" s="2"/>
      <c r="G386" s="2"/>
      <c r="H386" s="2"/>
      <c r="I386" s="2"/>
      <c r="J386" s="2"/>
      <c r="K386" s="2"/>
      <c r="L386" s="19"/>
      <c r="M386" s="19"/>
      <c r="N386" s="2"/>
      <c r="O386" s="2"/>
      <c r="P386" s="2"/>
      <c r="Q386" s="2"/>
      <c r="R386" s="2"/>
      <c r="S386" s="2"/>
      <c r="T386" s="2"/>
      <c r="U386" s="2"/>
      <c r="V386" s="2"/>
      <c r="W386" s="2"/>
      <c r="X386" s="2"/>
      <c r="Y386" s="2"/>
      <c r="Z386" s="2"/>
    </row>
    <row r="387" customFormat="false" ht="12" hidden="false" customHeight="true" outlineLevel="0" collapsed="false">
      <c r="A387" s="2"/>
      <c r="B387" s="19"/>
      <c r="C387" s="19"/>
      <c r="D387" s="2"/>
      <c r="E387" s="2"/>
      <c r="F387" s="2"/>
      <c r="G387" s="2"/>
      <c r="H387" s="2"/>
      <c r="I387" s="2"/>
      <c r="J387" s="2"/>
      <c r="K387" s="2"/>
      <c r="L387" s="19"/>
      <c r="M387" s="19"/>
      <c r="N387" s="2"/>
      <c r="O387" s="2"/>
      <c r="P387" s="2"/>
      <c r="Q387" s="2"/>
      <c r="R387" s="2"/>
      <c r="S387" s="2"/>
      <c r="T387" s="2"/>
      <c r="U387" s="2"/>
      <c r="V387" s="2"/>
      <c r="W387" s="2"/>
      <c r="X387" s="2"/>
      <c r="Y387" s="2"/>
      <c r="Z387" s="2"/>
    </row>
    <row r="388" customFormat="false" ht="12" hidden="false" customHeight="true" outlineLevel="0" collapsed="false">
      <c r="A388" s="2"/>
      <c r="B388" s="19"/>
      <c r="C388" s="19"/>
      <c r="D388" s="2"/>
      <c r="E388" s="2"/>
      <c r="F388" s="2"/>
      <c r="G388" s="2"/>
      <c r="H388" s="2"/>
      <c r="I388" s="2"/>
      <c r="J388" s="2"/>
      <c r="K388" s="2"/>
      <c r="L388" s="19"/>
      <c r="M388" s="19"/>
      <c r="N388" s="2"/>
      <c r="O388" s="2"/>
      <c r="P388" s="2"/>
      <c r="Q388" s="2"/>
      <c r="R388" s="2"/>
      <c r="S388" s="2"/>
      <c r="T388" s="2"/>
      <c r="U388" s="2"/>
      <c r="V388" s="2"/>
      <c r="W388" s="2"/>
      <c r="X388" s="2"/>
      <c r="Y388" s="2"/>
      <c r="Z388" s="2"/>
    </row>
    <row r="389" customFormat="false" ht="12" hidden="false" customHeight="true" outlineLevel="0" collapsed="false">
      <c r="A389" s="2"/>
      <c r="B389" s="19"/>
      <c r="C389" s="19"/>
      <c r="D389" s="2"/>
      <c r="E389" s="2"/>
      <c r="F389" s="2"/>
      <c r="G389" s="2"/>
      <c r="H389" s="2"/>
      <c r="I389" s="2"/>
      <c r="J389" s="2"/>
      <c r="K389" s="2"/>
      <c r="L389" s="19"/>
      <c r="M389" s="19"/>
      <c r="N389" s="2"/>
      <c r="O389" s="2"/>
      <c r="P389" s="2"/>
      <c r="Q389" s="2"/>
      <c r="R389" s="2"/>
      <c r="S389" s="2"/>
      <c r="T389" s="2"/>
      <c r="U389" s="2"/>
      <c r="V389" s="2"/>
      <c r="W389" s="2"/>
      <c r="X389" s="2"/>
      <c r="Y389" s="2"/>
      <c r="Z389" s="2"/>
    </row>
    <row r="390" customFormat="false" ht="12" hidden="false" customHeight="true" outlineLevel="0" collapsed="false">
      <c r="A390" s="2"/>
      <c r="B390" s="19"/>
      <c r="C390" s="19"/>
      <c r="D390" s="2"/>
      <c r="E390" s="2"/>
      <c r="F390" s="2"/>
      <c r="G390" s="2"/>
      <c r="H390" s="2"/>
      <c r="I390" s="2"/>
      <c r="J390" s="2"/>
      <c r="K390" s="2"/>
      <c r="L390" s="19"/>
      <c r="M390" s="19"/>
      <c r="N390" s="2"/>
      <c r="O390" s="2"/>
      <c r="P390" s="2"/>
      <c r="Q390" s="2"/>
      <c r="R390" s="2"/>
      <c r="S390" s="2"/>
      <c r="T390" s="2"/>
      <c r="U390" s="2"/>
      <c r="V390" s="2"/>
      <c r="W390" s="2"/>
      <c r="X390" s="2"/>
      <c r="Y390" s="2"/>
      <c r="Z390" s="2"/>
    </row>
    <row r="391" customFormat="false" ht="12" hidden="false" customHeight="true" outlineLevel="0" collapsed="false">
      <c r="A391" s="2"/>
      <c r="B391" s="19"/>
      <c r="C391" s="19"/>
      <c r="D391" s="2"/>
      <c r="E391" s="2"/>
      <c r="F391" s="2"/>
      <c r="G391" s="2"/>
      <c r="H391" s="2"/>
      <c r="I391" s="2"/>
      <c r="J391" s="2"/>
      <c r="K391" s="2"/>
      <c r="L391" s="19"/>
      <c r="M391" s="19"/>
      <c r="N391" s="2"/>
      <c r="O391" s="2"/>
      <c r="P391" s="2"/>
      <c r="Q391" s="2"/>
      <c r="R391" s="2"/>
      <c r="S391" s="2"/>
      <c r="T391" s="2"/>
      <c r="U391" s="2"/>
      <c r="V391" s="2"/>
      <c r="W391" s="2"/>
      <c r="X391" s="2"/>
      <c r="Y391" s="2"/>
      <c r="Z391" s="2"/>
    </row>
    <row r="392" customFormat="false" ht="12" hidden="false" customHeight="true" outlineLevel="0" collapsed="false">
      <c r="A392" s="2"/>
      <c r="B392" s="19"/>
      <c r="C392" s="19"/>
      <c r="D392" s="2"/>
      <c r="E392" s="2"/>
      <c r="F392" s="2"/>
      <c r="G392" s="2"/>
      <c r="H392" s="2"/>
      <c r="I392" s="2"/>
      <c r="J392" s="2"/>
      <c r="K392" s="2"/>
      <c r="L392" s="19"/>
      <c r="M392" s="19"/>
      <c r="N392" s="2"/>
      <c r="O392" s="2"/>
      <c r="P392" s="2"/>
      <c r="Q392" s="2"/>
      <c r="R392" s="2"/>
      <c r="S392" s="2"/>
      <c r="T392" s="2"/>
      <c r="U392" s="2"/>
      <c r="V392" s="2"/>
      <c r="W392" s="2"/>
      <c r="X392" s="2"/>
      <c r="Y392" s="2"/>
      <c r="Z392" s="2"/>
    </row>
    <row r="393" customFormat="false" ht="12" hidden="false" customHeight="true" outlineLevel="0" collapsed="false">
      <c r="A393" s="2"/>
      <c r="B393" s="19"/>
      <c r="C393" s="19"/>
      <c r="D393" s="2"/>
      <c r="E393" s="2"/>
      <c r="F393" s="2"/>
      <c r="G393" s="2"/>
      <c r="H393" s="2"/>
      <c r="I393" s="2"/>
      <c r="J393" s="2"/>
      <c r="K393" s="2"/>
      <c r="L393" s="19"/>
      <c r="M393" s="19"/>
      <c r="N393" s="2"/>
      <c r="O393" s="2"/>
      <c r="P393" s="2"/>
      <c r="Q393" s="2"/>
      <c r="R393" s="2"/>
      <c r="S393" s="2"/>
      <c r="T393" s="2"/>
      <c r="U393" s="2"/>
      <c r="V393" s="2"/>
      <c r="W393" s="2"/>
      <c r="X393" s="2"/>
      <c r="Y393" s="2"/>
      <c r="Z393" s="2"/>
    </row>
    <row r="394" customFormat="false" ht="12" hidden="false" customHeight="true" outlineLevel="0" collapsed="false">
      <c r="A394" s="2"/>
      <c r="B394" s="19"/>
      <c r="C394" s="19"/>
      <c r="D394" s="2"/>
      <c r="E394" s="2"/>
      <c r="F394" s="2"/>
      <c r="G394" s="2"/>
      <c r="H394" s="2"/>
      <c r="I394" s="2"/>
      <c r="J394" s="2"/>
      <c r="K394" s="2"/>
      <c r="L394" s="19"/>
      <c r="M394" s="19"/>
      <c r="N394" s="2"/>
      <c r="O394" s="2"/>
      <c r="P394" s="2"/>
      <c r="Q394" s="2"/>
      <c r="R394" s="2"/>
      <c r="S394" s="2"/>
      <c r="T394" s="2"/>
      <c r="U394" s="2"/>
      <c r="V394" s="2"/>
      <c r="W394" s="2"/>
      <c r="X394" s="2"/>
      <c r="Y394" s="2"/>
      <c r="Z394" s="2"/>
    </row>
    <row r="395" customFormat="false" ht="12" hidden="false" customHeight="true" outlineLevel="0" collapsed="false">
      <c r="A395" s="2"/>
      <c r="B395" s="19"/>
      <c r="C395" s="19"/>
      <c r="D395" s="2"/>
      <c r="E395" s="2"/>
      <c r="F395" s="2"/>
      <c r="G395" s="2"/>
      <c r="H395" s="2"/>
      <c r="I395" s="2"/>
      <c r="J395" s="2"/>
      <c r="K395" s="2"/>
      <c r="L395" s="19"/>
      <c r="M395" s="19"/>
      <c r="N395" s="2"/>
      <c r="O395" s="2"/>
      <c r="P395" s="2"/>
      <c r="Q395" s="2"/>
      <c r="R395" s="2"/>
      <c r="S395" s="2"/>
      <c r="T395" s="2"/>
      <c r="U395" s="2"/>
      <c r="V395" s="2"/>
      <c r="W395" s="2"/>
      <c r="X395" s="2"/>
      <c r="Y395" s="2"/>
      <c r="Z395" s="2"/>
    </row>
    <row r="396" customFormat="false" ht="12" hidden="false" customHeight="true" outlineLevel="0" collapsed="false">
      <c r="A396" s="2"/>
      <c r="B396" s="19"/>
      <c r="C396" s="19"/>
      <c r="D396" s="2"/>
      <c r="E396" s="2"/>
      <c r="F396" s="2"/>
      <c r="G396" s="2"/>
      <c r="H396" s="2"/>
      <c r="I396" s="2"/>
      <c r="J396" s="2"/>
      <c r="K396" s="2"/>
      <c r="L396" s="19"/>
      <c r="M396" s="19"/>
      <c r="N396" s="2"/>
      <c r="O396" s="2"/>
      <c r="P396" s="2"/>
      <c r="Q396" s="2"/>
      <c r="R396" s="2"/>
      <c r="S396" s="2"/>
      <c r="T396" s="2"/>
      <c r="U396" s="2"/>
      <c r="V396" s="2"/>
      <c r="W396" s="2"/>
      <c r="X396" s="2"/>
      <c r="Y396" s="2"/>
      <c r="Z396" s="2"/>
    </row>
    <row r="397" customFormat="false" ht="12" hidden="false" customHeight="true" outlineLevel="0" collapsed="false">
      <c r="A397" s="2"/>
      <c r="B397" s="19"/>
      <c r="C397" s="19"/>
      <c r="D397" s="2"/>
      <c r="E397" s="2"/>
      <c r="F397" s="2"/>
      <c r="G397" s="2"/>
      <c r="H397" s="2"/>
      <c r="I397" s="2"/>
      <c r="J397" s="2"/>
      <c r="K397" s="2"/>
      <c r="L397" s="19"/>
      <c r="M397" s="19"/>
      <c r="N397" s="2"/>
      <c r="O397" s="2"/>
      <c r="P397" s="2"/>
      <c r="Q397" s="2"/>
      <c r="R397" s="2"/>
      <c r="S397" s="2"/>
      <c r="T397" s="2"/>
      <c r="U397" s="2"/>
      <c r="V397" s="2"/>
      <c r="W397" s="2"/>
      <c r="X397" s="2"/>
      <c r="Y397" s="2"/>
      <c r="Z397" s="2"/>
    </row>
    <row r="398" customFormat="false" ht="12" hidden="false" customHeight="true" outlineLevel="0" collapsed="false">
      <c r="A398" s="2"/>
      <c r="B398" s="19"/>
      <c r="C398" s="19"/>
      <c r="D398" s="2"/>
      <c r="E398" s="2"/>
      <c r="F398" s="2"/>
      <c r="G398" s="2"/>
      <c r="H398" s="2"/>
      <c r="I398" s="2"/>
      <c r="J398" s="2"/>
      <c r="K398" s="2"/>
      <c r="L398" s="19"/>
      <c r="M398" s="19"/>
      <c r="N398" s="2"/>
      <c r="O398" s="2"/>
      <c r="P398" s="2"/>
      <c r="Q398" s="2"/>
      <c r="R398" s="2"/>
      <c r="S398" s="2"/>
      <c r="T398" s="2"/>
      <c r="U398" s="2"/>
      <c r="V398" s="2"/>
      <c r="W398" s="2"/>
      <c r="X398" s="2"/>
      <c r="Y398" s="2"/>
      <c r="Z398" s="2"/>
    </row>
    <row r="399" customFormat="false" ht="12" hidden="false" customHeight="true" outlineLevel="0" collapsed="false">
      <c r="A399" s="2"/>
      <c r="B399" s="19"/>
      <c r="C399" s="19"/>
      <c r="D399" s="2"/>
      <c r="E399" s="2"/>
      <c r="F399" s="2"/>
      <c r="G399" s="2"/>
      <c r="H399" s="2"/>
      <c r="I399" s="2"/>
      <c r="J399" s="2"/>
      <c r="K399" s="2"/>
      <c r="L399" s="19"/>
      <c r="M399" s="19"/>
      <c r="N399" s="2"/>
      <c r="O399" s="2"/>
      <c r="P399" s="2"/>
      <c r="Q399" s="2"/>
      <c r="R399" s="2"/>
      <c r="S399" s="2"/>
      <c r="T399" s="2"/>
      <c r="U399" s="2"/>
      <c r="V399" s="2"/>
      <c r="W399" s="2"/>
      <c r="X399" s="2"/>
      <c r="Y399" s="2"/>
      <c r="Z399" s="2"/>
    </row>
    <row r="400" customFormat="false" ht="12" hidden="false" customHeight="true" outlineLevel="0" collapsed="false">
      <c r="A400" s="2"/>
      <c r="B400" s="19"/>
      <c r="C400" s="19"/>
      <c r="D400" s="2"/>
      <c r="E400" s="2"/>
      <c r="F400" s="2"/>
      <c r="G400" s="2"/>
      <c r="H400" s="2"/>
      <c r="I400" s="2"/>
      <c r="J400" s="2"/>
      <c r="K400" s="2"/>
      <c r="L400" s="19"/>
      <c r="M400" s="19"/>
      <c r="N400" s="2"/>
      <c r="O400" s="2"/>
      <c r="P400" s="2"/>
      <c r="Q400" s="2"/>
      <c r="R400" s="2"/>
      <c r="S400" s="2"/>
      <c r="T400" s="2"/>
      <c r="U400" s="2"/>
      <c r="V400" s="2"/>
      <c r="W400" s="2"/>
      <c r="X400" s="2"/>
      <c r="Y400" s="2"/>
      <c r="Z400" s="2"/>
    </row>
    <row r="401" customFormat="false" ht="12" hidden="false" customHeight="true" outlineLevel="0" collapsed="false">
      <c r="A401" s="2"/>
      <c r="B401" s="19"/>
      <c r="C401" s="19"/>
      <c r="D401" s="2"/>
      <c r="E401" s="2"/>
      <c r="F401" s="2"/>
      <c r="G401" s="2"/>
      <c r="H401" s="2"/>
      <c r="I401" s="2"/>
      <c r="J401" s="2"/>
      <c r="K401" s="2"/>
      <c r="L401" s="19"/>
      <c r="M401" s="19"/>
      <c r="N401" s="2"/>
      <c r="O401" s="2"/>
      <c r="P401" s="2"/>
      <c r="Q401" s="2"/>
      <c r="R401" s="2"/>
      <c r="S401" s="2"/>
      <c r="T401" s="2"/>
      <c r="U401" s="2"/>
      <c r="V401" s="2"/>
      <c r="W401" s="2"/>
      <c r="X401" s="2"/>
      <c r="Y401" s="2"/>
      <c r="Z401" s="2"/>
    </row>
    <row r="402" customFormat="false" ht="12" hidden="false" customHeight="true" outlineLevel="0" collapsed="false">
      <c r="A402" s="2"/>
      <c r="B402" s="19"/>
      <c r="C402" s="19"/>
      <c r="D402" s="2"/>
      <c r="E402" s="2"/>
      <c r="F402" s="2"/>
      <c r="G402" s="2"/>
      <c r="H402" s="2"/>
      <c r="I402" s="2"/>
      <c r="J402" s="2"/>
      <c r="K402" s="2"/>
      <c r="L402" s="19"/>
      <c r="M402" s="19"/>
      <c r="N402" s="2"/>
      <c r="O402" s="2"/>
      <c r="P402" s="2"/>
      <c r="Q402" s="2"/>
      <c r="R402" s="2"/>
      <c r="S402" s="2"/>
      <c r="T402" s="2"/>
      <c r="U402" s="2"/>
      <c r="V402" s="2"/>
      <c r="W402" s="2"/>
      <c r="X402" s="2"/>
      <c r="Y402" s="2"/>
      <c r="Z402" s="2"/>
    </row>
    <row r="403" customFormat="false" ht="12" hidden="false" customHeight="true" outlineLevel="0" collapsed="false">
      <c r="A403" s="2"/>
      <c r="B403" s="19"/>
      <c r="C403" s="19"/>
      <c r="D403" s="2"/>
      <c r="E403" s="2"/>
      <c r="F403" s="2"/>
      <c r="G403" s="2"/>
      <c r="H403" s="2"/>
      <c r="I403" s="2"/>
      <c r="J403" s="2"/>
      <c r="K403" s="2"/>
      <c r="L403" s="19"/>
      <c r="M403" s="19"/>
      <c r="N403" s="2"/>
      <c r="O403" s="2"/>
      <c r="P403" s="2"/>
      <c r="Q403" s="2"/>
      <c r="R403" s="2"/>
      <c r="S403" s="2"/>
      <c r="T403" s="2"/>
      <c r="U403" s="2"/>
      <c r="V403" s="2"/>
      <c r="W403" s="2"/>
      <c r="X403" s="2"/>
      <c r="Y403" s="2"/>
      <c r="Z403" s="2"/>
    </row>
    <row r="404" customFormat="false" ht="12" hidden="false" customHeight="true" outlineLevel="0" collapsed="false">
      <c r="A404" s="2"/>
      <c r="B404" s="19"/>
      <c r="C404" s="19"/>
      <c r="D404" s="2"/>
      <c r="E404" s="2"/>
      <c r="F404" s="2"/>
      <c r="G404" s="2"/>
      <c r="H404" s="2"/>
      <c r="I404" s="2"/>
      <c r="J404" s="2"/>
      <c r="K404" s="2"/>
      <c r="L404" s="19"/>
      <c r="M404" s="19"/>
      <c r="N404" s="2"/>
      <c r="O404" s="2"/>
      <c r="P404" s="2"/>
      <c r="Q404" s="2"/>
      <c r="R404" s="2"/>
      <c r="S404" s="2"/>
      <c r="T404" s="2"/>
      <c r="U404" s="2"/>
      <c r="V404" s="2"/>
      <c r="W404" s="2"/>
      <c r="X404" s="2"/>
      <c r="Y404" s="2"/>
      <c r="Z404" s="2"/>
    </row>
    <row r="405" customFormat="false" ht="12" hidden="false" customHeight="true" outlineLevel="0" collapsed="false">
      <c r="A405" s="2"/>
      <c r="B405" s="19"/>
      <c r="C405" s="19"/>
      <c r="D405" s="2"/>
      <c r="E405" s="2"/>
      <c r="F405" s="2"/>
      <c r="G405" s="2"/>
      <c r="H405" s="2"/>
      <c r="I405" s="2"/>
      <c r="J405" s="2"/>
      <c r="K405" s="2"/>
      <c r="L405" s="19"/>
      <c r="M405" s="19"/>
      <c r="N405" s="2"/>
      <c r="O405" s="2"/>
      <c r="P405" s="2"/>
      <c r="Q405" s="2"/>
      <c r="R405" s="2"/>
      <c r="S405" s="2"/>
      <c r="T405" s="2"/>
      <c r="U405" s="2"/>
      <c r="V405" s="2"/>
      <c r="W405" s="2"/>
      <c r="X405" s="2"/>
      <c r="Y405" s="2"/>
      <c r="Z405" s="2"/>
    </row>
    <row r="406" customFormat="false" ht="12" hidden="false" customHeight="true" outlineLevel="0" collapsed="false">
      <c r="A406" s="2"/>
      <c r="B406" s="19"/>
      <c r="C406" s="19"/>
      <c r="D406" s="2"/>
      <c r="E406" s="2"/>
      <c r="F406" s="2"/>
      <c r="G406" s="2"/>
      <c r="H406" s="2"/>
      <c r="I406" s="2"/>
      <c r="J406" s="2"/>
      <c r="K406" s="2"/>
      <c r="L406" s="19"/>
      <c r="M406" s="19"/>
      <c r="N406" s="2"/>
      <c r="O406" s="2"/>
      <c r="P406" s="2"/>
      <c r="Q406" s="2"/>
      <c r="R406" s="2"/>
      <c r="S406" s="2"/>
      <c r="T406" s="2"/>
      <c r="U406" s="2"/>
      <c r="V406" s="2"/>
      <c r="W406" s="2"/>
      <c r="X406" s="2"/>
      <c r="Y406" s="2"/>
      <c r="Z406" s="2"/>
    </row>
    <row r="407" customFormat="false" ht="12" hidden="false" customHeight="true" outlineLevel="0" collapsed="false">
      <c r="A407" s="2"/>
      <c r="B407" s="19"/>
      <c r="C407" s="19"/>
      <c r="D407" s="2"/>
      <c r="E407" s="2"/>
      <c r="F407" s="2"/>
      <c r="G407" s="2"/>
      <c r="H407" s="2"/>
      <c r="I407" s="2"/>
      <c r="J407" s="2"/>
      <c r="K407" s="2"/>
      <c r="L407" s="19"/>
      <c r="M407" s="19"/>
      <c r="N407" s="2"/>
      <c r="O407" s="2"/>
      <c r="P407" s="2"/>
      <c r="Q407" s="2"/>
      <c r="R407" s="2"/>
      <c r="S407" s="2"/>
      <c r="T407" s="2"/>
      <c r="U407" s="2"/>
      <c r="V407" s="2"/>
      <c r="W407" s="2"/>
      <c r="X407" s="2"/>
      <c r="Y407" s="2"/>
      <c r="Z407" s="2"/>
    </row>
    <row r="408" customFormat="false" ht="12" hidden="false" customHeight="true" outlineLevel="0" collapsed="false">
      <c r="A408" s="2"/>
      <c r="B408" s="19"/>
      <c r="C408" s="19"/>
      <c r="D408" s="2"/>
      <c r="E408" s="2"/>
      <c r="F408" s="2"/>
      <c r="G408" s="2"/>
      <c r="H408" s="2"/>
      <c r="I408" s="2"/>
      <c r="J408" s="2"/>
      <c r="K408" s="2"/>
      <c r="L408" s="19"/>
      <c r="M408" s="19"/>
      <c r="N408" s="2"/>
      <c r="O408" s="2"/>
      <c r="P408" s="2"/>
      <c r="Q408" s="2"/>
      <c r="R408" s="2"/>
      <c r="S408" s="2"/>
      <c r="T408" s="2"/>
      <c r="U408" s="2"/>
      <c r="V408" s="2"/>
      <c r="W408" s="2"/>
      <c r="X408" s="2"/>
      <c r="Y408" s="2"/>
      <c r="Z408" s="2"/>
    </row>
    <row r="409" customFormat="false" ht="12" hidden="false" customHeight="true" outlineLevel="0" collapsed="false">
      <c r="A409" s="2"/>
      <c r="B409" s="19"/>
      <c r="C409" s="19"/>
      <c r="D409" s="2"/>
      <c r="E409" s="2"/>
      <c r="F409" s="2"/>
      <c r="G409" s="2"/>
      <c r="H409" s="2"/>
      <c r="I409" s="2"/>
      <c r="J409" s="2"/>
      <c r="K409" s="2"/>
      <c r="L409" s="19"/>
      <c r="M409" s="19"/>
      <c r="N409" s="2"/>
      <c r="O409" s="2"/>
      <c r="P409" s="2"/>
      <c r="Q409" s="2"/>
      <c r="R409" s="2"/>
      <c r="S409" s="2"/>
      <c r="T409" s="2"/>
      <c r="U409" s="2"/>
      <c r="V409" s="2"/>
      <c r="W409" s="2"/>
      <c r="X409" s="2"/>
      <c r="Y409" s="2"/>
      <c r="Z409" s="2"/>
    </row>
    <row r="410" customFormat="false" ht="12" hidden="false" customHeight="true" outlineLevel="0" collapsed="false">
      <c r="A410" s="2"/>
      <c r="B410" s="19"/>
      <c r="C410" s="19"/>
      <c r="D410" s="2"/>
      <c r="E410" s="2"/>
      <c r="F410" s="2"/>
      <c r="G410" s="2"/>
      <c r="H410" s="2"/>
      <c r="I410" s="2"/>
      <c r="J410" s="2"/>
      <c r="K410" s="2"/>
      <c r="L410" s="19"/>
      <c r="M410" s="19"/>
      <c r="N410" s="2"/>
      <c r="O410" s="2"/>
      <c r="P410" s="2"/>
      <c r="Q410" s="2"/>
      <c r="R410" s="2"/>
      <c r="S410" s="2"/>
      <c r="T410" s="2"/>
      <c r="U410" s="2"/>
      <c r="V410" s="2"/>
      <c r="W410" s="2"/>
      <c r="X410" s="2"/>
      <c r="Y410" s="2"/>
      <c r="Z410" s="2"/>
    </row>
    <row r="411" customFormat="false" ht="12" hidden="false" customHeight="true" outlineLevel="0" collapsed="false">
      <c r="A411" s="2"/>
      <c r="B411" s="19"/>
      <c r="C411" s="19"/>
      <c r="D411" s="2"/>
      <c r="E411" s="2"/>
      <c r="F411" s="2"/>
      <c r="G411" s="2"/>
      <c r="H411" s="2"/>
      <c r="I411" s="2"/>
      <c r="J411" s="2"/>
      <c r="K411" s="2"/>
      <c r="L411" s="19"/>
      <c r="M411" s="19"/>
      <c r="N411" s="2"/>
      <c r="O411" s="2"/>
      <c r="P411" s="2"/>
      <c r="Q411" s="2"/>
      <c r="R411" s="2"/>
      <c r="S411" s="2"/>
      <c r="T411" s="2"/>
      <c r="U411" s="2"/>
      <c r="V411" s="2"/>
      <c r="W411" s="2"/>
      <c r="X411" s="2"/>
      <c r="Y411" s="2"/>
      <c r="Z411" s="2"/>
    </row>
    <row r="412" customFormat="false" ht="12" hidden="false" customHeight="true" outlineLevel="0" collapsed="false">
      <c r="A412" s="2"/>
      <c r="B412" s="19"/>
      <c r="C412" s="19"/>
      <c r="D412" s="2"/>
      <c r="E412" s="2"/>
      <c r="F412" s="2"/>
      <c r="G412" s="2"/>
      <c r="H412" s="2"/>
      <c r="I412" s="2"/>
      <c r="J412" s="2"/>
      <c r="K412" s="2"/>
      <c r="L412" s="19"/>
      <c r="M412" s="19"/>
      <c r="N412" s="2"/>
      <c r="O412" s="2"/>
      <c r="P412" s="2"/>
      <c r="Q412" s="2"/>
      <c r="R412" s="2"/>
      <c r="S412" s="2"/>
      <c r="T412" s="2"/>
      <c r="U412" s="2"/>
      <c r="V412" s="2"/>
      <c r="W412" s="2"/>
      <c r="X412" s="2"/>
      <c r="Y412" s="2"/>
      <c r="Z412" s="2"/>
    </row>
    <row r="413" customFormat="false" ht="12" hidden="false" customHeight="true" outlineLevel="0" collapsed="false">
      <c r="A413" s="2"/>
      <c r="B413" s="19"/>
      <c r="C413" s="19"/>
      <c r="D413" s="2"/>
      <c r="E413" s="2"/>
      <c r="F413" s="2"/>
      <c r="G413" s="2"/>
      <c r="H413" s="2"/>
      <c r="I413" s="2"/>
      <c r="J413" s="2"/>
      <c r="K413" s="2"/>
      <c r="L413" s="19"/>
      <c r="M413" s="19"/>
      <c r="N413" s="2"/>
      <c r="O413" s="2"/>
      <c r="P413" s="2"/>
      <c r="Q413" s="2"/>
      <c r="R413" s="2"/>
      <c r="S413" s="2"/>
      <c r="T413" s="2"/>
      <c r="U413" s="2"/>
      <c r="V413" s="2"/>
      <c r="W413" s="2"/>
      <c r="X413" s="2"/>
      <c r="Y413" s="2"/>
      <c r="Z413" s="2"/>
    </row>
    <row r="414" customFormat="false" ht="12" hidden="false" customHeight="true" outlineLevel="0" collapsed="false">
      <c r="A414" s="2"/>
      <c r="B414" s="19"/>
      <c r="C414" s="19"/>
      <c r="D414" s="2"/>
      <c r="E414" s="2"/>
      <c r="F414" s="2"/>
      <c r="G414" s="2"/>
      <c r="H414" s="2"/>
      <c r="I414" s="2"/>
      <c r="J414" s="2"/>
      <c r="K414" s="2"/>
      <c r="L414" s="19"/>
      <c r="M414" s="19"/>
      <c r="N414" s="2"/>
      <c r="O414" s="2"/>
      <c r="P414" s="2"/>
      <c r="Q414" s="2"/>
      <c r="R414" s="2"/>
      <c r="S414" s="2"/>
      <c r="T414" s="2"/>
      <c r="U414" s="2"/>
      <c r="V414" s="2"/>
      <c r="W414" s="2"/>
      <c r="X414" s="2"/>
      <c r="Y414" s="2"/>
      <c r="Z414" s="2"/>
    </row>
    <row r="415" customFormat="false" ht="12" hidden="false" customHeight="true" outlineLevel="0" collapsed="false">
      <c r="A415" s="2"/>
      <c r="B415" s="19"/>
      <c r="C415" s="19"/>
      <c r="D415" s="2"/>
      <c r="E415" s="2"/>
      <c r="F415" s="2"/>
      <c r="G415" s="2"/>
      <c r="H415" s="2"/>
      <c r="I415" s="2"/>
      <c r="J415" s="2"/>
      <c r="K415" s="2"/>
      <c r="L415" s="19"/>
      <c r="M415" s="19"/>
      <c r="N415" s="2"/>
      <c r="O415" s="2"/>
      <c r="P415" s="2"/>
      <c r="Q415" s="2"/>
      <c r="R415" s="2"/>
      <c r="S415" s="2"/>
      <c r="T415" s="2"/>
      <c r="U415" s="2"/>
      <c r="V415" s="2"/>
      <c r="W415" s="2"/>
      <c r="X415" s="2"/>
      <c r="Y415" s="2"/>
      <c r="Z415" s="2"/>
    </row>
    <row r="416" customFormat="false" ht="12" hidden="false" customHeight="true" outlineLevel="0" collapsed="false">
      <c r="A416" s="2"/>
      <c r="B416" s="19"/>
      <c r="C416" s="19"/>
      <c r="D416" s="2"/>
      <c r="E416" s="2"/>
      <c r="F416" s="2"/>
      <c r="G416" s="2"/>
      <c r="H416" s="2"/>
      <c r="I416" s="2"/>
      <c r="J416" s="2"/>
      <c r="K416" s="2"/>
      <c r="L416" s="19"/>
      <c r="M416" s="19"/>
      <c r="N416" s="2"/>
      <c r="O416" s="2"/>
      <c r="P416" s="2"/>
      <c r="Q416" s="2"/>
      <c r="R416" s="2"/>
      <c r="S416" s="2"/>
      <c r="T416" s="2"/>
      <c r="U416" s="2"/>
      <c r="V416" s="2"/>
      <c r="W416" s="2"/>
      <c r="X416" s="2"/>
      <c r="Y416" s="2"/>
      <c r="Z416" s="2"/>
    </row>
    <row r="417" customFormat="false" ht="12" hidden="false" customHeight="true" outlineLevel="0" collapsed="false">
      <c r="A417" s="2"/>
      <c r="B417" s="19"/>
      <c r="C417" s="19"/>
      <c r="D417" s="2"/>
      <c r="E417" s="2"/>
      <c r="F417" s="2"/>
      <c r="G417" s="2"/>
      <c r="H417" s="2"/>
      <c r="I417" s="2"/>
      <c r="J417" s="2"/>
      <c r="K417" s="2"/>
      <c r="L417" s="19"/>
      <c r="M417" s="19"/>
      <c r="N417" s="2"/>
      <c r="O417" s="2"/>
      <c r="P417" s="2"/>
      <c r="Q417" s="2"/>
      <c r="R417" s="2"/>
      <c r="S417" s="2"/>
      <c r="T417" s="2"/>
      <c r="U417" s="2"/>
      <c r="V417" s="2"/>
      <c r="W417" s="2"/>
      <c r="X417" s="2"/>
      <c r="Y417" s="2"/>
      <c r="Z417" s="2"/>
    </row>
    <row r="418" customFormat="false" ht="12" hidden="false" customHeight="true" outlineLevel="0" collapsed="false">
      <c r="A418" s="2"/>
      <c r="B418" s="19"/>
      <c r="C418" s="19"/>
      <c r="D418" s="2"/>
      <c r="E418" s="2"/>
      <c r="F418" s="2"/>
      <c r="G418" s="2"/>
      <c r="H418" s="2"/>
      <c r="I418" s="2"/>
      <c r="J418" s="2"/>
      <c r="K418" s="2"/>
      <c r="L418" s="19"/>
      <c r="M418" s="19"/>
      <c r="N418" s="2"/>
      <c r="O418" s="2"/>
      <c r="P418" s="2"/>
      <c r="Q418" s="2"/>
      <c r="R418" s="2"/>
      <c r="S418" s="2"/>
      <c r="T418" s="2"/>
      <c r="U418" s="2"/>
      <c r="V418" s="2"/>
      <c r="W418" s="2"/>
      <c r="X418" s="2"/>
      <c r="Y418" s="2"/>
      <c r="Z418" s="2"/>
    </row>
    <row r="419" customFormat="false" ht="12" hidden="false" customHeight="true" outlineLevel="0" collapsed="false">
      <c r="A419" s="2"/>
      <c r="B419" s="19"/>
      <c r="C419" s="19"/>
      <c r="D419" s="2"/>
      <c r="E419" s="2"/>
      <c r="F419" s="2"/>
      <c r="G419" s="2"/>
      <c r="H419" s="2"/>
      <c r="I419" s="2"/>
      <c r="J419" s="2"/>
      <c r="K419" s="2"/>
      <c r="L419" s="19"/>
      <c r="M419" s="19"/>
      <c r="N419" s="2"/>
      <c r="O419" s="2"/>
      <c r="P419" s="2"/>
      <c r="Q419" s="2"/>
      <c r="R419" s="2"/>
      <c r="S419" s="2"/>
      <c r="T419" s="2"/>
      <c r="U419" s="2"/>
      <c r="V419" s="2"/>
      <c r="W419" s="2"/>
      <c r="X419" s="2"/>
      <c r="Y419" s="2"/>
      <c r="Z419" s="2"/>
    </row>
    <row r="420" customFormat="false" ht="12" hidden="false" customHeight="true" outlineLevel="0" collapsed="false">
      <c r="A420" s="2"/>
      <c r="B420" s="19"/>
      <c r="C420" s="19"/>
      <c r="D420" s="2"/>
      <c r="E420" s="2"/>
      <c r="F420" s="2"/>
      <c r="G420" s="2"/>
      <c r="H420" s="2"/>
      <c r="I420" s="2"/>
      <c r="J420" s="2"/>
      <c r="K420" s="2"/>
      <c r="L420" s="19"/>
      <c r="M420" s="19"/>
      <c r="N420" s="2"/>
      <c r="O420" s="2"/>
      <c r="P420" s="2"/>
      <c r="Q420" s="2"/>
      <c r="R420" s="2"/>
      <c r="S420" s="2"/>
      <c r="T420" s="2"/>
      <c r="U420" s="2"/>
      <c r="V420" s="2"/>
      <c r="W420" s="2"/>
      <c r="X420" s="2"/>
      <c r="Y420" s="2"/>
      <c r="Z420" s="2"/>
    </row>
    <row r="421" customFormat="false" ht="12" hidden="false" customHeight="true" outlineLevel="0" collapsed="false">
      <c r="A421" s="2"/>
      <c r="B421" s="19"/>
      <c r="C421" s="19"/>
      <c r="D421" s="2"/>
      <c r="E421" s="2"/>
      <c r="F421" s="2"/>
      <c r="G421" s="2"/>
      <c r="H421" s="2"/>
      <c r="I421" s="2"/>
      <c r="J421" s="2"/>
      <c r="K421" s="2"/>
      <c r="L421" s="19"/>
      <c r="M421" s="19"/>
      <c r="N421" s="2"/>
      <c r="O421" s="2"/>
      <c r="P421" s="2"/>
      <c r="Q421" s="2"/>
      <c r="R421" s="2"/>
      <c r="S421" s="2"/>
      <c r="T421" s="2"/>
      <c r="U421" s="2"/>
      <c r="V421" s="2"/>
      <c r="W421" s="2"/>
      <c r="X421" s="2"/>
      <c r="Y421" s="2"/>
      <c r="Z421" s="2"/>
    </row>
    <row r="422" customFormat="false" ht="12" hidden="false" customHeight="true" outlineLevel="0" collapsed="false">
      <c r="A422" s="2"/>
      <c r="B422" s="19"/>
      <c r="C422" s="19"/>
      <c r="D422" s="2"/>
      <c r="E422" s="2"/>
      <c r="F422" s="2"/>
      <c r="G422" s="2"/>
      <c r="H422" s="2"/>
      <c r="I422" s="2"/>
      <c r="J422" s="2"/>
      <c r="K422" s="2"/>
      <c r="L422" s="19"/>
      <c r="M422" s="19"/>
      <c r="N422" s="2"/>
      <c r="O422" s="2"/>
      <c r="P422" s="2"/>
      <c r="Q422" s="2"/>
      <c r="R422" s="2"/>
      <c r="S422" s="2"/>
      <c r="T422" s="2"/>
      <c r="U422" s="2"/>
      <c r="V422" s="2"/>
      <c r="W422" s="2"/>
      <c r="X422" s="2"/>
      <c r="Y422" s="2"/>
      <c r="Z422" s="2"/>
    </row>
    <row r="423" customFormat="false" ht="12" hidden="false" customHeight="true" outlineLevel="0" collapsed="false">
      <c r="A423" s="2"/>
      <c r="B423" s="19"/>
      <c r="C423" s="19"/>
      <c r="D423" s="2"/>
      <c r="E423" s="2"/>
      <c r="F423" s="2"/>
      <c r="G423" s="2"/>
      <c r="H423" s="2"/>
      <c r="I423" s="2"/>
      <c r="J423" s="2"/>
      <c r="K423" s="2"/>
      <c r="L423" s="19"/>
      <c r="M423" s="19"/>
      <c r="N423" s="2"/>
      <c r="O423" s="2"/>
      <c r="P423" s="2"/>
      <c r="Q423" s="2"/>
      <c r="R423" s="2"/>
      <c r="S423" s="2"/>
      <c r="T423" s="2"/>
      <c r="U423" s="2"/>
      <c r="V423" s="2"/>
      <c r="W423" s="2"/>
      <c r="X423" s="2"/>
      <c r="Y423" s="2"/>
      <c r="Z423" s="2"/>
    </row>
    <row r="424" customFormat="false" ht="12" hidden="false" customHeight="true" outlineLevel="0" collapsed="false">
      <c r="A424" s="2"/>
      <c r="B424" s="19"/>
      <c r="C424" s="19"/>
      <c r="D424" s="2"/>
      <c r="E424" s="2"/>
      <c r="F424" s="2"/>
      <c r="G424" s="2"/>
      <c r="H424" s="2"/>
      <c r="I424" s="2"/>
      <c r="J424" s="2"/>
      <c r="K424" s="2"/>
      <c r="L424" s="19"/>
      <c r="M424" s="19"/>
      <c r="N424" s="2"/>
      <c r="O424" s="2"/>
      <c r="P424" s="2"/>
      <c r="Q424" s="2"/>
      <c r="R424" s="2"/>
      <c r="S424" s="2"/>
      <c r="T424" s="2"/>
      <c r="U424" s="2"/>
      <c r="V424" s="2"/>
      <c r="W424" s="2"/>
      <c r="X424" s="2"/>
      <c r="Y424" s="2"/>
      <c r="Z424" s="2"/>
    </row>
    <row r="425" customFormat="false" ht="12" hidden="false" customHeight="true" outlineLevel="0" collapsed="false">
      <c r="A425" s="2"/>
      <c r="B425" s="19"/>
      <c r="C425" s="19"/>
      <c r="D425" s="2"/>
      <c r="E425" s="2"/>
      <c r="F425" s="2"/>
      <c r="G425" s="2"/>
      <c r="H425" s="2"/>
      <c r="I425" s="2"/>
      <c r="J425" s="2"/>
      <c r="K425" s="2"/>
      <c r="L425" s="19"/>
      <c r="M425" s="19"/>
      <c r="N425" s="2"/>
      <c r="O425" s="2"/>
      <c r="P425" s="2"/>
      <c r="Q425" s="2"/>
      <c r="R425" s="2"/>
      <c r="S425" s="2"/>
      <c r="T425" s="2"/>
      <c r="U425" s="2"/>
      <c r="V425" s="2"/>
      <c r="W425" s="2"/>
      <c r="X425" s="2"/>
      <c r="Y425" s="2"/>
      <c r="Z425" s="2"/>
    </row>
    <row r="426" customFormat="false" ht="12" hidden="false" customHeight="true" outlineLevel="0" collapsed="false">
      <c r="A426" s="2"/>
      <c r="B426" s="19"/>
      <c r="C426" s="19"/>
      <c r="D426" s="2"/>
      <c r="E426" s="2"/>
      <c r="F426" s="2"/>
      <c r="G426" s="2"/>
      <c r="H426" s="2"/>
      <c r="I426" s="2"/>
      <c r="J426" s="2"/>
      <c r="K426" s="2"/>
      <c r="L426" s="19"/>
      <c r="M426" s="19"/>
      <c r="N426" s="2"/>
      <c r="O426" s="2"/>
      <c r="P426" s="2"/>
      <c r="Q426" s="2"/>
      <c r="R426" s="2"/>
      <c r="S426" s="2"/>
      <c r="T426" s="2"/>
      <c r="U426" s="2"/>
      <c r="V426" s="2"/>
      <c r="W426" s="2"/>
      <c r="X426" s="2"/>
      <c r="Y426" s="2"/>
      <c r="Z426" s="2"/>
    </row>
    <row r="427" customFormat="false" ht="12" hidden="false" customHeight="true" outlineLevel="0" collapsed="false">
      <c r="A427" s="2"/>
      <c r="B427" s="19"/>
      <c r="C427" s="19"/>
      <c r="D427" s="2"/>
      <c r="E427" s="2"/>
      <c r="F427" s="2"/>
      <c r="G427" s="2"/>
      <c r="H427" s="2"/>
      <c r="I427" s="2"/>
      <c r="J427" s="2"/>
      <c r="K427" s="2"/>
      <c r="L427" s="19"/>
      <c r="M427" s="19"/>
      <c r="N427" s="2"/>
      <c r="O427" s="2"/>
      <c r="P427" s="2"/>
      <c r="Q427" s="2"/>
      <c r="R427" s="2"/>
      <c r="S427" s="2"/>
      <c r="T427" s="2"/>
      <c r="U427" s="2"/>
      <c r="V427" s="2"/>
      <c r="W427" s="2"/>
      <c r="X427" s="2"/>
      <c r="Y427" s="2"/>
      <c r="Z427" s="2"/>
    </row>
    <row r="428" customFormat="false" ht="12" hidden="false" customHeight="true" outlineLevel="0" collapsed="false">
      <c r="A428" s="2"/>
      <c r="B428" s="19"/>
      <c r="C428" s="19"/>
      <c r="D428" s="2"/>
      <c r="E428" s="2"/>
      <c r="F428" s="2"/>
      <c r="G428" s="2"/>
      <c r="H428" s="2"/>
      <c r="I428" s="2"/>
      <c r="J428" s="2"/>
      <c r="K428" s="2"/>
      <c r="L428" s="19"/>
      <c r="M428" s="19"/>
      <c r="N428" s="2"/>
      <c r="O428" s="2"/>
      <c r="P428" s="2"/>
      <c r="Q428" s="2"/>
      <c r="R428" s="2"/>
      <c r="S428" s="2"/>
      <c r="T428" s="2"/>
      <c r="U428" s="2"/>
      <c r="V428" s="2"/>
      <c r="W428" s="2"/>
      <c r="X428" s="2"/>
      <c r="Y428" s="2"/>
      <c r="Z428" s="2"/>
    </row>
    <row r="429" customFormat="false" ht="12" hidden="false" customHeight="true" outlineLevel="0" collapsed="false">
      <c r="A429" s="2"/>
      <c r="B429" s="19"/>
      <c r="C429" s="19"/>
      <c r="D429" s="2"/>
      <c r="E429" s="2"/>
      <c r="F429" s="2"/>
      <c r="G429" s="2"/>
      <c r="H429" s="2"/>
      <c r="I429" s="2"/>
      <c r="J429" s="2"/>
      <c r="K429" s="2"/>
      <c r="L429" s="19"/>
      <c r="M429" s="19"/>
      <c r="N429" s="2"/>
      <c r="O429" s="2"/>
      <c r="P429" s="2"/>
      <c r="Q429" s="2"/>
      <c r="R429" s="2"/>
      <c r="S429" s="2"/>
      <c r="T429" s="2"/>
      <c r="U429" s="2"/>
      <c r="V429" s="2"/>
      <c r="W429" s="2"/>
      <c r="X429" s="2"/>
      <c r="Y429" s="2"/>
      <c r="Z429" s="2"/>
    </row>
    <row r="430" customFormat="false" ht="12" hidden="false" customHeight="true" outlineLevel="0" collapsed="false">
      <c r="A430" s="2"/>
      <c r="B430" s="19"/>
      <c r="C430" s="19"/>
      <c r="D430" s="2"/>
      <c r="E430" s="2"/>
      <c r="F430" s="2"/>
      <c r="G430" s="2"/>
      <c r="H430" s="2"/>
      <c r="I430" s="2"/>
      <c r="J430" s="2"/>
      <c r="K430" s="2"/>
      <c r="L430" s="19"/>
      <c r="M430" s="19"/>
      <c r="N430" s="2"/>
      <c r="O430" s="2"/>
      <c r="P430" s="2"/>
      <c r="Q430" s="2"/>
      <c r="R430" s="2"/>
      <c r="S430" s="2"/>
      <c r="T430" s="2"/>
      <c r="U430" s="2"/>
      <c r="V430" s="2"/>
      <c r="W430" s="2"/>
      <c r="X430" s="2"/>
      <c r="Y430" s="2"/>
      <c r="Z430" s="2"/>
    </row>
    <row r="431" customFormat="false" ht="12" hidden="false" customHeight="true" outlineLevel="0" collapsed="false">
      <c r="A431" s="2"/>
      <c r="B431" s="19"/>
      <c r="C431" s="19"/>
      <c r="D431" s="2"/>
      <c r="E431" s="2"/>
      <c r="F431" s="2"/>
      <c r="G431" s="2"/>
      <c r="H431" s="2"/>
      <c r="I431" s="2"/>
      <c r="J431" s="2"/>
      <c r="K431" s="2"/>
      <c r="L431" s="19"/>
      <c r="M431" s="19"/>
      <c r="N431" s="2"/>
      <c r="O431" s="2"/>
      <c r="P431" s="2"/>
      <c r="Q431" s="2"/>
      <c r="R431" s="2"/>
      <c r="S431" s="2"/>
      <c r="T431" s="2"/>
      <c r="U431" s="2"/>
      <c r="V431" s="2"/>
      <c r="W431" s="2"/>
      <c r="X431" s="2"/>
      <c r="Y431" s="2"/>
      <c r="Z431" s="2"/>
    </row>
    <row r="432" customFormat="false" ht="12" hidden="false" customHeight="true" outlineLevel="0" collapsed="false">
      <c r="A432" s="2"/>
      <c r="B432" s="19"/>
      <c r="C432" s="19"/>
      <c r="D432" s="2"/>
      <c r="E432" s="2"/>
      <c r="F432" s="2"/>
      <c r="G432" s="2"/>
      <c r="H432" s="2"/>
      <c r="I432" s="2"/>
      <c r="J432" s="2"/>
      <c r="K432" s="2"/>
      <c r="L432" s="19"/>
      <c r="M432" s="19"/>
      <c r="N432" s="2"/>
      <c r="O432" s="2"/>
      <c r="P432" s="2"/>
      <c r="Q432" s="2"/>
      <c r="R432" s="2"/>
      <c r="S432" s="2"/>
      <c r="T432" s="2"/>
      <c r="U432" s="2"/>
      <c r="V432" s="2"/>
      <c r="W432" s="2"/>
      <c r="X432" s="2"/>
      <c r="Y432" s="2"/>
      <c r="Z432" s="2"/>
    </row>
    <row r="433" customFormat="false" ht="12" hidden="false" customHeight="true" outlineLevel="0" collapsed="false">
      <c r="A433" s="2"/>
      <c r="B433" s="19"/>
      <c r="C433" s="19"/>
      <c r="D433" s="2"/>
      <c r="E433" s="2"/>
      <c r="F433" s="2"/>
      <c r="G433" s="2"/>
      <c r="H433" s="2"/>
      <c r="I433" s="2"/>
      <c r="J433" s="2"/>
      <c r="K433" s="2"/>
      <c r="L433" s="19"/>
      <c r="M433" s="19"/>
      <c r="N433" s="2"/>
      <c r="O433" s="2"/>
      <c r="P433" s="2"/>
      <c r="Q433" s="2"/>
      <c r="R433" s="2"/>
      <c r="S433" s="2"/>
      <c r="T433" s="2"/>
      <c r="U433" s="2"/>
      <c r="V433" s="2"/>
      <c r="W433" s="2"/>
      <c r="X433" s="2"/>
      <c r="Y433" s="2"/>
      <c r="Z433" s="2"/>
    </row>
    <row r="434" customFormat="false" ht="12" hidden="false" customHeight="true" outlineLevel="0" collapsed="false">
      <c r="A434" s="2"/>
      <c r="B434" s="19"/>
      <c r="C434" s="19"/>
      <c r="D434" s="2"/>
      <c r="E434" s="2"/>
      <c r="F434" s="2"/>
      <c r="G434" s="2"/>
      <c r="H434" s="2"/>
      <c r="I434" s="2"/>
      <c r="J434" s="2"/>
      <c r="K434" s="2"/>
      <c r="L434" s="19"/>
      <c r="M434" s="19"/>
      <c r="N434" s="2"/>
      <c r="O434" s="2"/>
      <c r="P434" s="2"/>
      <c r="Q434" s="2"/>
      <c r="R434" s="2"/>
      <c r="S434" s="2"/>
      <c r="T434" s="2"/>
      <c r="U434" s="2"/>
      <c r="V434" s="2"/>
      <c r="W434" s="2"/>
      <c r="X434" s="2"/>
      <c r="Y434" s="2"/>
      <c r="Z434" s="2"/>
    </row>
    <row r="435" customFormat="false" ht="12" hidden="false" customHeight="true" outlineLevel="0" collapsed="false">
      <c r="A435" s="2"/>
      <c r="B435" s="19"/>
      <c r="C435" s="19"/>
      <c r="D435" s="2"/>
      <c r="E435" s="2"/>
      <c r="F435" s="2"/>
      <c r="G435" s="2"/>
      <c r="H435" s="2"/>
      <c r="I435" s="2"/>
      <c r="J435" s="2"/>
      <c r="K435" s="2"/>
      <c r="L435" s="19"/>
      <c r="M435" s="19"/>
      <c r="N435" s="2"/>
      <c r="O435" s="2"/>
      <c r="P435" s="2"/>
      <c r="Q435" s="2"/>
      <c r="R435" s="2"/>
      <c r="S435" s="2"/>
      <c r="T435" s="2"/>
      <c r="U435" s="2"/>
      <c r="V435" s="2"/>
      <c r="W435" s="2"/>
      <c r="X435" s="2"/>
      <c r="Y435" s="2"/>
      <c r="Z435" s="2"/>
    </row>
    <row r="436" customFormat="false" ht="12" hidden="false" customHeight="true" outlineLevel="0" collapsed="false">
      <c r="A436" s="2"/>
      <c r="B436" s="19"/>
      <c r="C436" s="19"/>
      <c r="D436" s="2"/>
      <c r="E436" s="2"/>
      <c r="F436" s="2"/>
      <c r="G436" s="2"/>
      <c r="H436" s="2"/>
      <c r="I436" s="2"/>
      <c r="J436" s="2"/>
      <c r="K436" s="2"/>
      <c r="L436" s="19"/>
      <c r="M436" s="19"/>
      <c r="N436" s="2"/>
      <c r="O436" s="2"/>
      <c r="P436" s="2"/>
      <c r="Q436" s="2"/>
      <c r="R436" s="2"/>
      <c r="S436" s="2"/>
      <c r="T436" s="2"/>
      <c r="U436" s="2"/>
      <c r="V436" s="2"/>
      <c r="W436" s="2"/>
      <c r="X436" s="2"/>
      <c r="Y436" s="2"/>
      <c r="Z436" s="2"/>
    </row>
    <row r="437" customFormat="false" ht="12" hidden="false" customHeight="true" outlineLevel="0" collapsed="false">
      <c r="A437" s="2"/>
      <c r="B437" s="19"/>
      <c r="C437" s="19"/>
      <c r="D437" s="2"/>
      <c r="E437" s="2"/>
      <c r="F437" s="2"/>
      <c r="G437" s="2"/>
      <c r="H437" s="2"/>
      <c r="I437" s="2"/>
      <c r="J437" s="2"/>
      <c r="K437" s="2"/>
      <c r="L437" s="19"/>
      <c r="M437" s="19"/>
      <c r="N437" s="2"/>
      <c r="O437" s="2"/>
      <c r="P437" s="2"/>
      <c r="Q437" s="2"/>
      <c r="R437" s="2"/>
      <c r="S437" s="2"/>
      <c r="T437" s="2"/>
      <c r="U437" s="2"/>
      <c r="V437" s="2"/>
      <c r="W437" s="2"/>
      <c r="X437" s="2"/>
      <c r="Y437" s="2"/>
      <c r="Z437" s="2"/>
    </row>
    <row r="438" customFormat="false" ht="12" hidden="false" customHeight="true" outlineLevel="0" collapsed="false">
      <c r="A438" s="2"/>
      <c r="B438" s="19"/>
      <c r="C438" s="19"/>
      <c r="D438" s="2"/>
      <c r="E438" s="2"/>
      <c r="F438" s="2"/>
      <c r="G438" s="2"/>
      <c r="H438" s="2"/>
      <c r="I438" s="2"/>
      <c r="J438" s="2"/>
      <c r="K438" s="2"/>
      <c r="L438" s="19"/>
      <c r="M438" s="19"/>
      <c r="N438" s="2"/>
      <c r="O438" s="2"/>
      <c r="P438" s="2"/>
      <c r="Q438" s="2"/>
      <c r="R438" s="2"/>
      <c r="S438" s="2"/>
      <c r="T438" s="2"/>
      <c r="U438" s="2"/>
      <c r="V438" s="2"/>
      <c r="W438" s="2"/>
      <c r="X438" s="2"/>
      <c r="Y438" s="2"/>
      <c r="Z438" s="2"/>
    </row>
    <row r="439" customFormat="false" ht="12" hidden="false" customHeight="true" outlineLevel="0" collapsed="false">
      <c r="A439" s="2"/>
      <c r="B439" s="19"/>
      <c r="C439" s="19"/>
      <c r="D439" s="2"/>
      <c r="E439" s="2"/>
      <c r="F439" s="2"/>
      <c r="G439" s="2"/>
      <c r="H439" s="2"/>
      <c r="I439" s="2"/>
      <c r="J439" s="2"/>
      <c r="K439" s="2"/>
      <c r="L439" s="19"/>
      <c r="M439" s="19"/>
      <c r="N439" s="2"/>
      <c r="O439" s="2"/>
      <c r="P439" s="2"/>
      <c r="Q439" s="2"/>
      <c r="R439" s="2"/>
      <c r="S439" s="2"/>
      <c r="T439" s="2"/>
      <c r="U439" s="2"/>
      <c r="V439" s="2"/>
      <c r="W439" s="2"/>
      <c r="X439" s="2"/>
      <c r="Y439" s="2"/>
      <c r="Z439" s="2"/>
    </row>
    <row r="440" customFormat="false" ht="12" hidden="false" customHeight="true" outlineLevel="0" collapsed="false">
      <c r="A440" s="2"/>
      <c r="B440" s="19"/>
      <c r="C440" s="19"/>
      <c r="D440" s="2"/>
      <c r="E440" s="2"/>
      <c r="F440" s="2"/>
      <c r="G440" s="2"/>
      <c r="H440" s="2"/>
      <c r="I440" s="2"/>
      <c r="J440" s="2"/>
      <c r="K440" s="2"/>
      <c r="L440" s="19"/>
      <c r="M440" s="19"/>
      <c r="N440" s="2"/>
      <c r="O440" s="2"/>
      <c r="P440" s="2"/>
      <c r="Q440" s="2"/>
      <c r="R440" s="2"/>
      <c r="S440" s="2"/>
      <c r="T440" s="2"/>
      <c r="U440" s="2"/>
      <c r="V440" s="2"/>
      <c r="W440" s="2"/>
      <c r="X440" s="2"/>
      <c r="Y440" s="2"/>
      <c r="Z440" s="2"/>
    </row>
    <row r="441" customFormat="false" ht="12" hidden="false" customHeight="true" outlineLevel="0" collapsed="false">
      <c r="A441" s="2"/>
      <c r="B441" s="19"/>
      <c r="C441" s="19"/>
      <c r="D441" s="2"/>
      <c r="E441" s="2"/>
      <c r="F441" s="2"/>
      <c r="G441" s="2"/>
      <c r="H441" s="2"/>
      <c r="I441" s="2"/>
      <c r="J441" s="2"/>
      <c r="K441" s="2"/>
      <c r="L441" s="19"/>
      <c r="M441" s="19"/>
      <c r="N441" s="2"/>
      <c r="O441" s="2"/>
      <c r="P441" s="2"/>
      <c r="Q441" s="2"/>
      <c r="R441" s="2"/>
      <c r="S441" s="2"/>
      <c r="T441" s="2"/>
      <c r="U441" s="2"/>
      <c r="V441" s="2"/>
      <c r="W441" s="2"/>
      <c r="X441" s="2"/>
      <c r="Y441" s="2"/>
      <c r="Z441" s="2"/>
    </row>
    <row r="442" customFormat="false" ht="12" hidden="false" customHeight="true" outlineLevel="0" collapsed="false">
      <c r="A442" s="2"/>
      <c r="B442" s="19"/>
      <c r="C442" s="19"/>
      <c r="D442" s="2"/>
      <c r="E442" s="2"/>
      <c r="F442" s="2"/>
      <c r="G442" s="2"/>
      <c r="H442" s="2"/>
      <c r="I442" s="2"/>
      <c r="J442" s="2"/>
      <c r="K442" s="2"/>
      <c r="L442" s="19"/>
      <c r="M442" s="19"/>
      <c r="N442" s="2"/>
      <c r="O442" s="2"/>
      <c r="P442" s="2"/>
      <c r="Q442" s="2"/>
      <c r="R442" s="2"/>
      <c r="S442" s="2"/>
      <c r="T442" s="2"/>
      <c r="U442" s="2"/>
      <c r="V442" s="2"/>
      <c r="W442" s="2"/>
      <c r="X442" s="2"/>
      <c r="Y442" s="2"/>
      <c r="Z442" s="2"/>
    </row>
    <row r="443" customFormat="false" ht="12" hidden="false" customHeight="true" outlineLevel="0" collapsed="false">
      <c r="A443" s="2"/>
      <c r="B443" s="19"/>
      <c r="C443" s="19"/>
      <c r="D443" s="2"/>
      <c r="E443" s="2"/>
      <c r="F443" s="2"/>
      <c r="G443" s="2"/>
      <c r="H443" s="2"/>
      <c r="I443" s="2"/>
      <c r="J443" s="2"/>
      <c r="K443" s="2"/>
      <c r="L443" s="19"/>
      <c r="M443" s="19"/>
      <c r="N443" s="2"/>
      <c r="O443" s="2"/>
      <c r="P443" s="2"/>
      <c r="Q443" s="2"/>
      <c r="R443" s="2"/>
      <c r="S443" s="2"/>
      <c r="T443" s="2"/>
      <c r="U443" s="2"/>
      <c r="V443" s="2"/>
      <c r="W443" s="2"/>
      <c r="X443" s="2"/>
      <c r="Y443" s="2"/>
      <c r="Z443" s="2"/>
    </row>
    <row r="444" customFormat="false" ht="12" hidden="false" customHeight="true" outlineLevel="0" collapsed="false">
      <c r="A444" s="2"/>
      <c r="B444" s="19"/>
      <c r="C444" s="19"/>
      <c r="D444" s="2"/>
      <c r="E444" s="2"/>
      <c r="F444" s="2"/>
      <c r="G444" s="2"/>
      <c r="H444" s="2"/>
      <c r="I444" s="2"/>
      <c r="J444" s="2"/>
      <c r="K444" s="2"/>
      <c r="L444" s="19"/>
      <c r="M444" s="19"/>
      <c r="N444" s="2"/>
      <c r="O444" s="2"/>
      <c r="P444" s="2"/>
      <c r="Q444" s="2"/>
      <c r="R444" s="2"/>
      <c r="S444" s="2"/>
      <c r="T444" s="2"/>
      <c r="U444" s="2"/>
      <c r="V444" s="2"/>
      <c r="W444" s="2"/>
      <c r="X444" s="2"/>
      <c r="Y444" s="2"/>
      <c r="Z444" s="2"/>
    </row>
    <row r="445" customFormat="false" ht="12" hidden="false" customHeight="true" outlineLevel="0" collapsed="false">
      <c r="A445" s="2"/>
      <c r="B445" s="19"/>
      <c r="C445" s="19"/>
      <c r="D445" s="2"/>
      <c r="E445" s="2"/>
      <c r="F445" s="2"/>
      <c r="G445" s="2"/>
      <c r="H445" s="2"/>
      <c r="I445" s="2"/>
      <c r="J445" s="2"/>
      <c r="K445" s="2"/>
      <c r="L445" s="19"/>
      <c r="M445" s="19"/>
      <c r="N445" s="2"/>
      <c r="O445" s="2"/>
      <c r="P445" s="2"/>
      <c r="Q445" s="2"/>
      <c r="R445" s="2"/>
      <c r="S445" s="2"/>
      <c r="T445" s="2"/>
      <c r="U445" s="2"/>
      <c r="V445" s="2"/>
      <c r="W445" s="2"/>
      <c r="X445" s="2"/>
      <c r="Y445" s="2"/>
      <c r="Z445" s="2"/>
    </row>
    <row r="446" customFormat="false" ht="12" hidden="false" customHeight="true" outlineLevel="0" collapsed="false">
      <c r="A446" s="2"/>
      <c r="B446" s="19"/>
      <c r="C446" s="19"/>
      <c r="D446" s="2"/>
      <c r="E446" s="2"/>
      <c r="F446" s="2"/>
      <c r="G446" s="2"/>
      <c r="H446" s="2"/>
      <c r="I446" s="2"/>
      <c r="J446" s="2"/>
      <c r="K446" s="2"/>
      <c r="L446" s="19"/>
      <c r="M446" s="19"/>
      <c r="N446" s="2"/>
      <c r="O446" s="2"/>
      <c r="P446" s="2"/>
      <c r="Q446" s="2"/>
      <c r="R446" s="2"/>
      <c r="S446" s="2"/>
      <c r="T446" s="2"/>
      <c r="U446" s="2"/>
      <c r="V446" s="2"/>
      <c r="W446" s="2"/>
      <c r="X446" s="2"/>
      <c r="Y446" s="2"/>
      <c r="Z446" s="2"/>
    </row>
    <row r="447" customFormat="false" ht="12" hidden="false" customHeight="true" outlineLevel="0" collapsed="false">
      <c r="A447" s="2"/>
      <c r="B447" s="19"/>
      <c r="C447" s="19"/>
      <c r="D447" s="2"/>
      <c r="E447" s="2"/>
      <c r="F447" s="2"/>
      <c r="G447" s="2"/>
      <c r="H447" s="2"/>
      <c r="I447" s="2"/>
      <c r="J447" s="2"/>
      <c r="K447" s="2"/>
      <c r="L447" s="19"/>
      <c r="M447" s="19"/>
      <c r="N447" s="2"/>
      <c r="O447" s="2"/>
      <c r="P447" s="2"/>
      <c r="Q447" s="2"/>
      <c r="R447" s="2"/>
      <c r="S447" s="2"/>
      <c r="T447" s="2"/>
      <c r="U447" s="2"/>
      <c r="V447" s="2"/>
      <c r="W447" s="2"/>
      <c r="X447" s="2"/>
      <c r="Y447" s="2"/>
      <c r="Z447" s="2"/>
    </row>
    <row r="448" customFormat="false" ht="12" hidden="false" customHeight="true" outlineLevel="0" collapsed="false">
      <c r="A448" s="2"/>
      <c r="B448" s="19"/>
      <c r="C448" s="19"/>
      <c r="D448" s="2"/>
      <c r="E448" s="2"/>
      <c r="F448" s="2"/>
      <c r="G448" s="2"/>
      <c r="H448" s="2"/>
      <c r="I448" s="2"/>
      <c r="J448" s="2"/>
      <c r="K448" s="2"/>
      <c r="L448" s="19"/>
      <c r="M448" s="19"/>
      <c r="N448" s="2"/>
      <c r="O448" s="2"/>
      <c r="P448" s="2"/>
      <c r="Q448" s="2"/>
      <c r="R448" s="2"/>
      <c r="S448" s="2"/>
      <c r="T448" s="2"/>
      <c r="U448" s="2"/>
      <c r="V448" s="2"/>
      <c r="W448" s="2"/>
      <c r="X448" s="2"/>
      <c r="Y448" s="2"/>
      <c r="Z448" s="2"/>
    </row>
    <row r="449" customFormat="false" ht="12" hidden="false" customHeight="true" outlineLevel="0" collapsed="false">
      <c r="A449" s="2"/>
      <c r="B449" s="19"/>
      <c r="C449" s="19"/>
      <c r="D449" s="2"/>
      <c r="E449" s="2"/>
      <c r="F449" s="2"/>
      <c r="G449" s="2"/>
      <c r="H449" s="2"/>
      <c r="I449" s="2"/>
      <c r="J449" s="2"/>
      <c r="K449" s="2"/>
      <c r="L449" s="19"/>
      <c r="M449" s="19"/>
      <c r="N449" s="2"/>
      <c r="O449" s="2"/>
      <c r="P449" s="2"/>
      <c r="Q449" s="2"/>
      <c r="R449" s="2"/>
      <c r="S449" s="2"/>
      <c r="T449" s="2"/>
      <c r="U449" s="2"/>
      <c r="V449" s="2"/>
      <c r="W449" s="2"/>
      <c r="X449" s="2"/>
      <c r="Y449" s="2"/>
      <c r="Z449" s="2"/>
    </row>
    <row r="450" customFormat="false" ht="12" hidden="false" customHeight="true" outlineLevel="0" collapsed="false">
      <c r="A450" s="2"/>
      <c r="B450" s="19"/>
      <c r="C450" s="19"/>
      <c r="D450" s="2"/>
      <c r="E450" s="2"/>
      <c r="F450" s="2"/>
      <c r="G450" s="2"/>
      <c r="H450" s="2"/>
      <c r="I450" s="2"/>
      <c r="J450" s="2"/>
      <c r="K450" s="2"/>
      <c r="L450" s="19"/>
      <c r="M450" s="19"/>
      <c r="N450" s="2"/>
      <c r="O450" s="2"/>
      <c r="P450" s="2"/>
      <c r="Q450" s="2"/>
      <c r="R450" s="2"/>
      <c r="S450" s="2"/>
      <c r="T450" s="2"/>
      <c r="U450" s="2"/>
      <c r="V450" s="2"/>
      <c r="W450" s="2"/>
      <c r="X450" s="2"/>
      <c r="Y450" s="2"/>
      <c r="Z450" s="2"/>
    </row>
    <row r="451" customFormat="false" ht="12" hidden="false" customHeight="true" outlineLevel="0" collapsed="false">
      <c r="A451" s="2"/>
      <c r="B451" s="19"/>
      <c r="C451" s="19"/>
      <c r="D451" s="2"/>
      <c r="E451" s="2"/>
      <c r="F451" s="2"/>
      <c r="G451" s="2"/>
      <c r="H451" s="2"/>
      <c r="I451" s="2"/>
      <c r="J451" s="2"/>
      <c r="K451" s="2"/>
      <c r="L451" s="19"/>
      <c r="M451" s="19"/>
      <c r="N451" s="2"/>
      <c r="O451" s="2"/>
      <c r="P451" s="2"/>
      <c r="Q451" s="2"/>
      <c r="R451" s="2"/>
      <c r="S451" s="2"/>
      <c r="T451" s="2"/>
      <c r="U451" s="2"/>
      <c r="V451" s="2"/>
      <c r="W451" s="2"/>
      <c r="X451" s="2"/>
      <c r="Y451" s="2"/>
      <c r="Z451" s="2"/>
    </row>
    <row r="452" customFormat="false" ht="12" hidden="false" customHeight="true" outlineLevel="0" collapsed="false">
      <c r="A452" s="2"/>
      <c r="B452" s="19"/>
      <c r="C452" s="19"/>
      <c r="D452" s="2"/>
      <c r="E452" s="2"/>
      <c r="F452" s="2"/>
      <c r="G452" s="2"/>
      <c r="H452" s="2"/>
      <c r="I452" s="2"/>
      <c r="J452" s="2"/>
      <c r="K452" s="2"/>
      <c r="L452" s="19"/>
      <c r="M452" s="19"/>
      <c r="N452" s="2"/>
      <c r="O452" s="2"/>
      <c r="P452" s="2"/>
      <c r="Q452" s="2"/>
      <c r="R452" s="2"/>
      <c r="S452" s="2"/>
      <c r="T452" s="2"/>
      <c r="U452" s="2"/>
      <c r="V452" s="2"/>
      <c r="W452" s="2"/>
      <c r="X452" s="2"/>
      <c r="Y452" s="2"/>
      <c r="Z452" s="2"/>
    </row>
    <row r="453" customFormat="false" ht="12" hidden="false" customHeight="true" outlineLevel="0" collapsed="false">
      <c r="A453" s="2"/>
      <c r="B453" s="19"/>
      <c r="C453" s="19"/>
      <c r="D453" s="2"/>
      <c r="E453" s="2"/>
      <c r="F453" s="2"/>
      <c r="G453" s="2"/>
      <c r="H453" s="2"/>
      <c r="I453" s="2"/>
      <c r="J453" s="2"/>
      <c r="K453" s="2"/>
      <c r="L453" s="19"/>
      <c r="M453" s="19"/>
      <c r="N453" s="2"/>
      <c r="O453" s="2"/>
      <c r="P453" s="2"/>
      <c r="Q453" s="2"/>
      <c r="R453" s="2"/>
      <c r="S453" s="2"/>
      <c r="T453" s="2"/>
      <c r="U453" s="2"/>
      <c r="V453" s="2"/>
      <c r="W453" s="2"/>
      <c r="X453" s="2"/>
      <c r="Y453" s="2"/>
      <c r="Z453" s="2"/>
    </row>
    <row r="454" customFormat="false" ht="12" hidden="false" customHeight="true" outlineLevel="0" collapsed="false">
      <c r="A454" s="2"/>
      <c r="B454" s="19"/>
      <c r="C454" s="19"/>
      <c r="D454" s="2"/>
      <c r="E454" s="2"/>
      <c r="F454" s="2"/>
      <c r="G454" s="2"/>
      <c r="H454" s="2"/>
      <c r="I454" s="2"/>
      <c r="J454" s="2"/>
      <c r="K454" s="2"/>
      <c r="L454" s="19"/>
      <c r="M454" s="19"/>
      <c r="N454" s="2"/>
      <c r="O454" s="2"/>
      <c r="P454" s="2"/>
      <c r="Q454" s="2"/>
      <c r="R454" s="2"/>
      <c r="S454" s="2"/>
      <c r="T454" s="2"/>
      <c r="U454" s="2"/>
      <c r="V454" s="2"/>
      <c r="W454" s="2"/>
      <c r="X454" s="2"/>
      <c r="Y454" s="2"/>
      <c r="Z454" s="2"/>
    </row>
    <row r="455" customFormat="false" ht="12" hidden="false" customHeight="true" outlineLevel="0" collapsed="false">
      <c r="A455" s="2"/>
      <c r="B455" s="19"/>
      <c r="C455" s="19"/>
      <c r="D455" s="2"/>
      <c r="E455" s="2"/>
      <c r="F455" s="2"/>
      <c r="G455" s="2"/>
      <c r="H455" s="2"/>
      <c r="I455" s="2"/>
      <c r="J455" s="2"/>
      <c r="K455" s="2"/>
      <c r="L455" s="19"/>
      <c r="M455" s="19"/>
      <c r="N455" s="2"/>
      <c r="O455" s="2"/>
      <c r="P455" s="2"/>
      <c r="Q455" s="2"/>
      <c r="R455" s="2"/>
      <c r="S455" s="2"/>
      <c r="T455" s="2"/>
      <c r="U455" s="2"/>
      <c r="V455" s="2"/>
      <c r="W455" s="2"/>
      <c r="X455" s="2"/>
      <c r="Y455" s="2"/>
      <c r="Z455" s="2"/>
    </row>
    <row r="456" customFormat="false" ht="12" hidden="false" customHeight="true" outlineLevel="0" collapsed="false">
      <c r="A456" s="2"/>
      <c r="B456" s="19"/>
      <c r="C456" s="19"/>
      <c r="D456" s="2"/>
      <c r="E456" s="2"/>
      <c r="F456" s="2"/>
      <c r="G456" s="2"/>
      <c r="H456" s="2"/>
      <c r="I456" s="2"/>
      <c r="J456" s="2"/>
      <c r="K456" s="2"/>
      <c r="L456" s="19"/>
      <c r="M456" s="19"/>
      <c r="N456" s="2"/>
      <c r="O456" s="2"/>
      <c r="P456" s="2"/>
      <c r="Q456" s="2"/>
      <c r="R456" s="2"/>
      <c r="S456" s="2"/>
      <c r="T456" s="2"/>
      <c r="U456" s="2"/>
      <c r="V456" s="2"/>
      <c r="W456" s="2"/>
      <c r="X456" s="2"/>
      <c r="Y456" s="2"/>
      <c r="Z456" s="2"/>
    </row>
    <row r="457" customFormat="false" ht="12" hidden="false" customHeight="true" outlineLevel="0" collapsed="false">
      <c r="A457" s="2"/>
      <c r="B457" s="19"/>
      <c r="C457" s="19"/>
      <c r="D457" s="2"/>
      <c r="E457" s="2"/>
      <c r="F457" s="2"/>
      <c r="G457" s="2"/>
      <c r="H457" s="2"/>
      <c r="I457" s="2"/>
      <c r="J457" s="2"/>
      <c r="K457" s="2"/>
      <c r="L457" s="19"/>
      <c r="M457" s="19"/>
      <c r="N457" s="2"/>
      <c r="O457" s="2"/>
      <c r="P457" s="2"/>
      <c r="Q457" s="2"/>
      <c r="R457" s="2"/>
      <c r="S457" s="2"/>
      <c r="T457" s="2"/>
      <c r="U457" s="2"/>
      <c r="V457" s="2"/>
      <c r="W457" s="2"/>
      <c r="X457" s="2"/>
      <c r="Y457" s="2"/>
      <c r="Z457" s="2"/>
    </row>
    <row r="458" customFormat="false" ht="12" hidden="false" customHeight="true" outlineLevel="0" collapsed="false">
      <c r="A458" s="2"/>
      <c r="B458" s="19"/>
      <c r="C458" s="19"/>
      <c r="D458" s="2"/>
      <c r="E458" s="2"/>
      <c r="F458" s="2"/>
      <c r="G458" s="2"/>
      <c r="H458" s="2"/>
      <c r="I458" s="2"/>
      <c r="J458" s="2"/>
      <c r="K458" s="2"/>
      <c r="L458" s="19"/>
      <c r="M458" s="19"/>
      <c r="N458" s="2"/>
      <c r="O458" s="2"/>
      <c r="P458" s="2"/>
      <c r="Q458" s="2"/>
      <c r="R458" s="2"/>
      <c r="S458" s="2"/>
      <c r="T458" s="2"/>
      <c r="U458" s="2"/>
      <c r="V458" s="2"/>
      <c r="W458" s="2"/>
      <c r="X458" s="2"/>
      <c r="Y458" s="2"/>
      <c r="Z458" s="2"/>
    </row>
    <row r="459" customFormat="false" ht="12" hidden="false" customHeight="true" outlineLevel="0" collapsed="false">
      <c r="A459" s="2"/>
      <c r="B459" s="19"/>
      <c r="C459" s="19"/>
      <c r="D459" s="2"/>
      <c r="E459" s="2"/>
      <c r="F459" s="2"/>
      <c r="G459" s="2"/>
      <c r="H459" s="2"/>
      <c r="I459" s="2"/>
      <c r="J459" s="2"/>
      <c r="K459" s="2"/>
      <c r="L459" s="19"/>
      <c r="M459" s="19"/>
      <c r="N459" s="2"/>
      <c r="O459" s="2"/>
      <c r="P459" s="2"/>
      <c r="Q459" s="2"/>
      <c r="R459" s="2"/>
      <c r="S459" s="2"/>
      <c r="T459" s="2"/>
      <c r="U459" s="2"/>
      <c r="V459" s="2"/>
      <c r="W459" s="2"/>
      <c r="X459" s="2"/>
      <c r="Y459" s="2"/>
      <c r="Z459" s="2"/>
    </row>
    <row r="460" customFormat="false" ht="12" hidden="false" customHeight="true" outlineLevel="0" collapsed="false">
      <c r="A460" s="2"/>
      <c r="B460" s="19"/>
      <c r="C460" s="19"/>
      <c r="D460" s="2"/>
      <c r="E460" s="2"/>
      <c r="F460" s="2"/>
      <c r="G460" s="2"/>
      <c r="H460" s="2"/>
      <c r="I460" s="2"/>
      <c r="J460" s="2"/>
      <c r="K460" s="2"/>
      <c r="L460" s="19"/>
      <c r="M460" s="19"/>
      <c r="N460" s="2"/>
      <c r="O460" s="2"/>
      <c r="P460" s="2"/>
      <c r="Q460" s="2"/>
      <c r="R460" s="2"/>
      <c r="S460" s="2"/>
      <c r="T460" s="2"/>
      <c r="U460" s="2"/>
      <c r="V460" s="2"/>
      <c r="W460" s="2"/>
      <c r="X460" s="2"/>
      <c r="Y460" s="2"/>
      <c r="Z460" s="2"/>
    </row>
    <row r="461" customFormat="false" ht="12" hidden="false" customHeight="true" outlineLevel="0" collapsed="false">
      <c r="A461" s="2"/>
      <c r="B461" s="19"/>
      <c r="C461" s="19"/>
      <c r="D461" s="2"/>
      <c r="E461" s="2"/>
      <c r="F461" s="2"/>
      <c r="G461" s="2"/>
      <c r="H461" s="2"/>
      <c r="I461" s="2"/>
      <c r="J461" s="2"/>
      <c r="K461" s="2"/>
      <c r="L461" s="19"/>
      <c r="M461" s="19"/>
      <c r="N461" s="2"/>
      <c r="O461" s="2"/>
      <c r="P461" s="2"/>
      <c r="Q461" s="2"/>
      <c r="R461" s="2"/>
      <c r="S461" s="2"/>
      <c r="T461" s="2"/>
      <c r="U461" s="2"/>
      <c r="V461" s="2"/>
      <c r="W461" s="2"/>
      <c r="X461" s="2"/>
      <c r="Y461" s="2"/>
      <c r="Z461" s="2"/>
    </row>
    <row r="462" customFormat="false" ht="12" hidden="false" customHeight="true" outlineLevel="0" collapsed="false">
      <c r="A462" s="2"/>
      <c r="B462" s="19"/>
      <c r="C462" s="19"/>
      <c r="D462" s="2"/>
      <c r="E462" s="2"/>
      <c r="F462" s="2"/>
      <c r="G462" s="2"/>
      <c r="H462" s="2"/>
      <c r="I462" s="2"/>
      <c r="J462" s="2"/>
      <c r="K462" s="2"/>
      <c r="L462" s="19"/>
      <c r="M462" s="19"/>
      <c r="N462" s="2"/>
      <c r="O462" s="2"/>
      <c r="P462" s="2"/>
      <c r="Q462" s="2"/>
      <c r="R462" s="2"/>
      <c r="S462" s="2"/>
      <c r="T462" s="2"/>
      <c r="U462" s="2"/>
      <c r="V462" s="2"/>
      <c r="W462" s="2"/>
      <c r="X462" s="2"/>
      <c r="Y462" s="2"/>
      <c r="Z462" s="2"/>
    </row>
    <row r="463" customFormat="false" ht="12" hidden="false" customHeight="true" outlineLevel="0" collapsed="false">
      <c r="A463" s="2"/>
      <c r="B463" s="19"/>
      <c r="C463" s="19"/>
      <c r="D463" s="2"/>
      <c r="E463" s="2"/>
      <c r="F463" s="2"/>
      <c r="G463" s="2"/>
      <c r="H463" s="2"/>
      <c r="I463" s="2"/>
      <c r="J463" s="2"/>
      <c r="K463" s="2"/>
      <c r="L463" s="19"/>
      <c r="M463" s="19"/>
      <c r="N463" s="2"/>
      <c r="O463" s="2"/>
      <c r="P463" s="2"/>
      <c r="Q463" s="2"/>
      <c r="R463" s="2"/>
      <c r="S463" s="2"/>
      <c r="T463" s="2"/>
      <c r="U463" s="2"/>
      <c r="V463" s="2"/>
      <c r="W463" s="2"/>
      <c r="X463" s="2"/>
      <c r="Y463" s="2"/>
      <c r="Z463" s="2"/>
    </row>
    <row r="464" customFormat="false" ht="12" hidden="false" customHeight="true" outlineLevel="0" collapsed="false">
      <c r="A464" s="2"/>
      <c r="B464" s="19"/>
      <c r="C464" s="19"/>
      <c r="D464" s="2"/>
      <c r="E464" s="2"/>
      <c r="F464" s="2"/>
      <c r="G464" s="2"/>
      <c r="H464" s="2"/>
      <c r="I464" s="2"/>
      <c r="J464" s="2"/>
      <c r="K464" s="2"/>
      <c r="L464" s="19"/>
      <c r="M464" s="19"/>
      <c r="N464" s="2"/>
      <c r="O464" s="2"/>
      <c r="P464" s="2"/>
      <c r="Q464" s="2"/>
      <c r="R464" s="2"/>
      <c r="S464" s="2"/>
      <c r="T464" s="2"/>
      <c r="U464" s="2"/>
      <c r="V464" s="2"/>
      <c r="W464" s="2"/>
      <c r="X464" s="2"/>
      <c r="Y464" s="2"/>
      <c r="Z464" s="2"/>
    </row>
    <row r="465" customFormat="false" ht="12" hidden="false" customHeight="true" outlineLevel="0" collapsed="false">
      <c r="A465" s="2"/>
      <c r="B465" s="19"/>
      <c r="C465" s="19"/>
      <c r="D465" s="2"/>
      <c r="E465" s="2"/>
      <c r="F465" s="2"/>
      <c r="G465" s="2"/>
      <c r="H465" s="2"/>
      <c r="I465" s="2"/>
      <c r="J465" s="2"/>
      <c r="K465" s="2"/>
      <c r="L465" s="19"/>
      <c r="M465" s="19"/>
      <c r="N465" s="2"/>
      <c r="O465" s="2"/>
      <c r="P465" s="2"/>
      <c r="Q465" s="2"/>
      <c r="R465" s="2"/>
      <c r="S465" s="2"/>
      <c r="T465" s="2"/>
      <c r="U465" s="2"/>
      <c r="V465" s="2"/>
      <c r="W465" s="2"/>
      <c r="X465" s="2"/>
      <c r="Y465" s="2"/>
      <c r="Z465" s="2"/>
    </row>
    <row r="466" customFormat="false" ht="12" hidden="false" customHeight="true" outlineLevel="0" collapsed="false">
      <c r="A466" s="2"/>
      <c r="B466" s="19"/>
      <c r="C466" s="19"/>
      <c r="D466" s="2"/>
      <c r="E466" s="2"/>
      <c r="F466" s="2"/>
      <c r="G466" s="2"/>
      <c r="H466" s="2"/>
      <c r="I466" s="2"/>
      <c r="J466" s="2"/>
      <c r="K466" s="2"/>
      <c r="L466" s="19"/>
      <c r="M466" s="19"/>
      <c r="N466" s="2"/>
      <c r="O466" s="2"/>
      <c r="P466" s="2"/>
      <c r="Q466" s="2"/>
      <c r="R466" s="2"/>
      <c r="S466" s="2"/>
      <c r="T466" s="2"/>
      <c r="U466" s="2"/>
      <c r="V466" s="2"/>
      <c r="W466" s="2"/>
      <c r="X466" s="2"/>
      <c r="Y466" s="2"/>
      <c r="Z466" s="2"/>
    </row>
    <row r="467" customFormat="false" ht="12" hidden="false" customHeight="true" outlineLevel="0" collapsed="false">
      <c r="A467" s="2"/>
      <c r="B467" s="19"/>
      <c r="C467" s="19"/>
      <c r="D467" s="2"/>
      <c r="E467" s="2"/>
      <c r="F467" s="2"/>
      <c r="G467" s="2"/>
      <c r="H467" s="2"/>
      <c r="I467" s="2"/>
      <c r="J467" s="2"/>
      <c r="K467" s="2"/>
      <c r="L467" s="19"/>
      <c r="M467" s="19"/>
      <c r="N467" s="2"/>
      <c r="O467" s="2"/>
      <c r="P467" s="2"/>
      <c r="Q467" s="2"/>
      <c r="R467" s="2"/>
      <c r="S467" s="2"/>
      <c r="T467" s="2"/>
      <c r="U467" s="2"/>
      <c r="V467" s="2"/>
      <c r="W467" s="2"/>
      <c r="X467" s="2"/>
      <c r="Y467" s="2"/>
      <c r="Z467" s="2"/>
    </row>
    <row r="468" customFormat="false" ht="12" hidden="false" customHeight="true" outlineLevel="0" collapsed="false">
      <c r="A468" s="2"/>
      <c r="B468" s="19"/>
      <c r="C468" s="19"/>
      <c r="D468" s="2"/>
      <c r="E468" s="2"/>
      <c r="F468" s="2"/>
      <c r="G468" s="2"/>
      <c r="H468" s="2"/>
      <c r="I468" s="2"/>
      <c r="J468" s="2"/>
      <c r="K468" s="2"/>
      <c r="L468" s="19"/>
      <c r="M468" s="19"/>
      <c r="N468" s="2"/>
      <c r="O468" s="2"/>
      <c r="P468" s="2"/>
      <c r="Q468" s="2"/>
      <c r="R468" s="2"/>
      <c r="S468" s="2"/>
      <c r="T468" s="2"/>
      <c r="U468" s="2"/>
      <c r="V468" s="2"/>
      <c r="W468" s="2"/>
      <c r="X468" s="2"/>
      <c r="Y468" s="2"/>
      <c r="Z468" s="2"/>
    </row>
    <row r="469" customFormat="false" ht="12" hidden="false" customHeight="true" outlineLevel="0" collapsed="false">
      <c r="A469" s="2"/>
      <c r="B469" s="19"/>
      <c r="C469" s="19"/>
      <c r="D469" s="2"/>
      <c r="E469" s="2"/>
      <c r="F469" s="2"/>
      <c r="G469" s="2"/>
      <c r="H469" s="2"/>
      <c r="I469" s="2"/>
      <c r="J469" s="2"/>
      <c r="K469" s="2"/>
      <c r="L469" s="19"/>
      <c r="M469" s="19"/>
      <c r="N469" s="2"/>
      <c r="O469" s="2"/>
      <c r="P469" s="2"/>
      <c r="Q469" s="2"/>
      <c r="R469" s="2"/>
      <c r="S469" s="2"/>
      <c r="T469" s="2"/>
      <c r="U469" s="2"/>
      <c r="V469" s="2"/>
      <c r="W469" s="2"/>
      <c r="X469" s="2"/>
      <c r="Y469" s="2"/>
      <c r="Z469" s="2"/>
    </row>
    <row r="470" customFormat="false" ht="12" hidden="false" customHeight="true" outlineLevel="0" collapsed="false">
      <c r="A470" s="2"/>
      <c r="B470" s="19"/>
      <c r="C470" s="19"/>
      <c r="D470" s="2"/>
      <c r="E470" s="2"/>
      <c r="F470" s="2"/>
      <c r="G470" s="2"/>
      <c r="H470" s="2"/>
      <c r="I470" s="2"/>
      <c r="J470" s="2"/>
      <c r="K470" s="2"/>
      <c r="L470" s="19"/>
      <c r="M470" s="19"/>
      <c r="N470" s="2"/>
      <c r="O470" s="2"/>
      <c r="P470" s="2"/>
      <c r="Q470" s="2"/>
      <c r="R470" s="2"/>
      <c r="S470" s="2"/>
      <c r="T470" s="2"/>
      <c r="U470" s="2"/>
      <c r="V470" s="2"/>
      <c r="W470" s="2"/>
      <c r="X470" s="2"/>
      <c r="Y470" s="2"/>
      <c r="Z470" s="2"/>
    </row>
    <row r="471" customFormat="false" ht="12" hidden="false" customHeight="true" outlineLevel="0" collapsed="false">
      <c r="A471" s="2"/>
      <c r="B471" s="19"/>
      <c r="C471" s="19"/>
      <c r="D471" s="2"/>
      <c r="E471" s="2"/>
      <c r="F471" s="2"/>
      <c r="G471" s="2"/>
      <c r="H471" s="2"/>
      <c r="I471" s="2"/>
      <c r="J471" s="2"/>
      <c r="K471" s="2"/>
      <c r="L471" s="19"/>
      <c r="M471" s="19"/>
      <c r="N471" s="2"/>
      <c r="O471" s="2"/>
      <c r="P471" s="2"/>
      <c r="Q471" s="2"/>
      <c r="R471" s="2"/>
      <c r="S471" s="2"/>
      <c r="T471" s="2"/>
      <c r="U471" s="2"/>
      <c r="V471" s="2"/>
      <c r="W471" s="2"/>
      <c r="X471" s="2"/>
      <c r="Y471" s="2"/>
      <c r="Z471" s="2"/>
    </row>
    <row r="472" customFormat="false" ht="12" hidden="false" customHeight="true" outlineLevel="0" collapsed="false">
      <c r="A472" s="2"/>
      <c r="B472" s="19"/>
      <c r="C472" s="19"/>
      <c r="D472" s="2"/>
      <c r="E472" s="2"/>
      <c r="F472" s="2"/>
      <c r="G472" s="2"/>
      <c r="H472" s="2"/>
      <c r="I472" s="2"/>
      <c r="J472" s="2"/>
      <c r="K472" s="2"/>
      <c r="L472" s="19"/>
      <c r="M472" s="19"/>
      <c r="N472" s="2"/>
      <c r="O472" s="2"/>
      <c r="P472" s="2"/>
      <c r="Q472" s="2"/>
      <c r="R472" s="2"/>
      <c r="S472" s="2"/>
      <c r="T472" s="2"/>
      <c r="U472" s="2"/>
      <c r="V472" s="2"/>
      <c r="W472" s="2"/>
      <c r="X472" s="2"/>
      <c r="Y472" s="2"/>
      <c r="Z472" s="2"/>
    </row>
    <row r="473" customFormat="false" ht="12" hidden="false" customHeight="true" outlineLevel="0" collapsed="false">
      <c r="A473" s="2"/>
      <c r="B473" s="19"/>
      <c r="C473" s="19"/>
      <c r="D473" s="2"/>
      <c r="E473" s="2"/>
      <c r="F473" s="2"/>
      <c r="G473" s="2"/>
      <c r="H473" s="2"/>
      <c r="I473" s="2"/>
      <c r="J473" s="2"/>
      <c r="K473" s="2"/>
      <c r="L473" s="19"/>
      <c r="M473" s="19"/>
      <c r="N473" s="2"/>
      <c r="O473" s="2"/>
      <c r="P473" s="2"/>
      <c r="Q473" s="2"/>
      <c r="R473" s="2"/>
      <c r="S473" s="2"/>
      <c r="T473" s="2"/>
      <c r="U473" s="2"/>
      <c r="V473" s="2"/>
      <c r="W473" s="2"/>
      <c r="X473" s="2"/>
      <c r="Y473" s="2"/>
      <c r="Z473" s="2"/>
    </row>
    <row r="474" customFormat="false" ht="12" hidden="false" customHeight="true" outlineLevel="0" collapsed="false">
      <c r="A474" s="2"/>
      <c r="B474" s="19"/>
      <c r="C474" s="19"/>
      <c r="D474" s="2"/>
      <c r="E474" s="2"/>
      <c r="F474" s="2"/>
      <c r="G474" s="2"/>
      <c r="H474" s="2"/>
      <c r="I474" s="2"/>
      <c r="J474" s="2"/>
      <c r="K474" s="2"/>
      <c r="L474" s="19"/>
      <c r="M474" s="19"/>
      <c r="N474" s="2"/>
      <c r="O474" s="2"/>
      <c r="P474" s="2"/>
      <c r="Q474" s="2"/>
      <c r="R474" s="2"/>
      <c r="S474" s="2"/>
      <c r="T474" s="2"/>
      <c r="U474" s="2"/>
      <c r="V474" s="2"/>
      <c r="W474" s="2"/>
      <c r="X474" s="2"/>
      <c r="Y474" s="2"/>
      <c r="Z474" s="2"/>
    </row>
    <row r="475" customFormat="false" ht="12" hidden="false" customHeight="true" outlineLevel="0" collapsed="false">
      <c r="A475" s="2"/>
      <c r="B475" s="19"/>
      <c r="C475" s="19"/>
      <c r="D475" s="2"/>
      <c r="E475" s="2"/>
      <c r="F475" s="2"/>
      <c r="G475" s="2"/>
      <c r="H475" s="2"/>
      <c r="I475" s="2"/>
      <c r="J475" s="2"/>
      <c r="K475" s="2"/>
      <c r="L475" s="19"/>
      <c r="M475" s="19"/>
      <c r="N475" s="2"/>
      <c r="O475" s="2"/>
      <c r="P475" s="2"/>
      <c r="Q475" s="2"/>
      <c r="R475" s="2"/>
      <c r="S475" s="2"/>
      <c r="T475" s="2"/>
      <c r="U475" s="2"/>
      <c r="V475" s="2"/>
      <c r="W475" s="2"/>
      <c r="X475" s="2"/>
      <c r="Y475" s="2"/>
      <c r="Z475" s="2"/>
    </row>
    <row r="476" customFormat="false" ht="12" hidden="false" customHeight="true" outlineLevel="0" collapsed="false">
      <c r="A476" s="2"/>
      <c r="B476" s="19"/>
      <c r="C476" s="19"/>
      <c r="D476" s="2"/>
      <c r="E476" s="2"/>
      <c r="F476" s="2"/>
      <c r="G476" s="2"/>
      <c r="H476" s="2"/>
      <c r="I476" s="2"/>
      <c r="J476" s="2"/>
      <c r="K476" s="2"/>
      <c r="L476" s="19"/>
      <c r="M476" s="19"/>
      <c r="N476" s="2"/>
      <c r="O476" s="2"/>
      <c r="P476" s="2"/>
      <c r="Q476" s="2"/>
      <c r="R476" s="2"/>
      <c r="S476" s="2"/>
      <c r="T476" s="2"/>
      <c r="U476" s="2"/>
      <c r="V476" s="2"/>
      <c r="W476" s="2"/>
      <c r="X476" s="2"/>
      <c r="Y476" s="2"/>
      <c r="Z476" s="2"/>
    </row>
    <row r="477" customFormat="false" ht="12" hidden="false" customHeight="true" outlineLevel="0" collapsed="false">
      <c r="A477" s="2"/>
      <c r="B477" s="19"/>
      <c r="C477" s="19"/>
      <c r="D477" s="2"/>
      <c r="E477" s="2"/>
      <c r="F477" s="2"/>
      <c r="G477" s="2"/>
      <c r="H477" s="2"/>
      <c r="I477" s="2"/>
      <c r="J477" s="2"/>
      <c r="K477" s="2"/>
      <c r="L477" s="19"/>
      <c r="M477" s="19"/>
      <c r="N477" s="2"/>
      <c r="O477" s="2"/>
      <c r="P477" s="2"/>
      <c r="Q477" s="2"/>
      <c r="R477" s="2"/>
      <c r="S477" s="2"/>
      <c r="T477" s="2"/>
      <c r="U477" s="2"/>
      <c r="V477" s="2"/>
      <c r="W477" s="2"/>
      <c r="X477" s="2"/>
      <c r="Y477" s="2"/>
      <c r="Z477" s="2"/>
    </row>
    <row r="478" customFormat="false" ht="12" hidden="false" customHeight="true" outlineLevel="0" collapsed="false">
      <c r="A478" s="2"/>
      <c r="B478" s="19"/>
      <c r="C478" s="19"/>
      <c r="D478" s="2"/>
      <c r="E478" s="2"/>
      <c r="F478" s="2"/>
      <c r="G478" s="2"/>
      <c r="H478" s="2"/>
      <c r="I478" s="2"/>
      <c r="J478" s="2"/>
      <c r="K478" s="2"/>
      <c r="L478" s="19"/>
      <c r="M478" s="19"/>
      <c r="N478" s="2"/>
      <c r="O478" s="2"/>
      <c r="P478" s="2"/>
      <c r="Q478" s="2"/>
      <c r="R478" s="2"/>
      <c r="S478" s="2"/>
      <c r="T478" s="2"/>
      <c r="U478" s="2"/>
      <c r="V478" s="2"/>
      <c r="W478" s="2"/>
      <c r="X478" s="2"/>
      <c r="Y478" s="2"/>
      <c r="Z478" s="2"/>
    </row>
    <row r="479" customFormat="false" ht="12" hidden="false" customHeight="true" outlineLevel="0" collapsed="false">
      <c r="A479" s="2"/>
      <c r="B479" s="19"/>
      <c r="C479" s="19"/>
      <c r="D479" s="2"/>
      <c r="E479" s="2"/>
      <c r="F479" s="2"/>
      <c r="G479" s="2"/>
      <c r="H479" s="2"/>
      <c r="I479" s="2"/>
      <c r="J479" s="2"/>
      <c r="K479" s="2"/>
      <c r="L479" s="19"/>
      <c r="M479" s="19"/>
      <c r="N479" s="2"/>
      <c r="O479" s="2"/>
      <c r="P479" s="2"/>
      <c r="Q479" s="2"/>
      <c r="R479" s="2"/>
      <c r="S479" s="2"/>
      <c r="T479" s="2"/>
      <c r="U479" s="2"/>
      <c r="V479" s="2"/>
      <c r="W479" s="2"/>
      <c r="X479" s="2"/>
      <c r="Y479" s="2"/>
      <c r="Z479" s="2"/>
    </row>
    <row r="480" customFormat="false" ht="12" hidden="false" customHeight="true" outlineLevel="0" collapsed="false">
      <c r="A480" s="2"/>
      <c r="B480" s="19"/>
      <c r="C480" s="19"/>
      <c r="D480" s="2"/>
      <c r="E480" s="2"/>
      <c r="F480" s="2"/>
      <c r="G480" s="2"/>
      <c r="H480" s="2"/>
      <c r="I480" s="2"/>
      <c r="J480" s="2"/>
      <c r="K480" s="2"/>
      <c r="L480" s="19"/>
      <c r="M480" s="19"/>
      <c r="N480" s="2"/>
      <c r="O480" s="2"/>
      <c r="P480" s="2"/>
      <c r="Q480" s="2"/>
      <c r="R480" s="2"/>
      <c r="S480" s="2"/>
      <c r="T480" s="2"/>
      <c r="U480" s="2"/>
      <c r="V480" s="2"/>
      <c r="W480" s="2"/>
      <c r="X480" s="2"/>
      <c r="Y480" s="2"/>
      <c r="Z480" s="2"/>
    </row>
    <row r="481" customFormat="false" ht="12" hidden="false" customHeight="true" outlineLevel="0" collapsed="false">
      <c r="A481" s="2"/>
      <c r="B481" s="19"/>
      <c r="C481" s="19"/>
      <c r="D481" s="2"/>
      <c r="E481" s="2"/>
      <c r="F481" s="2"/>
      <c r="G481" s="2"/>
      <c r="H481" s="2"/>
      <c r="I481" s="2"/>
      <c r="J481" s="2"/>
      <c r="K481" s="2"/>
      <c r="L481" s="19"/>
      <c r="M481" s="19"/>
      <c r="N481" s="2"/>
      <c r="O481" s="2"/>
      <c r="P481" s="2"/>
      <c r="Q481" s="2"/>
      <c r="R481" s="2"/>
      <c r="S481" s="2"/>
      <c r="T481" s="2"/>
      <c r="U481" s="2"/>
      <c r="V481" s="2"/>
      <c r="W481" s="2"/>
      <c r="X481" s="2"/>
      <c r="Y481" s="2"/>
      <c r="Z481" s="2"/>
    </row>
    <row r="482" customFormat="false" ht="12" hidden="false" customHeight="true" outlineLevel="0" collapsed="false">
      <c r="A482" s="2"/>
      <c r="B482" s="19"/>
      <c r="C482" s="19"/>
      <c r="D482" s="2"/>
      <c r="E482" s="2"/>
      <c r="F482" s="2"/>
      <c r="G482" s="2"/>
      <c r="H482" s="2"/>
      <c r="I482" s="2"/>
      <c r="J482" s="2"/>
      <c r="K482" s="2"/>
      <c r="L482" s="19"/>
      <c r="M482" s="19"/>
      <c r="N482" s="2"/>
      <c r="O482" s="2"/>
      <c r="P482" s="2"/>
      <c r="Q482" s="2"/>
      <c r="R482" s="2"/>
      <c r="S482" s="2"/>
      <c r="T482" s="2"/>
      <c r="U482" s="2"/>
      <c r="V482" s="2"/>
      <c r="W482" s="2"/>
      <c r="X482" s="2"/>
      <c r="Y482" s="2"/>
      <c r="Z482" s="2"/>
    </row>
    <row r="483" customFormat="false" ht="12" hidden="false" customHeight="true" outlineLevel="0" collapsed="false">
      <c r="A483" s="2"/>
      <c r="B483" s="19"/>
      <c r="C483" s="19"/>
      <c r="D483" s="2"/>
      <c r="E483" s="2"/>
      <c r="F483" s="2"/>
      <c r="G483" s="2"/>
      <c r="H483" s="2"/>
      <c r="I483" s="2"/>
      <c r="J483" s="2"/>
      <c r="K483" s="2"/>
      <c r="L483" s="19"/>
      <c r="M483" s="19"/>
      <c r="N483" s="2"/>
      <c r="O483" s="2"/>
      <c r="P483" s="2"/>
      <c r="Q483" s="2"/>
      <c r="R483" s="2"/>
      <c r="S483" s="2"/>
      <c r="T483" s="2"/>
      <c r="U483" s="2"/>
      <c r="V483" s="2"/>
      <c r="W483" s="2"/>
      <c r="X483" s="2"/>
      <c r="Y483" s="2"/>
      <c r="Z483" s="2"/>
    </row>
    <row r="484" customFormat="false" ht="12" hidden="false" customHeight="true" outlineLevel="0" collapsed="false">
      <c r="A484" s="2"/>
      <c r="B484" s="19"/>
      <c r="C484" s="19"/>
      <c r="D484" s="2"/>
      <c r="E484" s="2"/>
      <c r="F484" s="2"/>
      <c r="G484" s="2"/>
      <c r="H484" s="2"/>
      <c r="I484" s="2"/>
      <c r="J484" s="2"/>
      <c r="K484" s="2"/>
      <c r="L484" s="19"/>
      <c r="M484" s="19"/>
      <c r="N484" s="2"/>
      <c r="O484" s="2"/>
      <c r="P484" s="2"/>
      <c r="Q484" s="2"/>
      <c r="R484" s="2"/>
      <c r="S484" s="2"/>
      <c r="T484" s="2"/>
      <c r="U484" s="2"/>
      <c r="V484" s="2"/>
      <c r="W484" s="2"/>
      <c r="X484" s="2"/>
      <c r="Y484" s="2"/>
      <c r="Z484" s="2"/>
    </row>
    <row r="485" customFormat="false" ht="12" hidden="false" customHeight="true" outlineLevel="0" collapsed="false">
      <c r="A485" s="2"/>
      <c r="B485" s="19"/>
      <c r="C485" s="19"/>
      <c r="D485" s="2"/>
      <c r="E485" s="2"/>
      <c r="F485" s="2"/>
      <c r="G485" s="2"/>
      <c r="H485" s="2"/>
      <c r="I485" s="2"/>
      <c r="J485" s="2"/>
      <c r="K485" s="2"/>
      <c r="L485" s="19"/>
      <c r="M485" s="19"/>
      <c r="N485" s="2"/>
      <c r="O485" s="2"/>
      <c r="P485" s="2"/>
      <c r="Q485" s="2"/>
      <c r="R485" s="2"/>
      <c r="S485" s="2"/>
      <c r="T485" s="2"/>
      <c r="U485" s="2"/>
      <c r="V485" s="2"/>
      <c r="W485" s="2"/>
      <c r="X485" s="2"/>
      <c r="Y485" s="2"/>
      <c r="Z485" s="2"/>
    </row>
    <row r="486" customFormat="false" ht="12" hidden="false" customHeight="true" outlineLevel="0" collapsed="false">
      <c r="A486" s="2"/>
      <c r="B486" s="19"/>
      <c r="C486" s="19"/>
      <c r="D486" s="2"/>
      <c r="E486" s="2"/>
      <c r="F486" s="2"/>
      <c r="G486" s="2"/>
      <c r="H486" s="2"/>
      <c r="I486" s="2"/>
      <c r="J486" s="2"/>
      <c r="K486" s="2"/>
      <c r="L486" s="19"/>
      <c r="M486" s="19"/>
      <c r="N486" s="2"/>
      <c r="O486" s="2"/>
      <c r="P486" s="2"/>
      <c r="Q486" s="2"/>
      <c r="R486" s="2"/>
      <c r="S486" s="2"/>
      <c r="T486" s="2"/>
      <c r="U486" s="2"/>
      <c r="V486" s="2"/>
      <c r="W486" s="2"/>
      <c r="X486" s="2"/>
      <c r="Y486" s="2"/>
      <c r="Z486" s="2"/>
    </row>
    <row r="487" customFormat="false" ht="12" hidden="false" customHeight="true" outlineLevel="0" collapsed="false">
      <c r="A487" s="2"/>
      <c r="B487" s="19"/>
      <c r="C487" s="19"/>
      <c r="D487" s="2"/>
      <c r="E487" s="2"/>
      <c r="F487" s="2"/>
      <c r="G487" s="2"/>
      <c r="H487" s="2"/>
      <c r="I487" s="2"/>
      <c r="J487" s="2"/>
      <c r="K487" s="2"/>
      <c r="L487" s="19"/>
      <c r="M487" s="19"/>
      <c r="N487" s="2"/>
      <c r="O487" s="2"/>
      <c r="P487" s="2"/>
      <c r="Q487" s="2"/>
      <c r="R487" s="2"/>
      <c r="S487" s="2"/>
      <c r="T487" s="2"/>
      <c r="U487" s="2"/>
      <c r="V487" s="2"/>
      <c r="W487" s="2"/>
      <c r="X487" s="2"/>
      <c r="Y487" s="2"/>
      <c r="Z487" s="2"/>
    </row>
    <row r="488" customFormat="false" ht="12" hidden="false" customHeight="true" outlineLevel="0" collapsed="false">
      <c r="A488" s="2"/>
      <c r="B488" s="19"/>
      <c r="C488" s="19"/>
      <c r="D488" s="2"/>
      <c r="E488" s="2"/>
      <c r="F488" s="2"/>
      <c r="G488" s="2"/>
      <c r="H488" s="2"/>
      <c r="I488" s="2"/>
      <c r="J488" s="2"/>
      <c r="K488" s="2"/>
      <c r="L488" s="19"/>
      <c r="M488" s="19"/>
      <c r="N488" s="2"/>
      <c r="O488" s="2"/>
      <c r="P488" s="2"/>
      <c r="Q488" s="2"/>
      <c r="R488" s="2"/>
      <c r="S488" s="2"/>
      <c r="T488" s="2"/>
      <c r="U488" s="2"/>
      <c r="V488" s="2"/>
      <c r="W488" s="2"/>
      <c r="X488" s="2"/>
      <c r="Y488" s="2"/>
      <c r="Z488" s="2"/>
    </row>
    <row r="489" customFormat="false" ht="12" hidden="false" customHeight="true" outlineLevel="0" collapsed="false">
      <c r="A489" s="2"/>
      <c r="B489" s="19"/>
      <c r="C489" s="19"/>
      <c r="D489" s="2"/>
      <c r="E489" s="2"/>
      <c r="F489" s="2"/>
      <c r="G489" s="2"/>
      <c r="H489" s="2"/>
      <c r="I489" s="2"/>
      <c r="J489" s="2"/>
      <c r="K489" s="2"/>
      <c r="L489" s="19"/>
      <c r="M489" s="19"/>
      <c r="N489" s="2"/>
      <c r="O489" s="2"/>
      <c r="P489" s="2"/>
      <c r="Q489" s="2"/>
      <c r="R489" s="2"/>
      <c r="S489" s="2"/>
      <c r="T489" s="2"/>
      <c r="U489" s="2"/>
      <c r="V489" s="2"/>
      <c r="W489" s="2"/>
      <c r="X489" s="2"/>
      <c r="Y489" s="2"/>
      <c r="Z489" s="2"/>
    </row>
    <row r="490" customFormat="false" ht="12" hidden="false" customHeight="true" outlineLevel="0" collapsed="false">
      <c r="A490" s="2"/>
      <c r="B490" s="19"/>
      <c r="C490" s="19"/>
      <c r="D490" s="2"/>
      <c r="E490" s="2"/>
      <c r="F490" s="2"/>
      <c r="G490" s="2"/>
      <c r="H490" s="2"/>
      <c r="I490" s="2"/>
      <c r="J490" s="2"/>
      <c r="K490" s="2"/>
      <c r="L490" s="19"/>
      <c r="M490" s="19"/>
      <c r="N490" s="2"/>
      <c r="O490" s="2"/>
      <c r="P490" s="2"/>
      <c r="Q490" s="2"/>
      <c r="R490" s="2"/>
      <c r="S490" s="2"/>
      <c r="T490" s="2"/>
      <c r="U490" s="2"/>
      <c r="V490" s="2"/>
      <c r="W490" s="2"/>
      <c r="X490" s="2"/>
      <c r="Y490" s="2"/>
      <c r="Z490" s="2"/>
    </row>
    <row r="491" customFormat="false" ht="12" hidden="false" customHeight="true" outlineLevel="0" collapsed="false">
      <c r="A491" s="2"/>
      <c r="B491" s="19"/>
      <c r="C491" s="19"/>
      <c r="D491" s="2"/>
      <c r="E491" s="2"/>
      <c r="F491" s="2"/>
      <c r="G491" s="2"/>
      <c r="H491" s="2"/>
      <c r="I491" s="2"/>
      <c r="J491" s="2"/>
      <c r="K491" s="2"/>
      <c r="L491" s="19"/>
      <c r="M491" s="19"/>
      <c r="N491" s="2"/>
      <c r="O491" s="2"/>
      <c r="P491" s="2"/>
      <c r="Q491" s="2"/>
      <c r="R491" s="2"/>
      <c r="S491" s="2"/>
      <c r="T491" s="2"/>
      <c r="U491" s="2"/>
      <c r="V491" s="2"/>
      <c r="W491" s="2"/>
      <c r="X491" s="2"/>
      <c r="Y491" s="2"/>
      <c r="Z491" s="2"/>
    </row>
    <row r="492" customFormat="false" ht="12" hidden="false" customHeight="true" outlineLevel="0" collapsed="false">
      <c r="A492" s="2"/>
      <c r="B492" s="19"/>
      <c r="C492" s="19"/>
      <c r="D492" s="2"/>
      <c r="E492" s="2"/>
      <c r="F492" s="2"/>
      <c r="G492" s="2"/>
      <c r="H492" s="2"/>
      <c r="I492" s="2"/>
      <c r="J492" s="2"/>
      <c r="K492" s="2"/>
      <c r="L492" s="19"/>
      <c r="M492" s="19"/>
      <c r="N492" s="2"/>
      <c r="O492" s="2"/>
      <c r="P492" s="2"/>
      <c r="Q492" s="2"/>
      <c r="R492" s="2"/>
      <c r="S492" s="2"/>
      <c r="T492" s="2"/>
      <c r="U492" s="2"/>
      <c r="V492" s="2"/>
      <c r="W492" s="2"/>
      <c r="X492" s="2"/>
      <c r="Y492" s="2"/>
      <c r="Z492" s="2"/>
    </row>
    <row r="493" customFormat="false" ht="12" hidden="false" customHeight="true" outlineLevel="0" collapsed="false">
      <c r="A493" s="2"/>
      <c r="B493" s="19"/>
      <c r="C493" s="19"/>
      <c r="D493" s="2"/>
      <c r="E493" s="2"/>
      <c r="F493" s="2"/>
      <c r="G493" s="2"/>
      <c r="H493" s="2"/>
      <c r="I493" s="2"/>
      <c r="J493" s="2"/>
      <c r="K493" s="2"/>
      <c r="L493" s="19"/>
      <c r="M493" s="19"/>
      <c r="N493" s="2"/>
      <c r="O493" s="2"/>
      <c r="P493" s="2"/>
      <c r="Q493" s="2"/>
      <c r="R493" s="2"/>
      <c r="S493" s="2"/>
      <c r="T493" s="2"/>
      <c r="U493" s="2"/>
      <c r="V493" s="2"/>
      <c r="W493" s="2"/>
      <c r="X493" s="2"/>
      <c r="Y493" s="2"/>
      <c r="Z493" s="2"/>
    </row>
    <row r="494" customFormat="false" ht="12" hidden="false" customHeight="true" outlineLevel="0" collapsed="false">
      <c r="A494" s="2"/>
      <c r="B494" s="19"/>
      <c r="C494" s="19"/>
      <c r="D494" s="2"/>
      <c r="E494" s="2"/>
      <c r="F494" s="2"/>
      <c r="G494" s="2"/>
      <c r="H494" s="2"/>
      <c r="I494" s="2"/>
      <c r="J494" s="2"/>
      <c r="K494" s="2"/>
      <c r="L494" s="19"/>
      <c r="M494" s="19"/>
      <c r="N494" s="2"/>
      <c r="O494" s="2"/>
      <c r="P494" s="2"/>
      <c r="Q494" s="2"/>
      <c r="R494" s="2"/>
      <c r="S494" s="2"/>
      <c r="T494" s="2"/>
      <c r="U494" s="2"/>
      <c r="V494" s="2"/>
      <c r="W494" s="2"/>
      <c r="X494" s="2"/>
      <c r="Y494" s="2"/>
      <c r="Z494" s="2"/>
    </row>
    <row r="495" customFormat="false" ht="12" hidden="false" customHeight="true" outlineLevel="0" collapsed="false">
      <c r="A495" s="2"/>
      <c r="B495" s="19"/>
      <c r="C495" s="19"/>
      <c r="D495" s="2"/>
      <c r="E495" s="2"/>
      <c r="F495" s="2"/>
      <c r="G495" s="2"/>
      <c r="H495" s="2"/>
      <c r="I495" s="2"/>
      <c r="J495" s="2"/>
      <c r="K495" s="2"/>
      <c r="L495" s="19"/>
      <c r="M495" s="19"/>
      <c r="N495" s="2"/>
      <c r="O495" s="2"/>
      <c r="P495" s="2"/>
      <c r="Q495" s="2"/>
      <c r="R495" s="2"/>
      <c r="S495" s="2"/>
      <c r="T495" s="2"/>
      <c r="U495" s="2"/>
      <c r="V495" s="2"/>
      <c r="W495" s="2"/>
      <c r="X495" s="2"/>
      <c r="Y495" s="2"/>
      <c r="Z495" s="2"/>
    </row>
    <row r="496" customFormat="false" ht="12" hidden="false" customHeight="true" outlineLevel="0" collapsed="false">
      <c r="A496" s="2"/>
      <c r="B496" s="19"/>
      <c r="C496" s="19"/>
      <c r="D496" s="2"/>
      <c r="E496" s="2"/>
      <c r="F496" s="2"/>
      <c r="G496" s="2"/>
      <c r="H496" s="2"/>
      <c r="I496" s="2"/>
      <c r="J496" s="2"/>
      <c r="K496" s="2"/>
      <c r="L496" s="19"/>
      <c r="M496" s="19"/>
      <c r="N496" s="2"/>
      <c r="O496" s="2"/>
      <c r="P496" s="2"/>
      <c r="Q496" s="2"/>
      <c r="R496" s="2"/>
      <c r="S496" s="2"/>
      <c r="T496" s="2"/>
      <c r="U496" s="2"/>
      <c r="V496" s="2"/>
      <c r="W496" s="2"/>
      <c r="X496" s="2"/>
      <c r="Y496" s="2"/>
      <c r="Z496" s="2"/>
    </row>
    <row r="497" customFormat="false" ht="12" hidden="false" customHeight="true" outlineLevel="0" collapsed="false">
      <c r="A497" s="2"/>
      <c r="B497" s="19"/>
      <c r="C497" s="19"/>
      <c r="D497" s="2"/>
      <c r="E497" s="2"/>
      <c r="F497" s="2"/>
      <c r="G497" s="2"/>
      <c r="H497" s="2"/>
      <c r="I497" s="2"/>
      <c r="J497" s="2"/>
      <c r="K497" s="2"/>
      <c r="L497" s="19"/>
      <c r="M497" s="19"/>
      <c r="N497" s="2"/>
      <c r="O497" s="2"/>
      <c r="P497" s="2"/>
      <c r="Q497" s="2"/>
      <c r="R497" s="2"/>
      <c r="S497" s="2"/>
      <c r="T497" s="2"/>
      <c r="U497" s="2"/>
      <c r="V497" s="2"/>
      <c r="W497" s="2"/>
      <c r="X497" s="2"/>
      <c r="Y497" s="2"/>
      <c r="Z497" s="2"/>
    </row>
    <row r="498" customFormat="false" ht="12" hidden="false" customHeight="true" outlineLevel="0" collapsed="false">
      <c r="A498" s="2"/>
      <c r="B498" s="19"/>
      <c r="C498" s="19"/>
      <c r="D498" s="2"/>
      <c r="E498" s="2"/>
      <c r="F498" s="2"/>
      <c r="G498" s="2"/>
      <c r="H498" s="2"/>
      <c r="I498" s="2"/>
      <c r="J498" s="2"/>
      <c r="K498" s="2"/>
      <c r="L498" s="19"/>
      <c r="M498" s="19"/>
      <c r="N498" s="2"/>
      <c r="O498" s="2"/>
      <c r="P498" s="2"/>
      <c r="Q498" s="2"/>
      <c r="R498" s="2"/>
      <c r="S498" s="2"/>
      <c r="T498" s="2"/>
      <c r="U498" s="2"/>
      <c r="V498" s="2"/>
      <c r="W498" s="2"/>
      <c r="X498" s="2"/>
      <c r="Y498" s="2"/>
      <c r="Z498" s="2"/>
    </row>
    <row r="499" customFormat="false" ht="12" hidden="false" customHeight="true" outlineLevel="0" collapsed="false">
      <c r="A499" s="2"/>
      <c r="B499" s="19"/>
      <c r="C499" s="19"/>
      <c r="D499" s="2"/>
      <c r="E499" s="2"/>
      <c r="F499" s="2"/>
      <c r="G499" s="2"/>
      <c r="H499" s="2"/>
      <c r="I499" s="2"/>
      <c r="J499" s="2"/>
      <c r="K499" s="2"/>
      <c r="L499" s="19"/>
      <c r="M499" s="19"/>
      <c r="N499" s="2"/>
      <c r="O499" s="2"/>
      <c r="P499" s="2"/>
      <c r="Q499" s="2"/>
      <c r="R499" s="2"/>
      <c r="S499" s="2"/>
      <c r="T499" s="2"/>
      <c r="U499" s="2"/>
      <c r="V499" s="2"/>
      <c r="W499" s="2"/>
      <c r="X499" s="2"/>
      <c r="Y499" s="2"/>
      <c r="Z499" s="2"/>
    </row>
    <row r="500" customFormat="false" ht="12" hidden="false" customHeight="true" outlineLevel="0" collapsed="false">
      <c r="A500" s="2"/>
      <c r="B500" s="19"/>
      <c r="C500" s="19"/>
      <c r="D500" s="2"/>
      <c r="E500" s="2"/>
      <c r="F500" s="2"/>
      <c r="G500" s="2"/>
      <c r="H500" s="2"/>
      <c r="I500" s="2"/>
      <c r="J500" s="2"/>
      <c r="K500" s="2"/>
      <c r="L500" s="19"/>
      <c r="M500" s="19"/>
      <c r="N500" s="2"/>
      <c r="O500" s="2"/>
      <c r="P500" s="2"/>
      <c r="Q500" s="2"/>
      <c r="R500" s="2"/>
      <c r="S500" s="2"/>
      <c r="T500" s="2"/>
      <c r="U500" s="2"/>
      <c r="V500" s="2"/>
      <c r="W500" s="2"/>
      <c r="X500" s="2"/>
      <c r="Y500" s="2"/>
      <c r="Z500" s="2"/>
    </row>
    <row r="501" customFormat="false" ht="12" hidden="false" customHeight="true" outlineLevel="0" collapsed="false">
      <c r="A501" s="2"/>
      <c r="B501" s="19"/>
      <c r="C501" s="19"/>
      <c r="D501" s="2"/>
      <c r="E501" s="2"/>
      <c r="F501" s="2"/>
      <c r="G501" s="2"/>
      <c r="H501" s="2"/>
      <c r="I501" s="2"/>
      <c r="J501" s="2"/>
      <c r="K501" s="2"/>
      <c r="L501" s="19"/>
      <c r="M501" s="19"/>
      <c r="N501" s="2"/>
      <c r="O501" s="2"/>
      <c r="P501" s="2"/>
      <c r="Q501" s="2"/>
      <c r="R501" s="2"/>
      <c r="S501" s="2"/>
      <c r="T501" s="2"/>
      <c r="U501" s="2"/>
      <c r="V501" s="2"/>
      <c r="W501" s="2"/>
      <c r="X501" s="2"/>
      <c r="Y501" s="2"/>
      <c r="Z501" s="2"/>
    </row>
    <row r="502" customFormat="false" ht="12" hidden="false" customHeight="true" outlineLevel="0" collapsed="false">
      <c r="A502" s="2"/>
      <c r="B502" s="19"/>
      <c r="C502" s="19"/>
      <c r="D502" s="2"/>
      <c r="E502" s="2"/>
      <c r="F502" s="2"/>
      <c r="G502" s="2"/>
      <c r="H502" s="2"/>
      <c r="I502" s="2"/>
      <c r="J502" s="2"/>
      <c r="K502" s="2"/>
      <c r="L502" s="19"/>
      <c r="M502" s="19"/>
      <c r="N502" s="2"/>
      <c r="O502" s="2"/>
      <c r="P502" s="2"/>
      <c r="Q502" s="2"/>
      <c r="R502" s="2"/>
      <c r="S502" s="2"/>
      <c r="T502" s="2"/>
      <c r="U502" s="2"/>
      <c r="V502" s="2"/>
      <c r="W502" s="2"/>
      <c r="X502" s="2"/>
      <c r="Y502" s="2"/>
      <c r="Z502" s="2"/>
    </row>
    <row r="503" customFormat="false" ht="12" hidden="false" customHeight="true" outlineLevel="0" collapsed="false">
      <c r="A503" s="2"/>
      <c r="B503" s="19"/>
      <c r="C503" s="19"/>
      <c r="D503" s="2"/>
      <c r="E503" s="2"/>
      <c r="F503" s="2"/>
      <c r="G503" s="2"/>
      <c r="H503" s="2"/>
      <c r="I503" s="2"/>
      <c r="J503" s="2"/>
      <c r="K503" s="2"/>
      <c r="L503" s="19"/>
      <c r="M503" s="19"/>
      <c r="N503" s="2"/>
      <c r="O503" s="2"/>
      <c r="P503" s="2"/>
      <c r="Q503" s="2"/>
      <c r="R503" s="2"/>
      <c r="S503" s="2"/>
      <c r="T503" s="2"/>
      <c r="U503" s="2"/>
      <c r="V503" s="2"/>
      <c r="W503" s="2"/>
      <c r="X503" s="2"/>
      <c r="Y503" s="2"/>
      <c r="Z503" s="2"/>
    </row>
    <row r="504" customFormat="false" ht="12" hidden="false" customHeight="true" outlineLevel="0" collapsed="false">
      <c r="A504" s="2"/>
      <c r="B504" s="19"/>
      <c r="C504" s="19"/>
      <c r="D504" s="2"/>
      <c r="E504" s="2"/>
      <c r="F504" s="2"/>
      <c r="G504" s="2"/>
      <c r="H504" s="2"/>
      <c r="I504" s="2"/>
      <c r="J504" s="2"/>
      <c r="K504" s="2"/>
      <c r="L504" s="19"/>
      <c r="M504" s="19"/>
      <c r="N504" s="2"/>
      <c r="O504" s="2"/>
      <c r="P504" s="2"/>
      <c r="Q504" s="2"/>
      <c r="R504" s="2"/>
      <c r="S504" s="2"/>
      <c r="T504" s="2"/>
      <c r="U504" s="2"/>
      <c r="V504" s="2"/>
      <c r="W504" s="2"/>
      <c r="X504" s="2"/>
      <c r="Y504" s="2"/>
      <c r="Z504" s="2"/>
    </row>
    <row r="505" customFormat="false" ht="12" hidden="false" customHeight="true" outlineLevel="0" collapsed="false">
      <c r="A505" s="2"/>
      <c r="B505" s="19"/>
      <c r="C505" s="19"/>
      <c r="D505" s="2"/>
      <c r="E505" s="2"/>
      <c r="F505" s="2"/>
      <c r="G505" s="2"/>
      <c r="H505" s="2"/>
      <c r="I505" s="2"/>
      <c r="J505" s="2"/>
      <c r="K505" s="2"/>
      <c r="L505" s="19"/>
      <c r="M505" s="19"/>
      <c r="N505" s="2"/>
      <c r="O505" s="2"/>
      <c r="P505" s="2"/>
      <c r="Q505" s="2"/>
      <c r="R505" s="2"/>
      <c r="S505" s="2"/>
      <c r="T505" s="2"/>
      <c r="U505" s="2"/>
      <c r="V505" s="2"/>
      <c r="W505" s="2"/>
      <c r="X505" s="2"/>
      <c r="Y505" s="2"/>
      <c r="Z505" s="2"/>
    </row>
    <row r="506" customFormat="false" ht="12" hidden="false" customHeight="true" outlineLevel="0" collapsed="false">
      <c r="A506" s="2"/>
      <c r="B506" s="19"/>
      <c r="C506" s="19"/>
      <c r="D506" s="2"/>
      <c r="E506" s="2"/>
      <c r="F506" s="2"/>
      <c r="G506" s="2"/>
      <c r="H506" s="2"/>
      <c r="I506" s="2"/>
      <c r="J506" s="2"/>
      <c r="K506" s="2"/>
      <c r="L506" s="19"/>
      <c r="M506" s="19"/>
      <c r="N506" s="2"/>
      <c r="O506" s="2"/>
      <c r="P506" s="2"/>
      <c r="Q506" s="2"/>
      <c r="R506" s="2"/>
      <c r="S506" s="2"/>
      <c r="T506" s="2"/>
      <c r="U506" s="2"/>
      <c r="V506" s="2"/>
      <c r="W506" s="2"/>
      <c r="X506" s="2"/>
      <c r="Y506" s="2"/>
      <c r="Z506" s="2"/>
    </row>
    <row r="507" customFormat="false" ht="12" hidden="false" customHeight="true" outlineLevel="0" collapsed="false">
      <c r="A507" s="2"/>
      <c r="B507" s="19"/>
      <c r="C507" s="19"/>
      <c r="D507" s="2"/>
      <c r="E507" s="2"/>
      <c r="F507" s="2"/>
      <c r="G507" s="2"/>
      <c r="H507" s="2"/>
      <c r="I507" s="2"/>
      <c r="J507" s="2"/>
      <c r="K507" s="2"/>
      <c r="L507" s="19"/>
      <c r="M507" s="19"/>
      <c r="N507" s="2"/>
      <c r="O507" s="2"/>
      <c r="P507" s="2"/>
      <c r="Q507" s="2"/>
      <c r="R507" s="2"/>
      <c r="S507" s="2"/>
      <c r="T507" s="2"/>
      <c r="U507" s="2"/>
      <c r="V507" s="2"/>
      <c r="W507" s="2"/>
      <c r="X507" s="2"/>
      <c r="Y507" s="2"/>
      <c r="Z507" s="2"/>
    </row>
    <row r="508" customFormat="false" ht="12" hidden="false" customHeight="true" outlineLevel="0" collapsed="false">
      <c r="A508" s="2"/>
      <c r="B508" s="19"/>
      <c r="C508" s="19"/>
      <c r="D508" s="2"/>
      <c r="E508" s="2"/>
      <c r="F508" s="2"/>
      <c r="G508" s="2"/>
      <c r="H508" s="2"/>
      <c r="I508" s="2"/>
      <c r="J508" s="2"/>
      <c r="K508" s="2"/>
      <c r="L508" s="19"/>
      <c r="M508" s="19"/>
      <c r="N508" s="2"/>
      <c r="O508" s="2"/>
      <c r="P508" s="2"/>
      <c r="Q508" s="2"/>
      <c r="R508" s="2"/>
      <c r="S508" s="2"/>
      <c r="T508" s="2"/>
      <c r="U508" s="2"/>
      <c r="V508" s="2"/>
      <c r="W508" s="2"/>
      <c r="X508" s="2"/>
      <c r="Y508" s="2"/>
      <c r="Z508" s="2"/>
    </row>
    <row r="509" customFormat="false" ht="12" hidden="false" customHeight="true" outlineLevel="0" collapsed="false">
      <c r="A509" s="2"/>
      <c r="B509" s="19"/>
      <c r="C509" s="19"/>
      <c r="D509" s="2"/>
      <c r="E509" s="2"/>
      <c r="F509" s="2"/>
      <c r="G509" s="2"/>
      <c r="H509" s="2"/>
      <c r="I509" s="2"/>
      <c r="J509" s="2"/>
      <c r="K509" s="2"/>
      <c r="L509" s="19"/>
      <c r="M509" s="19"/>
      <c r="N509" s="2"/>
      <c r="O509" s="2"/>
      <c r="P509" s="2"/>
      <c r="Q509" s="2"/>
      <c r="R509" s="2"/>
      <c r="S509" s="2"/>
      <c r="T509" s="2"/>
      <c r="U509" s="2"/>
      <c r="V509" s="2"/>
      <c r="W509" s="2"/>
      <c r="X509" s="2"/>
      <c r="Y509" s="2"/>
      <c r="Z509" s="2"/>
    </row>
    <row r="510" customFormat="false" ht="12" hidden="false" customHeight="true" outlineLevel="0" collapsed="false">
      <c r="A510" s="2"/>
      <c r="B510" s="19"/>
      <c r="C510" s="19"/>
      <c r="D510" s="2"/>
      <c r="E510" s="2"/>
      <c r="F510" s="2"/>
      <c r="G510" s="2"/>
      <c r="H510" s="2"/>
      <c r="I510" s="2"/>
      <c r="J510" s="2"/>
      <c r="K510" s="2"/>
      <c r="L510" s="19"/>
      <c r="M510" s="19"/>
      <c r="N510" s="2"/>
      <c r="O510" s="2"/>
      <c r="P510" s="2"/>
      <c r="Q510" s="2"/>
      <c r="R510" s="2"/>
      <c r="S510" s="2"/>
      <c r="T510" s="2"/>
      <c r="U510" s="2"/>
      <c r="V510" s="2"/>
      <c r="W510" s="2"/>
      <c r="X510" s="2"/>
      <c r="Y510" s="2"/>
      <c r="Z510" s="2"/>
    </row>
    <row r="511" customFormat="false" ht="12" hidden="false" customHeight="true" outlineLevel="0" collapsed="false">
      <c r="A511" s="2"/>
      <c r="B511" s="19"/>
      <c r="C511" s="19"/>
      <c r="D511" s="2"/>
      <c r="E511" s="2"/>
      <c r="F511" s="2"/>
      <c r="G511" s="2"/>
      <c r="H511" s="2"/>
      <c r="I511" s="2"/>
      <c r="J511" s="2"/>
      <c r="K511" s="2"/>
      <c r="L511" s="19"/>
      <c r="M511" s="19"/>
      <c r="N511" s="2"/>
      <c r="O511" s="2"/>
      <c r="P511" s="2"/>
      <c r="Q511" s="2"/>
      <c r="R511" s="2"/>
      <c r="S511" s="2"/>
      <c r="T511" s="2"/>
      <c r="U511" s="2"/>
      <c r="V511" s="2"/>
      <c r="W511" s="2"/>
      <c r="X511" s="2"/>
      <c r="Y511" s="2"/>
      <c r="Z511" s="2"/>
    </row>
    <row r="512" customFormat="false" ht="12" hidden="false" customHeight="true" outlineLevel="0" collapsed="false">
      <c r="A512" s="2"/>
      <c r="B512" s="19"/>
      <c r="C512" s="19"/>
      <c r="D512" s="2"/>
      <c r="E512" s="2"/>
      <c r="F512" s="2"/>
      <c r="G512" s="2"/>
      <c r="H512" s="2"/>
      <c r="I512" s="2"/>
      <c r="J512" s="2"/>
      <c r="K512" s="2"/>
      <c r="L512" s="19"/>
      <c r="M512" s="19"/>
      <c r="N512" s="2"/>
      <c r="O512" s="2"/>
      <c r="P512" s="2"/>
      <c r="Q512" s="2"/>
      <c r="R512" s="2"/>
      <c r="S512" s="2"/>
      <c r="T512" s="2"/>
      <c r="U512" s="2"/>
      <c r="V512" s="2"/>
      <c r="W512" s="2"/>
      <c r="X512" s="2"/>
      <c r="Y512" s="2"/>
      <c r="Z512" s="2"/>
    </row>
    <row r="513" customFormat="false" ht="12" hidden="false" customHeight="true" outlineLevel="0" collapsed="false">
      <c r="A513" s="2"/>
      <c r="B513" s="19"/>
      <c r="C513" s="19"/>
      <c r="D513" s="2"/>
      <c r="E513" s="2"/>
      <c r="F513" s="2"/>
      <c r="G513" s="2"/>
      <c r="H513" s="2"/>
      <c r="I513" s="2"/>
      <c r="J513" s="2"/>
      <c r="K513" s="2"/>
      <c r="L513" s="19"/>
      <c r="M513" s="19"/>
      <c r="N513" s="2"/>
      <c r="O513" s="2"/>
      <c r="P513" s="2"/>
      <c r="Q513" s="2"/>
      <c r="R513" s="2"/>
      <c r="S513" s="2"/>
      <c r="T513" s="2"/>
      <c r="U513" s="2"/>
      <c r="V513" s="2"/>
      <c r="W513" s="2"/>
      <c r="X513" s="2"/>
      <c r="Y513" s="2"/>
      <c r="Z513" s="2"/>
    </row>
    <row r="514" customFormat="false" ht="12" hidden="false" customHeight="true" outlineLevel="0" collapsed="false">
      <c r="A514" s="2"/>
      <c r="B514" s="19"/>
      <c r="C514" s="19"/>
      <c r="D514" s="2"/>
      <c r="E514" s="2"/>
      <c r="F514" s="2"/>
      <c r="G514" s="2"/>
      <c r="H514" s="2"/>
      <c r="I514" s="2"/>
      <c r="J514" s="2"/>
      <c r="K514" s="2"/>
      <c r="L514" s="19"/>
      <c r="M514" s="19"/>
      <c r="N514" s="2"/>
      <c r="O514" s="2"/>
      <c r="P514" s="2"/>
      <c r="Q514" s="2"/>
      <c r="R514" s="2"/>
      <c r="S514" s="2"/>
      <c r="T514" s="2"/>
      <c r="U514" s="2"/>
      <c r="V514" s="2"/>
      <c r="W514" s="2"/>
      <c r="X514" s="2"/>
      <c r="Y514" s="2"/>
      <c r="Z514" s="2"/>
    </row>
    <row r="515" customFormat="false" ht="12" hidden="false" customHeight="true" outlineLevel="0" collapsed="false">
      <c r="A515" s="2"/>
      <c r="B515" s="19"/>
      <c r="C515" s="19"/>
      <c r="D515" s="2"/>
      <c r="E515" s="2"/>
      <c r="F515" s="2"/>
      <c r="G515" s="2"/>
      <c r="H515" s="2"/>
      <c r="I515" s="2"/>
      <c r="J515" s="2"/>
      <c r="K515" s="2"/>
      <c r="L515" s="19"/>
      <c r="M515" s="19"/>
      <c r="N515" s="2"/>
      <c r="O515" s="2"/>
      <c r="P515" s="2"/>
      <c r="Q515" s="2"/>
      <c r="R515" s="2"/>
      <c r="S515" s="2"/>
      <c r="T515" s="2"/>
      <c r="U515" s="2"/>
      <c r="V515" s="2"/>
      <c r="W515" s="2"/>
      <c r="X515" s="2"/>
      <c r="Y515" s="2"/>
      <c r="Z515" s="2"/>
    </row>
    <row r="516" customFormat="false" ht="12" hidden="false" customHeight="true" outlineLevel="0" collapsed="false">
      <c r="A516" s="2"/>
      <c r="B516" s="19"/>
      <c r="C516" s="19"/>
      <c r="D516" s="2"/>
      <c r="E516" s="2"/>
      <c r="F516" s="2"/>
      <c r="G516" s="2"/>
      <c r="H516" s="2"/>
      <c r="I516" s="2"/>
      <c r="J516" s="2"/>
      <c r="K516" s="2"/>
      <c r="L516" s="19"/>
      <c r="M516" s="19"/>
      <c r="N516" s="2"/>
      <c r="O516" s="2"/>
      <c r="P516" s="2"/>
      <c r="Q516" s="2"/>
      <c r="R516" s="2"/>
      <c r="S516" s="2"/>
      <c r="T516" s="2"/>
      <c r="U516" s="2"/>
      <c r="V516" s="2"/>
      <c r="W516" s="2"/>
      <c r="X516" s="2"/>
      <c r="Y516" s="2"/>
      <c r="Z516" s="2"/>
    </row>
    <row r="517" customFormat="false" ht="12" hidden="false" customHeight="true" outlineLevel="0" collapsed="false">
      <c r="A517" s="2"/>
      <c r="B517" s="19"/>
      <c r="C517" s="19"/>
      <c r="D517" s="2"/>
      <c r="E517" s="2"/>
      <c r="F517" s="2"/>
      <c r="G517" s="2"/>
      <c r="H517" s="2"/>
      <c r="I517" s="2"/>
      <c r="J517" s="2"/>
      <c r="K517" s="2"/>
      <c r="L517" s="19"/>
      <c r="M517" s="19"/>
      <c r="N517" s="2"/>
      <c r="O517" s="2"/>
      <c r="P517" s="2"/>
      <c r="Q517" s="2"/>
      <c r="R517" s="2"/>
      <c r="S517" s="2"/>
      <c r="T517" s="2"/>
      <c r="U517" s="2"/>
      <c r="V517" s="2"/>
      <c r="W517" s="2"/>
      <c r="X517" s="2"/>
      <c r="Y517" s="2"/>
      <c r="Z517" s="2"/>
    </row>
    <row r="518" customFormat="false" ht="12" hidden="false" customHeight="true" outlineLevel="0" collapsed="false">
      <c r="A518" s="2"/>
      <c r="B518" s="19"/>
      <c r="C518" s="19"/>
      <c r="D518" s="2"/>
      <c r="E518" s="2"/>
      <c r="F518" s="2"/>
      <c r="G518" s="2"/>
      <c r="H518" s="2"/>
      <c r="I518" s="2"/>
      <c r="J518" s="2"/>
      <c r="K518" s="2"/>
      <c r="L518" s="19"/>
      <c r="M518" s="19"/>
      <c r="N518" s="2"/>
      <c r="O518" s="2"/>
      <c r="P518" s="2"/>
      <c r="Q518" s="2"/>
      <c r="R518" s="2"/>
      <c r="S518" s="2"/>
      <c r="T518" s="2"/>
      <c r="U518" s="2"/>
      <c r="V518" s="2"/>
      <c r="W518" s="2"/>
      <c r="X518" s="2"/>
      <c r="Y518" s="2"/>
      <c r="Z518" s="2"/>
    </row>
    <row r="519" customFormat="false" ht="12" hidden="false" customHeight="true" outlineLevel="0" collapsed="false">
      <c r="A519" s="2"/>
      <c r="B519" s="19"/>
      <c r="C519" s="19"/>
      <c r="D519" s="2"/>
      <c r="E519" s="2"/>
      <c r="F519" s="2"/>
      <c r="G519" s="2"/>
      <c r="H519" s="2"/>
      <c r="I519" s="2"/>
      <c r="J519" s="2"/>
      <c r="K519" s="2"/>
      <c r="L519" s="19"/>
      <c r="M519" s="19"/>
      <c r="N519" s="2"/>
      <c r="O519" s="2"/>
      <c r="P519" s="2"/>
      <c r="Q519" s="2"/>
      <c r="R519" s="2"/>
      <c r="S519" s="2"/>
      <c r="T519" s="2"/>
      <c r="U519" s="2"/>
      <c r="V519" s="2"/>
      <c r="W519" s="2"/>
      <c r="X519" s="2"/>
      <c r="Y519" s="2"/>
      <c r="Z519" s="2"/>
    </row>
    <row r="520" customFormat="false" ht="12" hidden="false" customHeight="true" outlineLevel="0" collapsed="false">
      <c r="A520" s="2"/>
      <c r="B520" s="19"/>
      <c r="C520" s="19"/>
      <c r="D520" s="2"/>
      <c r="E520" s="2"/>
      <c r="F520" s="2"/>
      <c r="G520" s="2"/>
      <c r="H520" s="2"/>
      <c r="I520" s="2"/>
      <c r="J520" s="2"/>
      <c r="K520" s="2"/>
      <c r="L520" s="19"/>
      <c r="M520" s="19"/>
      <c r="N520" s="2"/>
      <c r="O520" s="2"/>
      <c r="P520" s="2"/>
      <c r="Q520" s="2"/>
      <c r="R520" s="2"/>
      <c r="S520" s="2"/>
      <c r="T520" s="2"/>
      <c r="U520" s="2"/>
      <c r="V520" s="2"/>
      <c r="W520" s="2"/>
      <c r="X520" s="2"/>
      <c r="Y520" s="2"/>
      <c r="Z520" s="2"/>
    </row>
    <row r="521" customFormat="false" ht="12" hidden="false" customHeight="true" outlineLevel="0" collapsed="false">
      <c r="A521" s="2"/>
      <c r="B521" s="19"/>
      <c r="C521" s="19"/>
      <c r="D521" s="2"/>
      <c r="E521" s="2"/>
      <c r="F521" s="2"/>
      <c r="G521" s="2"/>
      <c r="H521" s="2"/>
      <c r="I521" s="2"/>
      <c r="J521" s="2"/>
      <c r="K521" s="2"/>
      <c r="L521" s="19"/>
      <c r="M521" s="19"/>
      <c r="N521" s="2"/>
      <c r="O521" s="2"/>
      <c r="P521" s="2"/>
      <c r="Q521" s="2"/>
      <c r="R521" s="2"/>
      <c r="S521" s="2"/>
      <c r="T521" s="2"/>
      <c r="U521" s="2"/>
      <c r="V521" s="2"/>
      <c r="W521" s="2"/>
      <c r="X521" s="2"/>
      <c r="Y521" s="2"/>
      <c r="Z521" s="2"/>
    </row>
    <row r="522" customFormat="false" ht="12" hidden="false" customHeight="true" outlineLevel="0" collapsed="false">
      <c r="A522" s="2"/>
      <c r="B522" s="19"/>
      <c r="C522" s="19"/>
      <c r="D522" s="2"/>
      <c r="E522" s="2"/>
      <c r="F522" s="2"/>
      <c r="G522" s="2"/>
      <c r="H522" s="2"/>
      <c r="I522" s="2"/>
      <c r="J522" s="2"/>
      <c r="K522" s="2"/>
      <c r="L522" s="19"/>
      <c r="M522" s="19"/>
      <c r="N522" s="2"/>
      <c r="O522" s="2"/>
      <c r="P522" s="2"/>
      <c r="Q522" s="2"/>
      <c r="R522" s="2"/>
      <c r="S522" s="2"/>
      <c r="T522" s="2"/>
      <c r="U522" s="2"/>
      <c r="V522" s="2"/>
      <c r="W522" s="2"/>
      <c r="X522" s="2"/>
      <c r="Y522" s="2"/>
      <c r="Z522" s="2"/>
    </row>
    <row r="523" customFormat="false" ht="12" hidden="false" customHeight="true" outlineLevel="0" collapsed="false">
      <c r="A523" s="2"/>
      <c r="B523" s="19"/>
      <c r="C523" s="19"/>
      <c r="D523" s="2"/>
      <c r="E523" s="2"/>
      <c r="F523" s="2"/>
      <c r="G523" s="2"/>
      <c r="H523" s="2"/>
      <c r="I523" s="2"/>
      <c r="J523" s="2"/>
      <c r="K523" s="2"/>
      <c r="L523" s="19"/>
      <c r="M523" s="19"/>
      <c r="N523" s="2"/>
      <c r="O523" s="2"/>
      <c r="P523" s="2"/>
      <c r="Q523" s="2"/>
      <c r="R523" s="2"/>
      <c r="S523" s="2"/>
      <c r="T523" s="2"/>
      <c r="U523" s="2"/>
      <c r="V523" s="2"/>
      <c r="W523" s="2"/>
      <c r="X523" s="2"/>
      <c r="Y523" s="2"/>
      <c r="Z523" s="2"/>
    </row>
    <row r="524" customFormat="false" ht="12" hidden="false" customHeight="true" outlineLevel="0" collapsed="false">
      <c r="A524" s="2"/>
      <c r="B524" s="19"/>
      <c r="C524" s="19"/>
      <c r="D524" s="2"/>
      <c r="E524" s="2"/>
      <c r="F524" s="2"/>
      <c r="G524" s="2"/>
      <c r="H524" s="2"/>
      <c r="I524" s="2"/>
      <c r="J524" s="2"/>
      <c r="K524" s="2"/>
      <c r="L524" s="19"/>
      <c r="M524" s="19"/>
      <c r="N524" s="2"/>
      <c r="O524" s="2"/>
      <c r="P524" s="2"/>
      <c r="Q524" s="2"/>
      <c r="R524" s="2"/>
      <c r="S524" s="2"/>
      <c r="T524" s="2"/>
      <c r="U524" s="2"/>
      <c r="V524" s="2"/>
      <c r="W524" s="2"/>
      <c r="X524" s="2"/>
      <c r="Y524" s="2"/>
      <c r="Z524" s="2"/>
    </row>
    <row r="525" customFormat="false" ht="12" hidden="false" customHeight="true" outlineLevel="0" collapsed="false">
      <c r="A525" s="2"/>
      <c r="B525" s="19"/>
      <c r="C525" s="19"/>
      <c r="D525" s="2"/>
      <c r="E525" s="2"/>
      <c r="F525" s="2"/>
      <c r="G525" s="2"/>
      <c r="H525" s="2"/>
      <c r="I525" s="2"/>
      <c r="J525" s="2"/>
      <c r="K525" s="2"/>
      <c r="L525" s="19"/>
      <c r="M525" s="19"/>
      <c r="N525" s="2"/>
      <c r="O525" s="2"/>
      <c r="P525" s="2"/>
      <c r="Q525" s="2"/>
      <c r="R525" s="2"/>
      <c r="S525" s="2"/>
      <c r="T525" s="2"/>
      <c r="U525" s="2"/>
      <c r="V525" s="2"/>
      <c r="W525" s="2"/>
      <c r="X525" s="2"/>
      <c r="Y525" s="2"/>
      <c r="Z525" s="2"/>
    </row>
    <row r="526" customFormat="false" ht="12" hidden="false" customHeight="true" outlineLevel="0" collapsed="false">
      <c r="A526" s="2"/>
      <c r="B526" s="19"/>
      <c r="C526" s="19"/>
      <c r="D526" s="2"/>
      <c r="E526" s="2"/>
      <c r="F526" s="2"/>
      <c r="G526" s="2"/>
      <c r="H526" s="2"/>
      <c r="I526" s="2"/>
      <c r="J526" s="2"/>
      <c r="K526" s="2"/>
      <c r="L526" s="19"/>
      <c r="M526" s="19"/>
      <c r="N526" s="2"/>
      <c r="O526" s="2"/>
      <c r="P526" s="2"/>
      <c r="Q526" s="2"/>
      <c r="R526" s="2"/>
      <c r="S526" s="2"/>
      <c r="T526" s="2"/>
      <c r="U526" s="2"/>
      <c r="V526" s="2"/>
      <c r="W526" s="2"/>
      <c r="X526" s="2"/>
      <c r="Y526" s="2"/>
      <c r="Z526" s="2"/>
    </row>
    <row r="527" customFormat="false" ht="12" hidden="false" customHeight="true" outlineLevel="0" collapsed="false">
      <c r="A527" s="2"/>
      <c r="B527" s="19"/>
      <c r="C527" s="19"/>
      <c r="D527" s="2"/>
      <c r="E527" s="2"/>
      <c r="F527" s="2"/>
      <c r="G527" s="2"/>
      <c r="H527" s="2"/>
      <c r="I527" s="2"/>
      <c r="J527" s="2"/>
      <c r="K527" s="2"/>
      <c r="L527" s="19"/>
      <c r="M527" s="19"/>
      <c r="N527" s="2"/>
      <c r="O527" s="2"/>
      <c r="P527" s="2"/>
      <c r="Q527" s="2"/>
      <c r="R527" s="2"/>
      <c r="S527" s="2"/>
      <c r="T527" s="2"/>
      <c r="U527" s="2"/>
      <c r="V527" s="2"/>
      <c r="W527" s="2"/>
      <c r="X527" s="2"/>
      <c r="Y527" s="2"/>
      <c r="Z527" s="2"/>
    </row>
    <row r="528" customFormat="false" ht="12" hidden="false" customHeight="true" outlineLevel="0" collapsed="false">
      <c r="A528" s="2"/>
      <c r="B528" s="19"/>
      <c r="C528" s="19"/>
      <c r="D528" s="2"/>
      <c r="E528" s="2"/>
      <c r="F528" s="2"/>
      <c r="G528" s="2"/>
      <c r="H528" s="2"/>
      <c r="I528" s="2"/>
      <c r="J528" s="2"/>
      <c r="K528" s="2"/>
      <c r="L528" s="19"/>
      <c r="M528" s="19"/>
      <c r="N528" s="2"/>
      <c r="O528" s="2"/>
      <c r="P528" s="2"/>
      <c r="Q528" s="2"/>
      <c r="R528" s="2"/>
      <c r="S528" s="2"/>
      <c r="T528" s="2"/>
      <c r="U528" s="2"/>
      <c r="V528" s="2"/>
      <c r="W528" s="2"/>
      <c r="X528" s="2"/>
      <c r="Y528" s="2"/>
      <c r="Z528" s="2"/>
    </row>
    <row r="529" customFormat="false" ht="12" hidden="false" customHeight="true" outlineLevel="0" collapsed="false">
      <c r="A529" s="2"/>
      <c r="B529" s="19"/>
      <c r="C529" s="19"/>
      <c r="D529" s="2"/>
      <c r="E529" s="2"/>
      <c r="F529" s="2"/>
      <c r="G529" s="2"/>
      <c r="H529" s="2"/>
      <c r="I529" s="2"/>
      <c r="J529" s="2"/>
      <c r="K529" s="2"/>
      <c r="L529" s="19"/>
      <c r="M529" s="19"/>
      <c r="N529" s="2"/>
      <c r="O529" s="2"/>
      <c r="P529" s="2"/>
      <c r="Q529" s="2"/>
      <c r="R529" s="2"/>
      <c r="S529" s="2"/>
      <c r="T529" s="2"/>
      <c r="U529" s="2"/>
      <c r="V529" s="2"/>
      <c r="W529" s="2"/>
      <c r="X529" s="2"/>
      <c r="Y529" s="2"/>
      <c r="Z529" s="2"/>
    </row>
    <row r="530" customFormat="false" ht="12" hidden="false" customHeight="true" outlineLevel="0" collapsed="false">
      <c r="A530" s="2"/>
      <c r="B530" s="19"/>
      <c r="C530" s="19"/>
      <c r="D530" s="2"/>
      <c r="E530" s="2"/>
      <c r="F530" s="2"/>
      <c r="G530" s="2"/>
      <c r="H530" s="2"/>
      <c r="I530" s="2"/>
      <c r="J530" s="2"/>
      <c r="K530" s="2"/>
      <c r="L530" s="19"/>
      <c r="M530" s="19"/>
      <c r="N530" s="2"/>
      <c r="O530" s="2"/>
      <c r="P530" s="2"/>
      <c r="Q530" s="2"/>
      <c r="R530" s="2"/>
      <c r="S530" s="2"/>
      <c r="T530" s="2"/>
      <c r="U530" s="2"/>
      <c r="V530" s="2"/>
      <c r="W530" s="2"/>
      <c r="X530" s="2"/>
      <c r="Y530" s="2"/>
      <c r="Z530" s="2"/>
    </row>
    <row r="531" customFormat="false" ht="12" hidden="false" customHeight="true" outlineLevel="0" collapsed="false">
      <c r="A531" s="2"/>
      <c r="B531" s="19"/>
      <c r="C531" s="19"/>
      <c r="D531" s="2"/>
      <c r="E531" s="2"/>
      <c r="F531" s="2"/>
      <c r="G531" s="2"/>
      <c r="H531" s="2"/>
      <c r="I531" s="2"/>
      <c r="J531" s="2"/>
      <c r="K531" s="2"/>
      <c r="L531" s="19"/>
      <c r="M531" s="19"/>
      <c r="N531" s="2"/>
      <c r="O531" s="2"/>
      <c r="P531" s="2"/>
      <c r="Q531" s="2"/>
      <c r="R531" s="2"/>
      <c r="S531" s="2"/>
      <c r="T531" s="2"/>
      <c r="U531" s="2"/>
      <c r="V531" s="2"/>
      <c r="W531" s="2"/>
      <c r="X531" s="2"/>
      <c r="Y531" s="2"/>
      <c r="Z531" s="2"/>
    </row>
    <row r="532" customFormat="false" ht="12" hidden="false" customHeight="true" outlineLevel="0" collapsed="false">
      <c r="A532" s="2"/>
      <c r="B532" s="19"/>
      <c r="C532" s="19"/>
      <c r="D532" s="2"/>
      <c r="E532" s="2"/>
      <c r="F532" s="2"/>
      <c r="G532" s="2"/>
      <c r="H532" s="2"/>
      <c r="I532" s="2"/>
      <c r="J532" s="2"/>
      <c r="K532" s="2"/>
      <c r="L532" s="19"/>
      <c r="M532" s="19"/>
      <c r="N532" s="2"/>
      <c r="O532" s="2"/>
      <c r="P532" s="2"/>
      <c r="Q532" s="2"/>
      <c r="R532" s="2"/>
      <c r="S532" s="2"/>
      <c r="T532" s="2"/>
      <c r="U532" s="2"/>
      <c r="V532" s="2"/>
      <c r="W532" s="2"/>
      <c r="X532" s="2"/>
      <c r="Y532" s="2"/>
      <c r="Z532" s="2"/>
    </row>
    <row r="533" customFormat="false" ht="12" hidden="false" customHeight="true" outlineLevel="0" collapsed="false">
      <c r="A533" s="2"/>
      <c r="B533" s="19"/>
      <c r="C533" s="19"/>
      <c r="D533" s="2"/>
      <c r="E533" s="2"/>
      <c r="F533" s="2"/>
      <c r="G533" s="2"/>
      <c r="H533" s="2"/>
      <c r="I533" s="2"/>
      <c r="J533" s="2"/>
      <c r="K533" s="2"/>
      <c r="L533" s="19"/>
      <c r="M533" s="19"/>
      <c r="N533" s="2"/>
      <c r="O533" s="2"/>
      <c r="P533" s="2"/>
      <c r="Q533" s="2"/>
      <c r="R533" s="2"/>
      <c r="S533" s="2"/>
      <c r="T533" s="2"/>
      <c r="U533" s="2"/>
      <c r="V533" s="2"/>
      <c r="W533" s="2"/>
      <c r="X533" s="2"/>
      <c r="Y533" s="2"/>
      <c r="Z533" s="2"/>
    </row>
    <row r="534" customFormat="false" ht="12" hidden="false" customHeight="true" outlineLevel="0" collapsed="false">
      <c r="A534" s="2"/>
      <c r="B534" s="19"/>
      <c r="C534" s="19"/>
      <c r="D534" s="2"/>
      <c r="E534" s="2"/>
      <c r="F534" s="2"/>
      <c r="G534" s="2"/>
      <c r="H534" s="2"/>
      <c r="I534" s="2"/>
      <c r="J534" s="2"/>
      <c r="K534" s="2"/>
      <c r="L534" s="19"/>
      <c r="M534" s="19"/>
      <c r="N534" s="2"/>
      <c r="O534" s="2"/>
      <c r="P534" s="2"/>
      <c r="Q534" s="2"/>
      <c r="R534" s="2"/>
      <c r="S534" s="2"/>
      <c r="T534" s="2"/>
      <c r="U534" s="2"/>
      <c r="V534" s="2"/>
      <c r="W534" s="2"/>
      <c r="X534" s="2"/>
      <c r="Y534" s="2"/>
      <c r="Z534" s="2"/>
    </row>
    <row r="535" customFormat="false" ht="12" hidden="false" customHeight="true" outlineLevel="0" collapsed="false">
      <c r="A535" s="2"/>
      <c r="B535" s="19"/>
      <c r="C535" s="19"/>
      <c r="D535" s="2"/>
      <c r="E535" s="2"/>
      <c r="F535" s="2"/>
      <c r="G535" s="2"/>
      <c r="H535" s="2"/>
      <c r="I535" s="2"/>
      <c r="J535" s="2"/>
      <c r="K535" s="2"/>
      <c r="L535" s="19"/>
      <c r="M535" s="19"/>
      <c r="N535" s="2"/>
      <c r="O535" s="2"/>
      <c r="P535" s="2"/>
      <c r="Q535" s="2"/>
      <c r="R535" s="2"/>
      <c r="S535" s="2"/>
      <c r="T535" s="2"/>
      <c r="U535" s="2"/>
      <c r="V535" s="2"/>
      <c r="W535" s="2"/>
      <c r="X535" s="2"/>
      <c r="Y535" s="2"/>
      <c r="Z535" s="2"/>
    </row>
    <row r="536" customFormat="false" ht="12" hidden="false" customHeight="true" outlineLevel="0" collapsed="false">
      <c r="A536" s="2"/>
      <c r="B536" s="19"/>
      <c r="C536" s="19"/>
      <c r="D536" s="2"/>
      <c r="E536" s="2"/>
      <c r="F536" s="2"/>
      <c r="G536" s="2"/>
      <c r="H536" s="2"/>
      <c r="I536" s="2"/>
      <c r="J536" s="2"/>
      <c r="K536" s="2"/>
      <c r="L536" s="19"/>
      <c r="M536" s="19"/>
      <c r="N536" s="2"/>
      <c r="O536" s="2"/>
      <c r="P536" s="2"/>
      <c r="Q536" s="2"/>
      <c r="R536" s="2"/>
      <c r="S536" s="2"/>
      <c r="T536" s="2"/>
      <c r="U536" s="2"/>
      <c r="V536" s="2"/>
      <c r="W536" s="2"/>
      <c r="X536" s="2"/>
      <c r="Y536" s="2"/>
      <c r="Z536" s="2"/>
    </row>
    <row r="537" customFormat="false" ht="12" hidden="false" customHeight="true" outlineLevel="0" collapsed="false">
      <c r="A537" s="2"/>
      <c r="B537" s="19"/>
      <c r="C537" s="19"/>
      <c r="D537" s="2"/>
      <c r="E537" s="2"/>
      <c r="F537" s="2"/>
      <c r="G537" s="2"/>
      <c r="H537" s="2"/>
      <c r="I537" s="2"/>
      <c r="J537" s="2"/>
      <c r="K537" s="2"/>
      <c r="L537" s="19"/>
      <c r="M537" s="19"/>
      <c r="N537" s="2"/>
      <c r="O537" s="2"/>
      <c r="P537" s="2"/>
      <c r="Q537" s="2"/>
      <c r="R537" s="2"/>
      <c r="S537" s="2"/>
      <c r="T537" s="2"/>
      <c r="U537" s="2"/>
      <c r="V537" s="2"/>
      <c r="W537" s="2"/>
      <c r="X537" s="2"/>
      <c r="Y537" s="2"/>
      <c r="Z537" s="2"/>
    </row>
    <row r="538" customFormat="false" ht="12" hidden="false" customHeight="true" outlineLevel="0" collapsed="false">
      <c r="A538" s="2"/>
      <c r="B538" s="19"/>
      <c r="C538" s="19"/>
      <c r="D538" s="2"/>
      <c r="E538" s="2"/>
      <c r="F538" s="2"/>
      <c r="G538" s="2"/>
      <c r="H538" s="2"/>
      <c r="I538" s="2"/>
      <c r="J538" s="2"/>
      <c r="K538" s="2"/>
      <c r="L538" s="19"/>
      <c r="M538" s="19"/>
      <c r="N538" s="2"/>
      <c r="O538" s="2"/>
      <c r="P538" s="2"/>
      <c r="Q538" s="2"/>
      <c r="R538" s="2"/>
      <c r="S538" s="2"/>
      <c r="T538" s="2"/>
      <c r="U538" s="2"/>
      <c r="V538" s="2"/>
      <c r="W538" s="2"/>
      <c r="X538" s="2"/>
      <c r="Y538" s="2"/>
      <c r="Z538" s="2"/>
    </row>
    <row r="539" customFormat="false" ht="12" hidden="false" customHeight="true" outlineLevel="0" collapsed="false">
      <c r="A539" s="2"/>
      <c r="B539" s="19"/>
      <c r="C539" s="19"/>
      <c r="D539" s="2"/>
      <c r="E539" s="2"/>
      <c r="F539" s="2"/>
      <c r="G539" s="2"/>
      <c r="H539" s="2"/>
      <c r="I539" s="2"/>
      <c r="J539" s="2"/>
      <c r="K539" s="2"/>
      <c r="L539" s="19"/>
      <c r="M539" s="19"/>
      <c r="N539" s="2"/>
      <c r="O539" s="2"/>
      <c r="P539" s="2"/>
      <c r="Q539" s="2"/>
      <c r="R539" s="2"/>
      <c r="S539" s="2"/>
      <c r="T539" s="2"/>
      <c r="U539" s="2"/>
      <c r="V539" s="2"/>
      <c r="W539" s="2"/>
      <c r="X539" s="2"/>
      <c r="Y539" s="2"/>
      <c r="Z539" s="2"/>
    </row>
    <row r="540" customFormat="false" ht="12" hidden="false" customHeight="true" outlineLevel="0" collapsed="false">
      <c r="A540" s="2"/>
      <c r="B540" s="19"/>
      <c r="C540" s="19"/>
      <c r="D540" s="2"/>
      <c r="E540" s="2"/>
      <c r="F540" s="2"/>
      <c r="G540" s="2"/>
      <c r="H540" s="2"/>
      <c r="I540" s="2"/>
      <c r="J540" s="2"/>
      <c r="K540" s="2"/>
      <c r="L540" s="19"/>
      <c r="M540" s="19"/>
      <c r="N540" s="2"/>
      <c r="O540" s="2"/>
      <c r="P540" s="2"/>
      <c r="Q540" s="2"/>
      <c r="R540" s="2"/>
      <c r="S540" s="2"/>
      <c r="T540" s="2"/>
      <c r="U540" s="2"/>
      <c r="V540" s="2"/>
      <c r="W540" s="2"/>
      <c r="X540" s="2"/>
      <c r="Y540" s="2"/>
      <c r="Z540" s="2"/>
    </row>
    <row r="541" customFormat="false" ht="12" hidden="false" customHeight="true" outlineLevel="0" collapsed="false">
      <c r="A541" s="2"/>
      <c r="B541" s="19"/>
      <c r="C541" s="19"/>
      <c r="D541" s="2"/>
      <c r="E541" s="2"/>
      <c r="F541" s="2"/>
      <c r="G541" s="2"/>
      <c r="H541" s="2"/>
      <c r="I541" s="2"/>
      <c r="J541" s="2"/>
      <c r="K541" s="2"/>
      <c r="L541" s="19"/>
      <c r="M541" s="19"/>
      <c r="N541" s="2"/>
      <c r="O541" s="2"/>
      <c r="P541" s="2"/>
      <c r="Q541" s="2"/>
      <c r="R541" s="2"/>
      <c r="S541" s="2"/>
      <c r="T541" s="2"/>
      <c r="U541" s="2"/>
      <c r="V541" s="2"/>
      <c r="W541" s="2"/>
      <c r="X541" s="2"/>
      <c r="Y541" s="2"/>
      <c r="Z541" s="2"/>
    </row>
    <row r="542" customFormat="false" ht="12" hidden="false" customHeight="true" outlineLevel="0" collapsed="false">
      <c r="A542" s="2"/>
      <c r="B542" s="19"/>
      <c r="C542" s="19"/>
      <c r="D542" s="2"/>
      <c r="E542" s="2"/>
      <c r="F542" s="2"/>
      <c r="G542" s="2"/>
      <c r="H542" s="2"/>
      <c r="I542" s="2"/>
      <c r="J542" s="2"/>
      <c r="K542" s="2"/>
      <c r="L542" s="19"/>
      <c r="M542" s="19"/>
      <c r="N542" s="2"/>
      <c r="O542" s="2"/>
      <c r="P542" s="2"/>
      <c r="Q542" s="2"/>
      <c r="R542" s="2"/>
      <c r="S542" s="2"/>
      <c r="T542" s="2"/>
      <c r="U542" s="2"/>
      <c r="V542" s="2"/>
      <c r="W542" s="2"/>
      <c r="X542" s="2"/>
      <c r="Y542" s="2"/>
      <c r="Z542" s="2"/>
    </row>
    <row r="543" customFormat="false" ht="12" hidden="false" customHeight="true" outlineLevel="0" collapsed="false">
      <c r="A543" s="2"/>
      <c r="B543" s="19"/>
      <c r="C543" s="19"/>
      <c r="D543" s="2"/>
      <c r="E543" s="2"/>
      <c r="F543" s="2"/>
      <c r="G543" s="2"/>
      <c r="H543" s="2"/>
      <c r="I543" s="2"/>
      <c r="J543" s="2"/>
      <c r="K543" s="2"/>
      <c r="L543" s="19"/>
      <c r="M543" s="19"/>
      <c r="N543" s="2"/>
      <c r="O543" s="2"/>
      <c r="P543" s="2"/>
      <c r="Q543" s="2"/>
      <c r="R543" s="2"/>
      <c r="S543" s="2"/>
      <c r="T543" s="2"/>
      <c r="U543" s="2"/>
      <c r="V543" s="2"/>
      <c r="W543" s="2"/>
      <c r="X543" s="2"/>
      <c r="Y543" s="2"/>
      <c r="Z543" s="2"/>
    </row>
    <row r="544" customFormat="false" ht="12" hidden="false" customHeight="true" outlineLevel="0" collapsed="false">
      <c r="A544" s="2"/>
      <c r="B544" s="19"/>
      <c r="C544" s="19"/>
      <c r="D544" s="2"/>
      <c r="E544" s="2"/>
      <c r="F544" s="2"/>
      <c r="G544" s="2"/>
      <c r="H544" s="2"/>
      <c r="I544" s="2"/>
      <c r="J544" s="2"/>
      <c r="K544" s="2"/>
      <c r="L544" s="19"/>
      <c r="M544" s="19"/>
      <c r="N544" s="2"/>
      <c r="O544" s="2"/>
      <c r="P544" s="2"/>
      <c r="Q544" s="2"/>
      <c r="R544" s="2"/>
      <c r="S544" s="2"/>
      <c r="T544" s="2"/>
      <c r="U544" s="2"/>
      <c r="V544" s="2"/>
      <c r="W544" s="2"/>
      <c r="X544" s="2"/>
      <c r="Y544" s="2"/>
      <c r="Z544" s="2"/>
    </row>
    <row r="545" customFormat="false" ht="12" hidden="false" customHeight="true" outlineLevel="0" collapsed="false">
      <c r="A545" s="2"/>
      <c r="B545" s="19"/>
      <c r="C545" s="19"/>
      <c r="D545" s="2"/>
      <c r="E545" s="2"/>
      <c r="F545" s="2"/>
      <c r="G545" s="2"/>
      <c r="H545" s="2"/>
      <c r="I545" s="2"/>
      <c r="J545" s="2"/>
      <c r="K545" s="2"/>
      <c r="L545" s="19"/>
      <c r="M545" s="19"/>
      <c r="N545" s="2"/>
      <c r="O545" s="2"/>
      <c r="P545" s="2"/>
      <c r="Q545" s="2"/>
      <c r="R545" s="2"/>
      <c r="S545" s="2"/>
      <c r="T545" s="2"/>
      <c r="U545" s="2"/>
      <c r="V545" s="2"/>
      <c r="W545" s="2"/>
      <c r="X545" s="2"/>
      <c r="Y545" s="2"/>
      <c r="Z545" s="2"/>
    </row>
    <row r="546" customFormat="false" ht="12" hidden="false" customHeight="true" outlineLevel="0" collapsed="false">
      <c r="A546" s="2"/>
      <c r="B546" s="19"/>
      <c r="C546" s="19"/>
      <c r="D546" s="2"/>
      <c r="E546" s="2"/>
      <c r="F546" s="2"/>
      <c r="G546" s="2"/>
      <c r="H546" s="2"/>
      <c r="I546" s="2"/>
      <c r="J546" s="2"/>
      <c r="K546" s="2"/>
      <c r="L546" s="19"/>
      <c r="M546" s="19"/>
      <c r="N546" s="2"/>
      <c r="O546" s="2"/>
      <c r="P546" s="2"/>
      <c r="Q546" s="2"/>
      <c r="R546" s="2"/>
      <c r="S546" s="2"/>
      <c r="T546" s="2"/>
      <c r="U546" s="2"/>
      <c r="V546" s="2"/>
      <c r="W546" s="2"/>
      <c r="X546" s="2"/>
      <c r="Y546" s="2"/>
      <c r="Z546" s="2"/>
    </row>
    <row r="547" customFormat="false" ht="12" hidden="false" customHeight="true" outlineLevel="0" collapsed="false">
      <c r="A547" s="2"/>
      <c r="B547" s="19"/>
      <c r="C547" s="19"/>
      <c r="D547" s="2"/>
      <c r="E547" s="2"/>
      <c r="F547" s="2"/>
      <c r="G547" s="2"/>
      <c r="H547" s="2"/>
      <c r="I547" s="2"/>
      <c r="J547" s="2"/>
      <c r="K547" s="2"/>
      <c r="L547" s="19"/>
      <c r="M547" s="19"/>
      <c r="N547" s="2"/>
      <c r="O547" s="2"/>
      <c r="P547" s="2"/>
      <c r="Q547" s="2"/>
      <c r="R547" s="2"/>
      <c r="S547" s="2"/>
      <c r="T547" s="2"/>
      <c r="U547" s="2"/>
      <c r="V547" s="2"/>
      <c r="W547" s="2"/>
      <c r="X547" s="2"/>
      <c r="Y547" s="2"/>
      <c r="Z547" s="2"/>
    </row>
    <row r="548" customFormat="false" ht="12" hidden="false" customHeight="true" outlineLevel="0" collapsed="false">
      <c r="A548" s="2"/>
      <c r="B548" s="19"/>
      <c r="C548" s="19"/>
      <c r="D548" s="2"/>
      <c r="E548" s="2"/>
      <c r="F548" s="2"/>
      <c r="G548" s="2"/>
      <c r="H548" s="2"/>
      <c r="I548" s="2"/>
      <c r="J548" s="2"/>
      <c r="K548" s="2"/>
      <c r="L548" s="19"/>
      <c r="M548" s="19"/>
      <c r="N548" s="2"/>
      <c r="O548" s="2"/>
      <c r="P548" s="2"/>
      <c r="Q548" s="2"/>
      <c r="R548" s="2"/>
      <c r="S548" s="2"/>
      <c r="T548" s="2"/>
      <c r="U548" s="2"/>
      <c r="V548" s="2"/>
      <c r="W548" s="2"/>
      <c r="X548" s="2"/>
      <c r="Y548" s="2"/>
      <c r="Z548" s="2"/>
    </row>
    <row r="549" customFormat="false" ht="12" hidden="false" customHeight="true" outlineLevel="0" collapsed="false">
      <c r="A549" s="2"/>
      <c r="B549" s="19"/>
      <c r="C549" s="19"/>
      <c r="D549" s="2"/>
      <c r="E549" s="2"/>
      <c r="F549" s="2"/>
      <c r="G549" s="2"/>
      <c r="H549" s="2"/>
      <c r="I549" s="2"/>
      <c r="J549" s="2"/>
      <c r="K549" s="2"/>
      <c r="L549" s="19"/>
      <c r="M549" s="19"/>
      <c r="N549" s="2"/>
      <c r="O549" s="2"/>
      <c r="P549" s="2"/>
      <c r="Q549" s="2"/>
      <c r="R549" s="2"/>
      <c r="S549" s="2"/>
      <c r="T549" s="2"/>
      <c r="U549" s="2"/>
      <c r="V549" s="2"/>
      <c r="W549" s="2"/>
      <c r="X549" s="2"/>
      <c r="Y549" s="2"/>
      <c r="Z549" s="2"/>
    </row>
    <row r="550" customFormat="false" ht="12" hidden="false" customHeight="true" outlineLevel="0" collapsed="false">
      <c r="A550" s="2"/>
      <c r="B550" s="19"/>
      <c r="C550" s="19"/>
      <c r="D550" s="2"/>
      <c r="E550" s="2"/>
      <c r="F550" s="2"/>
      <c r="G550" s="2"/>
      <c r="H550" s="2"/>
      <c r="I550" s="2"/>
      <c r="J550" s="2"/>
      <c r="K550" s="2"/>
      <c r="L550" s="19"/>
      <c r="M550" s="19"/>
      <c r="N550" s="2"/>
      <c r="O550" s="2"/>
      <c r="P550" s="2"/>
      <c r="Q550" s="2"/>
      <c r="R550" s="2"/>
      <c r="S550" s="2"/>
      <c r="T550" s="2"/>
      <c r="U550" s="2"/>
      <c r="V550" s="2"/>
      <c r="W550" s="2"/>
      <c r="X550" s="2"/>
      <c r="Y550" s="2"/>
      <c r="Z550" s="2"/>
    </row>
    <row r="551" customFormat="false" ht="12" hidden="false" customHeight="true" outlineLevel="0" collapsed="false">
      <c r="A551" s="2"/>
      <c r="B551" s="19"/>
      <c r="C551" s="19"/>
      <c r="D551" s="2"/>
      <c r="E551" s="2"/>
      <c r="F551" s="2"/>
      <c r="G551" s="2"/>
      <c r="H551" s="2"/>
      <c r="I551" s="2"/>
      <c r="J551" s="2"/>
      <c r="K551" s="2"/>
      <c r="L551" s="19"/>
      <c r="M551" s="19"/>
      <c r="N551" s="2"/>
      <c r="O551" s="2"/>
      <c r="P551" s="2"/>
      <c r="Q551" s="2"/>
      <c r="R551" s="2"/>
      <c r="S551" s="2"/>
      <c r="T551" s="2"/>
      <c r="U551" s="2"/>
      <c r="V551" s="2"/>
      <c r="W551" s="2"/>
      <c r="X551" s="2"/>
      <c r="Y551" s="2"/>
      <c r="Z551" s="2"/>
    </row>
    <row r="552" customFormat="false" ht="12" hidden="false" customHeight="true" outlineLevel="0" collapsed="false">
      <c r="A552" s="2"/>
      <c r="B552" s="19"/>
      <c r="C552" s="19"/>
      <c r="D552" s="2"/>
      <c r="E552" s="2"/>
      <c r="F552" s="2"/>
      <c r="G552" s="2"/>
      <c r="H552" s="2"/>
      <c r="I552" s="2"/>
      <c r="J552" s="2"/>
      <c r="K552" s="2"/>
      <c r="L552" s="19"/>
      <c r="M552" s="19"/>
      <c r="N552" s="2"/>
      <c r="O552" s="2"/>
      <c r="P552" s="2"/>
      <c r="Q552" s="2"/>
      <c r="R552" s="2"/>
      <c r="S552" s="2"/>
      <c r="T552" s="2"/>
      <c r="U552" s="2"/>
      <c r="V552" s="2"/>
      <c r="W552" s="2"/>
      <c r="X552" s="2"/>
      <c r="Y552" s="2"/>
      <c r="Z552" s="2"/>
    </row>
    <row r="553" customFormat="false" ht="12" hidden="false" customHeight="true" outlineLevel="0" collapsed="false">
      <c r="A553" s="2"/>
      <c r="B553" s="19"/>
      <c r="C553" s="19"/>
      <c r="D553" s="2"/>
      <c r="E553" s="2"/>
      <c r="F553" s="2"/>
      <c r="G553" s="2"/>
      <c r="H553" s="2"/>
      <c r="I553" s="2"/>
      <c r="J553" s="2"/>
      <c r="K553" s="2"/>
      <c r="L553" s="19"/>
      <c r="M553" s="19"/>
      <c r="N553" s="2"/>
      <c r="O553" s="2"/>
      <c r="P553" s="2"/>
      <c r="Q553" s="2"/>
      <c r="R553" s="2"/>
      <c r="S553" s="2"/>
      <c r="T553" s="2"/>
      <c r="U553" s="2"/>
      <c r="V553" s="2"/>
      <c r="W553" s="2"/>
      <c r="X553" s="2"/>
      <c r="Y553" s="2"/>
      <c r="Z553" s="2"/>
    </row>
    <row r="554" customFormat="false" ht="12" hidden="false" customHeight="true" outlineLevel="0" collapsed="false">
      <c r="A554" s="2"/>
      <c r="B554" s="19"/>
      <c r="C554" s="19"/>
      <c r="D554" s="2"/>
      <c r="E554" s="2"/>
      <c r="F554" s="2"/>
      <c r="G554" s="2"/>
      <c r="H554" s="2"/>
      <c r="I554" s="2"/>
      <c r="J554" s="2"/>
      <c r="K554" s="2"/>
      <c r="L554" s="19"/>
      <c r="M554" s="19"/>
      <c r="N554" s="2"/>
      <c r="O554" s="2"/>
      <c r="P554" s="2"/>
      <c r="Q554" s="2"/>
      <c r="R554" s="2"/>
      <c r="S554" s="2"/>
      <c r="T554" s="2"/>
      <c r="U554" s="2"/>
      <c r="V554" s="2"/>
      <c r="W554" s="2"/>
      <c r="X554" s="2"/>
      <c r="Y554" s="2"/>
      <c r="Z554" s="2"/>
    </row>
    <row r="555" customFormat="false" ht="12" hidden="false" customHeight="true" outlineLevel="0" collapsed="false">
      <c r="A555" s="2"/>
      <c r="B555" s="19"/>
      <c r="C555" s="19"/>
      <c r="D555" s="2"/>
      <c r="E555" s="2"/>
      <c r="F555" s="2"/>
      <c r="G555" s="2"/>
      <c r="H555" s="2"/>
      <c r="I555" s="2"/>
      <c r="J555" s="2"/>
      <c r="K555" s="2"/>
      <c r="L555" s="19"/>
      <c r="M555" s="19"/>
      <c r="N555" s="2"/>
      <c r="O555" s="2"/>
      <c r="P555" s="2"/>
      <c r="Q555" s="2"/>
      <c r="R555" s="2"/>
      <c r="S555" s="2"/>
      <c r="T555" s="2"/>
      <c r="U555" s="2"/>
      <c r="V555" s="2"/>
      <c r="W555" s="2"/>
      <c r="X555" s="2"/>
      <c r="Y555" s="2"/>
      <c r="Z555" s="2"/>
    </row>
    <row r="556" customFormat="false" ht="12" hidden="false" customHeight="true" outlineLevel="0" collapsed="false">
      <c r="A556" s="2"/>
      <c r="B556" s="19"/>
      <c r="C556" s="19"/>
      <c r="D556" s="2"/>
      <c r="E556" s="2"/>
      <c r="F556" s="2"/>
      <c r="G556" s="2"/>
      <c r="H556" s="2"/>
      <c r="I556" s="2"/>
      <c r="J556" s="2"/>
      <c r="K556" s="2"/>
      <c r="L556" s="19"/>
      <c r="M556" s="19"/>
      <c r="N556" s="2"/>
      <c r="O556" s="2"/>
      <c r="P556" s="2"/>
      <c r="Q556" s="2"/>
      <c r="R556" s="2"/>
      <c r="S556" s="2"/>
      <c r="T556" s="2"/>
      <c r="U556" s="2"/>
      <c r="V556" s="2"/>
      <c r="W556" s="2"/>
      <c r="X556" s="2"/>
      <c r="Y556" s="2"/>
      <c r="Z556" s="2"/>
    </row>
    <row r="557" customFormat="false" ht="12" hidden="false" customHeight="true" outlineLevel="0" collapsed="false">
      <c r="A557" s="2"/>
      <c r="B557" s="19"/>
      <c r="C557" s="19"/>
      <c r="D557" s="2"/>
      <c r="E557" s="2"/>
      <c r="F557" s="2"/>
      <c r="G557" s="2"/>
      <c r="H557" s="2"/>
      <c r="I557" s="2"/>
      <c r="J557" s="2"/>
      <c r="K557" s="2"/>
      <c r="L557" s="19"/>
      <c r="M557" s="19"/>
      <c r="N557" s="2"/>
      <c r="O557" s="2"/>
      <c r="P557" s="2"/>
      <c r="Q557" s="2"/>
      <c r="R557" s="2"/>
      <c r="S557" s="2"/>
      <c r="T557" s="2"/>
      <c r="U557" s="2"/>
      <c r="V557" s="2"/>
      <c r="W557" s="2"/>
      <c r="X557" s="2"/>
      <c r="Y557" s="2"/>
      <c r="Z557" s="2"/>
    </row>
    <row r="558" customFormat="false" ht="12" hidden="false" customHeight="true" outlineLevel="0" collapsed="false">
      <c r="A558" s="2"/>
      <c r="B558" s="19"/>
      <c r="C558" s="19"/>
      <c r="D558" s="2"/>
      <c r="E558" s="2"/>
      <c r="F558" s="2"/>
      <c r="G558" s="2"/>
      <c r="H558" s="2"/>
      <c r="I558" s="2"/>
      <c r="J558" s="2"/>
      <c r="K558" s="2"/>
      <c r="L558" s="19"/>
      <c r="M558" s="19"/>
      <c r="N558" s="2"/>
      <c r="O558" s="2"/>
      <c r="P558" s="2"/>
      <c r="Q558" s="2"/>
      <c r="R558" s="2"/>
      <c r="S558" s="2"/>
      <c r="T558" s="2"/>
      <c r="U558" s="2"/>
      <c r="V558" s="2"/>
      <c r="W558" s="2"/>
      <c r="X558" s="2"/>
      <c r="Y558" s="2"/>
      <c r="Z558" s="2"/>
    </row>
    <row r="559" customFormat="false" ht="12" hidden="false" customHeight="true" outlineLevel="0" collapsed="false">
      <c r="A559" s="2"/>
      <c r="B559" s="19"/>
      <c r="C559" s="19"/>
      <c r="D559" s="2"/>
      <c r="E559" s="2"/>
      <c r="F559" s="2"/>
      <c r="G559" s="2"/>
      <c r="H559" s="2"/>
      <c r="I559" s="2"/>
      <c r="J559" s="2"/>
      <c r="K559" s="2"/>
      <c r="L559" s="19"/>
      <c r="M559" s="19"/>
      <c r="N559" s="2"/>
      <c r="O559" s="2"/>
      <c r="P559" s="2"/>
      <c r="Q559" s="2"/>
      <c r="R559" s="2"/>
      <c r="S559" s="2"/>
      <c r="T559" s="2"/>
      <c r="U559" s="2"/>
      <c r="V559" s="2"/>
      <c r="W559" s="2"/>
      <c r="X559" s="2"/>
      <c r="Y559" s="2"/>
      <c r="Z559" s="2"/>
    </row>
    <row r="560" customFormat="false" ht="12" hidden="false" customHeight="true" outlineLevel="0" collapsed="false">
      <c r="A560" s="2"/>
      <c r="B560" s="19"/>
      <c r="C560" s="19"/>
      <c r="D560" s="2"/>
      <c r="E560" s="2"/>
      <c r="F560" s="2"/>
      <c r="G560" s="2"/>
      <c r="H560" s="2"/>
      <c r="I560" s="2"/>
      <c r="J560" s="2"/>
      <c r="K560" s="2"/>
      <c r="L560" s="19"/>
      <c r="M560" s="19"/>
      <c r="N560" s="2"/>
      <c r="O560" s="2"/>
      <c r="P560" s="2"/>
      <c r="Q560" s="2"/>
      <c r="R560" s="2"/>
      <c r="S560" s="2"/>
      <c r="T560" s="2"/>
      <c r="U560" s="2"/>
      <c r="V560" s="2"/>
      <c r="W560" s="2"/>
      <c r="X560" s="2"/>
      <c r="Y560" s="2"/>
      <c r="Z560" s="2"/>
    </row>
    <row r="561" customFormat="false" ht="12" hidden="false" customHeight="true" outlineLevel="0" collapsed="false">
      <c r="A561" s="2"/>
      <c r="B561" s="19"/>
      <c r="C561" s="19"/>
      <c r="D561" s="2"/>
      <c r="E561" s="2"/>
      <c r="F561" s="2"/>
      <c r="G561" s="2"/>
      <c r="H561" s="2"/>
      <c r="I561" s="2"/>
      <c r="J561" s="2"/>
      <c r="K561" s="2"/>
      <c r="L561" s="19"/>
      <c r="M561" s="19"/>
      <c r="N561" s="2"/>
      <c r="O561" s="2"/>
      <c r="P561" s="2"/>
      <c r="Q561" s="2"/>
      <c r="R561" s="2"/>
      <c r="S561" s="2"/>
      <c r="T561" s="2"/>
      <c r="U561" s="2"/>
      <c r="V561" s="2"/>
      <c r="W561" s="2"/>
      <c r="X561" s="2"/>
      <c r="Y561" s="2"/>
      <c r="Z561" s="2"/>
    </row>
    <row r="562" customFormat="false" ht="12" hidden="false" customHeight="true" outlineLevel="0" collapsed="false">
      <c r="A562" s="2"/>
      <c r="B562" s="19"/>
      <c r="C562" s="19"/>
      <c r="D562" s="2"/>
      <c r="E562" s="2"/>
      <c r="F562" s="2"/>
      <c r="G562" s="2"/>
      <c r="H562" s="2"/>
      <c r="I562" s="2"/>
      <c r="J562" s="2"/>
      <c r="K562" s="2"/>
      <c r="L562" s="19"/>
      <c r="M562" s="19"/>
      <c r="N562" s="2"/>
      <c r="O562" s="2"/>
      <c r="P562" s="2"/>
      <c r="Q562" s="2"/>
      <c r="R562" s="2"/>
      <c r="S562" s="2"/>
      <c r="T562" s="2"/>
      <c r="U562" s="2"/>
      <c r="V562" s="2"/>
      <c r="W562" s="2"/>
      <c r="X562" s="2"/>
      <c r="Y562" s="2"/>
      <c r="Z562" s="2"/>
    </row>
    <row r="563" customFormat="false" ht="12" hidden="false" customHeight="true" outlineLevel="0" collapsed="false">
      <c r="A563" s="2"/>
      <c r="B563" s="19"/>
      <c r="C563" s="19"/>
      <c r="D563" s="2"/>
      <c r="E563" s="2"/>
      <c r="F563" s="2"/>
      <c r="G563" s="2"/>
      <c r="H563" s="2"/>
      <c r="I563" s="2"/>
      <c r="J563" s="2"/>
      <c r="K563" s="2"/>
      <c r="L563" s="19"/>
      <c r="M563" s="19"/>
      <c r="N563" s="2"/>
      <c r="O563" s="2"/>
      <c r="P563" s="2"/>
      <c r="Q563" s="2"/>
      <c r="R563" s="2"/>
      <c r="S563" s="2"/>
      <c r="T563" s="2"/>
      <c r="U563" s="2"/>
      <c r="V563" s="2"/>
      <c r="W563" s="2"/>
      <c r="X563" s="2"/>
      <c r="Y563" s="2"/>
      <c r="Z563" s="2"/>
    </row>
    <row r="564" customFormat="false" ht="12" hidden="false" customHeight="true" outlineLevel="0" collapsed="false">
      <c r="A564" s="2"/>
      <c r="B564" s="19"/>
      <c r="C564" s="19"/>
      <c r="D564" s="2"/>
      <c r="E564" s="2"/>
      <c r="F564" s="2"/>
      <c r="G564" s="2"/>
      <c r="H564" s="2"/>
      <c r="I564" s="2"/>
      <c r="J564" s="2"/>
      <c r="K564" s="2"/>
      <c r="L564" s="19"/>
      <c r="M564" s="19"/>
      <c r="N564" s="2"/>
      <c r="O564" s="2"/>
      <c r="P564" s="2"/>
      <c r="Q564" s="2"/>
      <c r="R564" s="2"/>
      <c r="S564" s="2"/>
      <c r="T564" s="2"/>
      <c r="U564" s="2"/>
      <c r="V564" s="2"/>
      <c r="W564" s="2"/>
      <c r="X564" s="2"/>
      <c r="Y564" s="2"/>
      <c r="Z564" s="2"/>
    </row>
    <row r="565" customFormat="false" ht="12" hidden="false" customHeight="true" outlineLevel="0" collapsed="false">
      <c r="A565" s="2"/>
      <c r="B565" s="19"/>
      <c r="C565" s="19"/>
      <c r="D565" s="2"/>
      <c r="E565" s="2"/>
      <c r="F565" s="2"/>
      <c r="G565" s="2"/>
      <c r="H565" s="2"/>
      <c r="I565" s="2"/>
      <c r="J565" s="2"/>
      <c r="K565" s="2"/>
      <c r="L565" s="19"/>
      <c r="M565" s="19"/>
      <c r="N565" s="2"/>
      <c r="O565" s="2"/>
      <c r="P565" s="2"/>
      <c r="Q565" s="2"/>
      <c r="R565" s="2"/>
      <c r="S565" s="2"/>
      <c r="T565" s="2"/>
      <c r="U565" s="2"/>
      <c r="V565" s="2"/>
      <c r="W565" s="2"/>
      <c r="X565" s="2"/>
      <c r="Y565" s="2"/>
      <c r="Z565" s="2"/>
    </row>
    <row r="566" customFormat="false" ht="12" hidden="false" customHeight="true" outlineLevel="0" collapsed="false">
      <c r="A566" s="2"/>
      <c r="B566" s="19"/>
      <c r="C566" s="19"/>
      <c r="D566" s="2"/>
      <c r="E566" s="2"/>
      <c r="F566" s="2"/>
      <c r="G566" s="2"/>
      <c r="H566" s="2"/>
      <c r="I566" s="2"/>
      <c r="J566" s="2"/>
      <c r="K566" s="2"/>
      <c r="L566" s="19"/>
      <c r="M566" s="19"/>
      <c r="N566" s="2"/>
      <c r="O566" s="2"/>
      <c r="P566" s="2"/>
      <c r="Q566" s="2"/>
      <c r="R566" s="2"/>
      <c r="S566" s="2"/>
      <c r="T566" s="2"/>
      <c r="U566" s="2"/>
      <c r="V566" s="2"/>
      <c r="W566" s="2"/>
      <c r="X566" s="2"/>
      <c r="Y566" s="2"/>
      <c r="Z566" s="2"/>
    </row>
    <row r="567" customFormat="false" ht="12" hidden="false" customHeight="true" outlineLevel="0" collapsed="false">
      <c r="A567" s="2"/>
      <c r="B567" s="19"/>
      <c r="C567" s="19"/>
      <c r="D567" s="2"/>
      <c r="E567" s="2"/>
      <c r="F567" s="2"/>
      <c r="G567" s="2"/>
      <c r="H567" s="2"/>
      <c r="I567" s="2"/>
      <c r="J567" s="2"/>
      <c r="K567" s="2"/>
      <c r="L567" s="19"/>
      <c r="M567" s="19"/>
      <c r="N567" s="2"/>
      <c r="O567" s="2"/>
      <c r="P567" s="2"/>
      <c r="Q567" s="2"/>
      <c r="R567" s="2"/>
      <c r="S567" s="2"/>
      <c r="T567" s="2"/>
      <c r="U567" s="2"/>
      <c r="V567" s="2"/>
      <c r="W567" s="2"/>
      <c r="X567" s="2"/>
      <c r="Y567" s="2"/>
      <c r="Z567" s="2"/>
    </row>
    <row r="568" customFormat="false" ht="12" hidden="false" customHeight="true" outlineLevel="0" collapsed="false">
      <c r="A568" s="2"/>
      <c r="B568" s="19"/>
      <c r="C568" s="19"/>
      <c r="D568" s="2"/>
      <c r="E568" s="2"/>
      <c r="F568" s="2"/>
      <c r="G568" s="2"/>
      <c r="H568" s="2"/>
      <c r="I568" s="2"/>
      <c r="J568" s="2"/>
      <c r="K568" s="2"/>
      <c r="L568" s="19"/>
      <c r="M568" s="19"/>
      <c r="N568" s="2"/>
      <c r="O568" s="2"/>
      <c r="P568" s="2"/>
      <c r="Q568" s="2"/>
      <c r="R568" s="2"/>
      <c r="S568" s="2"/>
      <c r="T568" s="2"/>
      <c r="U568" s="2"/>
      <c r="V568" s="2"/>
      <c r="W568" s="2"/>
      <c r="X568" s="2"/>
      <c r="Y568" s="2"/>
      <c r="Z568" s="2"/>
    </row>
    <row r="569" customFormat="false" ht="12" hidden="false" customHeight="true" outlineLevel="0" collapsed="false">
      <c r="A569" s="2"/>
      <c r="B569" s="19"/>
      <c r="C569" s="19"/>
      <c r="D569" s="2"/>
      <c r="E569" s="2"/>
      <c r="F569" s="2"/>
      <c r="G569" s="2"/>
      <c r="H569" s="2"/>
      <c r="I569" s="2"/>
      <c r="J569" s="2"/>
      <c r="K569" s="2"/>
      <c r="L569" s="19"/>
      <c r="M569" s="19"/>
      <c r="N569" s="2"/>
      <c r="O569" s="2"/>
      <c r="P569" s="2"/>
      <c r="Q569" s="2"/>
      <c r="R569" s="2"/>
      <c r="S569" s="2"/>
      <c r="T569" s="2"/>
      <c r="U569" s="2"/>
      <c r="V569" s="2"/>
      <c r="W569" s="2"/>
      <c r="X569" s="2"/>
      <c r="Y569" s="2"/>
      <c r="Z569" s="2"/>
    </row>
    <row r="570" customFormat="false" ht="12" hidden="false" customHeight="true" outlineLevel="0" collapsed="false">
      <c r="A570" s="2"/>
      <c r="B570" s="19"/>
      <c r="C570" s="19"/>
      <c r="D570" s="2"/>
      <c r="E570" s="2"/>
      <c r="F570" s="2"/>
      <c r="G570" s="2"/>
      <c r="H570" s="2"/>
      <c r="I570" s="2"/>
      <c r="J570" s="2"/>
      <c r="K570" s="2"/>
      <c r="L570" s="19"/>
      <c r="M570" s="19"/>
      <c r="N570" s="2"/>
      <c r="O570" s="2"/>
      <c r="P570" s="2"/>
      <c r="Q570" s="2"/>
      <c r="R570" s="2"/>
      <c r="S570" s="2"/>
      <c r="T570" s="2"/>
      <c r="U570" s="2"/>
      <c r="V570" s="2"/>
      <c r="W570" s="2"/>
      <c r="X570" s="2"/>
      <c r="Y570" s="2"/>
      <c r="Z570" s="2"/>
    </row>
    <row r="571" customFormat="false" ht="12" hidden="false" customHeight="true" outlineLevel="0" collapsed="false">
      <c r="A571" s="2"/>
      <c r="B571" s="19"/>
      <c r="C571" s="19"/>
      <c r="D571" s="2"/>
      <c r="E571" s="2"/>
      <c r="F571" s="2"/>
      <c r="G571" s="2"/>
      <c r="H571" s="2"/>
      <c r="I571" s="2"/>
      <c r="J571" s="2"/>
      <c r="K571" s="2"/>
      <c r="L571" s="19"/>
      <c r="M571" s="19"/>
      <c r="N571" s="2"/>
      <c r="O571" s="2"/>
      <c r="P571" s="2"/>
      <c r="Q571" s="2"/>
      <c r="R571" s="2"/>
      <c r="S571" s="2"/>
      <c r="T571" s="2"/>
      <c r="U571" s="2"/>
      <c r="V571" s="2"/>
      <c r="W571" s="2"/>
      <c r="X571" s="2"/>
      <c r="Y571" s="2"/>
      <c r="Z571" s="2"/>
    </row>
    <row r="572" customFormat="false" ht="12" hidden="false" customHeight="true" outlineLevel="0" collapsed="false">
      <c r="A572" s="2"/>
      <c r="B572" s="19"/>
      <c r="C572" s="19"/>
      <c r="D572" s="2"/>
      <c r="E572" s="2"/>
      <c r="F572" s="2"/>
      <c r="G572" s="2"/>
      <c r="H572" s="2"/>
      <c r="I572" s="2"/>
      <c r="J572" s="2"/>
      <c r="K572" s="2"/>
      <c r="L572" s="19"/>
      <c r="M572" s="19"/>
      <c r="N572" s="2"/>
      <c r="O572" s="2"/>
      <c r="P572" s="2"/>
      <c r="Q572" s="2"/>
      <c r="R572" s="2"/>
      <c r="S572" s="2"/>
      <c r="T572" s="2"/>
      <c r="U572" s="2"/>
      <c r="V572" s="2"/>
      <c r="W572" s="2"/>
      <c r="X572" s="2"/>
      <c r="Y572" s="2"/>
      <c r="Z572" s="2"/>
    </row>
    <row r="573" customFormat="false" ht="12" hidden="false" customHeight="true" outlineLevel="0" collapsed="false">
      <c r="A573" s="2"/>
      <c r="B573" s="19"/>
      <c r="C573" s="19"/>
      <c r="D573" s="2"/>
      <c r="E573" s="2"/>
      <c r="F573" s="2"/>
      <c r="G573" s="2"/>
      <c r="H573" s="2"/>
      <c r="I573" s="2"/>
      <c r="J573" s="2"/>
      <c r="K573" s="2"/>
      <c r="L573" s="19"/>
      <c r="M573" s="19"/>
      <c r="N573" s="2"/>
      <c r="O573" s="2"/>
      <c r="P573" s="2"/>
      <c r="Q573" s="2"/>
      <c r="R573" s="2"/>
      <c r="S573" s="2"/>
      <c r="T573" s="2"/>
      <c r="U573" s="2"/>
      <c r="V573" s="2"/>
      <c r="W573" s="2"/>
      <c r="X573" s="2"/>
      <c r="Y573" s="2"/>
      <c r="Z573" s="2"/>
    </row>
    <row r="574" customFormat="false" ht="12" hidden="false" customHeight="true" outlineLevel="0" collapsed="false">
      <c r="A574" s="2"/>
      <c r="B574" s="19"/>
      <c r="C574" s="19"/>
      <c r="D574" s="2"/>
      <c r="E574" s="2"/>
      <c r="F574" s="2"/>
      <c r="G574" s="2"/>
      <c r="H574" s="2"/>
      <c r="I574" s="2"/>
      <c r="J574" s="2"/>
      <c r="K574" s="2"/>
      <c r="L574" s="19"/>
      <c r="M574" s="19"/>
      <c r="N574" s="2"/>
      <c r="O574" s="2"/>
      <c r="P574" s="2"/>
      <c r="Q574" s="2"/>
      <c r="R574" s="2"/>
      <c r="S574" s="2"/>
      <c r="T574" s="2"/>
      <c r="U574" s="2"/>
      <c r="V574" s="2"/>
      <c r="W574" s="2"/>
      <c r="X574" s="2"/>
      <c r="Y574" s="2"/>
      <c r="Z574" s="2"/>
    </row>
    <row r="575" customFormat="false" ht="12" hidden="false" customHeight="true" outlineLevel="0" collapsed="false">
      <c r="A575" s="2"/>
      <c r="B575" s="19"/>
      <c r="C575" s="19"/>
      <c r="D575" s="2"/>
      <c r="E575" s="2"/>
      <c r="F575" s="2"/>
      <c r="G575" s="2"/>
      <c r="H575" s="2"/>
      <c r="I575" s="2"/>
      <c r="J575" s="2"/>
      <c r="K575" s="2"/>
      <c r="L575" s="19"/>
      <c r="M575" s="19"/>
      <c r="N575" s="2"/>
      <c r="O575" s="2"/>
      <c r="P575" s="2"/>
      <c r="Q575" s="2"/>
      <c r="R575" s="2"/>
      <c r="S575" s="2"/>
      <c r="T575" s="2"/>
      <c r="U575" s="2"/>
      <c r="V575" s="2"/>
      <c r="W575" s="2"/>
      <c r="X575" s="2"/>
      <c r="Y575" s="2"/>
      <c r="Z575" s="2"/>
    </row>
    <row r="576" customFormat="false" ht="12" hidden="false" customHeight="true" outlineLevel="0" collapsed="false">
      <c r="A576" s="2"/>
      <c r="B576" s="19"/>
      <c r="C576" s="19"/>
      <c r="D576" s="2"/>
      <c r="E576" s="2"/>
      <c r="F576" s="2"/>
      <c r="G576" s="2"/>
      <c r="H576" s="2"/>
      <c r="I576" s="2"/>
      <c r="J576" s="2"/>
      <c r="K576" s="2"/>
      <c r="L576" s="19"/>
      <c r="M576" s="19"/>
      <c r="N576" s="2"/>
      <c r="O576" s="2"/>
      <c r="P576" s="2"/>
      <c r="Q576" s="2"/>
      <c r="R576" s="2"/>
      <c r="S576" s="2"/>
      <c r="T576" s="2"/>
      <c r="U576" s="2"/>
      <c r="V576" s="2"/>
      <c r="W576" s="2"/>
      <c r="X576" s="2"/>
      <c r="Y576" s="2"/>
      <c r="Z576" s="2"/>
    </row>
    <row r="577" customFormat="false" ht="12" hidden="false" customHeight="true" outlineLevel="0" collapsed="false">
      <c r="A577" s="2"/>
      <c r="B577" s="19"/>
      <c r="C577" s="19"/>
      <c r="D577" s="2"/>
      <c r="E577" s="2"/>
      <c r="F577" s="2"/>
      <c r="G577" s="2"/>
      <c r="H577" s="2"/>
      <c r="I577" s="2"/>
      <c r="J577" s="2"/>
      <c r="K577" s="2"/>
      <c r="L577" s="19"/>
      <c r="M577" s="19"/>
      <c r="N577" s="2"/>
      <c r="O577" s="2"/>
      <c r="P577" s="2"/>
      <c r="Q577" s="2"/>
      <c r="R577" s="2"/>
      <c r="S577" s="2"/>
      <c r="T577" s="2"/>
      <c r="U577" s="2"/>
      <c r="V577" s="2"/>
      <c r="W577" s="2"/>
      <c r="X577" s="2"/>
      <c r="Y577" s="2"/>
      <c r="Z577" s="2"/>
    </row>
    <row r="578" customFormat="false" ht="12" hidden="false" customHeight="true" outlineLevel="0" collapsed="false">
      <c r="A578" s="2"/>
      <c r="B578" s="19"/>
      <c r="C578" s="19"/>
      <c r="D578" s="2"/>
      <c r="E578" s="2"/>
      <c r="F578" s="2"/>
      <c r="G578" s="2"/>
      <c r="H578" s="2"/>
      <c r="I578" s="2"/>
      <c r="J578" s="2"/>
      <c r="K578" s="2"/>
      <c r="L578" s="19"/>
      <c r="M578" s="19"/>
      <c r="N578" s="2"/>
      <c r="O578" s="2"/>
      <c r="P578" s="2"/>
      <c r="Q578" s="2"/>
      <c r="R578" s="2"/>
      <c r="S578" s="2"/>
      <c r="T578" s="2"/>
      <c r="U578" s="2"/>
      <c r="V578" s="2"/>
      <c r="W578" s="2"/>
      <c r="X578" s="2"/>
      <c r="Y578" s="2"/>
      <c r="Z578" s="2"/>
    </row>
    <row r="579" customFormat="false" ht="12" hidden="false" customHeight="true" outlineLevel="0" collapsed="false">
      <c r="A579" s="2"/>
      <c r="B579" s="19"/>
      <c r="C579" s="19"/>
      <c r="D579" s="2"/>
      <c r="E579" s="2"/>
      <c r="F579" s="2"/>
      <c r="G579" s="2"/>
      <c r="H579" s="2"/>
      <c r="I579" s="2"/>
      <c r="J579" s="2"/>
      <c r="K579" s="2"/>
      <c r="L579" s="19"/>
      <c r="M579" s="19"/>
      <c r="N579" s="2"/>
      <c r="O579" s="2"/>
      <c r="P579" s="2"/>
      <c r="Q579" s="2"/>
      <c r="R579" s="2"/>
      <c r="S579" s="2"/>
      <c r="T579" s="2"/>
      <c r="U579" s="2"/>
      <c r="V579" s="2"/>
      <c r="W579" s="2"/>
      <c r="X579" s="2"/>
      <c r="Y579" s="2"/>
      <c r="Z579" s="2"/>
    </row>
    <row r="580" customFormat="false" ht="12" hidden="false" customHeight="true" outlineLevel="0" collapsed="false">
      <c r="A580" s="2"/>
      <c r="B580" s="19"/>
      <c r="C580" s="19"/>
      <c r="D580" s="2"/>
      <c r="E580" s="2"/>
      <c r="F580" s="2"/>
      <c r="G580" s="2"/>
      <c r="H580" s="2"/>
      <c r="I580" s="2"/>
      <c r="J580" s="2"/>
      <c r="K580" s="2"/>
      <c r="L580" s="19"/>
      <c r="M580" s="19"/>
      <c r="N580" s="2"/>
      <c r="O580" s="2"/>
      <c r="P580" s="2"/>
      <c r="Q580" s="2"/>
      <c r="R580" s="2"/>
      <c r="S580" s="2"/>
      <c r="T580" s="2"/>
      <c r="U580" s="2"/>
      <c r="V580" s="2"/>
      <c r="W580" s="2"/>
      <c r="X580" s="2"/>
      <c r="Y580" s="2"/>
      <c r="Z580" s="2"/>
    </row>
    <row r="581" customFormat="false" ht="12" hidden="false" customHeight="true" outlineLevel="0" collapsed="false">
      <c r="A581" s="2"/>
      <c r="B581" s="19"/>
      <c r="C581" s="19"/>
      <c r="D581" s="2"/>
      <c r="E581" s="2"/>
      <c r="F581" s="2"/>
      <c r="G581" s="2"/>
      <c r="H581" s="2"/>
      <c r="I581" s="2"/>
      <c r="J581" s="2"/>
      <c r="K581" s="2"/>
      <c r="L581" s="19"/>
      <c r="M581" s="19"/>
      <c r="N581" s="2"/>
      <c r="O581" s="2"/>
      <c r="P581" s="2"/>
      <c r="Q581" s="2"/>
      <c r="R581" s="2"/>
      <c r="S581" s="2"/>
      <c r="T581" s="2"/>
      <c r="U581" s="2"/>
      <c r="V581" s="2"/>
      <c r="W581" s="2"/>
      <c r="X581" s="2"/>
      <c r="Y581" s="2"/>
      <c r="Z581" s="2"/>
    </row>
    <row r="582" customFormat="false" ht="12" hidden="false" customHeight="true" outlineLevel="0" collapsed="false">
      <c r="A582" s="2"/>
      <c r="B582" s="19"/>
      <c r="C582" s="19"/>
      <c r="D582" s="2"/>
      <c r="E582" s="2"/>
      <c r="F582" s="2"/>
      <c r="G582" s="2"/>
      <c r="H582" s="2"/>
      <c r="I582" s="2"/>
      <c r="J582" s="2"/>
      <c r="K582" s="2"/>
      <c r="L582" s="19"/>
      <c r="M582" s="19"/>
      <c r="N582" s="2"/>
      <c r="O582" s="2"/>
      <c r="P582" s="2"/>
      <c r="Q582" s="2"/>
      <c r="R582" s="2"/>
      <c r="S582" s="2"/>
      <c r="T582" s="2"/>
      <c r="U582" s="2"/>
      <c r="V582" s="2"/>
      <c r="W582" s="2"/>
      <c r="X582" s="2"/>
      <c r="Y582" s="2"/>
      <c r="Z582" s="2"/>
    </row>
    <row r="583" customFormat="false" ht="12" hidden="false" customHeight="true" outlineLevel="0" collapsed="false">
      <c r="A583" s="2"/>
      <c r="B583" s="19"/>
      <c r="C583" s="19"/>
      <c r="D583" s="2"/>
      <c r="E583" s="2"/>
      <c r="F583" s="2"/>
      <c r="G583" s="2"/>
      <c r="H583" s="2"/>
      <c r="I583" s="2"/>
      <c r="J583" s="2"/>
      <c r="K583" s="2"/>
      <c r="L583" s="19"/>
      <c r="M583" s="19"/>
      <c r="N583" s="2"/>
      <c r="O583" s="2"/>
      <c r="P583" s="2"/>
      <c r="Q583" s="2"/>
      <c r="R583" s="2"/>
      <c r="S583" s="2"/>
      <c r="T583" s="2"/>
      <c r="U583" s="2"/>
      <c r="V583" s="2"/>
      <c r="W583" s="2"/>
      <c r="X583" s="2"/>
      <c r="Y583" s="2"/>
      <c r="Z583" s="2"/>
    </row>
    <row r="584" customFormat="false" ht="12" hidden="false" customHeight="true" outlineLevel="0" collapsed="false">
      <c r="A584" s="2"/>
      <c r="B584" s="19"/>
      <c r="C584" s="19"/>
      <c r="D584" s="2"/>
      <c r="E584" s="2"/>
      <c r="F584" s="2"/>
      <c r="G584" s="2"/>
      <c r="H584" s="2"/>
      <c r="I584" s="2"/>
      <c r="J584" s="2"/>
      <c r="K584" s="2"/>
      <c r="L584" s="19"/>
      <c r="M584" s="19"/>
      <c r="N584" s="2"/>
      <c r="O584" s="2"/>
      <c r="P584" s="2"/>
      <c r="Q584" s="2"/>
      <c r="R584" s="2"/>
      <c r="S584" s="2"/>
      <c r="T584" s="2"/>
      <c r="U584" s="2"/>
      <c r="V584" s="2"/>
      <c r="W584" s="2"/>
      <c r="X584" s="2"/>
      <c r="Y584" s="2"/>
      <c r="Z584" s="2"/>
    </row>
    <row r="585" customFormat="false" ht="12" hidden="false" customHeight="true" outlineLevel="0" collapsed="false">
      <c r="A585" s="2"/>
      <c r="B585" s="19"/>
      <c r="C585" s="19"/>
      <c r="D585" s="2"/>
      <c r="E585" s="2"/>
      <c r="F585" s="2"/>
      <c r="G585" s="2"/>
      <c r="H585" s="2"/>
      <c r="I585" s="2"/>
      <c r="J585" s="2"/>
      <c r="K585" s="2"/>
      <c r="L585" s="19"/>
      <c r="M585" s="19"/>
      <c r="N585" s="2"/>
      <c r="O585" s="2"/>
      <c r="P585" s="2"/>
      <c r="Q585" s="2"/>
      <c r="R585" s="2"/>
      <c r="S585" s="2"/>
      <c r="T585" s="2"/>
      <c r="U585" s="2"/>
      <c r="V585" s="2"/>
      <c r="W585" s="2"/>
      <c r="X585" s="2"/>
      <c r="Y585" s="2"/>
      <c r="Z585" s="2"/>
    </row>
    <row r="586" customFormat="false" ht="12" hidden="false" customHeight="true" outlineLevel="0" collapsed="false">
      <c r="A586" s="2"/>
      <c r="B586" s="19"/>
      <c r="C586" s="19"/>
      <c r="D586" s="2"/>
      <c r="E586" s="2"/>
      <c r="F586" s="2"/>
      <c r="G586" s="2"/>
      <c r="H586" s="2"/>
      <c r="I586" s="2"/>
      <c r="J586" s="2"/>
      <c r="K586" s="2"/>
      <c r="L586" s="19"/>
      <c r="M586" s="19"/>
      <c r="N586" s="2"/>
      <c r="O586" s="2"/>
      <c r="P586" s="2"/>
      <c r="Q586" s="2"/>
      <c r="R586" s="2"/>
      <c r="S586" s="2"/>
      <c r="T586" s="2"/>
      <c r="U586" s="2"/>
      <c r="V586" s="2"/>
      <c r="W586" s="2"/>
      <c r="X586" s="2"/>
      <c r="Y586" s="2"/>
      <c r="Z586" s="2"/>
    </row>
    <row r="587" customFormat="false" ht="12" hidden="false" customHeight="true" outlineLevel="0" collapsed="false">
      <c r="A587" s="2"/>
      <c r="B587" s="19"/>
      <c r="C587" s="19"/>
      <c r="D587" s="2"/>
      <c r="E587" s="2"/>
      <c r="F587" s="2"/>
      <c r="G587" s="2"/>
      <c r="H587" s="2"/>
      <c r="I587" s="2"/>
      <c r="J587" s="2"/>
      <c r="K587" s="2"/>
      <c r="L587" s="19"/>
      <c r="M587" s="19"/>
      <c r="N587" s="2"/>
      <c r="O587" s="2"/>
      <c r="P587" s="2"/>
      <c r="Q587" s="2"/>
      <c r="R587" s="2"/>
      <c r="S587" s="2"/>
      <c r="T587" s="2"/>
      <c r="U587" s="2"/>
      <c r="V587" s="2"/>
      <c r="W587" s="2"/>
      <c r="X587" s="2"/>
      <c r="Y587" s="2"/>
      <c r="Z587" s="2"/>
    </row>
    <row r="588" customFormat="false" ht="12" hidden="false" customHeight="true" outlineLevel="0" collapsed="false">
      <c r="A588" s="2"/>
      <c r="B588" s="19"/>
      <c r="C588" s="19"/>
      <c r="D588" s="2"/>
      <c r="E588" s="2"/>
      <c r="F588" s="2"/>
      <c r="G588" s="2"/>
      <c r="H588" s="2"/>
      <c r="I588" s="2"/>
      <c r="J588" s="2"/>
      <c r="K588" s="2"/>
      <c r="L588" s="19"/>
      <c r="M588" s="19"/>
      <c r="N588" s="2"/>
      <c r="O588" s="2"/>
      <c r="P588" s="2"/>
      <c r="Q588" s="2"/>
      <c r="R588" s="2"/>
      <c r="S588" s="2"/>
      <c r="T588" s="2"/>
      <c r="U588" s="2"/>
      <c r="V588" s="2"/>
      <c r="W588" s="2"/>
      <c r="X588" s="2"/>
      <c r="Y588" s="2"/>
      <c r="Z588" s="2"/>
    </row>
    <row r="589" customFormat="false" ht="12" hidden="false" customHeight="true" outlineLevel="0" collapsed="false">
      <c r="A589" s="2"/>
      <c r="B589" s="19"/>
      <c r="C589" s="19"/>
      <c r="D589" s="2"/>
      <c r="E589" s="2"/>
      <c r="F589" s="2"/>
      <c r="G589" s="2"/>
      <c r="H589" s="2"/>
      <c r="I589" s="2"/>
      <c r="J589" s="2"/>
      <c r="K589" s="2"/>
      <c r="L589" s="19"/>
      <c r="M589" s="19"/>
      <c r="N589" s="2"/>
      <c r="O589" s="2"/>
      <c r="P589" s="2"/>
      <c r="Q589" s="2"/>
      <c r="R589" s="2"/>
      <c r="S589" s="2"/>
      <c r="T589" s="2"/>
      <c r="U589" s="2"/>
      <c r="V589" s="2"/>
      <c r="W589" s="2"/>
      <c r="X589" s="2"/>
      <c r="Y589" s="2"/>
      <c r="Z589" s="2"/>
    </row>
    <row r="590" customFormat="false" ht="12" hidden="false" customHeight="true" outlineLevel="0" collapsed="false">
      <c r="A590" s="2"/>
      <c r="B590" s="19"/>
      <c r="C590" s="19"/>
      <c r="D590" s="2"/>
      <c r="E590" s="2"/>
      <c r="F590" s="2"/>
      <c r="G590" s="2"/>
      <c r="H590" s="2"/>
      <c r="I590" s="2"/>
      <c r="J590" s="2"/>
      <c r="K590" s="2"/>
      <c r="L590" s="19"/>
      <c r="M590" s="19"/>
      <c r="N590" s="2"/>
      <c r="O590" s="2"/>
      <c r="P590" s="2"/>
      <c r="Q590" s="2"/>
      <c r="R590" s="2"/>
      <c r="S590" s="2"/>
      <c r="T590" s="2"/>
      <c r="U590" s="2"/>
      <c r="V590" s="2"/>
      <c r="W590" s="2"/>
      <c r="X590" s="2"/>
      <c r="Y590" s="2"/>
      <c r="Z590" s="2"/>
    </row>
    <row r="591" customFormat="false" ht="12" hidden="false" customHeight="true" outlineLevel="0" collapsed="false">
      <c r="A591" s="2"/>
      <c r="B591" s="19"/>
      <c r="C591" s="19"/>
      <c r="D591" s="2"/>
      <c r="E591" s="2"/>
      <c r="F591" s="2"/>
      <c r="G591" s="2"/>
      <c r="H591" s="2"/>
      <c r="I591" s="2"/>
      <c r="J591" s="2"/>
      <c r="K591" s="2"/>
      <c r="L591" s="19"/>
      <c r="M591" s="19"/>
      <c r="N591" s="2"/>
      <c r="O591" s="2"/>
      <c r="P591" s="2"/>
      <c r="Q591" s="2"/>
      <c r="R591" s="2"/>
      <c r="S591" s="2"/>
      <c r="T591" s="2"/>
      <c r="U591" s="2"/>
      <c r="V591" s="2"/>
      <c r="W591" s="2"/>
      <c r="X591" s="2"/>
      <c r="Y591" s="2"/>
      <c r="Z591" s="2"/>
    </row>
    <row r="592" customFormat="false" ht="12" hidden="false" customHeight="true" outlineLevel="0" collapsed="false">
      <c r="A592" s="2"/>
      <c r="B592" s="19"/>
      <c r="C592" s="19"/>
      <c r="D592" s="2"/>
      <c r="E592" s="2"/>
      <c r="F592" s="2"/>
      <c r="G592" s="2"/>
      <c r="H592" s="2"/>
      <c r="I592" s="2"/>
      <c r="J592" s="2"/>
      <c r="K592" s="2"/>
      <c r="L592" s="19"/>
      <c r="M592" s="19"/>
      <c r="N592" s="2"/>
      <c r="O592" s="2"/>
      <c r="P592" s="2"/>
      <c r="Q592" s="2"/>
      <c r="R592" s="2"/>
      <c r="S592" s="2"/>
      <c r="T592" s="2"/>
      <c r="U592" s="2"/>
      <c r="V592" s="2"/>
      <c r="W592" s="2"/>
      <c r="X592" s="2"/>
      <c r="Y592" s="2"/>
      <c r="Z592" s="2"/>
    </row>
    <row r="593" customFormat="false" ht="12" hidden="false" customHeight="true" outlineLevel="0" collapsed="false">
      <c r="A593" s="2"/>
      <c r="B593" s="19"/>
      <c r="C593" s="19"/>
      <c r="D593" s="2"/>
      <c r="E593" s="2"/>
      <c r="F593" s="2"/>
      <c r="G593" s="2"/>
      <c r="H593" s="2"/>
      <c r="I593" s="2"/>
      <c r="J593" s="2"/>
      <c r="K593" s="2"/>
      <c r="L593" s="19"/>
      <c r="M593" s="19"/>
      <c r="N593" s="2"/>
      <c r="O593" s="2"/>
      <c r="P593" s="2"/>
      <c r="Q593" s="2"/>
      <c r="R593" s="2"/>
      <c r="S593" s="2"/>
      <c r="T593" s="2"/>
      <c r="U593" s="2"/>
      <c r="V593" s="2"/>
      <c r="W593" s="2"/>
      <c r="X593" s="2"/>
      <c r="Y593" s="2"/>
      <c r="Z593" s="2"/>
    </row>
    <row r="594" customFormat="false" ht="12" hidden="false" customHeight="true" outlineLevel="0" collapsed="false">
      <c r="A594" s="2"/>
      <c r="B594" s="19"/>
      <c r="C594" s="19"/>
      <c r="D594" s="2"/>
      <c r="E594" s="2"/>
      <c r="F594" s="2"/>
      <c r="G594" s="2"/>
      <c r="H594" s="2"/>
      <c r="I594" s="2"/>
      <c r="J594" s="2"/>
      <c r="K594" s="2"/>
      <c r="L594" s="19"/>
      <c r="M594" s="19"/>
      <c r="N594" s="2"/>
      <c r="O594" s="2"/>
      <c r="P594" s="2"/>
      <c r="Q594" s="2"/>
      <c r="R594" s="2"/>
      <c r="S594" s="2"/>
      <c r="T594" s="2"/>
      <c r="U594" s="2"/>
      <c r="V594" s="2"/>
      <c r="W594" s="2"/>
      <c r="X594" s="2"/>
      <c r="Y594" s="2"/>
      <c r="Z594" s="2"/>
    </row>
    <row r="595" customFormat="false" ht="12" hidden="false" customHeight="true" outlineLevel="0" collapsed="false">
      <c r="A595" s="2"/>
      <c r="B595" s="19"/>
      <c r="C595" s="19"/>
      <c r="D595" s="2"/>
      <c r="E595" s="2"/>
      <c r="F595" s="2"/>
      <c r="G595" s="2"/>
      <c r="H595" s="2"/>
      <c r="I595" s="2"/>
      <c r="J595" s="2"/>
      <c r="K595" s="2"/>
      <c r="L595" s="19"/>
      <c r="M595" s="19"/>
      <c r="N595" s="2"/>
      <c r="O595" s="2"/>
      <c r="P595" s="2"/>
      <c r="Q595" s="2"/>
      <c r="R595" s="2"/>
      <c r="S595" s="2"/>
      <c r="T595" s="2"/>
      <c r="U595" s="2"/>
      <c r="V595" s="2"/>
      <c r="W595" s="2"/>
      <c r="X595" s="2"/>
      <c r="Y595" s="2"/>
      <c r="Z595" s="2"/>
    </row>
    <row r="596" customFormat="false" ht="12" hidden="false" customHeight="true" outlineLevel="0" collapsed="false">
      <c r="A596" s="2"/>
      <c r="B596" s="19"/>
      <c r="C596" s="19"/>
      <c r="D596" s="2"/>
      <c r="E596" s="2"/>
      <c r="F596" s="2"/>
      <c r="G596" s="2"/>
      <c r="H596" s="2"/>
      <c r="I596" s="2"/>
      <c r="J596" s="2"/>
      <c r="K596" s="2"/>
      <c r="L596" s="19"/>
      <c r="M596" s="19"/>
      <c r="N596" s="2"/>
      <c r="O596" s="2"/>
      <c r="P596" s="2"/>
      <c r="Q596" s="2"/>
      <c r="R596" s="2"/>
      <c r="S596" s="2"/>
      <c r="T596" s="2"/>
      <c r="U596" s="2"/>
      <c r="V596" s="2"/>
      <c r="W596" s="2"/>
      <c r="X596" s="2"/>
      <c r="Y596" s="2"/>
      <c r="Z596" s="2"/>
    </row>
    <row r="597" customFormat="false" ht="12" hidden="false" customHeight="true" outlineLevel="0" collapsed="false">
      <c r="A597" s="2"/>
      <c r="B597" s="19"/>
      <c r="C597" s="19"/>
      <c r="D597" s="2"/>
      <c r="E597" s="2"/>
      <c r="F597" s="2"/>
      <c r="G597" s="2"/>
      <c r="H597" s="2"/>
      <c r="I597" s="2"/>
      <c r="J597" s="2"/>
      <c r="K597" s="2"/>
      <c r="L597" s="19"/>
      <c r="M597" s="19"/>
      <c r="N597" s="2"/>
      <c r="O597" s="2"/>
      <c r="P597" s="2"/>
      <c r="Q597" s="2"/>
      <c r="R597" s="2"/>
      <c r="S597" s="2"/>
      <c r="T597" s="2"/>
      <c r="U597" s="2"/>
      <c r="V597" s="2"/>
      <c r="W597" s="2"/>
      <c r="X597" s="2"/>
      <c r="Y597" s="2"/>
      <c r="Z597" s="2"/>
    </row>
    <row r="598" customFormat="false" ht="12" hidden="false" customHeight="true" outlineLevel="0" collapsed="false">
      <c r="A598" s="2"/>
      <c r="B598" s="19"/>
      <c r="C598" s="19"/>
      <c r="D598" s="2"/>
      <c r="E598" s="2"/>
      <c r="F598" s="2"/>
      <c r="G598" s="2"/>
      <c r="H598" s="2"/>
      <c r="I598" s="2"/>
      <c r="J598" s="2"/>
      <c r="K598" s="2"/>
      <c r="L598" s="19"/>
      <c r="M598" s="19"/>
      <c r="N598" s="2"/>
      <c r="O598" s="2"/>
      <c r="P598" s="2"/>
      <c r="Q598" s="2"/>
      <c r="R598" s="2"/>
      <c r="S598" s="2"/>
      <c r="T598" s="2"/>
      <c r="U598" s="2"/>
      <c r="V598" s="2"/>
      <c r="W598" s="2"/>
      <c r="X598" s="2"/>
      <c r="Y598" s="2"/>
      <c r="Z598" s="2"/>
    </row>
    <row r="599" customFormat="false" ht="12" hidden="false" customHeight="true" outlineLevel="0" collapsed="false">
      <c r="A599" s="2"/>
      <c r="B599" s="19"/>
      <c r="C599" s="19"/>
      <c r="D599" s="2"/>
      <c r="E599" s="2"/>
      <c r="F599" s="2"/>
      <c r="G599" s="2"/>
      <c r="H599" s="2"/>
      <c r="I599" s="2"/>
      <c r="J599" s="2"/>
      <c r="K599" s="2"/>
      <c r="L599" s="19"/>
      <c r="M599" s="19"/>
      <c r="N599" s="2"/>
      <c r="O599" s="2"/>
      <c r="P599" s="2"/>
      <c r="Q599" s="2"/>
      <c r="R599" s="2"/>
      <c r="S599" s="2"/>
      <c r="T599" s="2"/>
      <c r="U599" s="2"/>
      <c r="V599" s="2"/>
      <c r="W599" s="2"/>
      <c r="X599" s="2"/>
      <c r="Y599" s="2"/>
      <c r="Z599" s="2"/>
    </row>
    <row r="600" customFormat="false" ht="12" hidden="false" customHeight="true" outlineLevel="0" collapsed="false">
      <c r="A600" s="2"/>
      <c r="B600" s="19"/>
      <c r="C600" s="19"/>
      <c r="D600" s="2"/>
      <c r="E600" s="2"/>
      <c r="F600" s="2"/>
      <c r="G600" s="2"/>
      <c r="H600" s="2"/>
      <c r="I600" s="2"/>
      <c r="J600" s="2"/>
      <c r="K600" s="2"/>
      <c r="L600" s="19"/>
      <c r="M600" s="19"/>
      <c r="N600" s="2"/>
      <c r="O600" s="2"/>
      <c r="P600" s="2"/>
      <c r="Q600" s="2"/>
      <c r="R600" s="2"/>
      <c r="S600" s="2"/>
      <c r="T600" s="2"/>
      <c r="U600" s="2"/>
      <c r="V600" s="2"/>
      <c r="W600" s="2"/>
      <c r="X600" s="2"/>
      <c r="Y600" s="2"/>
      <c r="Z600" s="2"/>
    </row>
    <row r="601" customFormat="false" ht="12" hidden="false" customHeight="true" outlineLevel="0" collapsed="false">
      <c r="A601" s="2"/>
      <c r="B601" s="19"/>
      <c r="C601" s="19"/>
      <c r="D601" s="2"/>
      <c r="E601" s="2"/>
      <c r="F601" s="2"/>
      <c r="G601" s="2"/>
      <c r="H601" s="2"/>
      <c r="I601" s="2"/>
      <c r="J601" s="2"/>
      <c r="K601" s="2"/>
      <c r="L601" s="19"/>
      <c r="M601" s="19"/>
      <c r="N601" s="2"/>
      <c r="O601" s="2"/>
      <c r="P601" s="2"/>
      <c r="Q601" s="2"/>
      <c r="R601" s="2"/>
      <c r="S601" s="2"/>
      <c r="T601" s="2"/>
      <c r="U601" s="2"/>
      <c r="V601" s="2"/>
      <c r="W601" s="2"/>
      <c r="X601" s="2"/>
      <c r="Y601" s="2"/>
      <c r="Z601" s="2"/>
    </row>
    <row r="602" customFormat="false" ht="12" hidden="false" customHeight="true" outlineLevel="0" collapsed="false">
      <c r="A602" s="2"/>
      <c r="B602" s="19"/>
      <c r="C602" s="19"/>
      <c r="D602" s="2"/>
      <c r="E602" s="2"/>
      <c r="F602" s="2"/>
      <c r="G602" s="2"/>
      <c r="H602" s="2"/>
      <c r="I602" s="2"/>
      <c r="J602" s="2"/>
      <c r="K602" s="2"/>
      <c r="L602" s="19"/>
      <c r="M602" s="19"/>
      <c r="N602" s="2"/>
      <c r="O602" s="2"/>
      <c r="P602" s="2"/>
      <c r="Q602" s="2"/>
      <c r="R602" s="2"/>
      <c r="S602" s="2"/>
      <c r="T602" s="2"/>
      <c r="U602" s="2"/>
      <c r="V602" s="2"/>
      <c r="W602" s="2"/>
      <c r="X602" s="2"/>
      <c r="Y602" s="2"/>
      <c r="Z602" s="2"/>
    </row>
    <row r="603" customFormat="false" ht="12" hidden="false" customHeight="true" outlineLevel="0" collapsed="false">
      <c r="A603" s="2"/>
      <c r="B603" s="19"/>
      <c r="C603" s="19"/>
      <c r="D603" s="2"/>
      <c r="E603" s="2"/>
      <c r="F603" s="2"/>
      <c r="G603" s="2"/>
      <c r="H603" s="2"/>
      <c r="I603" s="2"/>
      <c r="J603" s="2"/>
      <c r="K603" s="2"/>
      <c r="L603" s="19"/>
      <c r="M603" s="19"/>
      <c r="N603" s="2"/>
      <c r="O603" s="2"/>
      <c r="P603" s="2"/>
      <c r="Q603" s="2"/>
      <c r="R603" s="2"/>
      <c r="S603" s="2"/>
      <c r="T603" s="2"/>
      <c r="U603" s="2"/>
      <c r="V603" s="2"/>
      <c r="W603" s="2"/>
      <c r="X603" s="2"/>
      <c r="Y603" s="2"/>
      <c r="Z603" s="2"/>
    </row>
    <row r="604" customFormat="false" ht="12" hidden="false" customHeight="true" outlineLevel="0" collapsed="false">
      <c r="A604" s="2"/>
      <c r="B604" s="19"/>
      <c r="C604" s="19"/>
      <c r="D604" s="2"/>
      <c r="E604" s="2"/>
      <c r="F604" s="2"/>
      <c r="G604" s="2"/>
      <c r="H604" s="2"/>
      <c r="I604" s="2"/>
      <c r="J604" s="2"/>
      <c r="K604" s="2"/>
      <c r="L604" s="19"/>
      <c r="M604" s="19"/>
      <c r="N604" s="2"/>
      <c r="O604" s="2"/>
      <c r="P604" s="2"/>
      <c r="Q604" s="2"/>
      <c r="R604" s="2"/>
      <c r="S604" s="2"/>
      <c r="T604" s="2"/>
      <c r="U604" s="2"/>
      <c r="V604" s="2"/>
      <c r="W604" s="2"/>
      <c r="X604" s="2"/>
      <c r="Y604" s="2"/>
      <c r="Z604" s="2"/>
    </row>
    <row r="605" customFormat="false" ht="12" hidden="false" customHeight="true" outlineLevel="0" collapsed="false">
      <c r="A605" s="2"/>
      <c r="B605" s="19"/>
      <c r="C605" s="19"/>
      <c r="D605" s="2"/>
      <c r="E605" s="2"/>
      <c r="F605" s="2"/>
      <c r="G605" s="2"/>
      <c r="H605" s="2"/>
      <c r="I605" s="2"/>
      <c r="J605" s="2"/>
      <c r="K605" s="2"/>
      <c r="L605" s="19"/>
      <c r="M605" s="19"/>
      <c r="N605" s="2"/>
      <c r="O605" s="2"/>
      <c r="P605" s="2"/>
      <c r="Q605" s="2"/>
      <c r="R605" s="2"/>
      <c r="S605" s="2"/>
      <c r="T605" s="2"/>
      <c r="U605" s="2"/>
      <c r="V605" s="2"/>
      <c r="W605" s="2"/>
      <c r="X605" s="2"/>
      <c r="Y605" s="2"/>
      <c r="Z605" s="2"/>
    </row>
    <row r="606" customFormat="false" ht="12" hidden="false" customHeight="true" outlineLevel="0" collapsed="false">
      <c r="A606" s="2"/>
      <c r="B606" s="19"/>
      <c r="C606" s="19"/>
      <c r="D606" s="2"/>
      <c r="E606" s="2"/>
      <c r="F606" s="2"/>
      <c r="G606" s="2"/>
      <c r="H606" s="2"/>
      <c r="I606" s="2"/>
      <c r="J606" s="2"/>
      <c r="K606" s="2"/>
      <c r="L606" s="19"/>
      <c r="M606" s="19"/>
      <c r="N606" s="2"/>
      <c r="O606" s="2"/>
      <c r="P606" s="2"/>
      <c r="Q606" s="2"/>
      <c r="R606" s="2"/>
      <c r="S606" s="2"/>
      <c r="T606" s="2"/>
      <c r="U606" s="2"/>
      <c r="V606" s="2"/>
      <c r="W606" s="2"/>
      <c r="X606" s="2"/>
      <c r="Y606" s="2"/>
      <c r="Z606" s="2"/>
    </row>
    <row r="607" customFormat="false" ht="12" hidden="false" customHeight="true" outlineLevel="0" collapsed="false">
      <c r="A607" s="2"/>
      <c r="B607" s="19"/>
      <c r="C607" s="19"/>
      <c r="D607" s="2"/>
      <c r="E607" s="2"/>
      <c r="F607" s="2"/>
      <c r="G607" s="2"/>
      <c r="H607" s="2"/>
      <c r="I607" s="2"/>
      <c r="J607" s="2"/>
      <c r="K607" s="2"/>
      <c r="L607" s="19"/>
      <c r="M607" s="19"/>
      <c r="N607" s="2"/>
      <c r="O607" s="2"/>
      <c r="P607" s="2"/>
      <c r="Q607" s="2"/>
      <c r="R607" s="2"/>
      <c r="S607" s="2"/>
      <c r="T607" s="2"/>
      <c r="U607" s="2"/>
      <c r="V607" s="2"/>
      <c r="W607" s="2"/>
      <c r="X607" s="2"/>
      <c r="Y607" s="2"/>
      <c r="Z607" s="2"/>
    </row>
    <row r="608" customFormat="false" ht="12" hidden="false" customHeight="true" outlineLevel="0" collapsed="false">
      <c r="A608" s="2"/>
      <c r="B608" s="19"/>
      <c r="C608" s="19"/>
      <c r="D608" s="2"/>
      <c r="E608" s="2"/>
      <c r="F608" s="2"/>
      <c r="G608" s="2"/>
      <c r="H608" s="2"/>
      <c r="I608" s="2"/>
      <c r="J608" s="2"/>
      <c r="K608" s="2"/>
      <c r="L608" s="19"/>
      <c r="M608" s="19"/>
      <c r="N608" s="2"/>
      <c r="O608" s="2"/>
      <c r="P608" s="2"/>
      <c r="Q608" s="2"/>
      <c r="R608" s="2"/>
      <c r="S608" s="2"/>
      <c r="T608" s="2"/>
      <c r="U608" s="2"/>
      <c r="V608" s="2"/>
      <c r="W608" s="2"/>
      <c r="X608" s="2"/>
      <c r="Y608" s="2"/>
      <c r="Z608" s="2"/>
    </row>
    <row r="609" customFormat="false" ht="12" hidden="false" customHeight="true" outlineLevel="0" collapsed="false">
      <c r="A609" s="2"/>
      <c r="B609" s="19"/>
      <c r="C609" s="19"/>
      <c r="D609" s="2"/>
      <c r="E609" s="2"/>
      <c r="F609" s="2"/>
      <c r="G609" s="2"/>
      <c r="H609" s="2"/>
      <c r="I609" s="2"/>
      <c r="J609" s="2"/>
      <c r="K609" s="2"/>
      <c r="L609" s="19"/>
      <c r="M609" s="19"/>
      <c r="N609" s="2"/>
      <c r="O609" s="2"/>
      <c r="P609" s="2"/>
      <c r="Q609" s="2"/>
      <c r="R609" s="2"/>
      <c r="S609" s="2"/>
      <c r="T609" s="2"/>
      <c r="U609" s="2"/>
      <c r="V609" s="2"/>
      <c r="W609" s="2"/>
      <c r="X609" s="2"/>
      <c r="Y609" s="2"/>
      <c r="Z609" s="2"/>
    </row>
    <row r="610" customFormat="false" ht="12" hidden="false" customHeight="true" outlineLevel="0" collapsed="false">
      <c r="A610" s="2"/>
      <c r="B610" s="19"/>
      <c r="C610" s="19"/>
      <c r="D610" s="2"/>
      <c r="E610" s="2"/>
      <c r="F610" s="2"/>
      <c r="G610" s="2"/>
      <c r="H610" s="2"/>
      <c r="I610" s="2"/>
      <c r="J610" s="2"/>
      <c r="K610" s="2"/>
      <c r="L610" s="19"/>
      <c r="M610" s="19"/>
      <c r="N610" s="2"/>
      <c r="O610" s="2"/>
      <c r="P610" s="2"/>
      <c r="Q610" s="2"/>
      <c r="R610" s="2"/>
      <c r="S610" s="2"/>
      <c r="T610" s="2"/>
      <c r="U610" s="2"/>
      <c r="V610" s="2"/>
      <c r="W610" s="2"/>
      <c r="X610" s="2"/>
      <c r="Y610" s="2"/>
      <c r="Z610" s="2"/>
    </row>
    <row r="611" customFormat="false" ht="12" hidden="false" customHeight="true" outlineLevel="0" collapsed="false">
      <c r="A611" s="2"/>
      <c r="B611" s="19"/>
      <c r="C611" s="19"/>
      <c r="D611" s="2"/>
      <c r="E611" s="2"/>
      <c r="F611" s="2"/>
      <c r="G611" s="2"/>
      <c r="H611" s="2"/>
      <c r="I611" s="2"/>
      <c r="J611" s="2"/>
      <c r="K611" s="2"/>
      <c r="L611" s="19"/>
      <c r="M611" s="19"/>
      <c r="N611" s="2"/>
      <c r="O611" s="2"/>
      <c r="P611" s="2"/>
      <c r="Q611" s="2"/>
      <c r="R611" s="2"/>
      <c r="S611" s="2"/>
      <c r="T611" s="2"/>
      <c r="U611" s="2"/>
      <c r="V611" s="2"/>
      <c r="W611" s="2"/>
      <c r="X611" s="2"/>
      <c r="Y611" s="2"/>
      <c r="Z611" s="2"/>
    </row>
    <row r="612" customFormat="false" ht="12" hidden="false" customHeight="true" outlineLevel="0" collapsed="false">
      <c r="A612" s="2"/>
      <c r="B612" s="19"/>
      <c r="C612" s="19"/>
      <c r="D612" s="2"/>
      <c r="E612" s="2"/>
      <c r="F612" s="2"/>
      <c r="G612" s="2"/>
      <c r="H612" s="2"/>
      <c r="I612" s="2"/>
      <c r="J612" s="2"/>
      <c r="K612" s="2"/>
      <c r="L612" s="19"/>
      <c r="M612" s="19"/>
      <c r="N612" s="2"/>
      <c r="O612" s="2"/>
      <c r="P612" s="2"/>
      <c r="Q612" s="2"/>
      <c r="R612" s="2"/>
      <c r="S612" s="2"/>
      <c r="T612" s="2"/>
      <c r="U612" s="2"/>
      <c r="V612" s="2"/>
      <c r="W612" s="2"/>
      <c r="X612" s="2"/>
      <c r="Y612" s="2"/>
      <c r="Z612" s="2"/>
    </row>
    <row r="613" customFormat="false" ht="12" hidden="false" customHeight="true" outlineLevel="0" collapsed="false">
      <c r="A613" s="2"/>
      <c r="B613" s="19"/>
      <c r="C613" s="19"/>
      <c r="D613" s="2"/>
      <c r="E613" s="2"/>
      <c r="F613" s="2"/>
      <c r="G613" s="2"/>
      <c r="H613" s="2"/>
      <c r="I613" s="2"/>
      <c r="J613" s="2"/>
      <c r="K613" s="2"/>
      <c r="L613" s="19"/>
      <c r="M613" s="19"/>
      <c r="N613" s="2"/>
      <c r="O613" s="2"/>
      <c r="P613" s="2"/>
      <c r="Q613" s="2"/>
      <c r="R613" s="2"/>
      <c r="S613" s="2"/>
      <c r="T613" s="2"/>
      <c r="U613" s="2"/>
      <c r="V613" s="2"/>
      <c r="W613" s="2"/>
      <c r="X613" s="2"/>
      <c r="Y613" s="2"/>
      <c r="Z613" s="2"/>
    </row>
    <row r="614" customFormat="false" ht="12" hidden="false" customHeight="true" outlineLevel="0" collapsed="false">
      <c r="A614" s="2"/>
      <c r="B614" s="19"/>
      <c r="C614" s="19"/>
      <c r="D614" s="2"/>
      <c r="E614" s="2"/>
      <c r="F614" s="2"/>
      <c r="G614" s="2"/>
      <c r="H614" s="2"/>
      <c r="I614" s="2"/>
      <c r="J614" s="2"/>
      <c r="K614" s="2"/>
      <c r="L614" s="19"/>
      <c r="M614" s="19"/>
      <c r="N614" s="2"/>
      <c r="O614" s="2"/>
      <c r="P614" s="2"/>
      <c r="Q614" s="2"/>
      <c r="R614" s="2"/>
      <c r="S614" s="2"/>
      <c r="T614" s="2"/>
      <c r="U614" s="2"/>
      <c r="V614" s="2"/>
      <c r="W614" s="2"/>
      <c r="X614" s="2"/>
      <c r="Y614" s="2"/>
      <c r="Z614" s="2"/>
    </row>
    <row r="615" customFormat="false" ht="12" hidden="false" customHeight="true" outlineLevel="0" collapsed="false">
      <c r="A615" s="2"/>
      <c r="B615" s="19"/>
      <c r="C615" s="19"/>
      <c r="D615" s="2"/>
      <c r="E615" s="2"/>
      <c r="F615" s="2"/>
      <c r="G615" s="2"/>
      <c r="H615" s="2"/>
      <c r="I615" s="2"/>
      <c r="J615" s="2"/>
      <c r="K615" s="2"/>
      <c r="L615" s="19"/>
      <c r="M615" s="19"/>
      <c r="N615" s="2"/>
      <c r="O615" s="2"/>
      <c r="P615" s="2"/>
      <c r="Q615" s="2"/>
      <c r="R615" s="2"/>
      <c r="S615" s="2"/>
      <c r="T615" s="2"/>
      <c r="U615" s="2"/>
      <c r="V615" s="2"/>
      <c r="W615" s="2"/>
      <c r="X615" s="2"/>
      <c r="Y615" s="2"/>
      <c r="Z615" s="2"/>
    </row>
    <row r="616" customFormat="false" ht="12" hidden="false" customHeight="true" outlineLevel="0" collapsed="false">
      <c r="A616" s="2"/>
      <c r="B616" s="19"/>
      <c r="C616" s="19"/>
      <c r="D616" s="2"/>
      <c r="E616" s="2"/>
      <c r="F616" s="2"/>
      <c r="G616" s="2"/>
      <c r="H616" s="2"/>
      <c r="I616" s="2"/>
      <c r="J616" s="2"/>
      <c r="K616" s="2"/>
      <c r="L616" s="19"/>
      <c r="M616" s="19"/>
      <c r="N616" s="2"/>
      <c r="O616" s="2"/>
      <c r="P616" s="2"/>
      <c r="Q616" s="2"/>
      <c r="R616" s="2"/>
      <c r="S616" s="2"/>
      <c r="T616" s="2"/>
      <c r="U616" s="2"/>
      <c r="V616" s="2"/>
      <c r="W616" s="2"/>
      <c r="X616" s="2"/>
      <c r="Y616" s="2"/>
      <c r="Z616" s="2"/>
    </row>
    <row r="617" customFormat="false" ht="12" hidden="false" customHeight="true" outlineLevel="0" collapsed="false">
      <c r="A617" s="2"/>
      <c r="B617" s="19"/>
      <c r="C617" s="19"/>
      <c r="D617" s="2"/>
      <c r="E617" s="2"/>
      <c r="F617" s="2"/>
      <c r="G617" s="2"/>
      <c r="H617" s="2"/>
      <c r="I617" s="2"/>
      <c r="J617" s="2"/>
      <c r="K617" s="2"/>
      <c r="L617" s="19"/>
      <c r="M617" s="19"/>
      <c r="N617" s="2"/>
      <c r="O617" s="2"/>
      <c r="P617" s="2"/>
      <c r="Q617" s="2"/>
      <c r="R617" s="2"/>
      <c r="S617" s="2"/>
      <c r="T617" s="2"/>
      <c r="U617" s="2"/>
      <c r="V617" s="2"/>
      <c r="W617" s="2"/>
      <c r="X617" s="2"/>
      <c r="Y617" s="2"/>
      <c r="Z617" s="2"/>
    </row>
    <row r="618" customFormat="false" ht="12" hidden="false" customHeight="true" outlineLevel="0" collapsed="false">
      <c r="A618" s="2"/>
      <c r="B618" s="19"/>
      <c r="C618" s="19"/>
      <c r="D618" s="2"/>
      <c r="E618" s="2"/>
      <c r="F618" s="2"/>
      <c r="G618" s="2"/>
      <c r="H618" s="2"/>
      <c r="I618" s="2"/>
      <c r="J618" s="2"/>
      <c r="K618" s="2"/>
      <c r="L618" s="19"/>
      <c r="M618" s="19"/>
      <c r="N618" s="2"/>
      <c r="O618" s="2"/>
      <c r="P618" s="2"/>
      <c r="Q618" s="2"/>
      <c r="R618" s="2"/>
      <c r="S618" s="2"/>
      <c r="T618" s="2"/>
      <c r="U618" s="2"/>
      <c r="V618" s="2"/>
      <c r="W618" s="2"/>
      <c r="X618" s="2"/>
      <c r="Y618" s="2"/>
      <c r="Z618" s="2"/>
    </row>
    <row r="619" customFormat="false" ht="12" hidden="false" customHeight="true" outlineLevel="0" collapsed="false">
      <c r="A619" s="2"/>
      <c r="B619" s="19"/>
      <c r="C619" s="19"/>
      <c r="D619" s="2"/>
      <c r="E619" s="2"/>
      <c r="F619" s="2"/>
      <c r="G619" s="2"/>
      <c r="H619" s="2"/>
      <c r="I619" s="2"/>
      <c r="J619" s="2"/>
      <c r="K619" s="2"/>
      <c r="L619" s="19"/>
      <c r="M619" s="19"/>
      <c r="N619" s="2"/>
      <c r="O619" s="2"/>
      <c r="P619" s="2"/>
      <c r="Q619" s="2"/>
      <c r="R619" s="2"/>
      <c r="S619" s="2"/>
      <c r="T619" s="2"/>
      <c r="U619" s="2"/>
      <c r="V619" s="2"/>
      <c r="W619" s="2"/>
      <c r="X619" s="2"/>
      <c r="Y619" s="2"/>
      <c r="Z619" s="2"/>
    </row>
    <row r="620" customFormat="false" ht="12" hidden="false" customHeight="true" outlineLevel="0" collapsed="false">
      <c r="A620" s="2"/>
      <c r="B620" s="19"/>
      <c r="C620" s="19"/>
      <c r="D620" s="2"/>
      <c r="E620" s="2"/>
      <c r="F620" s="2"/>
      <c r="G620" s="2"/>
      <c r="H620" s="2"/>
      <c r="I620" s="2"/>
      <c r="J620" s="2"/>
      <c r="K620" s="2"/>
      <c r="L620" s="19"/>
      <c r="M620" s="19"/>
      <c r="N620" s="2"/>
      <c r="O620" s="2"/>
      <c r="P620" s="2"/>
      <c r="Q620" s="2"/>
      <c r="R620" s="2"/>
      <c r="S620" s="2"/>
      <c r="T620" s="2"/>
      <c r="U620" s="2"/>
      <c r="V620" s="2"/>
      <c r="W620" s="2"/>
      <c r="X620" s="2"/>
      <c r="Y620" s="2"/>
      <c r="Z620" s="2"/>
    </row>
    <row r="621" customFormat="false" ht="12" hidden="false" customHeight="true" outlineLevel="0" collapsed="false">
      <c r="A621" s="2"/>
      <c r="B621" s="19"/>
      <c r="C621" s="19"/>
      <c r="D621" s="2"/>
      <c r="E621" s="2"/>
      <c r="F621" s="2"/>
      <c r="G621" s="2"/>
      <c r="H621" s="2"/>
      <c r="I621" s="2"/>
      <c r="J621" s="2"/>
      <c r="K621" s="2"/>
      <c r="L621" s="19"/>
      <c r="M621" s="19"/>
      <c r="N621" s="2"/>
      <c r="O621" s="2"/>
      <c r="P621" s="2"/>
      <c r="Q621" s="2"/>
      <c r="R621" s="2"/>
      <c r="S621" s="2"/>
      <c r="T621" s="2"/>
      <c r="U621" s="2"/>
      <c r="V621" s="2"/>
      <c r="W621" s="2"/>
      <c r="X621" s="2"/>
      <c r="Y621" s="2"/>
      <c r="Z621" s="2"/>
    </row>
    <row r="622" customFormat="false" ht="12" hidden="false" customHeight="true" outlineLevel="0" collapsed="false">
      <c r="A622" s="2"/>
      <c r="B622" s="19"/>
      <c r="C622" s="19"/>
      <c r="D622" s="2"/>
      <c r="E622" s="2"/>
      <c r="F622" s="2"/>
      <c r="G622" s="2"/>
      <c r="H622" s="2"/>
      <c r="I622" s="2"/>
      <c r="J622" s="2"/>
      <c r="K622" s="2"/>
      <c r="L622" s="19"/>
      <c r="M622" s="19"/>
      <c r="N622" s="2"/>
      <c r="O622" s="2"/>
      <c r="P622" s="2"/>
      <c r="Q622" s="2"/>
      <c r="R622" s="2"/>
      <c r="S622" s="2"/>
      <c r="T622" s="2"/>
      <c r="U622" s="2"/>
      <c r="V622" s="2"/>
      <c r="W622" s="2"/>
      <c r="X622" s="2"/>
      <c r="Y622" s="2"/>
      <c r="Z622" s="2"/>
    </row>
    <row r="623" customFormat="false" ht="12" hidden="false" customHeight="true" outlineLevel="0" collapsed="false">
      <c r="A623" s="2"/>
      <c r="B623" s="19"/>
      <c r="C623" s="19"/>
      <c r="D623" s="2"/>
      <c r="E623" s="2"/>
      <c r="F623" s="2"/>
      <c r="G623" s="2"/>
      <c r="H623" s="2"/>
      <c r="I623" s="2"/>
      <c r="J623" s="2"/>
      <c r="K623" s="2"/>
      <c r="L623" s="19"/>
      <c r="M623" s="19"/>
      <c r="N623" s="2"/>
      <c r="O623" s="2"/>
      <c r="P623" s="2"/>
      <c r="Q623" s="2"/>
      <c r="R623" s="2"/>
      <c r="S623" s="2"/>
      <c r="T623" s="2"/>
      <c r="U623" s="2"/>
      <c r="V623" s="2"/>
      <c r="W623" s="2"/>
      <c r="X623" s="2"/>
      <c r="Y623" s="2"/>
      <c r="Z623" s="2"/>
    </row>
    <row r="624" customFormat="false" ht="12" hidden="false" customHeight="true" outlineLevel="0" collapsed="false">
      <c r="A624" s="2"/>
      <c r="B624" s="19"/>
      <c r="C624" s="19"/>
      <c r="D624" s="2"/>
      <c r="E624" s="2"/>
      <c r="F624" s="2"/>
      <c r="G624" s="2"/>
      <c r="H624" s="2"/>
      <c r="I624" s="2"/>
      <c r="J624" s="2"/>
      <c r="K624" s="2"/>
      <c r="L624" s="19"/>
      <c r="M624" s="19"/>
      <c r="N624" s="2"/>
      <c r="O624" s="2"/>
      <c r="P624" s="2"/>
      <c r="Q624" s="2"/>
      <c r="R624" s="2"/>
      <c r="S624" s="2"/>
      <c r="T624" s="2"/>
      <c r="U624" s="2"/>
      <c r="V624" s="2"/>
      <c r="W624" s="2"/>
      <c r="X624" s="2"/>
      <c r="Y624" s="2"/>
      <c r="Z624" s="2"/>
    </row>
    <row r="625" customFormat="false" ht="12" hidden="false" customHeight="true" outlineLevel="0" collapsed="false">
      <c r="A625" s="2"/>
      <c r="B625" s="19"/>
      <c r="C625" s="19"/>
      <c r="D625" s="2"/>
      <c r="E625" s="2"/>
      <c r="F625" s="2"/>
      <c r="G625" s="2"/>
      <c r="H625" s="2"/>
      <c r="I625" s="2"/>
      <c r="J625" s="2"/>
      <c r="K625" s="2"/>
      <c r="L625" s="19"/>
      <c r="M625" s="19"/>
      <c r="N625" s="2"/>
      <c r="O625" s="2"/>
      <c r="P625" s="2"/>
      <c r="Q625" s="2"/>
      <c r="R625" s="2"/>
      <c r="S625" s="2"/>
      <c r="T625" s="2"/>
      <c r="U625" s="2"/>
      <c r="V625" s="2"/>
      <c r="W625" s="2"/>
      <c r="X625" s="2"/>
      <c r="Y625" s="2"/>
      <c r="Z625" s="2"/>
    </row>
    <row r="626" customFormat="false" ht="12" hidden="false" customHeight="true" outlineLevel="0" collapsed="false">
      <c r="A626" s="2"/>
      <c r="B626" s="19"/>
      <c r="C626" s="19"/>
      <c r="D626" s="2"/>
      <c r="E626" s="2"/>
      <c r="F626" s="2"/>
      <c r="G626" s="2"/>
      <c r="H626" s="2"/>
      <c r="I626" s="2"/>
      <c r="J626" s="2"/>
      <c r="K626" s="2"/>
      <c r="L626" s="19"/>
      <c r="M626" s="19"/>
      <c r="N626" s="2"/>
      <c r="O626" s="2"/>
      <c r="P626" s="2"/>
      <c r="Q626" s="2"/>
      <c r="R626" s="2"/>
      <c r="S626" s="2"/>
      <c r="T626" s="2"/>
      <c r="U626" s="2"/>
      <c r="V626" s="2"/>
      <c r="W626" s="2"/>
      <c r="X626" s="2"/>
      <c r="Y626" s="2"/>
      <c r="Z626" s="2"/>
    </row>
    <row r="627" customFormat="false" ht="12" hidden="false" customHeight="true" outlineLevel="0" collapsed="false">
      <c r="A627" s="2"/>
      <c r="B627" s="19"/>
      <c r="C627" s="19"/>
      <c r="D627" s="2"/>
      <c r="E627" s="2"/>
      <c r="F627" s="2"/>
      <c r="G627" s="2"/>
      <c r="H627" s="2"/>
      <c r="I627" s="2"/>
      <c r="J627" s="2"/>
      <c r="K627" s="2"/>
      <c r="L627" s="19"/>
      <c r="M627" s="19"/>
      <c r="N627" s="2"/>
      <c r="O627" s="2"/>
      <c r="P627" s="2"/>
      <c r="Q627" s="2"/>
      <c r="R627" s="2"/>
      <c r="S627" s="2"/>
      <c r="T627" s="2"/>
      <c r="U627" s="2"/>
      <c r="V627" s="2"/>
      <c r="W627" s="2"/>
      <c r="X627" s="2"/>
      <c r="Y627" s="2"/>
      <c r="Z627" s="2"/>
    </row>
    <row r="628" customFormat="false" ht="12" hidden="false" customHeight="true" outlineLevel="0" collapsed="false">
      <c r="A628" s="2"/>
      <c r="B628" s="19"/>
      <c r="C628" s="19"/>
      <c r="D628" s="2"/>
      <c r="E628" s="2"/>
      <c r="F628" s="2"/>
      <c r="G628" s="2"/>
      <c r="H628" s="2"/>
      <c r="I628" s="2"/>
      <c r="J628" s="2"/>
      <c r="K628" s="2"/>
      <c r="L628" s="19"/>
      <c r="M628" s="19"/>
      <c r="N628" s="2"/>
      <c r="O628" s="2"/>
      <c r="P628" s="2"/>
      <c r="Q628" s="2"/>
      <c r="R628" s="2"/>
      <c r="S628" s="2"/>
      <c r="T628" s="2"/>
      <c r="U628" s="2"/>
      <c r="V628" s="2"/>
      <c r="W628" s="2"/>
      <c r="X628" s="2"/>
      <c r="Y628" s="2"/>
      <c r="Z628" s="2"/>
    </row>
    <row r="629" customFormat="false" ht="12" hidden="false" customHeight="true" outlineLevel="0" collapsed="false">
      <c r="A629" s="2"/>
      <c r="B629" s="19"/>
      <c r="C629" s="19"/>
      <c r="D629" s="2"/>
      <c r="E629" s="2"/>
      <c r="F629" s="2"/>
      <c r="G629" s="2"/>
      <c r="H629" s="2"/>
      <c r="I629" s="2"/>
      <c r="J629" s="2"/>
      <c r="K629" s="2"/>
      <c r="L629" s="19"/>
      <c r="M629" s="19"/>
      <c r="N629" s="2"/>
      <c r="O629" s="2"/>
      <c r="P629" s="2"/>
      <c r="Q629" s="2"/>
      <c r="R629" s="2"/>
      <c r="S629" s="2"/>
      <c r="T629" s="2"/>
      <c r="U629" s="2"/>
      <c r="V629" s="2"/>
      <c r="W629" s="2"/>
      <c r="X629" s="2"/>
      <c r="Y629" s="2"/>
      <c r="Z629" s="2"/>
    </row>
    <row r="630" customFormat="false" ht="12" hidden="false" customHeight="true" outlineLevel="0" collapsed="false">
      <c r="A630" s="2"/>
      <c r="B630" s="19"/>
      <c r="C630" s="19"/>
      <c r="D630" s="2"/>
      <c r="E630" s="2"/>
      <c r="F630" s="2"/>
      <c r="G630" s="2"/>
      <c r="H630" s="2"/>
      <c r="I630" s="2"/>
      <c r="J630" s="2"/>
      <c r="K630" s="2"/>
      <c r="L630" s="19"/>
      <c r="M630" s="19"/>
      <c r="N630" s="2"/>
      <c r="O630" s="2"/>
      <c r="P630" s="2"/>
      <c r="Q630" s="2"/>
      <c r="R630" s="2"/>
      <c r="S630" s="2"/>
      <c r="T630" s="2"/>
      <c r="U630" s="2"/>
      <c r="V630" s="2"/>
      <c r="W630" s="2"/>
      <c r="X630" s="2"/>
      <c r="Y630" s="2"/>
      <c r="Z630" s="2"/>
    </row>
    <row r="631" customFormat="false" ht="12" hidden="false" customHeight="true" outlineLevel="0" collapsed="false">
      <c r="A631" s="2"/>
      <c r="B631" s="19"/>
      <c r="C631" s="19"/>
      <c r="D631" s="2"/>
      <c r="E631" s="2"/>
      <c r="F631" s="2"/>
      <c r="G631" s="2"/>
      <c r="H631" s="2"/>
      <c r="I631" s="2"/>
      <c r="J631" s="2"/>
      <c r="K631" s="2"/>
      <c r="L631" s="19"/>
      <c r="M631" s="19"/>
      <c r="N631" s="2"/>
      <c r="O631" s="2"/>
      <c r="P631" s="2"/>
      <c r="Q631" s="2"/>
      <c r="R631" s="2"/>
      <c r="S631" s="2"/>
      <c r="T631" s="2"/>
      <c r="U631" s="2"/>
      <c r="V631" s="2"/>
      <c r="W631" s="2"/>
      <c r="X631" s="2"/>
      <c r="Y631" s="2"/>
      <c r="Z631" s="2"/>
    </row>
    <row r="632" customFormat="false" ht="12" hidden="false" customHeight="true" outlineLevel="0" collapsed="false">
      <c r="A632" s="2"/>
      <c r="B632" s="19"/>
      <c r="C632" s="19"/>
      <c r="D632" s="2"/>
      <c r="E632" s="2"/>
      <c r="F632" s="2"/>
      <c r="G632" s="2"/>
      <c r="H632" s="2"/>
      <c r="I632" s="2"/>
      <c r="J632" s="2"/>
      <c r="K632" s="2"/>
      <c r="L632" s="19"/>
      <c r="M632" s="19"/>
      <c r="N632" s="2"/>
      <c r="O632" s="2"/>
      <c r="P632" s="2"/>
      <c r="Q632" s="2"/>
      <c r="R632" s="2"/>
      <c r="S632" s="2"/>
      <c r="T632" s="2"/>
      <c r="U632" s="2"/>
      <c r="V632" s="2"/>
      <c r="W632" s="2"/>
      <c r="X632" s="2"/>
      <c r="Y632" s="2"/>
      <c r="Z632" s="2"/>
    </row>
    <row r="633" customFormat="false" ht="12" hidden="false" customHeight="true" outlineLevel="0" collapsed="false">
      <c r="A633" s="2"/>
      <c r="B633" s="19"/>
      <c r="C633" s="19"/>
      <c r="D633" s="2"/>
      <c r="E633" s="2"/>
      <c r="F633" s="2"/>
      <c r="G633" s="2"/>
      <c r="H633" s="2"/>
      <c r="I633" s="2"/>
      <c r="J633" s="2"/>
      <c r="K633" s="2"/>
      <c r="L633" s="19"/>
      <c r="M633" s="19"/>
      <c r="N633" s="2"/>
      <c r="O633" s="2"/>
      <c r="P633" s="2"/>
      <c r="Q633" s="2"/>
      <c r="R633" s="2"/>
      <c r="S633" s="2"/>
      <c r="T633" s="2"/>
      <c r="U633" s="2"/>
      <c r="V633" s="2"/>
      <c r="W633" s="2"/>
      <c r="X633" s="2"/>
      <c r="Y633" s="2"/>
      <c r="Z633" s="2"/>
    </row>
    <row r="634" customFormat="false" ht="12" hidden="false" customHeight="true" outlineLevel="0" collapsed="false">
      <c r="A634" s="2"/>
      <c r="B634" s="19"/>
      <c r="C634" s="19"/>
      <c r="D634" s="2"/>
      <c r="E634" s="2"/>
      <c r="F634" s="2"/>
      <c r="G634" s="2"/>
      <c r="H634" s="2"/>
      <c r="I634" s="2"/>
      <c r="J634" s="2"/>
      <c r="K634" s="2"/>
      <c r="L634" s="19"/>
      <c r="M634" s="19"/>
      <c r="N634" s="2"/>
      <c r="O634" s="2"/>
      <c r="P634" s="2"/>
      <c r="Q634" s="2"/>
      <c r="R634" s="2"/>
      <c r="S634" s="2"/>
      <c r="T634" s="2"/>
      <c r="U634" s="2"/>
      <c r="V634" s="2"/>
      <c r="W634" s="2"/>
      <c r="X634" s="2"/>
      <c r="Y634" s="2"/>
      <c r="Z634" s="2"/>
    </row>
    <row r="635" customFormat="false" ht="12" hidden="false" customHeight="true" outlineLevel="0" collapsed="false">
      <c r="A635" s="2"/>
      <c r="B635" s="19"/>
      <c r="C635" s="19"/>
      <c r="D635" s="2"/>
      <c r="E635" s="2"/>
      <c r="F635" s="2"/>
      <c r="G635" s="2"/>
      <c r="H635" s="2"/>
      <c r="I635" s="2"/>
      <c r="J635" s="2"/>
      <c r="K635" s="2"/>
      <c r="L635" s="19"/>
      <c r="M635" s="19"/>
      <c r="N635" s="2"/>
      <c r="O635" s="2"/>
      <c r="P635" s="2"/>
      <c r="Q635" s="2"/>
      <c r="R635" s="2"/>
      <c r="S635" s="2"/>
      <c r="T635" s="2"/>
      <c r="U635" s="2"/>
      <c r="V635" s="2"/>
      <c r="W635" s="2"/>
      <c r="X635" s="2"/>
      <c r="Y635" s="2"/>
      <c r="Z635" s="2"/>
    </row>
    <row r="636" customFormat="false" ht="12" hidden="false" customHeight="true" outlineLevel="0" collapsed="false">
      <c r="A636" s="2"/>
      <c r="B636" s="19"/>
      <c r="C636" s="19"/>
      <c r="D636" s="2"/>
      <c r="E636" s="2"/>
      <c r="F636" s="2"/>
      <c r="G636" s="2"/>
      <c r="H636" s="2"/>
      <c r="I636" s="2"/>
      <c r="J636" s="2"/>
      <c r="K636" s="2"/>
      <c r="L636" s="19"/>
      <c r="M636" s="19"/>
      <c r="N636" s="2"/>
      <c r="O636" s="2"/>
      <c r="P636" s="2"/>
      <c r="Q636" s="2"/>
      <c r="R636" s="2"/>
      <c r="S636" s="2"/>
      <c r="T636" s="2"/>
      <c r="U636" s="2"/>
      <c r="V636" s="2"/>
      <c r="W636" s="2"/>
      <c r="X636" s="2"/>
      <c r="Y636" s="2"/>
      <c r="Z636" s="2"/>
    </row>
    <row r="637" customFormat="false" ht="12" hidden="false" customHeight="true" outlineLevel="0" collapsed="false">
      <c r="A637" s="2"/>
      <c r="B637" s="19"/>
      <c r="C637" s="19"/>
      <c r="D637" s="2"/>
      <c r="E637" s="2"/>
      <c r="F637" s="2"/>
      <c r="G637" s="2"/>
      <c r="H637" s="2"/>
      <c r="I637" s="2"/>
      <c r="J637" s="2"/>
      <c r="K637" s="2"/>
      <c r="L637" s="19"/>
      <c r="M637" s="19"/>
      <c r="N637" s="2"/>
      <c r="O637" s="2"/>
      <c r="P637" s="2"/>
      <c r="Q637" s="2"/>
      <c r="R637" s="2"/>
      <c r="S637" s="2"/>
      <c r="T637" s="2"/>
      <c r="U637" s="2"/>
      <c r="V637" s="2"/>
      <c r="W637" s="2"/>
      <c r="X637" s="2"/>
      <c r="Y637" s="2"/>
      <c r="Z637" s="2"/>
    </row>
    <row r="638" customFormat="false" ht="12" hidden="false" customHeight="true" outlineLevel="0" collapsed="false">
      <c r="A638" s="2"/>
      <c r="B638" s="19"/>
      <c r="C638" s="19"/>
      <c r="D638" s="2"/>
      <c r="E638" s="2"/>
      <c r="F638" s="2"/>
      <c r="G638" s="2"/>
      <c r="H638" s="2"/>
      <c r="I638" s="2"/>
      <c r="J638" s="2"/>
      <c r="K638" s="2"/>
      <c r="L638" s="19"/>
      <c r="M638" s="19"/>
      <c r="N638" s="2"/>
      <c r="O638" s="2"/>
      <c r="P638" s="2"/>
      <c r="Q638" s="2"/>
      <c r="R638" s="2"/>
      <c r="S638" s="2"/>
      <c r="T638" s="2"/>
      <c r="U638" s="2"/>
      <c r="V638" s="2"/>
      <c r="W638" s="2"/>
      <c r="X638" s="2"/>
      <c r="Y638" s="2"/>
      <c r="Z638" s="2"/>
    </row>
    <row r="639" customFormat="false" ht="12" hidden="false" customHeight="true" outlineLevel="0" collapsed="false">
      <c r="A639" s="2"/>
      <c r="B639" s="19"/>
      <c r="C639" s="19"/>
      <c r="D639" s="2"/>
      <c r="E639" s="2"/>
      <c r="F639" s="2"/>
      <c r="G639" s="2"/>
      <c r="H639" s="2"/>
      <c r="I639" s="2"/>
      <c r="J639" s="2"/>
      <c r="K639" s="2"/>
      <c r="L639" s="19"/>
      <c r="M639" s="19"/>
      <c r="N639" s="2"/>
      <c r="O639" s="2"/>
      <c r="P639" s="2"/>
      <c r="Q639" s="2"/>
      <c r="R639" s="2"/>
      <c r="S639" s="2"/>
      <c r="T639" s="2"/>
      <c r="U639" s="2"/>
      <c r="V639" s="2"/>
      <c r="W639" s="2"/>
      <c r="X639" s="2"/>
      <c r="Y639" s="2"/>
      <c r="Z639" s="2"/>
    </row>
    <row r="640" customFormat="false" ht="12" hidden="false" customHeight="true" outlineLevel="0" collapsed="false">
      <c r="A640" s="2"/>
      <c r="B640" s="19"/>
      <c r="C640" s="19"/>
      <c r="D640" s="2"/>
      <c r="E640" s="2"/>
      <c r="F640" s="2"/>
      <c r="G640" s="2"/>
      <c r="H640" s="2"/>
      <c r="I640" s="2"/>
      <c r="J640" s="2"/>
      <c r="K640" s="2"/>
      <c r="L640" s="19"/>
      <c r="M640" s="19"/>
      <c r="N640" s="2"/>
      <c r="O640" s="2"/>
      <c r="P640" s="2"/>
      <c r="Q640" s="2"/>
      <c r="R640" s="2"/>
      <c r="S640" s="2"/>
      <c r="T640" s="2"/>
      <c r="U640" s="2"/>
      <c r="V640" s="2"/>
      <c r="W640" s="2"/>
      <c r="X640" s="2"/>
      <c r="Y640" s="2"/>
      <c r="Z640" s="2"/>
    </row>
    <row r="641" customFormat="false" ht="12" hidden="false" customHeight="true" outlineLevel="0" collapsed="false">
      <c r="A641" s="2"/>
      <c r="B641" s="19"/>
      <c r="C641" s="19"/>
      <c r="D641" s="2"/>
      <c r="E641" s="2"/>
      <c r="F641" s="2"/>
      <c r="G641" s="2"/>
      <c r="H641" s="2"/>
      <c r="I641" s="2"/>
      <c r="J641" s="2"/>
      <c r="K641" s="2"/>
      <c r="L641" s="19"/>
      <c r="M641" s="19"/>
      <c r="N641" s="2"/>
      <c r="O641" s="2"/>
      <c r="P641" s="2"/>
      <c r="Q641" s="2"/>
      <c r="R641" s="2"/>
      <c r="S641" s="2"/>
      <c r="T641" s="2"/>
      <c r="U641" s="2"/>
      <c r="V641" s="2"/>
      <c r="W641" s="2"/>
      <c r="X641" s="2"/>
      <c r="Y641" s="2"/>
      <c r="Z641" s="2"/>
    </row>
    <row r="642" customFormat="false" ht="12" hidden="false" customHeight="true" outlineLevel="0" collapsed="false">
      <c r="A642" s="2"/>
      <c r="B642" s="19"/>
      <c r="C642" s="19"/>
      <c r="D642" s="2"/>
      <c r="E642" s="2"/>
      <c r="F642" s="2"/>
      <c r="G642" s="2"/>
      <c r="H642" s="2"/>
      <c r="I642" s="2"/>
      <c r="J642" s="2"/>
      <c r="K642" s="2"/>
      <c r="L642" s="19"/>
      <c r="M642" s="19"/>
      <c r="N642" s="2"/>
      <c r="O642" s="2"/>
      <c r="P642" s="2"/>
      <c r="Q642" s="2"/>
      <c r="R642" s="2"/>
      <c r="S642" s="2"/>
      <c r="T642" s="2"/>
      <c r="U642" s="2"/>
      <c r="V642" s="2"/>
      <c r="W642" s="2"/>
      <c r="X642" s="2"/>
      <c r="Y642" s="2"/>
      <c r="Z642" s="2"/>
    </row>
    <row r="643" customFormat="false" ht="12" hidden="false" customHeight="true" outlineLevel="0" collapsed="false">
      <c r="A643" s="2"/>
      <c r="B643" s="19"/>
      <c r="C643" s="19"/>
      <c r="D643" s="2"/>
      <c r="E643" s="2"/>
      <c r="F643" s="2"/>
      <c r="G643" s="2"/>
      <c r="H643" s="2"/>
      <c r="I643" s="2"/>
      <c r="J643" s="2"/>
      <c r="K643" s="2"/>
      <c r="L643" s="19"/>
      <c r="M643" s="19"/>
      <c r="N643" s="2"/>
      <c r="O643" s="2"/>
      <c r="P643" s="2"/>
      <c r="Q643" s="2"/>
      <c r="R643" s="2"/>
      <c r="S643" s="2"/>
      <c r="T643" s="2"/>
      <c r="U643" s="2"/>
      <c r="V643" s="2"/>
      <c r="W643" s="2"/>
      <c r="X643" s="2"/>
      <c r="Y643" s="2"/>
      <c r="Z643" s="2"/>
    </row>
    <row r="644" customFormat="false" ht="12" hidden="false" customHeight="true" outlineLevel="0" collapsed="false">
      <c r="A644" s="2"/>
      <c r="B644" s="19"/>
      <c r="C644" s="19"/>
      <c r="D644" s="2"/>
      <c r="E644" s="2"/>
      <c r="F644" s="2"/>
      <c r="G644" s="2"/>
      <c r="H644" s="2"/>
      <c r="I644" s="2"/>
      <c r="J644" s="2"/>
      <c r="K644" s="2"/>
      <c r="L644" s="19"/>
      <c r="M644" s="19"/>
      <c r="N644" s="2"/>
      <c r="O644" s="2"/>
      <c r="P644" s="2"/>
      <c r="Q644" s="2"/>
      <c r="R644" s="2"/>
      <c r="S644" s="2"/>
      <c r="T644" s="2"/>
      <c r="U644" s="2"/>
      <c r="V644" s="2"/>
      <c r="W644" s="2"/>
      <c r="X644" s="2"/>
      <c r="Y644" s="2"/>
      <c r="Z644" s="2"/>
    </row>
    <row r="645" customFormat="false" ht="12" hidden="false" customHeight="true" outlineLevel="0" collapsed="false">
      <c r="A645" s="2"/>
      <c r="B645" s="19"/>
      <c r="C645" s="19"/>
      <c r="D645" s="2"/>
      <c r="E645" s="2"/>
      <c r="F645" s="2"/>
      <c r="G645" s="2"/>
      <c r="H645" s="2"/>
      <c r="I645" s="2"/>
      <c r="J645" s="2"/>
      <c r="K645" s="2"/>
      <c r="L645" s="19"/>
      <c r="M645" s="19"/>
      <c r="N645" s="2"/>
      <c r="O645" s="2"/>
      <c r="P645" s="2"/>
      <c r="Q645" s="2"/>
      <c r="R645" s="2"/>
      <c r="S645" s="2"/>
      <c r="T645" s="2"/>
      <c r="U645" s="2"/>
      <c r="V645" s="2"/>
      <c r="W645" s="2"/>
      <c r="X645" s="2"/>
      <c r="Y645" s="2"/>
      <c r="Z645" s="2"/>
    </row>
    <row r="646" customFormat="false" ht="12" hidden="false" customHeight="true" outlineLevel="0" collapsed="false">
      <c r="A646" s="2"/>
      <c r="B646" s="19"/>
      <c r="C646" s="19"/>
      <c r="D646" s="2"/>
      <c r="E646" s="2"/>
      <c r="F646" s="2"/>
      <c r="G646" s="2"/>
      <c r="H646" s="2"/>
      <c r="I646" s="2"/>
      <c r="J646" s="2"/>
      <c r="K646" s="2"/>
      <c r="L646" s="19"/>
      <c r="M646" s="19"/>
      <c r="N646" s="2"/>
      <c r="O646" s="2"/>
      <c r="P646" s="2"/>
      <c r="Q646" s="2"/>
      <c r="R646" s="2"/>
      <c r="S646" s="2"/>
      <c r="T646" s="2"/>
      <c r="U646" s="2"/>
      <c r="V646" s="2"/>
      <c r="W646" s="2"/>
      <c r="X646" s="2"/>
      <c r="Y646" s="2"/>
      <c r="Z646" s="2"/>
    </row>
    <row r="647" customFormat="false" ht="12" hidden="false" customHeight="true" outlineLevel="0" collapsed="false">
      <c r="A647" s="2"/>
      <c r="B647" s="19"/>
      <c r="C647" s="19"/>
      <c r="D647" s="2"/>
      <c r="E647" s="2"/>
      <c r="F647" s="2"/>
      <c r="G647" s="2"/>
      <c r="H647" s="2"/>
      <c r="I647" s="2"/>
      <c r="J647" s="2"/>
      <c r="K647" s="2"/>
      <c r="L647" s="19"/>
      <c r="M647" s="19"/>
      <c r="N647" s="2"/>
      <c r="O647" s="2"/>
      <c r="P647" s="2"/>
      <c r="Q647" s="2"/>
      <c r="R647" s="2"/>
      <c r="S647" s="2"/>
      <c r="T647" s="2"/>
      <c r="U647" s="2"/>
      <c r="V647" s="2"/>
      <c r="W647" s="2"/>
      <c r="X647" s="2"/>
      <c r="Y647" s="2"/>
      <c r="Z647" s="2"/>
    </row>
    <row r="648" customFormat="false" ht="12" hidden="false" customHeight="true" outlineLevel="0" collapsed="false">
      <c r="A648" s="2"/>
      <c r="B648" s="19"/>
      <c r="C648" s="19"/>
      <c r="D648" s="2"/>
      <c r="E648" s="2"/>
      <c r="F648" s="2"/>
      <c r="G648" s="2"/>
      <c r="H648" s="2"/>
      <c r="I648" s="2"/>
      <c r="J648" s="2"/>
      <c r="K648" s="2"/>
      <c r="L648" s="19"/>
      <c r="M648" s="19"/>
      <c r="N648" s="2"/>
      <c r="O648" s="2"/>
      <c r="P648" s="2"/>
      <c r="Q648" s="2"/>
      <c r="R648" s="2"/>
      <c r="S648" s="2"/>
      <c r="T648" s="2"/>
      <c r="U648" s="2"/>
      <c r="V648" s="2"/>
      <c r="W648" s="2"/>
      <c r="X648" s="2"/>
      <c r="Y648" s="2"/>
      <c r="Z648" s="2"/>
    </row>
    <row r="649" customFormat="false" ht="12" hidden="false" customHeight="true" outlineLevel="0" collapsed="false">
      <c r="A649" s="2"/>
      <c r="B649" s="19"/>
      <c r="C649" s="19"/>
      <c r="D649" s="2"/>
      <c r="E649" s="2"/>
      <c r="F649" s="2"/>
      <c r="G649" s="2"/>
      <c r="H649" s="2"/>
      <c r="I649" s="2"/>
      <c r="J649" s="2"/>
      <c r="K649" s="2"/>
      <c r="L649" s="19"/>
      <c r="M649" s="19"/>
      <c r="N649" s="2"/>
      <c r="O649" s="2"/>
      <c r="P649" s="2"/>
      <c r="Q649" s="2"/>
      <c r="R649" s="2"/>
      <c r="S649" s="2"/>
      <c r="T649" s="2"/>
      <c r="U649" s="2"/>
      <c r="V649" s="2"/>
      <c r="W649" s="2"/>
      <c r="X649" s="2"/>
      <c r="Y649" s="2"/>
      <c r="Z649" s="2"/>
    </row>
    <row r="650" customFormat="false" ht="12" hidden="false" customHeight="true" outlineLevel="0" collapsed="false">
      <c r="A650" s="2"/>
      <c r="B650" s="19"/>
      <c r="C650" s="19"/>
      <c r="D650" s="2"/>
      <c r="E650" s="2"/>
      <c r="F650" s="2"/>
      <c r="G650" s="2"/>
      <c r="H650" s="2"/>
      <c r="I650" s="2"/>
      <c r="J650" s="2"/>
      <c r="K650" s="2"/>
      <c r="L650" s="19"/>
      <c r="M650" s="19"/>
      <c r="N650" s="2"/>
      <c r="O650" s="2"/>
      <c r="P650" s="2"/>
      <c r="Q650" s="2"/>
      <c r="R650" s="2"/>
      <c r="S650" s="2"/>
      <c r="T650" s="2"/>
      <c r="U650" s="2"/>
      <c r="V650" s="2"/>
      <c r="W650" s="2"/>
      <c r="X650" s="2"/>
      <c r="Y650" s="2"/>
      <c r="Z650" s="2"/>
    </row>
    <row r="651" customFormat="false" ht="12" hidden="false" customHeight="true" outlineLevel="0" collapsed="false">
      <c r="A651" s="2"/>
      <c r="B651" s="19"/>
      <c r="C651" s="19"/>
      <c r="D651" s="2"/>
      <c r="E651" s="2"/>
      <c r="F651" s="2"/>
      <c r="G651" s="2"/>
      <c r="H651" s="2"/>
      <c r="I651" s="2"/>
      <c r="J651" s="2"/>
      <c r="K651" s="2"/>
      <c r="L651" s="19"/>
      <c r="M651" s="19"/>
      <c r="N651" s="2"/>
      <c r="O651" s="2"/>
      <c r="P651" s="2"/>
      <c r="Q651" s="2"/>
      <c r="R651" s="2"/>
      <c r="S651" s="2"/>
      <c r="T651" s="2"/>
      <c r="U651" s="2"/>
      <c r="V651" s="2"/>
      <c r="W651" s="2"/>
      <c r="X651" s="2"/>
      <c r="Y651" s="2"/>
      <c r="Z651" s="2"/>
    </row>
    <row r="652" customFormat="false" ht="12" hidden="false" customHeight="true" outlineLevel="0" collapsed="false">
      <c r="A652" s="2"/>
      <c r="B652" s="19"/>
      <c r="C652" s="19"/>
      <c r="D652" s="2"/>
      <c r="E652" s="2"/>
      <c r="F652" s="2"/>
      <c r="G652" s="2"/>
      <c r="H652" s="2"/>
      <c r="I652" s="2"/>
      <c r="J652" s="2"/>
      <c r="K652" s="2"/>
      <c r="L652" s="19"/>
      <c r="M652" s="19"/>
      <c r="N652" s="2"/>
      <c r="O652" s="2"/>
      <c r="P652" s="2"/>
      <c r="Q652" s="2"/>
      <c r="R652" s="2"/>
      <c r="S652" s="2"/>
      <c r="T652" s="2"/>
      <c r="U652" s="2"/>
      <c r="V652" s="2"/>
      <c r="W652" s="2"/>
      <c r="X652" s="2"/>
      <c r="Y652" s="2"/>
      <c r="Z652" s="2"/>
    </row>
    <row r="653" customFormat="false" ht="12" hidden="false" customHeight="true" outlineLevel="0" collapsed="false">
      <c r="A653" s="2"/>
      <c r="B653" s="19"/>
      <c r="C653" s="19"/>
      <c r="D653" s="2"/>
      <c r="E653" s="2"/>
      <c r="F653" s="2"/>
      <c r="G653" s="2"/>
      <c r="H653" s="2"/>
      <c r="I653" s="2"/>
      <c r="J653" s="2"/>
      <c r="K653" s="2"/>
      <c r="L653" s="19"/>
      <c r="M653" s="19"/>
      <c r="N653" s="2"/>
      <c r="O653" s="2"/>
      <c r="P653" s="2"/>
      <c r="Q653" s="2"/>
      <c r="R653" s="2"/>
      <c r="S653" s="2"/>
      <c r="T653" s="2"/>
      <c r="U653" s="2"/>
      <c r="V653" s="2"/>
      <c r="W653" s="2"/>
      <c r="X653" s="2"/>
      <c r="Y653" s="2"/>
      <c r="Z653" s="2"/>
    </row>
    <row r="654" customFormat="false" ht="12" hidden="false" customHeight="true" outlineLevel="0" collapsed="false">
      <c r="A654" s="2"/>
      <c r="B654" s="19"/>
      <c r="C654" s="19"/>
      <c r="D654" s="2"/>
      <c r="E654" s="2"/>
      <c r="F654" s="2"/>
      <c r="G654" s="2"/>
      <c r="H654" s="2"/>
      <c r="I654" s="2"/>
      <c r="J654" s="2"/>
      <c r="K654" s="2"/>
      <c r="L654" s="19"/>
      <c r="M654" s="19"/>
      <c r="N654" s="2"/>
      <c r="O654" s="2"/>
      <c r="P654" s="2"/>
      <c r="Q654" s="2"/>
      <c r="R654" s="2"/>
      <c r="S654" s="2"/>
      <c r="T654" s="2"/>
      <c r="U654" s="2"/>
      <c r="V654" s="2"/>
      <c r="W654" s="2"/>
      <c r="X654" s="2"/>
      <c r="Y654" s="2"/>
      <c r="Z654" s="2"/>
    </row>
    <row r="655" customFormat="false" ht="12" hidden="false" customHeight="true" outlineLevel="0" collapsed="false">
      <c r="A655" s="2"/>
      <c r="B655" s="19"/>
      <c r="C655" s="19"/>
      <c r="D655" s="2"/>
      <c r="E655" s="2"/>
      <c r="F655" s="2"/>
      <c r="G655" s="2"/>
      <c r="H655" s="2"/>
      <c r="I655" s="2"/>
      <c r="J655" s="2"/>
      <c r="K655" s="2"/>
      <c r="L655" s="19"/>
      <c r="M655" s="19"/>
      <c r="N655" s="2"/>
      <c r="O655" s="2"/>
      <c r="P655" s="2"/>
      <c r="Q655" s="2"/>
      <c r="R655" s="2"/>
      <c r="S655" s="2"/>
      <c r="T655" s="2"/>
      <c r="U655" s="2"/>
      <c r="V655" s="2"/>
      <c r="W655" s="2"/>
      <c r="X655" s="2"/>
      <c r="Y655" s="2"/>
      <c r="Z655" s="2"/>
    </row>
    <row r="656" customFormat="false" ht="12" hidden="false" customHeight="true" outlineLevel="0" collapsed="false">
      <c r="A656" s="2"/>
      <c r="B656" s="19"/>
      <c r="C656" s="19"/>
      <c r="D656" s="2"/>
      <c r="E656" s="2"/>
      <c r="F656" s="2"/>
      <c r="G656" s="2"/>
      <c r="H656" s="2"/>
      <c r="I656" s="2"/>
      <c r="J656" s="2"/>
      <c r="K656" s="2"/>
      <c r="L656" s="19"/>
      <c r="M656" s="19"/>
      <c r="N656" s="2"/>
      <c r="O656" s="2"/>
      <c r="P656" s="2"/>
      <c r="Q656" s="2"/>
      <c r="R656" s="2"/>
      <c r="S656" s="2"/>
      <c r="T656" s="2"/>
      <c r="U656" s="2"/>
      <c r="V656" s="2"/>
      <c r="W656" s="2"/>
      <c r="X656" s="2"/>
      <c r="Y656" s="2"/>
      <c r="Z656" s="2"/>
    </row>
    <row r="657" customFormat="false" ht="12" hidden="false" customHeight="true" outlineLevel="0" collapsed="false">
      <c r="A657" s="2"/>
      <c r="B657" s="19"/>
      <c r="C657" s="19"/>
      <c r="D657" s="2"/>
      <c r="E657" s="2"/>
      <c r="F657" s="2"/>
      <c r="G657" s="2"/>
      <c r="H657" s="2"/>
      <c r="I657" s="2"/>
      <c r="J657" s="2"/>
      <c r="K657" s="2"/>
      <c r="L657" s="19"/>
      <c r="M657" s="19"/>
      <c r="N657" s="2"/>
      <c r="O657" s="2"/>
      <c r="P657" s="2"/>
      <c r="Q657" s="2"/>
      <c r="R657" s="2"/>
      <c r="S657" s="2"/>
      <c r="T657" s="2"/>
      <c r="U657" s="2"/>
      <c r="V657" s="2"/>
      <c r="W657" s="2"/>
      <c r="X657" s="2"/>
      <c r="Y657" s="2"/>
      <c r="Z657" s="2"/>
    </row>
    <row r="658" customFormat="false" ht="12" hidden="false" customHeight="true" outlineLevel="0" collapsed="false">
      <c r="A658" s="2"/>
      <c r="B658" s="19"/>
      <c r="C658" s="19"/>
      <c r="D658" s="2"/>
      <c r="E658" s="2"/>
      <c r="F658" s="2"/>
      <c r="G658" s="2"/>
      <c r="H658" s="2"/>
      <c r="I658" s="2"/>
      <c r="J658" s="2"/>
      <c r="K658" s="2"/>
      <c r="L658" s="19"/>
      <c r="M658" s="19"/>
      <c r="N658" s="2"/>
      <c r="O658" s="2"/>
      <c r="P658" s="2"/>
      <c r="Q658" s="2"/>
      <c r="R658" s="2"/>
      <c r="S658" s="2"/>
      <c r="T658" s="2"/>
      <c r="U658" s="2"/>
      <c r="V658" s="2"/>
      <c r="W658" s="2"/>
      <c r="X658" s="2"/>
      <c r="Y658" s="2"/>
      <c r="Z658" s="2"/>
    </row>
    <row r="659" customFormat="false" ht="12" hidden="false" customHeight="true" outlineLevel="0" collapsed="false">
      <c r="A659" s="2"/>
      <c r="B659" s="19"/>
      <c r="C659" s="19"/>
      <c r="D659" s="2"/>
      <c r="E659" s="2"/>
      <c r="F659" s="2"/>
      <c r="G659" s="2"/>
      <c r="H659" s="2"/>
      <c r="I659" s="2"/>
      <c r="J659" s="2"/>
      <c r="K659" s="2"/>
      <c r="L659" s="19"/>
      <c r="M659" s="19"/>
      <c r="N659" s="2"/>
      <c r="O659" s="2"/>
      <c r="P659" s="2"/>
      <c r="Q659" s="2"/>
      <c r="R659" s="2"/>
      <c r="S659" s="2"/>
      <c r="T659" s="2"/>
      <c r="U659" s="2"/>
      <c r="V659" s="2"/>
      <c r="W659" s="2"/>
      <c r="X659" s="2"/>
      <c r="Y659" s="2"/>
      <c r="Z659" s="2"/>
    </row>
    <row r="660" customFormat="false" ht="12" hidden="false" customHeight="true" outlineLevel="0" collapsed="false">
      <c r="A660" s="2"/>
      <c r="B660" s="19"/>
      <c r="C660" s="19"/>
      <c r="D660" s="2"/>
      <c r="E660" s="2"/>
      <c r="F660" s="2"/>
      <c r="G660" s="2"/>
      <c r="H660" s="2"/>
      <c r="I660" s="2"/>
      <c r="J660" s="2"/>
      <c r="K660" s="2"/>
      <c r="L660" s="19"/>
      <c r="M660" s="19"/>
      <c r="N660" s="2"/>
      <c r="O660" s="2"/>
      <c r="P660" s="2"/>
      <c r="Q660" s="2"/>
      <c r="R660" s="2"/>
      <c r="S660" s="2"/>
      <c r="T660" s="2"/>
      <c r="U660" s="2"/>
      <c r="V660" s="2"/>
      <c r="W660" s="2"/>
      <c r="X660" s="2"/>
      <c r="Y660" s="2"/>
      <c r="Z660" s="2"/>
    </row>
    <row r="661" customFormat="false" ht="12" hidden="false" customHeight="true" outlineLevel="0" collapsed="false">
      <c r="A661" s="2"/>
      <c r="B661" s="19"/>
      <c r="C661" s="19"/>
      <c r="D661" s="2"/>
      <c r="E661" s="2"/>
      <c r="F661" s="2"/>
      <c r="G661" s="2"/>
      <c r="H661" s="2"/>
      <c r="I661" s="2"/>
      <c r="J661" s="2"/>
      <c r="K661" s="2"/>
      <c r="L661" s="19"/>
      <c r="M661" s="19"/>
      <c r="N661" s="2"/>
      <c r="O661" s="2"/>
      <c r="P661" s="2"/>
      <c r="Q661" s="2"/>
      <c r="R661" s="2"/>
      <c r="S661" s="2"/>
      <c r="T661" s="2"/>
      <c r="U661" s="2"/>
      <c r="V661" s="2"/>
      <c r="W661" s="2"/>
      <c r="X661" s="2"/>
      <c r="Y661" s="2"/>
      <c r="Z661" s="2"/>
    </row>
    <row r="662" customFormat="false" ht="12" hidden="false" customHeight="true" outlineLevel="0" collapsed="false">
      <c r="A662" s="2"/>
      <c r="B662" s="19"/>
      <c r="C662" s="19"/>
      <c r="D662" s="2"/>
      <c r="E662" s="2"/>
      <c r="F662" s="2"/>
      <c r="G662" s="2"/>
      <c r="H662" s="2"/>
      <c r="I662" s="2"/>
      <c r="J662" s="2"/>
      <c r="K662" s="2"/>
      <c r="L662" s="19"/>
      <c r="M662" s="19"/>
      <c r="N662" s="2"/>
      <c r="O662" s="2"/>
      <c r="P662" s="2"/>
      <c r="Q662" s="2"/>
      <c r="R662" s="2"/>
      <c r="S662" s="2"/>
      <c r="T662" s="2"/>
      <c r="U662" s="2"/>
      <c r="V662" s="2"/>
      <c r="W662" s="2"/>
      <c r="X662" s="2"/>
      <c r="Y662" s="2"/>
      <c r="Z662" s="2"/>
    </row>
    <row r="663" customFormat="false" ht="12" hidden="false" customHeight="true" outlineLevel="0" collapsed="false">
      <c r="A663" s="2"/>
      <c r="B663" s="19"/>
      <c r="C663" s="19"/>
      <c r="D663" s="2"/>
      <c r="E663" s="2"/>
      <c r="F663" s="2"/>
      <c r="G663" s="2"/>
      <c r="H663" s="2"/>
      <c r="I663" s="2"/>
      <c r="J663" s="2"/>
      <c r="K663" s="2"/>
      <c r="L663" s="19"/>
      <c r="M663" s="19"/>
      <c r="N663" s="2"/>
      <c r="O663" s="2"/>
      <c r="P663" s="2"/>
      <c r="Q663" s="2"/>
      <c r="R663" s="2"/>
      <c r="S663" s="2"/>
      <c r="T663" s="2"/>
      <c r="U663" s="2"/>
      <c r="V663" s="2"/>
      <c r="W663" s="2"/>
      <c r="X663" s="2"/>
      <c r="Y663" s="2"/>
      <c r="Z663" s="2"/>
    </row>
    <row r="664" customFormat="false" ht="12" hidden="false" customHeight="true" outlineLevel="0" collapsed="false">
      <c r="A664" s="2"/>
      <c r="B664" s="19"/>
      <c r="C664" s="19"/>
      <c r="D664" s="2"/>
      <c r="E664" s="2"/>
      <c r="F664" s="2"/>
      <c r="G664" s="2"/>
      <c r="H664" s="2"/>
      <c r="I664" s="2"/>
      <c r="J664" s="2"/>
      <c r="K664" s="2"/>
      <c r="L664" s="19"/>
      <c r="M664" s="19"/>
      <c r="N664" s="2"/>
      <c r="O664" s="2"/>
      <c r="P664" s="2"/>
      <c r="Q664" s="2"/>
      <c r="R664" s="2"/>
      <c r="S664" s="2"/>
      <c r="T664" s="2"/>
      <c r="U664" s="2"/>
      <c r="V664" s="2"/>
      <c r="W664" s="2"/>
      <c r="X664" s="2"/>
      <c r="Y664" s="2"/>
      <c r="Z664" s="2"/>
    </row>
    <row r="665" customFormat="false" ht="12" hidden="false" customHeight="true" outlineLevel="0" collapsed="false">
      <c r="A665" s="2"/>
      <c r="B665" s="19"/>
      <c r="C665" s="19"/>
      <c r="D665" s="2"/>
      <c r="E665" s="2"/>
      <c r="F665" s="2"/>
      <c r="G665" s="2"/>
      <c r="H665" s="2"/>
      <c r="I665" s="2"/>
      <c r="J665" s="2"/>
      <c r="K665" s="2"/>
      <c r="L665" s="19"/>
      <c r="M665" s="19"/>
      <c r="N665" s="2"/>
      <c r="O665" s="2"/>
      <c r="P665" s="2"/>
      <c r="Q665" s="2"/>
      <c r="R665" s="2"/>
      <c r="S665" s="2"/>
      <c r="T665" s="2"/>
      <c r="U665" s="2"/>
      <c r="V665" s="2"/>
      <c r="W665" s="2"/>
      <c r="X665" s="2"/>
      <c r="Y665" s="2"/>
      <c r="Z665" s="2"/>
    </row>
    <row r="666" customFormat="false" ht="12" hidden="false" customHeight="true" outlineLevel="0" collapsed="false">
      <c r="A666" s="2"/>
      <c r="B666" s="19"/>
      <c r="C666" s="19"/>
      <c r="D666" s="2"/>
      <c r="E666" s="2"/>
      <c r="F666" s="2"/>
      <c r="G666" s="2"/>
      <c r="H666" s="2"/>
      <c r="I666" s="2"/>
      <c r="J666" s="2"/>
      <c r="K666" s="2"/>
      <c r="L666" s="19"/>
      <c r="M666" s="19"/>
      <c r="N666" s="2"/>
      <c r="O666" s="2"/>
      <c r="P666" s="2"/>
      <c r="Q666" s="2"/>
      <c r="R666" s="2"/>
      <c r="S666" s="2"/>
      <c r="T666" s="2"/>
      <c r="U666" s="2"/>
      <c r="V666" s="2"/>
      <c r="W666" s="2"/>
      <c r="X666" s="2"/>
      <c r="Y666" s="2"/>
      <c r="Z666" s="2"/>
    </row>
    <row r="667" customFormat="false" ht="12" hidden="false" customHeight="true" outlineLevel="0" collapsed="false">
      <c r="A667" s="2"/>
      <c r="B667" s="19"/>
      <c r="C667" s="19"/>
      <c r="D667" s="2"/>
      <c r="E667" s="2"/>
      <c r="F667" s="2"/>
      <c r="G667" s="2"/>
      <c r="H667" s="2"/>
      <c r="I667" s="2"/>
      <c r="J667" s="2"/>
      <c r="K667" s="2"/>
      <c r="L667" s="19"/>
      <c r="M667" s="19"/>
      <c r="N667" s="2"/>
      <c r="O667" s="2"/>
      <c r="P667" s="2"/>
      <c r="Q667" s="2"/>
      <c r="R667" s="2"/>
      <c r="S667" s="2"/>
      <c r="T667" s="2"/>
      <c r="U667" s="2"/>
      <c r="V667" s="2"/>
      <c r="W667" s="2"/>
      <c r="X667" s="2"/>
      <c r="Y667" s="2"/>
      <c r="Z667" s="2"/>
    </row>
    <row r="668" customFormat="false" ht="12" hidden="false" customHeight="true" outlineLevel="0" collapsed="false">
      <c r="A668" s="2"/>
      <c r="B668" s="19"/>
      <c r="C668" s="19"/>
      <c r="D668" s="2"/>
      <c r="E668" s="2"/>
      <c r="F668" s="2"/>
      <c r="G668" s="2"/>
      <c r="H668" s="2"/>
      <c r="I668" s="2"/>
      <c r="J668" s="2"/>
      <c r="K668" s="2"/>
      <c r="L668" s="19"/>
      <c r="M668" s="19"/>
      <c r="N668" s="2"/>
      <c r="O668" s="2"/>
      <c r="P668" s="2"/>
      <c r="Q668" s="2"/>
      <c r="R668" s="2"/>
      <c r="S668" s="2"/>
      <c r="T668" s="2"/>
      <c r="U668" s="2"/>
      <c r="V668" s="2"/>
      <c r="W668" s="2"/>
      <c r="X668" s="2"/>
      <c r="Y668" s="2"/>
      <c r="Z668" s="2"/>
    </row>
    <row r="669" customFormat="false" ht="12" hidden="false" customHeight="true" outlineLevel="0" collapsed="false">
      <c r="A669" s="2"/>
      <c r="B669" s="19"/>
      <c r="C669" s="19"/>
      <c r="D669" s="2"/>
      <c r="E669" s="2"/>
      <c r="F669" s="2"/>
      <c r="G669" s="2"/>
      <c r="H669" s="2"/>
      <c r="I669" s="2"/>
      <c r="J669" s="2"/>
      <c r="K669" s="2"/>
      <c r="L669" s="19"/>
      <c r="M669" s="19"/>
      <c r="N669" s="2"/>
      <c r="O669" s="2"/>
      <c r="P669" s="2"/>
      <c r="Q669" s="2"/>
      <c r="R669" s="2"/>
      <c r="S669" s="2"/>
      <c r="T669" s="2"/>
      <c r="U669" s="2"/>
      <c r="V669" s="2"/>
      <c r="W669" s="2"/>
      <c r="X669" s="2"/>
      <c r="Y669" s="2"/>
      <c r="Z669" s="2"/>
    </row>
    <row r="670" customFormat="false" ht="12" hidden="false" customHeight="true" outlineLevel="0" collapsed="false">
      <c r="A670" s="2"/>
      <c r="B670" s="19"/>
      <c r="C670" s="19"/>
      <c r="D670" s="2"/>
      <c r="E670" s="2"/>
      <c r="F670" s="2"/>
      <c r="G670" s="2"/>
      <c r="H670" s="2"/>
      <c r="I670" s="2"/>
      <c r="J670" s="2"/>
      <c r="K670" s="2"/>
      <c r="L670" s="19"/>
      <c r="M670" s="19"/>
      <c r="N670" s="2"/>
      <c r="O670" s="2"/>
      <c r="P670" s="2"/>
      <c r="Q670" s="2"/>
      <c r="R670" s="2"/>
      <c r="S670" s="2"/>
      <c r="T670" s="2"/>
      <c r="U670" s="2"/>
      <c r="V670" s="2"/>
      <c r="W670" s="2"/>
      <c r="X670" s="2"/>
      <c r="Y670" s="2"/>
      <c r="Z670" s="2"/>
    </row>
    <row r="671" customFormat="false" ht="12" hidden="false" customHeight="true" outlineLevel="0" collapsed="false">
      <c r="A671" s="2"/>
      <c r="B671" s="19"/>
      <c r="C671" s="19"/>
      <c r="D671" s="2"/>
      <c r="E671" s="2"/>
      <c r="F671" s="2"/>
      <c r="G671" s="2"/>
      <c r="H671" s="2"/>
      <c r="I671" s="2"/>
      <c r="J671" s="2"/>
      <c r="K671" s="2"/>
      <c r="L671" s="19"/>
      <c r="M671" s="19"/>
      <c r="N671" s="2"/>
      <c r="O671" s="2"/>
      <c r="P671" s="2"/>
      <c r="Q671" s="2"/>
      <c r="R671" s="2"/>
      <c r="S671" s="2"/>
      <c r="T671" s="2"/>
      <c r="U671" s="2"/>
      <c r="V671" s="2"/>
      <c r="W671" s="2"/>
      <c r="X671" s="2"/>
      <c r="Y671" s="2"/>
      <c r="Z671" s="2"/>
    </row>
    <row r="672" customFormat="false" ht="12" hidden="false" customHeight="true" outlineLevel="0" collapsed="false">
      <c r="A672" s="2"/>
      <c r="B672" s="19"/>
      <c r="C672" s="19"/>
      <c r="D672" s="2"/>
      <c r="E672" s="2"/>
      <c r="F672" s="2"/>
      <c r="G672" s="2"/>
      <c r="H672" s="2"/>
      <c r="I672" s="2"/>
      <c r="J672" s="2"/>
      <c r="K672" s="2"/>
      <c r="L672" s="19"/>
      <c r="M672" s="19"/>
      <c r="N672" s="2"/>
      <c r="O672" s="2"/>
      <c r="P672" s="2"/>
      <c r="Q672" s="2"/>
      <c r="R672" s="2"/>
      <c r="S672" s="2"/>
      <c r="T672" s="2"/>
      <c r="U672" s="2"/>
      <c r="V672" s="2"/>
      <c r="W672" s="2"/>
      <c r="X672" s="2"/>
      <c r="Y672" s="2"/>
      <c r="Z672" s="2"/>
    </row>
    <row r="673" customFormat="false" ht="12" hidden="false" customHeight="true" outlineLevel="0" collapsed="false">
      <c r="A673" s="2"/>
      <c r="B673" s="19"/>
      <c r="C673" s="19"/>
      <c r="D673" s="2"/>
      <c r="E673" s="2"/>
      <c r="F673" s="2"/>
      <c r="G673" s="2"/>
      <c r="H673" s="2"/>
      <c r="I673" s="2"/>
      <c r="J673" s="2"/>
      <c r="K673" s="2"/>
      <c r="L673" s="19"/>
      <c r="M673" s="19"/>
      <c r="N673" s="2"/>
      <c r="O673" s="2"/>
      <c r="P673" s="2"/>
      <c r="Q673" s="2"/>
      <c r="R673" s="2"/>
      <c r="S673" s="2"/>
      <c r="T673" s="2"/>
      <c r="U673" s="2"/>
      <c r="V673" s="2"/>
      <c r="W673" s="2"/>
      <c r="X673" s="2"/>
      <c r="Y673" s="2"/>
      <c r="Z673" s="2"/>
    </row>
    <row r="674" customFormat="false" ht="12" hidden="false" customHeight="true" outlineLevel="0" collapsed="false">
      <c r="A674" s="2"/>
      <c r="B674" s="19"/>
      <c r="C674" s="19"/>
      <c r="D674" s="2"/>
      <c r="E674" s="2"/>
      <c r="F674" s="2"/>
      <c r="G674" s="2"/>
      <c r="H674" s="2"/>
      <c r="I674" s="2"/>
      <c r="J674" s="2"/>
      <c r="K674" s="2"/>
      <c r="L674" s="19"/>
      <c r="M674" s="19"/>
      <c r="N674" s="2"/>
      <c r="O674" s="2"/>
      <c r="P674" s="2"/>
      <c r="Q674" s="2"/>
      <c r="R674" s="2"/>
      <c r="S674" s="2"/>
      <c r="T674" s="2"/>
      <c r="U674" s="2"/>
      <c r="V674" s="2"/>
      <c r="W674" s="2"/>
      <c r="X674" s="2"/>
      <c r="Y674" s="2"/>
      <c r="Z674" s="2"/>
    </row>
    <row r="675" customFormat="false" ht="12" hidden="false" customHeight="true" outlineLevel="0" collapsed="false">
      <c r="A675" s="2"/>
      <c r="B675" s="19"/>
      <c r="C675" s="19"/>
      <c r="D675" s="2"/>
      <c r="E675" s="2"/>
      <c r="F675" s="2"/>
      <c r="G675" s="2"/>
      <c r="H675" s="2"/>
      <c r="I675" s="2"/>
      <c r="J675" s="2"/>
      <c r="K675" s="2"/>
      <c r="L675" s="19"/>
      <c r="M675" s="19"/>
      <c r="N675" s="2"/>
      <c r="O675" s="2"/>
      <c r="P675" s="2"/>
      <c r="Q675" s="2"/>
      <c r="R675" s="2"/>
      <c r="S675" s="2"/>
      <c r="T675" s="2"/>
      <c r="U675" s="2"/>
      <c r="V675" s="2"/>
      <c r="W675" s="2"/>
      <c r="X675" s="2"/>
      <c r="Y675" s="2"/>
      <c r="Z675" s="2"/>
    </row>
    <row r="676" customFormat="false" ht="12" hidden="false" customHeight="true" outlineLevel="0" collapsed="false">
      <c r="A676" s="2"/>
      <c r="B676" s="19"/>
      <c r="C676" s="19"/>
      <c r="D676" s="2"/>
      <c r="E676" s="2"/>
      <c r="F676" s="2"/>
      <c r="G676" s="2"/>
      <c r="H676" s="2"/>
      <c r="I676" s="2"/>
      <c r="J676" s="2"/>
      <c r="K676" s="2"/>
      <c r="L676" s="19"/>
      <c r="M676" s="19"/>
      <c r="N676" s="2"/>
      <c r="O676" s="2"/>
      <c r="P676" s="2"/>
      <c r="Q676" s="2"/>
      <c r="R676" s="2"/>
      <c r="S676" s="2"/>
      <c r="T676" s="2"/>
      <c r="U676" s="2"/>
      <c r="V676" s="2"/>
      <c r="W676" s="2"/>
      <c r="X676" s="2"/>
      <c r="Y676" s="2"/>
      <c r="Z676" s="2"/>
    </row>
    <row r="677" customFormat="false" ht="12" hidden="false" customHeight="true" outlineLevel="0" collapsed="false">
      <c r="A677" s="2"/>
      <c r="B677" s="19"/>
      <c r="C677" s="19"/>
      <c r="D677" s="2"/>
      <c r="E677" s="2"/>
      <c r="F677" s="2"/>
      <c r="G677" s="2"/>
      <c r="H677" s="2"/>
      <c r="I677" s="2"/>
      <c r="J677" s="2"/>
      <c r="K677" s="2"/>
      <c r="L677" s="19"/>
      <c r="M677" s="19"/>
      <c r="N677" s="2"/>
      <c r="O677" s="2"/>
      <c r="P677" s="2"/>
      <c r="Q677" s="2"/>
      <c r="R677" s="2"/>
      <c r="S677" s="2"/>
      <c r="T677" s="2"/>
      <c r="U677" s="2"/>
      <c r="V677" s="2"/>
      <c r="W677" s="2"/>
      <c r="X677" s="2"/>
      <c r="Y677" s="2"/>
      <c r="Z677" s="2"/>
    </row>
    <row r="678" customFormat="false" ht="12" hidden="false" customHeight="true" outlineLevel="0" collapsed="false">
      <c r="A678" s="2"/>
      <c r="B678" s="19"/>
      <c r="C678" s="19"/>
      <c r="D678" s="2"/>
      <c r="E678" s="2"/>
      <c r="F678" s="2"/>
      <c r="G678" s="2"/>
      <c r="H678" s="2"/>
      <c r="I678" s="2"/>
      <c r="J678" s="2"/>
      <c r="K678" s="2"/>
      <c r="L678" s="19"/>
      <c r="M678" s="19"/>
      <c r="N678" s="2"/>
      <c r="O678" s="2"/>
      <c r="P678" s="2"/>
      <c r="Q678" s="2"/>
      <c r="R678" s="2"/>
      <c r="S678" s="2"/>
      <c r="T678" s="2"/>
      <c r="U678" s="2"/>
      <c r="V678" s="2"/>
      <c r="W678" s="2"/>
      <c r="X678" s="2"/>
      <c r="Y678" s="2"/>
      <c r="Z678" s="2"/>
    </row>
    <row r="679" customFormat="false" ht="12" hidden="false" customHeight="true" outlineLevel="0" collapsed="false">
      <c r="A679" s="2"/>
      <c r="B679" s="19"/>
      <c r="C679" s="19"/>
      <c r="D679" s="2"/>
      <c r="E679" s="2"/>
      <c r="F679" s="2"/>
      <c r="G679" s="2"/>
      <c r="H679" s="2"/>
      <c r="I679" s="2"/>
      <c r="J679" s="2"/>
      <c r="K679" s="2"/>
      <c r="L679" s="19"/>
      <c r="M679" s="19"/>
      <c r="N679" s="2"/>
      <c r="O679" s="2"/>
      <c r="P679" s="2"/>
      <c r="Q679" s="2"/>
      <c r="R679" s="2"/>
      <c r="S679" s="2"/>
      <c r="T679" s="2"/>
      <c r="U679" s="2"/>
      <c r="V679" s="2"/>
      <c r="W679" s="2"/>
      <c r="X679" s="2"/>
      <c r="Y679" s="2"/>
      <c r="Z679" s="2"/>
    </row>
    <row r="680" customFormat="false" ht="12" hidden="false" customHeight="true" outlineLevel="0" collapsed="false">
      <c r="A680" s="2"/>
      <c r="B680" s="19"/>
      <c r="C680" s="19"/>
      <c r="D680" s="2"/>
      <c r="E680" s="2"/>
      <c r="F680" s="2"/>
      <c r="G680" s="2"/>
      <c r="H680" s="2"/>
      <c r="I680" s="2"/>
      <c r="J680" s="2"/>
      <c r="K680" s="2"/>
      <c r="L680" s="19"/>
      <c r="M680" s="19"/>
      <c r="N680" s="2"/>
      <c r="O680" s="2"/>
      <c r="P680" s="2"/>
      <c r="Q680" s="2"/>
      <c r="R680" s="2"/>
      <c r="S680" s="2"/>
      <c r="T680" s="2"/>
      <c r="U680" s="2"/>
      <c r="V680" s="2"/>
      <c r="W680" s="2"/>
      <c r="X680" s="2"/>
      <c r="Y680" s="2"/>
      <c r="Z680" s="2"/>
    </row>
    <row r="681" customFormat="false" ht="12" hidden="false" customHeight="true" outlineLevel="0" collapsed="false">
      <c r="A681" s="2"/>
      <c r="B681" s="19"/>
      <c r="C681" s="19"/>
      <c r="D681" s="2"/>
      <c r="E681" s="2"/>
      <c r="F681" s="2"/>
      <c r="G681" s="2"/>
      <c r="H681" s="2"/>
      <c r="I681" s="2"/>
      <c r="J681" s="2"/>
      <c r="K681" s="2"/>
      <c r="L681" s="19"/>
      <c r="M681" s="19"/>
      <c r="N681" s="2"/>
      <c r="O681" s="2"/>
      <c r="P681" s="2"/>
      <c r="Q681" s="2"/>
      <c r="R681" s="2"/>
      <c r="S681" s="2"/>
      <c r="T681" s="2"/>
      <c r="U681" s="2"/>
      <c r="V681" s="2"/>
      <c r="W681" s="2"/>
      <c r="X681" s="2"/>
      <c r="Y681" s="2"/>
      <c r="Z681" s="2"/>
    </row>
    <row r="682" customFormat="false" ht="12" hidden="false" customHeight="true" outlineLevel="0" collapsed="false">
      <c r="A682" s="2"/>
      <c r="B682" s="19"/>
      <c r="C682" s="19"/>
      <c r="D682" s="2"/>
      <c r="E682" s="2"/>
      <c r="F682" s="2"/>
      <c r="G682" s="2"/>
      <c r="H682" s="2"/>
      <c r="I682" s="2"/>
      <c r="J682" s="2"/>
      <c r="K682" s="2"/>
      <c r="L682" s="19"/>
      <c r="M682" s="19"/>
      <c r="N682" s="2"/>
      <c r="O682" s="2"/>
      <c r="P682" s="2"/>
      <c r="Q682" s="2"/>
      <c r="R682" s="2"/>
      <c r="S682" s="2"/>
      <c r="T682" s="2"/>
      <c r="U682" s="2"/>
      <c r="V682" s="2"/>
      <c r="W682" s="2"/>
      <c r="X682" s="2"/>
      <c r="Y682" s="2"/>
      <c r="Z682" s="2"/>
    </row>
    <row r="683" customFormat="false" ht="12" hidden="false" customHeight="true" outlineLevel="0" collapsed="false">
      <c r="A683" s="2"/>
      <c r="B683" s="19"/>
      <c r="C683" s="19"/>
      <c r="D683" s="2"/>
      <c r="E683" s="2"/>
      <c r="F683" s="2"/>
      <c r="G683" s="2"/>
      <c r="H683" s="2"/>
      <c r="I683" s="2"/>
      <c r="J683" s="2"/>
      <c r="K683" s="2"/>
      <c r="L683" s="19"/>
      <c r="M683" s="19"/>
      <c r="N683" s="2"/>
      <c r="O683" s="2"/>
      <c r="P683" s="2"/>
      <c r="Q683" s="2"/>
      <c r="R683" s="2"/>
      <c r="S683" s="2"/>
      <c r="T683" s="2"/>
      <c r="U683" s="2"/>
      <c r="V683" s="2"/>
      <c r="W683" s="2"/>
      <c r="X683" s="2"/>
      <c r="Y683" s="2"/>
      <c r="Z683" s="2"/>
    </row>
    <row r="684" customFormat="false" ht="12" hidden="false" customHeight="true" outlineLevel="0" collapsed="false">
      <c r="A684" s="2"/>
      <c r="B684" s="19"/>
      <c r="C684" s="19"/>
      <c r="D684" s="2"/>
      <c r="E684" s="2"/>
      <c r="F684" s="2"/>
      <c r="G684" s="2"/>
      <c r="H684" s="2"/>
      <c r="I684" s="2"/>
      <c r="J684" s="2"/>
      <c r="K684" s="2"/>
      <c r="L684" s="19"/>
      <c r="M684" s="19"/>
      <c r="N684" s="2"/>
      <c r="O684" s="2"/>
      <c r="P684" s="2"/>
      <c r="Q684" s="2"/>
      <c r="R684" s="2"/>
      <c r="S684" s="2"/>
      <c r="T684" s="2"/>
      <c r="U684" s="2"/>
      <c r="V684" s="2"/>
      <c r="W684" s="2"/>
      <c r="X684" s="2"/>
      <c r="Y684" s="2"/>
      <c r="Z684" s="2"/>
    </row>
    <row r="685" customFormat="false" ht="12" hidden="false" customHeight="true" outlineLevel="0" collapsed="false">
      <c r="A685" s="2"/>
      <c r="B685" s="19"/>
      <c r="C685" s="19"/>
      <c r="D685" s="2"/>
      <c r="E685" s="2"/>
      <c r="F685" s="2"/>
      <c r="G685" s="2"/>
      <c r="H685" s="2"/>
      <c r="I685" s="2"/>
      <c r="J685" s="2"/>
      <c r="K685" s="2"/>
      <c r="L685" s="19"/>
      <c r="M685" s="19"/>
      <c r="N685" s="2"/>
      <c r="O685" s="2"/>
      <c r="P685" s="2"/>
      <c r="Q685" s="2"/>
      <c r="R685" s="2"/>
      <c r="S685" s="2"/>
      <c r="T685" s="2"/>
      <c r="U685" s="2"/>
      <c r="V685" s="2"/>
      <c r="W685" s="2"/>
      <c r="X685" s="2"/>
      <c r="Y685" s="2"/>
      <c r="Z685" s="2"/>
    </row>
    <row r="686" customFormat="false" ht="12" hidden="false" customHeight="true" outlineLevel="0" collapsed="false">
      <c r="A686" s="2"/>
      <c r="B686" s="19"/>
      <c r="C686" s="19"/>
      <c r="D686" s="2"/>
      <c r="E686" s="2"/>
      <c r="F686" s="2"/>
      <c r="G686" s="2"/>
      <c r="H686" s="2"/>
      <c r="I686" s="2"/>
      <c r="J686" s="2"/>
      <c r="K686" s="2"/>
      <c r="L686" s="19"/>
      <c r="M686" s="19"/>
      <c r="N686" s="2"/>
      <c r="O686" s="2"/>
      <c r="P686" s="2"/>
      <c r="Q686" s="2"/>
      <c r="R686" s="2"/>
      <c r="S686" s="2"/>
      <c r="T686" s="2"/>
      <c r="U686" s="2"/>
      <c r="V686" s="2"/>
      <c r="W686" s="2"/>
      <c r="X686" s="2"/>
      <c r="Y686" s="2"/>
      <c r="Z686" s="2"/>
    </row>
    <row r="687" customFormat="false" ht="12" hidden="false" customHeight="true" outlineLevel="0" collapsed="false">
      <c r="A687" s="2"/>
      <c r="B687" s="19"/>
      <c r="C687" s="19"/>
      <c r="D687" s="2"/>
      <c r="E687" s="2"/>
      <c r="F687" s="2"/>
      <c r="G687" s="2"/>
      <c r="H687" s="2"/>
      <c r="I687" s="2"/>
      <c r="J687" s="2"/>
      <c r="K687" s="2"/>
      <c r="L687" s="19"/>
      <c r="M687" s="19"/>
      <c r="N687" s="2"/>
      <c r="O687" s="2"/>
      <c r="P687" s="2"/>
      <c r="Q687" s="2"/>
      <c r="R687" s="2"/>
      <c r="S687" s="2"/>
      <c r="T687" s="2"/>
      <c r="U687" s="2"/>
      <c r="V687" s="2"/>
      <c r="W687" s="2"/>
      <c r="X687" s="2"/>
      <c r="Y687" s="2"/>
      <c r="Z687" s="2"/>
    </row>
    <row r="688" customFormat="false" ht="12" hidden="false" customHeight="true" outlineLevel="0" collapsed="false">
      <c r="A688" s="2"/>
      <c r="B688" s="19"/>
      <c r="C688" s="19"/>
      <c r="D688" s="2"/>
      <c r="E688" s="2"/>
      <c r="F688" s="2"/>
      <c r="G688" s="2"/>
      <c r="H688" s="2"/>
      <c r="I688" s="2"/>
      <c r="J688" s="2"/>
      <c r="K688" s="2"/>
      <c r="L688" s="19"/>
      <c r="M688" s="19"/>
      <c r="N688" s="2"/>
      <c r="O688" s="2"/>
      <c r="P688" s="2"/>
      <c r="Q688" s="2"/>
      <c r="R688" s="2"/>
      <c r="S688" s="2"/>
      <c r="T688" s="2"/>
      <c r="U688" s="2"/>
      <c r="V688" s="2"/>
      <c r="W688" s="2"/>
      <c r="X688" s="2"/>
      <c r="Y688" s="2"/>
      <c r="Z688" s="2"/>
    </row>
    <row r="689" customFormat="false" ht="12" hidden="false" customHeight="true" outlineLevel="0" collapsed="false">
      <c r="A689" s="2"/>
      <c r="B689" s="19"/>
      <c r="C689" s="19"/>
      <c r="D689" s="2"/>
      <c r="E689" s="2"/>
      <c r="F689" s="2"/>
      <c r="G689" s="2"/>
      <c r="H689" s="2"/>
      <c r="I689" s="2"/>
      <c r="J689" s="2"/>
      <c r="K689" s="2"/>
      <c r="L689" s="19"/>
      <c r="M689" s="19"/>
      <c r="N689" s="2"/>
      <c r="O689" s="2"/>
      <c r="P689" s="2"/>
      <c r="Q689" s="2"/>
      <c r="R689" s="2"/>
      <c r="S689" s="2"/>
      <c r="T689" s="2"/>
      <c r="U689" s="2"/>
      <c r="V689" s="2"/>
      <c r="W689" s="2"/>
      <c r="X689" s="2"/>
      <c r="Y689" s="2"/>
      <c r="Z689" s="2"/>
    </row>
    <row r="690" customFormat="false" ht="12" hidden="false" customHeight="true" outlineLevel="0" collapsed="false">
      <c r="A690" s="2"/>
      <c r="B690" s="19"/>
      <c r="C690" s="19"/>
      <c r="D690" s="2"/>
      <c r="E690" s="2"/>
      <c r="F690" s="2"/>
      <c r="G690" s="2"/>
      <c r="H690" s="2"/>
      <c r="I690" s="2"/>
      <c r="J690" s="2"/>
      <c r="K690" s="2"/>
      <c r="L690" s="19"/>
      <c r="M690" s="19"/>
      <c r="N690" s="2"/>
      <c r="O690" s="2"/>
      <c r="P690" s="2"/>
      <c r="Q690" s="2"/>
      <c r="R690" s="2"/>
      <c r="S690" s="2"/>
      <c r="T690" s="2"/>
      <c r="U690" s="2"/>
      <c r="V690" s="2"/>
      <c r="W690" s="2"/>
      <c r="X690" s="2"/>
      <c r="Y690" s="2"/>
      <c r="Z690" s="2"/>
    </row>
    <row r="691" customFormat="false" ht="12" hidden="false" customHeight="true" outlineLevel="0" collapsed="false">
      <c r="A691" s="2"/>
      <c r="B691" s="19"/>
      <c r="C691" s="19"/>
      <c r="D691" s="2"/>
      <c r="E691" s="2"/>
      <c r="F691" s="2"/>
      <c r="G691" s="2"/>
      <c r="H691" s="2"/>
      <c r="I691" s="2"/>
      <c r="J691" s="2"/>
      <c r="K691" s="2"/>
      <c r="L691" s="19"/>
      <c r="M691" s="19"/>
      <c r="N691" s="2"/>
      <c r="O691" s="2"/>
      <c r="P691" s="2"/>
      <c r="Q691" s="2"/>
      <c r="R691" s="2"/>
      <c r="S691" s="2"/>
      <c r="T691" s="2"/>
      <c r="U691" s="2"/>
      <c r="V691" s="2"/>
      <c r="W691" s="2"/>
      <c r="X691" s="2"/>
      <c r="Y691" s="2"/>
      <c r="Z691" s="2"/>
    </row>
    <row r="692" customFormat="false" ht="12" hidden="false" customHeight="true" outlineLevel="0" collapsed="false">
      <c r="A692" s="2"/>
      <c r="B692" s="19"/>
      <c r="C692" s="19"/>
      <c r="D692" s="2"/>
      <c r="E692" s="2"/>
      <c r="F692" s="2"/>
      <c r="G692" s="2"/>
      <c r="H692" s="2"/>
      <c r="I692" s="2"/>
      <c r="J692" s="2"/>
      <c r="K692" s="2"/>
      <c r="L692" s="19"/>
      <c r="M692" s="19"/>
      <c r="N692" s="2"/>
      <c r="O692" s="2"/>
      <c r="P692" s="2"/>
      <c r="Q692" s="2"/>
      <c r="R692" s="2"/>
      <c r="S692" s="2"/>
      <c r="T692" s="2"/>
      <c r="U692" s="2"/>
      <c r="V692" s="2"/>
      <c r="W692" s="2"/>
      <c r="X692" s="2"/>
      <c r="Y692" s="2"/>
      <c r="Z692" s="2"/>
    </row>
    <row r="693" customFormat="false" ht="12" hidden="false" customHeight="true" outlineLevel="0" collapsed="false">
      <c r="A693" s="2"/>
      <c r="B693" s="19"/>
      <c r="C693" s="19"/>
      <c r="D693" s="2"/>
      <c r="E693" s="2"/>
      <c r="F693" s="2"/>
      <c r="G693" s="2"/>
      <c r="H693" s="2"/>
      <c r="I693" s="2"/>
      <c r="J693" s="2"/>
      <c r="K693" s="2"/>
      <c r="L693" s="19"/>
      <c r="M693" s="19"/>
      <c r="N693" s="2"/>
      <c r="O693" s="2"/>
      <c r="P693" s="2"/>
      <c r="Q693" s="2"/>
      <c r="R693" s="2"/>
      <c r="S693" s="2"/>
      <c r="T693" s="2"/>
      <c r="U693" s="2"/>
      <c r="V693" s="2"/>
      <c r="W693" s="2"/>
      <c r="X693" s="2"/>
      <c r="Y693" s="2"/>
      <c r="Z693" s="2"/>
    </row>
    <row r="694" customFormat="false" ht="12" hidden="false" customHeight="true" outlineLevel="0" collapsed="false">
      <c r="A694" s="2"/>
      <c r="B694" s="19"/>
      <c r="C694" s="19"/>
      <c r="D694" s="2"/>
      <c r="E694" s="2"/>
      <c r="F694" s="2"/>
      <c r="G694" s="2"/>
      <c r="H694" s="2"/>
      <c r="I694" s="2"/>
      <c r="J694" s="2"/>
      <c r="K694" s="2"/>
      <c r="L694" s="19"/>
      <c r="M694" s="19"/>
      <c r="N694" s="2"/>
      <c r="O694" s="2"/>
      <c r="P694" s="2"/>
      <c r="Q694" s="2"/>
      <c r="R694" s="2"/>
      <c r="S694" s="2"/>
      <c r="T694" s="2"/>
      <c r="U694" s="2"/>
      <c r="V694" s="2"/>
      <c r="W694" s="2"/>
      <c r="X694" s="2"/>
      <c r="Y694" s="2"/>
      <c r="Z694" s="2"/>
    </row>
    <row r="695" customFormat="false" ht="12" hidden="false" customHeight="true" outlineLevel="0" collapsed="false">
      <c r="A695" s="2"/>
      <c r="B695" s="19"/>
      <c r="C695" s="19"/>
      <c r="D695" s="2"/>
      <c r="E695" s="2"/>
      <c r="F695" s="2"/>
      <c r="G695" s="2"/>
      <c r="H695" s="2"/>
      <c r="I695" s="2"/>
      <c r="J695" s="2"/>
      <c r="K695" s="2"/>
      <c r="L695" s="19"/>
      <c r="M695" s="19"/>
      <c r="N695" s="2"/>
      <c r="O695" s="2"/>
      <c r="P695" s="2"/>
      <c r="Q695" s="2"/>
      <c r="R695" s="2"/>
      <c r="S695" s="2"/>
      <c r="T695" s="2"/>
      <c r="U695" s="2"/>
      <c r="V695" s="2"/>
      <c r="W695" s="2"/>
      <c r="X695" s="2"/>
      <c r="Y695" s="2"/>
      <c r="Z695" s="2"/>
    </row>
    <row r="696" customFormat="false" ht="12" hidden="false" customHeight="true" outlineLevel="0" collapsed="false">
      <c r="A696" s="2"/>
      <c r="B696" s="19"/>
      <c r="C696" s="19"/>
      <c r="D696" s="2"/>
      <c r="E696" s="2"/>
      <c r="F696" s="2"/>
      <c r="G696" s="2"/>
      <c r="H696" s="2"/>
      <c r="I696" s="2"/>
      <c r="J696" s="2"/>
      <c r="K696" s="2"/>
      <c r="L696" s="19"/>
      <c r="M696" s="19"/>
      <c r="N696" s="2"/>
      <c r="O696" s="2"/>
      <c r="P696" s="2"/>
      <c r="Q696" s="2"/>
      <c r="R696" s="2"/>
      <c r="S696" s="2"/>
      <c r="T696" s="2"/>
      <c r="U696" s="2"/>
      <c r="V696" s="2"/>
      <c r="W696" s="2"/>
      <c r="X696" s="2"/>
      <c r="Y696" s="2"/>
      <c r="Z696" s="2"/>
    </row>
    <row r="697" customFormat="false" ht="12" hidden="false" customHeight="true" outlineLevel="0" collapsed="false">
      <c r="A697" s="2"/>
      <c r="B697" s="19"/>
      <c r="C697" s="19"/>
      <c r="D697" s="2"/>
      <c r="E697" s="2"/>
      <c r="F697" s="2"/>
      <c r="G697" s="2"/>
      <c r="H697" s="2"/>
      <c r="I697" s="2"/>
      <c r="J697" s="2"/>
      <c r="K697" s="2"/>
      <c r="L697" s="19"/>
      <c r="M697" s="19"/>
      <c r="N697" s="2"/>
      <c r="O697" s="2"/>
      <c r="P697" s="2"/>
      <c r="Q697" s="2"/>
      <c r="R697" s="2"/>
      <c r="S697" s="2"/>
      <c r="T697" s="2"/>
      <c r="U697" s="2"/>
      <c r="V697" s="2"/>
      <c r="W697" s="2"/>
      <c r="X697" s="2"/>
      <c r="Y697" s="2"/>
      <c r="Z697" s="2"/>
    </row>
    <row r="698" customFormat="false" ht="12" hidden="false" customHeight="true" outlineLevel="0" collapsed="false">
      <c r="A698" s="2"/>
      <c r="B698" s="19"/>
      <c r="C698" s="19"/>
      <c r="D698" s="2"/>
      <c r="E698" s="2"/>
      <c r="F698" s="2"/>
      <c r="G698" s="2"/>
      <c r="H698" s="2"/>
      <c r="I698" s="2"/>
      <c r="J698" s="2"/>
      <c r="K698" s="2"/>
      <c r="L698" s="19"/>
      <c r="M698" s="19"/>
      <c r="N698" s="2"/>
      <c r="O698" s="2"/>
      <c r="P698" s="2"/>
      <c r="Q698" s="2"/>
      <c r="R698" s="2"/>
      <c r="S698" s="2"/>
      <c r="T698" s="2"/>
      <c r="U698" s="2"/>
      <c r="V698" s="2"/>
      <c r="W698" s="2"/>
      <c r="X698" s="2"/>
      <c r="Y698" s="2"/>
      <c r="Z698" s="2"/>
    </row>
    <row r="699" customFormat="false" ht="12" hidden="false" customHeight="true" outlineLevel="0" collapsed="false">
      <c r="A699" s="2"/>
      <c r="B699" s="19"/>
      <c r="C699" s="19"/>
      <c r="D699" s="2"/>
      <c r="E699" s="2"/>
      <c r="F699" s="2"/>
      <c r="G699" s="2"/>
      <c r="H699" s="2"/>
      <c r="I699" s="2"/>
      <c r="J699" s="2"/>
      <c r="K699" s="2"/>
      <c r="L699" s="19"/>
      <c r="M699" s="19"/>
      <c r="N699" s="2"/>
      <c r="O699" s="2"/>
      <c r="P699" s="2"/>
      <c r="Q699" s="2"/>
      <c r="R699" s="2"/>
      <c r="S699" s="2"/>
      <c r="T699" s="2"/>
      <c r="U699" s="2"/>
      <c r="V699" s="2"/>
      <c r="W699" s="2"/>
      <c r="X699" s="2"/>
      <c r="Y699" s="2"/>
      <c r="Z699" s="2"/>
    </row>
    <row r="700" customFormat="false" ht="12" hidden="false" customHeight="true" outlineLevel="0" collapsed="false">
      <c r="A700" s="2"/>
      <c r="B700" s="19"/>
      <c r="C700" s="19"/>
      <c r="D700" s="2"/>
      <c r="E700" s="2"/>
      <c r="F700" s="2"/>
      <c r="G700" s="2"/>
      <c r="H700" s="2"/>
      <c r="I700" s="2"/>
      <c r="J700" s="2"/>
      <c r="K700" s="2"/>
      <c r="L700" s="19"/>
      <c r="M700" s="19"/>
      <c r="N700" s="2"/>
      <c r="O700" s="2"/>
      <c r="P700" s="2"/>
      <c r="Q700" s="2"/>
      <c r="R700" s="2"/>
      <c r="S700" s="2"/>
      <c r="T700" s="2"/>
      <c r="U700" s="2"/>
      <c r="V700" s="2"/>
      <c r="W700" s="2"/>
      <c r="X700" s="2"/>
      <c r="Y700" s="2"/>
      <c r="Z700" s="2"/>
    </row>
    <row r="701" customFormat="false" ht="12" hidden="false" customHeight="true" outlineLevel="0" collapsed="false">
      <c r="A701" s="2"/>
      <c r="B701" s="19"/>
      <c r="C701" s="19"/>
      <c r="D701" s="2"/>
      <c r="E701" s="2"/>
      <c r="F701" s="2"/>
      <c r="G701" s="2"/>
      <c r="H701" s="2"/>
      <c r="I701" s="2"/>
      <c r="J701" s="2"/>
      <c r="K701" s="2"/>
      <c r="L701" s="19"/>
      <c r="M701" s="19"/>
      <c r="N701" s="2"/>
      <c r="O701" s="2"/>
      <c r="P701" s="2"/>
      <c r="Q701" s="2"/>
      <c r="R701" s="2"/>
      <c r="S701" s="2"/>
      <c r="T701" s="2"/>
      <c r="U701" s="2"/>
      <c r="V701" s="2"/>
      <c r="W701" s="2"/>
      <c r="X701" s="2"/>
      <c r="Y701" s="2"/>
      <c r="Z701" s="2"/>
    </row>
    <row r="702" customFormat="false" ht="12" hidden="false" customHeight="true" outlineLevel="0" collapsed="false">
      <c r="A702" s="2"/>
      <c r="B702" s="19"/>
      <c r="C702" s="19"/>
      <c r="D702" s="2"/>
      <c r="E702" s="2"/>
      <c r="F702" s="2"/>
      <c r="G702" s="2"/>
      <c r="H702" s="2"/>
      <c r="I702" s="2"/>
      <c r="J702" s="2"/>
      <c r="K702" s="2"/>
      <c r="L702" s="19"/>
      <c r="M702" s="19"/>
      <c r="N702" s="2"/>
      <c r="O702" s="2"/>
      <c r="P702" s="2"/>
      <c r="Q702" s="2"/>
      <c r="R702" s="2"/>
      <c r="S702" s="2"/>
      <c r="T702" s="2"/>
      <c r="U702" s="2"/>
      <c r="V702" s="2"/>
      <c r="W702" s="2"/>
      <c r="X702" s="2"/>
      <c r="Y702" s="2"/>
      <c r="Z702" s="2"/>
    </row>
    <row r="703" customFormat="false" ht="12" hidden="false" customHeight="true" outlineLevel="0" collapsed="false">
      <c r="A703" s="2"/>
      <c r="B703" s="19"/>
      <c r="C703" s="19"/>
      <c r="D703" s="2"/>
      <c r="E703" s="2"/>
      <c r="F703" s="2"/>
      <c r="G703" s="2"/>
      <c r="H703" s="2"/>
      <c r="I703" s="2"/>
      <c r="J703" s="2"/>
      <c r="K703" s="2"/>
      <c r="L703" s="19"/>
      <c r="M703" s="19"/>
      <c r="N703" s="2"/>
      <c r="O703" s="2"/>
      <c r="P703" s="2"/>
      <c r="Q703" s="2"/>
      <c r="R703" s="2"/>
      <c r="S703" s="2"/>
      <c r="T703" s="2"/>
      <c r="U703" s="2"/>
      <c r="V703" s="2"/>
      <c r="W703" s="2"/>
      <c r="X703" s="2"/>
      <c r="Y703" s="2"/>
      <c r="Z703" s="2"/>
    </row>
    <row r="704" customFormat="false" ht="12" hidden="false" customHeight="true" outlineLevel="0" collapsed="false">
      <c r="A704" s="2"/>
      <c r="B704" s="19"/>
      <c r="C704" s="19"/>
      <c r="D704" s="2"/>
      <c r="E704" s="2"/>
      <c r="F704" s="2"/>
      <c r="G704" s="2"/>
      <c r="H704" s="2"/>
      <c r="I704" s="2"/>
      <c r="J704" s="2"/>
      <c r="K704" s="2"/>
      <c r="L704" s="19"/>
      <c r="M704" s="19"/>
      <c r="N704" s="2"/>
      <c r="O704" s="2"/>
      <c r="P704" s="2"/>
      <c r="Q704" s="2"/>
      <c r="R704" s="2"/>
      <c r="S704" s="2"/>
      <c r="T704" s="2"/>
      <c r="U704" s="2"/>
      <c r="V704" s="2"/>
      <c r="W704" s="2"/>
      <c r="X704" s="2"/>
      <c r="Y704" s="2"/>
      <c r="Z704" s="2"/>
    </row>
    <row r="705" customFormat="false" ht="12" hidden="false" customHeight="true" outlineLevel="0" collapsed="false">
      <c r="A705" s="2"/>
      <c r="B705" s="19"/>
      <c r="C705" s="19"/>
      <c r="D705" s="2"/>
      <c r="E705" s="2"/>
      <c r="F705" s="2"/>
      <c r="G705" s="2"/>
      <c r="H705" s="2"/>
      <c r="I705" s="2"/>
      <c r="J705" s="2"/>
      <c r="K705" s="2"/>
      <c r="L705" s="19"/>
      <c r="M705" s="19"/>
      <c r="N705" s="2"/>
      <c r="O705" s="2"/>
      <c r="P705" s="2"/>
      <c r="Q705" s="2"/>
      <c r="R705" s="2"/>
      <c r="S705" s="2"/>
      <c r="T705" s="2"/>
      <c r="U705" s="2"/>
      <c r="V705" s="2"/>
      <c r="W705" s="2"/>
      <c r="X705" s="2"/>
      <c r="Y705" s="2"/>
      <c r="Z705" s="2"/>
    </row>
    <row r="706" customFormat="false" ht="12" hidden="false" customHeight="true" outlineLevel="0" collapsed="false">
      <c r="A706" s="2"/>
      <c r="B706" s="19"/>
      <c r="C706" s="19"/>
      <c r="D706" s="2"/>
      <c r="E706" s="2"/>
      <c r="F706" s="2"/>
      <c r="G706" s="2"/>
      <c r="H706" s="2"/>
      <c r="I706" s="2"/>
      <c r="J706" s="2"/>
      <c r="K706" s="2"/>
      <c r="L706" s="19"/>
      <c r="M706" s="19"/>
      <c r="N706" s="2"/>
      <c r="O706" s="2"/>
      <c r="P706" s="2"/>
      <c r="Q706" s="2"/>
      <c r="R706" s="2"/>
      <c r="S706" s="2"/>
      <c r="T706" s="2"/>
      <c r="U706" s="2"/>
      <c r="V706" s="2"/>
      <c r="W706" s="2"/>
      <c r="X706" s="2"/>
      <c r="Y706" s="2"/>
      <c r="Z706" s="2"/>
    </row>
    <row r="707" customFormat="false" ht="12" hidden="false" customHeight="true" outlineLevel="0" collapsed="false">
      <c r="A707" s="2"/>
      <c r="B707" s="19"/>
      <c r="C707" s="19"/>
      <c r="D707" s="2"/>
      <c r="E707" s="2"/>
      <c r="F707" s="2"/>
      <c r="G707" s="2"/>
      <c r="H707" s="2"/>
      <c r="I707" s="2"/>
      <c r="J707" s="2"/>
      <c r="K707" s="2"/>
      <c r="L707" s="19"/>
      <c r="M707" s="19"/>
      <c r="N707" s="2"/>
      <c r="O707" s="2"/>
      <c r="P707" s="2"/>
      <c r="Q707" s="2"/>
      <c r="R707" s="2"/>
      <c r="S707" s="2"/>
      <c r="T707" s="2"/>
      <c r="U707" s="2"/>
      <c r="V707" s="2"/>
      <c r="W707" s="2"/>
      <c r="X707" s="2"/>
      <c r="Y707" s="2"/>
      <c r="Z707" s="2"/>
    </row>
    <row r="708" customFormat="false" ht="12" hidden="false" customHeight="true" outlineLevel="0" collapsed="false">
      <c r="A708" s="2"/>
      <c r="B708" s="19"/>
      <c r="C708" s="19"/>
      <c r="D708" s="2"/>
      <c r="E708" s="2"/>
      <c r="F708" s="2"/>
      <c r="G708" s="2"/>
      <c r="H708" s="2"/>
      <c r="I708" s="2"/>
      <c r="J708" s="2"/>
      <c r="K708" s="2"/>
      <c r="L708" s="19"/>
      <c r="M708" s="19"/>
      <c r="N708" s="2"/>
      <c r="O708" s="2"/>
      <c r="P708" s="2"/>
      <c r="Q708" s="2"/>
      <c r="R708" s="2"/>
      <c r="S708" s="2"/>
      <c r="T708" s="2"/>
      <c r="U708" s="2"/>
      <c r="V708" s="2"/>
      <c r="W708" s="2"/>
      <c r="X708" s="2"/>
      <c r="Y708" s="2"/>
      <c r="Z708" s="2"/>
    </row>
    <row r="709" customFormat="false" ht="12" hidden="false" customHeight="true" outlineLevel="0" collapsed="false">
      <c r="A709" s="2"/>
      <c r="B709" s="19"/>
      <c r="C709" s="19"/>
      <c r="D709" s="2"/>
      <c r="E709" s="2"/>
      <c r="F709" s="2"/>
      <c r="G709" s="2"/>
      <c r="H709" s="2"/>
      <c r="I709" s="2"/>
      <c r="J709" s="2"/>
      <c r="K709" s="2"/>
      <c r="L709" s="19"/>
      <c r="M709" s="19"/>
      <c r="N709" s="2"/>
      <c r="O709" s="2"/>
      <c r="P709" s="2"/>
      <c r="Q709" s="2"/>
      <c r="R709" s="2"/>
      <c r="S709" s="2"/>
      <c r="T709" s="2"/>
      <c r="U709" s="2"/>
      <c r="V709" s="2"/>
      <c r="W709" s="2"/>
      <c r="X709" s="2"/>
      <c r="Y709" s="2"/>
      <c r="Z709" s="2"/>
    </row>
    <row r="710" customFormat="false" ht="12" hidden="false" customHeight="true" outlineLevel="0" collapsed="false">
      <c r="A710" s="2"/>
      <c r="B710" s="19"/>
      <c r="C710" s="19"/>
      <c r="D710" s="2"/>
      <c r="E710" s="2"/>
      <c r="F710" s="2"/>
      <c r="G710" s="2"/>
      <c r="H710" s="2"/>
      <c r="I710" s="2"/>
      <c r="J710" s="2"/>
      <c r="K710" s="2"/>
      <c r="L710" s="19"/>
      <c r="M710" s="19"/>
      <c r="N710" s="2"/>
      <c r="O710" s="2"/>
      <c r="P710" s="2"/>
      <c r="Q710" s="2"/>
      <c r="R710" s="2"/>
      <c r="S710" s="2"/>
      <c r="T710" s="2"/>
      <c r="U710" s="2"/>
      <c r="V710" s="2"/>
      <c r="W710" s="2"/>
      <c r="X710" s="2"/>
      <c r="Y710" s="2"/>
      <c r="Z710" s="2"/>
    </row>
    <row r="711" customFormat="false" ht="12" hidden="false" customHeight="true" outlineLevel="0" collapsed="false">
      <c r="A711" s="2"/>
      <c r="B711" s="19"/>
      <c r="C711" s="19"/>
      <c r="D711" s="2"/>
      <c r="E711" s="2"/>
      <c r="F711" s="2"/>
      <c r="G711" s="2"/>
      <c r="H711" s="2"/>
      <c r="I711" s="2"/>
      <c r="J711" s="2"/>
      <c r="K711" s="2"/>
      <c r="L711" s="19"/>
      <c r="M711" s="19"/>
      <c r="N711" s="2"/>
      <c r="O711" s="2"/>
      <c r="P711" s="2"/>
      <c r="Q711" s="2"/>
      <c r="R711" s="2"/>
      <c r="S711" s="2"/>
      <c r="T711" s="2"/>
      <c r="U711" s="2"/>
      <c r="V711" s="2"/>
      <c r="W711" s="2"/>
      <c r="X711" s="2"/>
      <c r="Y711" s="2"/>
      <c r="Z711" s="2"/>
    </row>
    <row r="712" customFormat="false" ht="12" hidden="false" customHeight="true" outlineLevel="0" collapsed="false">
      <c r="A712" s="2"/>
      <c r="B712" s="19"/>
      <c r="C712" s="19"/>
      <c r="D712" s="2"/>
      <c r="E712" s="2"/>
      <c r="F712" s="2"/>
      <c r="G712" s="2"/>
      <c r="H712" s="2"/>
      <c r="I712" s="2"/>
      <c r="J712" s="2"/>
      <c r="K712" s="2"/>
      <c r="L712" s="19"/>
      <c r="M712" s="19"/>
      <c r="N712" s="2"/>
      <c r="O712" s="2"/>
      <c r="P712" s="2"/>
      <c r="Q712" s="2"/>
      <c r="R712" s="2"/>
      <c r="S712" s="2"/>
      <c r="T712" s="2"/>
      <c r="U712" s="2"/>
      <c r="V712" s="2"/>
      <c r="W712" s="2"/>
      <c r="X712" s="2"/>
      <c r="Y712" s="2"/>
      <c r="Z712" s="2"/>
    </row>
    <row r="713" customFormat="false" ht="12" hidden="false" customHeight="true" outlineLevel="0" collapsed="false">
      <c r="A713" s="2"/>
      <c r="B713" s="19"/>
      <c r="C713" s="19"/>
      <c r="D713" s="2"/>
      <c r="E713" s="2"/>
      <c r="F713" s="2"/>
      <c r="G713" s="2"/>
      <c r="H713" s="2"/>
      <c r="I713" s="2"/>
      <c r="J713" s="2"/>
      <c r="K713" s="2"/>
      <c r="L713" s="19"/>
      <c r="M713" s="19"/>
      <c r="N713" s="2"/>
      <c r="O713" s="2"/>
      <c r="P713" s="2"/>
      <c r="Q713" s="2"/>
      <c r="R713" s="2"/>
      <c r="S713" s="2"/>
      <c r="T713" s="2"/>
      <c r="U713" s="2"/>
      <c r="V713" s="2"/>
      <c r="W713" s="2"/>
      <c r="X713" s="2"/>
      <c r="Y713" s="2"/>
      <c r="Z713" s="2"/>
    </row>
    <row r="714" customFormat="false" ht="12" hidden="false" customHeight="true" outlineLevel="0" collapsed="false">
      <c r="A714" s="2"/>
      <c r="B714" s="19"/>
      <c r="C714" s="19"/>
      <c r="D714" s="2"/>
      <c r="E714" s="2"/>
      <c r="F714" s="2"/>
      <c r="G714" s="2"/>
      <c r="H714" s="2"/>
      <c r="I714" s="2"/>
      <c r="J714" s="2"/>
      <c r="K714" s="2"/>
      <c r="L714" s="19"/>
      <c r="M714" s="19"/>
      <c r="N714" s="2"/>
      <c r="O714" s="2"/>
      <c r="P714" s="2"/>
      <c r="Q714" s="2"/>
      <c r="R714" s="2"/>
      <c r="S714" s="2"/>
      <c r="T714" s="2"/>
      <c r="U714" s="2"/>
      <c r="V714" s="2"/>
      <c r="W714" s="2"/>
      <c r="X714" s="2"/>
      <c r="Y714" s="2"/>
      <c r="Z714" s="2"/>
    </row>
    <row r="715" customFormat="false" ht="12" hidden="false" customHeight="true" outlineLevel="0" collapsed="false">
      <c r="A715" s="2"/>
      <c r="B715" s="19"/>
      <c r="C715" s="19"/>
      <c r="D715" s="2"/>
      <c r="E715" s="2"/>
      <c r="F715" s="2"/>
      <c r="G715" s="2"/>
      <c r="H715" s="2"/>
      <c r="I715" s="2"/>
      <c r="J715" s="2"/>
      <c r="K715" s="2"/>
      <c r="L715" s="19"/>
      <c r="M715" s="19"/>
      <c r="N715" s="2"/>
      <c r="O715" s="2"/>
      <c r="P715" s="2"/>
      <c r="Q715" s="2"/>
      <c r="R715" s="2"/>
      <c r="S715" s="2"/>
      <c r="T715" s="2"/>
      <c r="U715" s="2"/>
      <c r="V715" s="2"/>
      <c r="W715" s="2"/>
      <c r="X715" s="2"/>
      <c r="Y715" s="2"/>
      <c r="Z715" s="2"/>
    </row>
    <row r="716" customFormat="false" ht="12" hidden="false" customHeight="true" outlineLevel="0" collapsed="false">
      <c r="A716" s="2"/>
      <c r="B716" s="19"/>
      <c r="C716" s="19"/>
      <c r="D716" s="2"/>
      <c r="E716" s="2"/>
      <c r="F716" s="2"/>
      <c r="G716" s="2"/>
      <c r="H716" s="2"/>
      <c r="I716" s="2"/>
      <c r="J716" s="2"/>
      <c r="K716" s="2"/>
      <c r="L716" s="19"/>
      <c r="M716" s="19"/>
      <c r="N716" s="2"/>
      <c r="O716" s="2"/>
      <c r="P716" s="2"/>
      <c r="Q716" s="2"/>
      <c r="R716" s="2"/>
      <c r="S716" s="2"/>
      <c r="T716" s="2"/>
      <c r="U716" s="2"/>
      <c r="V716" s="2"/>
      <c r="W716" s="2"/>
      <c r="X716" s="2"/>
      <c r="Y716" s="2"/>
      <c r="Z716" s="2"/>
    </row>
    <row r="717" customFormat="false" ht="12" hidden="false" customHeight="true" outlineLevel="0" collapsed="false">
      <c r="A717" s="2"/>
      <c r="B717" s="19"/>
      <c r="C717" s="19"/>
      <c r="D717" s="2"/>
      <c r="E717" s="2"/>
      <c r="F717" s="2"/>
      <c r="G717" s="2"/>
      <c r="H717" s="2"/>
      <c r="I717" s="2"/>
      <c r="J717" s="2"/>
      <c r="K717" s="2"/>
      <c r="L717" s="19"/>
      <c r="M717" s="19"/>
      <c r="N717" s="2"/>
      <c r="O717" s="2"/>
      <c r="P717" s="2"/>
      <c r="Q717" s="2"/>
      <c r="R717" s="2"/>
      <c r="S717" s="2"/>
      <c r="T717" s="2"/>
      <c r="U717" s="2"/>
      <c r="V717" s="2"/>
      <c r="W717" s="2"/>
      <c r="X717" s="2"/>
      <c r="Y717" s="2"/>
      <c r="Z717" s="2"/>
    </row>
    <row r="718" customFormat="false" ht="12" hidden="false" customHeight="true" outlineLevel="0" collapsed="false">
      <c r="A718" s="2"/>
      <c r="B718" s="19"/>
      <c r="C718" s="19"/>
      <c r="D718" s="2"/>
      <c r="E718" s="2"/>
      <c r="F718" s="2"/>
      <c r="G718" s="2"/>
      <c r="H718" s="2"/>
      <c r="I718" s="2"/>
      <c r="J718" s="2"/>
      <c r="K718" s="2"/>
      <c r="L718" s="19"/>
      <c r="M718" s="19"/>
      <c r="N718" s="2"/>
      <c r="O718" s="2"/>
      <c r="P718" s="2"/>
      <c r="Q718" s="2"/>
      <c r="R718" s="2"/>
      <c r="S718" s="2"/>
      <c r="T718" s="2"/>
      <c r="U718" s="2"/>
      <c r="V718" s="2"/>
      <c r="W718" s="2"/>
      <c r="X718" s="2"/>
      <c r="Y718" s="2"/>
      <c r="Z718" s="2"/>
    </row>
    <row r="719" customFormat="false" ht="12" hidden="false" customHeight="true" outlineLevel="0" collapsed="false">
      <c r="A719" s="2"/>
      <c r="B719" s="19"/>
      <c r="C719" s="19"/>
      <c r="D719" s="2"/>
      <c r="E719" s="2"/>
      <c r="F719" s="2"/>
      <c r="G719" s="2"/>
      <c r="H719" s="2"/>
      <c r="I719" s="2"/>
      <c r="J719" s="2"/>
      <c r="K719" s="2"/>
      <c r="L719" s="19"/>
      <c r="M719" s="19"/>
      <c r="N719" s="2"/>
      <c r="O719" s="2"/>
      <c r="P719" s="2"/>
      <c r="Q719" s="2"/>
      <c r="R719" s="2"/>
      <c r="S719" s="2"/>
      <c r="T719" s="2"/>
      <c r="U719" s="2"/>
      <c r="V719" s="2"/>
      <c r="W719" s="2"/>
      <c r="X719" s="2"/>
      <c r="Y719" s="2"/>
      <c r="Z719" s="2"/>
    </row>
    <row r="720" customFormat="false" ht="12" hidden="false" customHeight="true" outlineLevel="0" collapsed="false">
      <c r="A720" s="2"/>
      <c r="B720" s="19"/>
      <c r="C720" s="19"/>
      <c r="D720" s="2"/>
      <c r="E720" s="2"/>
      <c r="F720" s="2"/>
      <c r="G720" s="2"/>
      <c r="H720" s="2"/>
      <c r="I720" s="2"/>
      <c r="J720" s="2"/>
      <c r="K720" s="2"/>
      <c r="L720" s="19"/>
      <c r="M720" s="19"/>
      <c r="N720" s="2"/>
      <c r="O720" s="2"/>
      <c r="P720" s="2"/>
      <c r="Q720" s="2"/>
      <c r="R720" s="2"/>
      <c r="S720" s="2"/>
      <c r="T720" s="2"/>
      <c r="U720" s="2"/>
      <c r="V720" s="2"/>
      <c r="W720" s="2"/>
      <c r="X720" s="2"/>
      <c r="Y720" s="2"/>
      <c r="Z720" s="2"/>
    </row>
    <row r="721" customFormat="false" ht="12" hidden="false" customHeight="true" outlineLevel="0" collapsed="false">
      <c r="A721" s="2"/>
      <c r="B721" s="19"/>
      <c r="C721" s="19"/>
      <c r="D721" s="2"/>
      <c r="E721" s="2"/>
      <c r="F721" s="2"/>
      <c r="G721" s="2"/>
      <c r="H721" s="2"/>
      <c r="I721" s="2"/>
      <c r="J721" s="2"/>
      <c r="K721" s="2"/>
      <c r="L721" s="19"/>
      <c r="M721" s="19"/>
      <c r="N721" s="2"/>
      <c r="O721" s="2"/>
      <c r="P721" s="2"/>
      <c r="Q721" s="2"/>
      <c r="R721" s="2"/>
      <c r="S721" s="2"/>
      <c r="T721" s="2"/>
      <c r="U721" s="2"/>
      <c r="V721" s="2"/>
      <c r="W721" s="2"/>
      <c r="X721" s="2"/>
      <c r="Y721" s="2"/>
      <c r="Z721" s="2"/>
    </row>
    <row r="722" customFormat="false" ht="12" hidden="false" customHeight="true" outlineLevel="0" collapsed="false">
      <c r="A722" s="2"/>
      <c r="B722" s="19"/>
      <c r="C722" s="19"/>
      <c r="D722" s="2"/>
      <c r="E722" s="2"/>
      <c r="F722" s="2"/>
      <c r="G722" s="2"/>
      <c r="H722" s="2"/>
      <c r="I722" s="2"/>
      <c r="J722" s="2"/>
      <c r="K722" s="2"/>
      <c r="L722" s="19"/>
      <c r="M722" s="19"/>
      <c r="N722" s="2"/>
      <c r="O722" s="2"/>
      <c r="P722" s="2"/>
      <c r="Q722" s="2"/>
      <c r="R722" s="2"/>
      <c r="S722" s="2"/>
      <c r="T722" s="2"/>
      <c r="U722" s="2"/>
      <c r="V722" s="2"/>
      <c r="W722" s="2"/>
      <c r="X722" s="2"/>
      <c r="Y722" s="2"/>
      <c r="Z722" s="2"/>
    </row>
    <row r="723" customFormat="false" ht="12" hidden="false" customHeight="true" outlineLevel="0" collapsed="false">
      <c r="A723" s="2"/>
      <c r="B723" s="19"/>
      <c r="C723" s="19"/>
      <c r="D723" s="2"/>
      <c r="E723" s="2"/>
      <c r="F723" s="2"/>
      <c r="G723" s="2"/>
      <c r="H723" s="2"/>
      <c r="I723" s="2"/>
      <c r="J723" s="2"/>
      <c r="K723" s="2"/>
      <c r="L723" s="19"/>
      <c r="M723" s="19"/>
      <c r="N723" s="2"/>
      <c r="O723" s="2"/>
      <c r="P723" s="2"/>
      <c r="Q723" s="2"/>
      <c r="R723" s="2"/>
      <c r="S723" s="2"/>
      <c r="T723" s="2"/>
      <c r="U723" s="2"/>
      <c r="V723" s="2"/>
      <c r="W723" s="2"/>
      <c r="X723" s="2"/>
      <c r="Y723" s="2"/>
      <c r="Z723" s="2"/>
    </row>
    <row r="724" customFormat="false" ht="12" hidden="false" customHeight="true" outlineLevel="0" collapsed="false">
      <c r="A724" s="2"/>
      <c r="B724" s="19"/>
      <c r="C724" s="19"/>
      <c r="D724" s="2"/>
      <c r="E724" s="2"/>
      <c r="F724" s="2"/>
      <c r="G724" s="2"/>
      <c r="H724" s="2"/>
      <c r="I724" s="2"/>
      <c r="J724" s="2"/>
      <c r="K724" s="2"/>
      <c r="L724" s="19"/>
      <c r="M724" s="19"/>
      <c r="N724" s="2"/>
      <c r="O724" s="2"/>
      <c r="P724" s="2"/>
      <c r="Q724" s="2"/>
      <c r="R724" s="2"/>
      <c r="S724" s="2"/>
      <c r="T724" s="2"/>
      <c r="U724" s="2"/>
      <c r="V724" s="2"/>
      <c r="W724" s="2"/>
      <c r="X724" s="2"/>
      <c r="Y724" s="2"/>
      <c r="Z724" s="2"/>
    </row>
    <row r="725" customFormat="false" ht="12" hidden="false" customHeight="true" outlineLevel="0" collapsed="false">
      <c r="A725" s="2"/>
      <c r="B725" s="19"/>
      <c r="C725" s="19"/>
      <c r="D725" s="2"/>
      <c r="E725" s="2"/>
      <c r="F725" s="2"/>
      <c r="G725" s="2"/>
      <c r="H725" s="2"/>
      <c r="I725" s="2"/>
      <c r="J725" s="2"/>
      <c r="K725" s="2"/>
      <c r="L725" s="19"/>
      <c r="M725" s="19"/>
      <c r="N725" s="2"/>
      <c r="O725" s="2"/>
      <c r="P725" s="2"/>
      <c r="Q725" s="2"/>
      <c r="R725" s="2"/>
      <c r="S725" s="2"/>
      <c r="T725" s="2"/>
      <c r="U725" s="2"/>
      <c r="V725" s="2"/>
      <c r="W725" s="2"/>
      <c r="X725" s="2"/>
      <c r="Y725" s="2"/>
      <c r="Z725" s="2"/>
    </row>
    <row r="726" customFormat="false" ht="12" hidden="false" customHeight="true" outlineLevel="0" collapsed="false">
      <c r="A726" s="2"/>
      <c r="B726" s="19"/>
      <c r="C726" s="19"/>
      <c r="D726" s="2"/>
      <c r="E726" s="2"/>
      <c r="F726" s="2"/>
      <c r="G726" s="2"/>
      <c r="H726" s="2"/>
      <c r="I726" s="2"/>
      <c r="J726" s="2"/>
      <c r="K726" s="2"/>
      <c r="L726" s="19"/>
      <c r="M726" s="19"/>
      <c r="N726" s="2"/>
      <c r="O726" s="2"/>
      <c r="P726" s="2"/>
      <c r="Q726" s="2"/>
      <c r="R726" s="2"/>
      <c r="S726" s="2"/>
      <c r="T726" s="2"/>
      <c r="U726" s="2"/>
      <c r="V726" s="2"/>
      <c r="W726" s="2"/>
      <c r="X726" s="2"/>
      <c r="Y726" s="2"/>
      <c r="Z726" s="2"/>
    </row>
    <row r="727" customFormat="false" ht="12" hidden="false" customHeight="true" outlineLevel="0" collapsed="false">
      <c r="A727" s="2"/>
      <c r="B727" s="19"/>
      <c r="C727" s="19"/>
      <c r="D727" s="2"/>
      <c r="E727" s="2"/>
      <c r="F727" s="2"/>
      <c r="G727" s="2"/>
      <c r="H727" s="2"/>
      <c r="I727" s="2"/>
      <c r="J727" s="2"/>
      <c r="K727" s="2"/>
      <c r="L727" s="19"/>
      <c r="M727" s="19"/>
      <c r="N727" s="2"/>
      <c r="O727" s="2"/>
      <c r="P727" s="2"/>
      <c r="Q727" s="2"/>
      <c r="R727" s="2"/>
      <c r="S727" s="2"/>
      <c r="T727" s="2"/>
      <c r="U727" s="2"/>
      <c r="V727" s="2"/>
      <c r="W727" s="2"/>
      <c r="X727" s="2"/>
      <c r="Y727" s="2"/>
      <c r="Z727" s="2"/>
    </row>
    <row r="728" customFormat="false" ht="12" hidden="false" customHeight="true" outlineLevel="0" collapsed="false">
      <c r="A728" s="2"/>
      <c r="B728" s="19"/>
      <c r="C728" s="19"/>
      <c r="D728" s="2"/>
      <c r="E728" s="2"/>
      <c r="F728" s="2"/>
      <c r="G728" s="2"/>
      <c r="H728" s="2"/>
      <c r="I728" s="2"/>
      <c r="J728" s="2"/>
      <c r="K728" s="2"/>
      <c r="L728" s="19"/>
      <c r="M728" s="19"/>
      <c r="N728" s="2"/>
      <c r="O728" s="2"/>
      <c r="P728" s="2"/>
      <c r="Q728" s="2"/>
      <c r="R728" s="2"/>
      <c r="S728" s="2"/>
      <c r="T728" s="2"/>
      <c r="U728" s="2"/>
      <c r="V728" s="2"/>
      <c r="W728" s="2"/>
      <c r="X728" s="2"/>
      <c r="Y728" s="2"/>
      <c r="Z728" s="2"/>
    </row>
    <row r="729" customFormat="false" ht="12" hidden="false" customHeight="true" outlineLevel="0" collapsed="false">
      <c r="A729" s="2"/>
      <c r="B729" s="19"/>
      <c r="C729" s="19"/>
      <c r="D729" s="2"/>
      <c r="E729" s="2"/>
      <c r="F729" s="2"/>
      <c r="G729" s="2"/>
      <c r="H729" s="2"/>
      <c r="I729" s="2"/>
      <c r="J729" s="2"/>
      <c r="K729" s="2"/>
      <c r="L729" s="19"/>
      <c r="M729" s="19"/>
      <c r="N729" s="2"/>
      <c r="O729" s="2"/>
      <c r="P729" s="2"/>
      <c r="Q729" s="2"/>
      <c r="R729" s="2"/>
      <c r="S729" s="2"/>
      <c r="T729" s="2"/>
      <c r="U729" s="2"/>
      <c r="V729" s="2"/>
      <c r="W729" s="2"/>
      <c r="X729" s="2"/>
      <c r="Y729" s="2"/>
      <c r="Z729" s="2"/>
    </row>
    <row r="730" customFormat="false" ht="12" hidden="false" customHeight="true" outlineLevel="0" collapsed="false">
      <c r="A730" s="2"/>
      <c r="B730" s="19"/>
      <c r="C730" s="19"/>
      <c r="D730" s="2"/>
      <c r="E730" s="2"/>
      <c r="F730" s="2"/>
      <c r="G730" s="2"/>
      <c r="H730" s="2"/>
      <c r="I730" s="2"/>
      <c r="J730" s="2"/>
      <c r="K730" s="2"/>
      <c r="L730" s="19"/>
      <c r="M730" s="19"/>
      <c r="N730" s="2"/>
      <c r="O730" s="2"/>
      <c r="P730" s="2"/>
      <c r="Q730" s="2"/>
      <c r="R730" s="2"/>
      <c r="S730" s="2"/>
      <c r="T730" s="2"/>
      <c r="U730" s="2"/>
      <c r="V730" s="2"/>
      <c r="W730" s="2"/>
      <c r="X730" s="2"/>
      <c r="Y730" s="2"/>
      <c r="Z730" s="2"/>
    </row>
    <row r="731" customFormat="false" ht="12" hidden="false" customHeight="true" outlineLevel="0" collapsed="false">
      <c r="A731" s="2"/>
      <c r="B731" s="19"/>
      <c r="C731" s="19"/>
      <c r="D731" s="2"/>
      <c r="E731" s="2"/>
      <c r="F731" s="2"/>
      <c r="G731" s="2"/>
      <c r="H731" s="2"/>
      <c r="I731" s="2"/>
      <c r="J731" s="2"/>
      <c r="K731" s="2"/>
      <c r="L731" s="19"/>
      <c r="M731" s="19"/>
      <c r="N731" s="2"/>
      <c r="O731" s="2"/>
      <c r="P731" s="2"/>
      <c r="Q731" s="2"/>
      <c r="R731" s="2"/>
      <c r="S731" s="2"/>
      <c r="T731" s="2"/>
      <c r="U731" s="2"/>
      <c r="V731" s="2"/>
      <c r="W731" s="2"/>
      <c r="X731" s="2"/>
      <c r="Y731" s="2"/>
      <c r="Z731" s="2"/>
    </row>
    <row r="732" customFormat="false" ht="12" hidden="false" customHeight="true" outlineLevel="0" collapsed="false">
      <c r="A732" s="2"/>
      <c r="B732" s="19"/>
      <c r="C732" s="19"/>
      <c r="D732" s="2"/>
      <c r="E732" s="2"/>
      <c r="F732" s="2"/>
      <c r="G732" s="2"/>
      <c r="H732" s="2"/>
      <c r="I732" s="2"/>
      <c r="J732" s="2"/>
      <c r="K732" s="2"/>
      <c r="L732" s="19"/>
      <c r="M732" s="19"/>
      <c r="N732" s="2"/>
      <c r="O732" s="2"/>
      <c r="P732" s="2"/>
      <c r="Q732" s="2"/>
      <c r="R732" s="2"/>
      <c r="S732" s="2"/>
      <c r="T732" s="2"/>
      <c r="U732" s="2"/>
      <c r="V732" s="2"/>
      <c r="W732" s="2"/>
      <c r="X732" s="2"/>
      <c r="Y732" s="2"/>
      <c r="Z732" s="2"/>
    </row>
    <row r="733" customFormat="false" ht="12" hidden="false" customHeight="true" outlineLevel="0" collapsed="false">
      <c r="A733" s="2"/>
      <c r="B733" s="19"/>
      <c r="C733" s="19"/>
      <c r="D733" s="2"/>
      <c r="E733" s="2"/>
      <c r="F733" s="2"/>
      <c r="G733" s="2"/>
      <c r="H733" s="2"/>
      <c r="I733" s="2"/>
      <c r="J733" s="2"/>
      <c r="K733" s="2"/>
      <c r="L733" s="19"/>
      <c r="M733" s="19"/>
      <c r="N733" s="2"/>
      <c r="O733" s="2"/>
      <c r="P733" s="2"/>
      <c r="Q733" s="2"/>
      <c r="R733" s="2"/>
      <c r="S733" s="2"/>
      <c r="T733" s="2"/>
      <c r="U733" s="2"/>
      <c r="V733" s="2"/>
      <c r="W733" s="2"/>
      <c r="X733" s="2"/>
      <c r="Y733" s="2"/>
      <c r="Z733" s="2"/>
    </row>
    <row r="734" customFormat="false" ht="12" hidden="false" customHeight="true" outlineLevel="0" collapsed="false">
      <c r="A734" s="2"/>
      <c r="B734" s="19"/>
      <c r="C734" s="19"/>
      <c r="D734" s="2"/>
      <c r="E734" s="2"/>
      <c r="F734" s="2"/>
      <c r="G734" s="2"/>
      <c r="H734" s="2"/>
      <c r="I734" s="2"/>
      <c r="J734" s="2"/>
      <c r="K734" s="2"/>
      <c r="L734" s="19"/>
      <c r="M734" s="19"/>
      <c r="N734" s="2"/>
      <c r="O734" s="2"/>
      <c r="P734" s="2"/>
      <c r="Q734" s="2"/>
      <c r="R734" s="2"/>
      <c r="S734" s="2"/>
      <c r="T734" s="2"/>
      <c r="U734" s="2"/>
      <c r="V734" s="2"/>
      <c r="W734" s="2"/>
      <c r="X734" s="2"/>
      <c r="Y734" s="2"/>
      <c r="Z734" s="2"/>
    </row>
    <row r="735" customFormat="false" ht="12" hidden="false" customHeight="true" outlineLevel="0" collapsed="false">
      <c r="A735" s="2"/>
      <c r="B735" s="19"/>
      <c r="C735" s="19"/>
      <c r="D735" s="2"/>
      <c r="E735" s="2"/>
      <c r="F735" s="2"/>
      <c r="G735" s="2"/>
      <c r="H735" s="2"/>
      <c r="I735" s="2"/>
      <c r="J735" s="2"/>
      <c r="K735" s="2"/>
      <c r="L735" s="19"/>
      <c r="M735" s="19"/>
      <c r="N735" s="2"/>
      <c r="O735" s="2"/>
      <c r="P735" s="2"/>
      <c r="Q735" s="2"/>
      <c r="R735" s="2"/>
      <c r="S735" s="2"/>
      <c r="T735" s="2"/>
      <c r="U735" s="2"/>
      <c r="V735" s="2"/>
      <c r="W735" s="2"/>
      <c r="X735" s="2"/>
      <c r="Y735" s="2"/>
      <c r="Z735" s="2"/>
    </row>
    <row r="736" customFormat="false" ht="12" hidden="false" customHeight="true" outlineLevel="0" collapsed="false">
      <c r="A736" s="2"/>
      <c r="B736" s="19"/>
      <c r="C736" s="19"/>
      <c r="D736" s="2"/>
      <c r="E736" s="2"/>
      <c r="F736" s="2"/>
      <c r="G736" s="2"/>
      <c r="H736" s="2"/>
      <c r="I736" s="2"/>
      <c r="J736" s="2"/>
      <c r="K736" s="2"/>
      <c r="L736" s="19"/>
      <c r="M736" s="19"/>
      <c r="N736" s="2"/>
      <c r="O736" s="2"/>
      <c r="P736" s="2"/>
      <c r="Q736" s="2"/>
      <c r="R736" s="2"/>
      <c r="S736" s="2"/>
      <c r="T736" s="2"/>
      <c r="U736" s="2"/>
      <c r="V736" s="2"/>
      <c r="W736" s="2"/>
      <c r="X736" s="2"/>
      <c r="Y736" s="2"/>
      <c r="Z736" s="2"/>
    </row>
    <row r="737" customFormat="false" ht="12" hidden="false" customHeight="true" outlineLevel="0" collapsed="false">
      <c r="A737" s="2"/>
      <c r="B737" s="19"/>
      <c r="C737" s="19"/>
      <c r="D737" s="2"/>
      <c r="E737" s="2"/>
      <c r="F737" s="2"/>
      <c r="G737" s="2"/>
      <c r="H737" s="2"/>
      <c r="I737" s="2"/>
      <c r="J737" s="2"/>
      <c r="K737" s="2"/>
      <c r="L737" s="19"/>
      <c r="M737" s="19"/>
      <c r="N737" s="2"/>
      <c r="O737" s="2"/>
      <c r="P737" s="2"/>
      <c r="Q737" s="2"/>
      <c r="R737" s="2"/>
      <c r="S737" s="2"/>
      <c r="T737" s="2"/>
      <c r="U737" s="2"/>
      <c r="V737" s="2"/>
      <c r="W737" s="2"/>
      <c r="X737" s="2"/>
      <c r="Y737" s="2"/>
      <c r="Z737" s="2"/>
    </row>
    <row r="738" customFormat="false" ht="12" hidden="false" customHeight="true" outlineLevel="0" collapsed="false">
      <c r="A738" s="2"/>
      <c r="B738" s="19"/>
      <c r="C738" s="19"/>
      <c r="D738" s="2"/>
      <c r="E738" s="2"/>
      <c r="F738" s="2"/>
      <c r="G738" s="2"/>
      <c r="H738" s="2"/>
      <c r="I738" s="2"/>
      <c r="J738" s="2"/>
      <c r="K738" s="2"/>
      <c r="L738" s="19"/>
      <c r="M738" s="19"/>
      <c r="N738" s="2"/>
      <c r="O738" s="2"/>
      <c r="P738" s="2"/>
      <c r="Q738" s="2"/>
      <c r="R738" s="2"/>
      <c r="S738" s="2"/>
      <c r="T738" s="2"/>
      <c r="U738" s="2"/>
      <c r="V738" s="2"/>
      <c r="W738" s="2"/>
      <c r="X738" s="2"/>
      <c r="Y738" s="2"/>
      <c r="Z738" s="2"/>
    </row>
    <row r="739" customFormat="false" ht="12" hidden="false" customHeight="true" outlineLevel="0" collapsed="false">
      <c r="A739" s="2"/>
      <c r="B739" s="19"/>
      <c r="C739" s="19"/>
      <c r="D739" s="2"/>
      <c r="E739" s="2"/>
      <c r="F739" s="2"/>
      <c r="G739" s="2"/>
      <c r="H739" s="2"/>
      <c r="I739" s="2"/>
      <c r="J739" s="2"/>
      <c r="K739" s="2"/>
      <c r="L739" s="19"/>
      <c r="M739" s="19"/>
      <c r="N739" s="2"/>
      <c r="O739" s="2"/>
      <c r="P739" s="2"/>
      <c r="Q739" s="2"/>
      <c r="R739" s="2"/>
      <c r="S739" s="2"/>
      <c r="T739" s="2"/>
      <c r="U739" s="2"/>
      <c r="V739" s="2"/>
      <c r="W739" s="2"/>
      <c r="X739" s="2"/>
      <c r="Y739" s="2"/>
      <c r="Z739" s="2"/>
    </row>
    <row r="740" customFormat="false" ht="12" hidden="false" customHeight="true" outlineLevel="0" collapsed="false">
      <c r="A740" s="2"/>
      <c r="B740" s="19"/>
      <c r="C740" s="19"/>
      <c r="D740" s="2"/>
      <c r="E740" s="2"/>
      <c r="F740" s="2"/>
      <c r="G740" s="2"/>
      <c r="H740" s="2"/>
      <c r="I740" s="2"/>
      <c r="J740" s="2"/>
      <c r="K740" s="2"/>
      <c r="L740" s="19"/>
      <c r="M740" s="19"/>
      <c r="N740" s="2"/>
      <c r="O740" s="2"/>
      <c r="P740" s="2"/>
      <c r="Q740" s="2"/>
      <c r="R740" s="2"/>
      <c r="S740" s="2"/>
      <c r="T740" s="2"/>
      <c r="U740" s="2"/>
      <c r="V740" s="2"/>
      <c r="W740" s="2"/>
      <c r="X740" s="2"/>
      <c r="Y740" s="2"/>
      <c r="Z740" s="2"/>
    </row>
    <row r="741" customFormat="false" ht="12" hidden="false" customHeight="true" outlineLevel="0" collapsed="false">
      <c r="A741" s="2"/>
      <c r="B741" s="19"/>
      <c r="C741" s="19"/>
      <c r="D741" s="2"/>
      <c r="E741" s="2"/>
      <c r="F741" s="2"/>
      <c r="G741" s="2"/>
      <c r="H741" s="2"/>
      <c r="I741" s="2"/>
      <c r="J741" s="2"/>
      <c r="K741" s="2"/>
      <c r="L741" s="19"/>
      <c r="M741" s="19"/>
      <c r="N741" s="2"/>
      <c r="O741" s="2"/>
      <c r="P741" s="2"/>
      <c r="Q741" s="2"/>
      <c r="R741" s="2"/>
      <c r="S741" s="2"/>
      <c r="T741" s="2"/>
      <c r="U741" s="2"/>
      <c r="V741" s="2"/>
      <c r="W741" s="2"/>
      <c r="X741" s="2"/>
      <c r="Y741" s="2"/>
      <c r="Z741" s="2"/>
    </row>
    <row r="742" customFormat="false" ht="12" hidden="false" customHeight="true" outlineLevel="0" collapsed="false">
      <c r="A742" s="2"/>
      <c r="B742" s="19"/>
      <c r="C742" s="19"/>
      <c r="D742" s="2"/>
      <c r="E742" s="2"/>
      <c r="F742" s="2"/>
      <c r="G742" s="2"/>
      <c r="H742" s="2"/>
      <c r="I742" s="2"/>
      <c r="J742" s="2"/>
      <c r="K742" s="2"/>
      <c r="L742" s="19"/>
      <c r="M742" s="19"/>
      <c r="N742" s="2"/>
      <c r="O742" s="2"/>
      <c r="P742" s="2"/>
      <c r="Q742" s="2"/>
      <c r="R742" s="2"/>
      <c r="S742" s="2"/>
      <c r="T742" s="2"/>
      <c r="U742" s="2"/>
      <c r="V742" s="2"/>
      <c r="W742" s="2"/>
      <c r="X742" s="2"/>
      <c r="Y742" s="2"/>
      <c r="Z742" s="2"/>
    </row>
    <row r="743" customFormat="false" ht="12" hidden="false" customHeight="true" outlineLevel="0" collapsed="false">
      <c r="A743" s="2"/>
      <c r="B743" s="19"/>
      <c r="C743" s="19"/>
      <c r="D743" s="2"/>
      <c r="E743" s="2"/>
      <c r="F743" s="2"/>
      <c r="G743" s="2"/>
      <c r="H743" s="2"/>
      <c r="I743" s="2"/>
      <c r="J743" s="2"/>
      <c r="K743" s="2"/>
      <c r="L743" s="19"/>
      <c r="M743" s="19"/>
      <c r="N743" s="2"/>
      <c r="O743" s="2"/>
      <c r="P743" s="2"/>
      <c r="Q743" s="2"/>
      <c r="R743" s="2"/>
      <c r="S743" s="2"/>
      <c r="T743" s="2"/>
      <c r="U743" s="2"/>
      <c r="V743" s="2"/>
      <c r="W743" s="2"/>
      <c r="X743" s="2"/>
      <c r="Y743" s="2"/>
      <c r="Z743" s="2"/>
    </row>
    <row r="744" customFormat="false" ht="12" hidden="false" customHeight="true" outlineLevel="0" collapsed="false">
      <c r="A744" s="2"/>
      <c r="B744" s="19"/>
      <c r="C744" s="19"/>
      <c r="D744" s="2"/>
      <c r="E744" s="2"/>
      <c r="F744" s="2"/>
      <c r="G744" s="2"/>
      <c r="H744" s="2"/>
      <c r="I744" s="2"/>
      <c r="J744" s="2"/>
      <c r="K744" s="2"/>
      <c r="L744" s="19"/>
      <c r="M744" s="19"/>
      <c r="N744" s="2"/>
      <c r="O744" s="2"/>
      <c r="P744" s="2"/>
      <c r="Q744" s="2"/>
      <c r="R744" s="2"/>
      <c r="S744" s="2"/>
      <c r="T744" s="2"/>
      <c r="U744" s="2"/>
      <c r="V744" s="2"/>
      <c r="W744" s="2"/>
      <c r="X744" s="2"/>
      <c r="Y744" s="2"/>
      <c r="Z744" s="2"/>
    </row>
    <row r="745" customFormat="false" ht="12" hidden="false" customHeight="true" outlineLevel="0" collapsed="false">
      <c r="A745" s="2"/>
      <c r="B745" s="19"/>
      <c r="C745" s="19"/>
      <c r="D745" s="2"/>
      <c r="E745" s="2"/>
      <c r="F745" s="2"/>
      <c r="G745" s="2"/>
      <c r="H745" s="2"/>
      <c r="I745" s="2"/>
      <c r="J745" s="2"/>
      <c r="K745" s="2"/>
      <c r="L745" s="19"/>
      <c r="M745" s="19"/>
      <c r="N745" s="2"/>
      <c r="O745" s="2"/>
      <c r="P745" s="2"/>
      <c r="Q745" s="2"/>
      <c r="R745" s="2"/>
      <c r="S745" s="2"/>
      <c r="T745" s="2"/>
      <c r="U745" s="2"/>
      <c r="V745" s="2"/>
      <c r="W745" s="2"/>
      <c r="X745" s="2"/>
      <c r="Y745" s="2"/>
      <c r="Z745" s="2"/>
    </row>
    <row r="746" customFormat="false" ht="12" hidden="false" customHeight="true" outlineLevel="0" collapsed="false">
      <c r="A746" s="2"/>
      <c r="B746" s="19"/>
      <c r="C746" s="19"/>
      <c r="D746" s="2"/>
      <c r="E746" s="2"/>
      <c r="F746" s="2"/>
      <c r="G746" s="2"/>
      <c r="H746" s="2"/>
      <c r="I746" s="2"/>
      <c r="J746" s="2"/>
      <c r="K746" s="2"/>
      <c r="L746" s="19"/>
      <c r="M746" s="19"/>
      <c r="N746" s="2"/>
      <c r="O746" s="2"/>
      <c r="P746" s="2"/>
      <c r="Q746" s="2"/>
      <c r="R746" s="2"/>
      <c r="S746" s="2"/>
      <c r="T746" s="2"/>
      <c r="U746" s="2"/>
      <c r="V746" s="2"/>
      <c r="W746" s="2"/>
      <c r="X746" s="2"/>
      <c r="Y746" s="2"/>
      <c r="Z746" s="2"/>
    </row>
    <row r="747" customFormat="false" ht="12" hidden="false" customHeight="true" outlineLevel="0" collapsed="false">
      <c r="A747" s="2"/>
      <c r="B747" s="19"/>
      <c r="C747" s="19"/>
      <c r="D747" s="2"/>
      <c r="E747" s="2"/>
      <c r="F747" s="2"/>
      <c r="G747" s="2"/>
      <c r="H747" s="2"/>
      <c r="I747" s="2"/>
      <c r="J747" s="2"/>
      <c r="K747" s="2"/>
      <c r="L747" s="19"/>
      <c r="M747" s="19"/>
      <c r="N747" s="2"/>
      <c r="O747" s="2"/>
      <c r="P747" s="2"/>
      <c r="Q747" s="2"/>
      <c r="R747" s="2"/>
      <c r="S747" s="2"/>
      <c r="T747" s="2"/>
      <c r="U747" s="2"/>
      <c r="V747" s="2"/>
      <c r="W747" s="2"/>
      <c r="X747" s="2"/>
      <c r="Y747" s="2"/>
      <c r="Z747" s="2"/>
    </row>
    <row r="748" customFormat="false" ht="12" hidden="false" customHeight="true" outlineLevel="0" collapsed="false">
      <c r="A748" s="2"/>
      <c r="B748" s="19"/>
      <c r="C748" s="19"/>
      <c r="D748" s="2"/>
      <c r="E748" s="2"/>
      <c r="F748" s="2"/>
      <c r="G748" s="2"/>
      <c r="H748" s="2"/>
      <c r="I748" s="2"/>
      <c r="J748" s="2"/>
      <c r="K748" s="2"/>
      <c r="L748" s="19"/>
      <c r="M748" s="19"/>
      <c r="N748" s="2"/>
      <c r="O748" s="2"/>
      <c r="P748" s="2"/>
      <c r="Q748" s="2"/>
      <c r="R748" s="2"/>
      <c r="S748" s="2"/>
      <c r="T748" s="2"/>
      <c r="U748" s="2"/>
      <c r="V748" s="2"/>
      <c r="W748" s="2"/>
      <c r="X748" s="2"/>
      <c r="Y748" s="2"/>
      <c r="Z748" s="2"/>
    </row>
    <row r="749" customFormat="false" ht="12" hidden="false" customHeight="true" outlineLevel="0" collapsed="false">
      <c r="A749" s="2"/>
      <c r="B749" s="19"/>
      <c r="C749" s="19"/>
      <c r="D749" s="2"/>
      <c r="E749" s="2"/>
      <c r="F749" s="2"/>
      <c r="G749" s="2"/>
      <c r="H749" s="2"/>
      <c r="I749" s="2"/>
      <c r="J749" s="2"/>
      <c r="K749" s="2"/>
      <c r="L749" s="19"/>
      <c r="M749" s="19"/>
      <c r="N749" s="2"/>
      <c r="O749" s="2"/>
      <c r="P749" s="2"/>
      <c r="Q749" s="2"/>
      <c r="R749" s="2"/>
      <c r="S749" s="2"/>
      <c r="T749" s="2"/>
      <c r="U749" s="2"/>
      <c r="V749" s="2"/>
      <c r="W749" s="2"/>
      <c r="X749" s="2"/>
      <c r="Y749" s="2"/>
      <c r="Z749" s="2"/>
    </row>
    <row r="750" customFormat="false" ht="12" hidden="false" customHeight="true" outlineLevel="0" collapsed="false">
      <c r="A750" s="2"/>
      <c r="B750" s="19"/>
      <c r="C750" s="19"/>
      <c r="D750" s="2"/>
      <c r="E750" s="2"/>
      <c r="F750" s="2"/>
      <c r="G750" s="2"/>
      <c r="H750" s="2"/>
      <c r="I750" s="2"/>
      <c r="J750" s="2"/>
      <c r="K750" s="2"/>
      <c r="L750" s="19"/>
      <c r="M750" s="19"/>
      <c r="N750" s="2"/>
      <c r="O750" s="2"/>
      <c r="P750" s="2"/>
      <c r="Q750" s="2"/>
      <c r="R750" s="2"/>
      <c r="S750" s="2"/>
      <c r="T750" s="2"/>
      <c r="U750" s="2"/>
      <c r="V750" s="2"/>
      <c r="W750" s="2"/>
      <c r="X750" s="2"/>
      <c r="Y750" s="2"/>
      <c r="Z750" s="2"/>
    </row>
    <row r="751" customFormat="false" ht="12" hidden="false" customHeight="true" outlineLevel="0" collapsed="false">
      <c r="A751" s="2"/>
      <c r="B751" s="19"/>
      <c r="C751" s="19"/>
      <c r="D751" s="2"/>
      <c r="E751" s="2"/>
      <c r="F751" s="2"/>
      <c r="G751" s="2"/>
      <c r="H751" s="2"/>
      <c r="I751" s="2"/>
      <c r="J751" s="2"/>
      <c r="K751" s="2"/>
      <c r="L751" s="19"/>
      <c r="M751" s="19"/>
      <c r="N751" s="2"/>
      <c r="O751" s="2"/>
      <c r="P751" s="2"/>
      <c r="Q751" s="2"/>
      <c r="R751" s="2"/>
      <c r="S751" s="2"/>
      <c r="T751" s="2"/>
      <c r="U751" s="2"/>
      <c r="V751" s="2"/>
      <c r="W751" s="2"/>
      <c r="X751" s="2"/>
      <c r="Y751" s="2"/>
      <c r="Z751" s="2"/>
    </row>
    <row r="752" customFormat="false" ht="12" hidden="false" customHeight="true" outlineLevel="0" collapsed="false">
      <c r="A752" s="2"/>
      <c r="B752" s="19"/>
      <c r="C752" s="19"/>
      <c r="D752" s="2"/>
      <c r="E752" s="2"/>
      <c r="F752" s="2"/>
      <c r="G752" s="2"/>
      <c r="H752" s="2"/>
      <c r="I752" s="2"/>
      <c r="J752" s="2"/>
      <c r="K752" s="2"/>
      <c r="L752" s="19"/>
      <c r="M752" s="19"/>
      <c r="N752" s="2"/>
      <c r="O752" s="2"/>
      <c r="P752" s="2"/>
      <c r="Q752" s="2"/>
      <c r="R752" s="2"/>
      <c r="S752" s="2"/>
      <c r="T752" s="2"/>
      <c r="U752" s="2"/>
      <c r="V752" s="2"/>
      <c r="W752" s="2"/>
      <c r="X752" s="2"/>
      <c r="Y752" s="2"/>
      <c r="Z752" s="2"/>
    </row>
    <row r="753" customFormat="false" ht="12" hidden="false" customHeight="true" outlineLevel="0" collapsed="false">
      <c r="A753" s="2"/>
      <c r="B753" s="19"/>
      <c r="C753" s="19"/>
      <c r="D753" s="2"/>
      <c r="E753" s="2"/>
      <c r="F753" s="2"/>
      <c r="G753" s="2"/>
      <c r="H753" s="2"/>
      <c r="I753" s="2"/>
      <c r="J753" s="2"/>
      <c r="K753" s="2"/>
      <c r="L753" s="19"/>
      <c r="M753" s="19"/>
      <c r="N753" s="2"/>
      <c r="O753" s="2"/>
      <c r="P753" s="2"/>
      <c r="Q753" s="2"/>
      <c r="R753" s="2"/>
      <c r="S753" s="2"/>
      <c r="T753" s="2"/>
      <c r="U753" s="2"/>
      <c r="V753" s="2"/>
      <c r="W753" s="2"/>
      <c r="X753" s="2"/>
      <c r="Y753" s="2"/>
      <c r="Z753" s="2"/>
    </row>
    <row r="754" customFormat="false" ht="12" hidden="false" customHeight="true" outlineLevel="0" collapsed="false">
      <c r="A754" s="2"/>
      <c r="B754" s="19"/>
      <c r="C754" s="19"/>
      <c r="D754" s="2"/>
      <c r="E754" s="2"/>
      <c r="F754" s="2"/>
      <c r="G754" s="2"/>
      <c r="H754" s="2"/>
      <c r="I754" s="2"/>
      <c r="J754" s="2"/>
      <c r="K754" s="2"/>
      <c r="L754" s="19"/>
      <c r="M754" s="19"/>
      <c r="N754" s="2"/>
      <c r="O754" s="2"/>
      <c r="P754" s="2"/>
      <c r="Q754" s="2"/>
      <c r="R754" s="2"/>
      <c r="S754" s="2"/>
      <c r="T754" s="2"/>
      <c r="U754" s="2"/>
      <c r="V754" s="2"/>
      <c r="W754" s="2"/>
      <c r="X754" s="2"/>
      <c r="Y754" s="2"/>
      <c r="Z754" s="2"/>
    </row>
    <row r="755" customFormat="false" ht="12" hidden="false" customHeight="true" outlineLevel="0" collapsed="false">
      <c r="A755" s="2"/>
      <c r="B755" s="19"/>
      <c r="C755" s="19"/>
      <c r="D755" s="2"/>
      <c r="E755" s="2"/>
      <c r="F755" s="2"/>
      <c r="G755" s="2"/>
      <c r="H755" s="2"/>
      <c r="I755" s="2"/>
      <c r="J755" s="2"/>
      <c r="K755" s="2"/>
      <c r="L755" s="19"/>
      <c r="M755" s="19"/>
      <c r="N755" s="2"/>
      <c r="O755" s="2"/>
      <c r="P755" s="2"/>
      <c r="Q755" s="2"/>
      <c r="R755" s="2"/>
      <c r="S755" s="2"/>
      <c r="T755" s="2"/>
      <c r="U755" s="2"/>
      <c r="V755" s="2"/>
      <c r="W755" s="2"/>
      <c r="X755" s="2"/>
      <c r="Y755" s="2"/>
      <c r="Z755" s="2"/>
    </row>
    <row r="756" customFormat="false" ht="12" hidden="false" customHeight="true" outlineLevel="0" collapsed="false">
      <c r="A756" s="2"/>
      <c r="B756" s="19"/>
      <c r="C756" s="19"/>
      <c r="D756" s="2"/>
      <c r="E756" s="2"/>
      <c r="F756" s="2"/>
      <c r="G756" s="2"/>
      <c r="H756" s="2"/>
      <c r="I756" s="2"/>
      <c r="J756" s="2"/>
      <c r="K756" s="2"/>
      <c r="L756" s="19"/>
      <c r="M756" s="19"/>
      <c r="N756" s="2"/>
      <c r="O756" s="2"/>
      <c r="P756" s="2"/>
      <c r="Q756" s="2"/>
      <c r="R756" s="2"/>
      <c r="S756" s="2"/>
      <c r="T756" s="2"/>
      <c r="U756" s="2"/>
      <c r="V756" s="2"/>
      <c r="W756" s="2"/>
      <c r="X756" s="2"/>
      <c r="Y756" s="2"/>
      <c r="Z756" s="2"/>
    </row>
    <row r="757" customFormat="false" ht="12" hidden="false" customHeight="true" outlineLevel="0" collapsed="false">
      <c r="A757" s="2"/>
      <c r="B757" s="19"/>
      <c r="C757" s="19"/>
      <c r="D757" s="2"/>
      <c r="E757" s="2"/>
      <c r="F757" s="2"/>
      <c r="G757" s="2"/>
      <c r="H757" s="2"/>
      <c r="I757" s="2"/>
      <c r="J757" s="2"/>
      <c r="K757" s="2"/>
      <c r="L757" s="19"/>
      <c r="M757" s="19"/>
      <c r="N757" s="2"/>
      <c r="O757" s="2"/>
      <c r="P757" s="2"/>
      <c r="Q757" s="2"/>
      <c r="R757" s="2"/>
      <c r="S757" s="2"/>
      <c r="T757" s="2"/>
      <c r="U757" s="2"/>
      <c r="V757" s="2"/>
      <c r="W757" s="2"/>
      <c r="X757" s="2"/>
      <c r="Y757" s="2"/>
      <c r="Z757" s="2"/>
    </row>
    <row r="758" customFormat="false" ht="12" hidden="false" customHeight="true" outlineLevel="0" collapsed="false">
      <c r="A758" s="2"/>
      <c r="B758" s="19"/>
      <c r="C758" s="19"/>
      <c r="D758" s="2"/>
      <c r="E758" s="2"/>
      <c r="F758" s="2"/>
      <c r="G758" s="2"/>
      <c r="H758" s="2"/>
      <c r="I758" s="2"/>
      <c r="J758" s="2"/>
      <c r="K758" s="2"/>
      <c r="L758" s="19"/>
      <c r="M758" s="19"/>
      <c r="N758" s="2"/>
      <c r="O758" s="2"/>
      <c r="P758" s="2"/>
      <c r="Q758" s="2"/>
      <c r="R758" s="2"/>
      <c r="S758" s="2"/>
      <c r="T758" s="2"/>
      <c r="U758" s="2"/>
      <c r="V758" s="2"/>
      <c r="W758" s="2"/>
      <c r="X758" s="2"/>
      <c r="Y758" s="2"/>
      <c r="Z758" s="2"/>
    </row>
    <row r="759" customFormat="false" ht="12" hidden="false" customHeight="true" outlineLevel="0" collapsed="false">
      <c r="A759" s="2"/>
      <c r="B759" s="19"/>
      <c r="C759" s="19"/>
      <c r="D759" s="2"/>
      <c r="E759" s="2"/>
      <c r="F759" s="2"/>
      <c r="G759" s="2"/>
      <c r="H759" s="2"/>
      <c r="I759" s="2"/>
      <c r="J759" s="2"/>
      <c r="K759" s="2"/>
      <c r="L759" s="19"/>
      <c r="M759" s="19"/>
      <c r="N759" s="2"/>
      <c r="O759" s="2"/>
      <c r="P759" s="2"/>
      <c r="Q759" s="2"/>
      <c r="R759" s="2"/>
      <c r="S759" s="2"/>
      <c r="T759" s="2"/>
      <c r="U759" s="2"/>
      <c r="V759" s="2"/>
      <c r="W759" s="2"/>
      <c r="X759" s="2"/>
      <c r="Y759" s="2"/>
      <c r="Z759" s="2"/>
    </row>
    <row r="760" customFormat="false" ht="12" hidden="false" customHeight="true" outlineLevel="0" collapsed="false">
      <c r="A760" s="2"/>
      <c r="B760" s="19"/>
      <c r="C760" s="19"/>
      <c r="D760" s="2"/>
      <c r="E760" s="2"/>
      <c r="F760" s="2"/>
      <c r="G760" s="2"/>
      <c r="H760" s="2"/>
      <c r="I760" s="2"/>
      <c r="J760" s="2"/>
      <c r="K760" s="2"/>
      <c r="L760" s="19"/>
      <c r="M760" s="19"/>
      <c r="N760" s="2"/>
      <c r="O760" s="2"/>
      <c r="P760" s="2"/>
      <c r="Q760" s="2"/>
      <c r="R760" s="2"/>
      <c r="S760" s="2"/>
      <c r="T760" s="2"/>
      <c r="U760" s="2"/>
      <c r="V760" s="2"/>
      <c r="W760" s="2"/>
      <c r="X760" s="2"/>
      <c r="Y760" s="2"/>
      <c r="Z760" s="2"/>
    </row>
    <row r="761" customFormat="false" ht="12" hidden="false" customHeight="true" outlineLevel="0" collapsed="false">
      <c r="A761" s="2"/>
      <c r="B761" s="19"/>
      <c r="C761" s="19"/>
      <c r="D761" s="2"/>
      <c r="E761" s="2"/>
      <c r="F761" s="2"/>
      <c r="G761" s="2"/>
      <c r="H761" s="2"/>
      <c r="I761" s="2"/>
      <c r="J761" s="2"/>
      <c r="K761" s="2"/>
      <c r="L761" s="19"/>
      <c r="M761" s="19"/>
      <c r="N761" s="2"/>
      <c r="O761" s="2"/>
      <c r="P761" s="2"/>
      <c r="Q761" s="2"/>
      <c r="R761" s="2"/>
      <c r="S761" s="2"/>
      <c r="T761" s="2"/>
      <c r="U761" s="2"/>
      <c r="V761" s="2"/>
      <c r="W761" s="2"/>
      <c r="X761" s="2"/>
      <c r="Y761" s="2"/>
      <c r="Z761" s="2"/>
    </row>
    <row r="762" customFormat="false" ht="12" hidden="false" customHeight="true" outlineLevel="0" collapsed="false">
      <c r="A762" s="2"/>
      <c r="B762" s="19"/>
      <c r="C762" s="19"/>
      <c r="D762" s="2"/>
      <c r="E762" s="2"/>
      <c r="F762" s="2"/>
      <c r="G762" s="2"/>
      <c r="H762" s="2"/>
      <c r="I762" s="2"/>
      <c r="J762" s="2"/>
      <c r="K762" s="2"/>
      <c r="L762" s="19"/>
      <c r="M762" s="19"/>
      <c r="N762" s="2"/>
      <c r="O762" s="2"/>
      <c r="P762" s="2"/>
      <c r="Q762" s="2"/>
      <c r="R762" s="2"/>
      <c r="S762" s="2"/>
      <c r="T762" s="2"/>
      <c r="U762" s="2"/>
      <c r="V762" s="2"/>
      <c r="W762" s="2"/>
      <c r="X762" s="2"/>
      <c r="Y762" s="2"/>
      <c r="Z762" s="2"/>
    </row>
    <row r="763" customFormat="false" ht="12" hidden="false" customHeight="true" outlineLevel="0" collapsed="false">
      <c r="A763" s="2"/>
      <c r="B763" s="19"/>
      <c r="C763" s="19"/>
      <c r="D763" s="2"/>
      <c r="E763" s="2"/>
      <c r="F763" s="2"/>
      <c r="G763" s="2"/>
      <c r="H763" s="2"/>
      <c r="I763" s="2"/>
      <c r="J763" s="2"/>
      <c r="K763" s="2"/>
      <c r="L763" s="19"/>
      <c r="M763" s="19"/>
      <c r="N763" s="2"/>
      <c r="O763" s="2"/>
      <c r="P763" s="2"/>
      <c r="Q763" s="2"/>
      <c r="R763" s="2"/>
      <c r="S763" s="2"/>
      <c r="T763" s="2"/>
      <c r="U763" s="2"/>
      <c r="V763" s="2"/>
      <c r="W763" s="2"/>
      <c r="X763" s="2"/>
      <c r="Y763" s="2"/>
      <c r="Z763" s="2"/>
    </row>
    <row r="764" customFormat="false" ht="12" hidden="false" customHeight="true" outlineLevel="0" collapsed="false">
      <c r="A764" s="2"/>
      <c r="B764" s="19"/>
      <c r="C764" s="19"/>
      <c r="D764" s="2"/>
      <c r="E764" s="2"/>
      <c r="F764" s="2"/>
      <c r="G764" s="2"/>
      <c r="H764" s="2"/>
      <c r="I764" s="2"/>
      <c r="J764" s="2"/>
      <c r="K764" s="2"/>
      <c r="L764" s="19"/>
      <c r="M764" s="19"/>
      <c r="N764" s="2"/>
      <c r="O764" s="2"/>
      <c r="P764" s="2"/>
      <c r="Q764" s="2"/>
      <c r="R764" s="2"/>
      <c r="S764" s="2"/>
      <c r="T764" s="2"/>
      <c r="U764" s="2"/>
      <c r="V764" s="2"/>
      <c r="W764" s="2"/>
      <c r="X764" s="2"/>
      <c r="Y764" s="2"/>
      <c r="Z764" s="2"/>
    </row>
    <row r="765" customFormat="false" ht="12" hidden="false" customHeight="true" outlineLevel="0" collapsed="false">
      <c r="A765" s="2"/>
      <c r="B765" s="19"/>
      <c r="C765" s="19"/>
      <c r="D765" s="2"/>
      <c r="E765" s="2"/>
      <c r="F765" s="2"/>
      <c r="G765" s="2"/>
      <c r="H765" s="2"/>
      <c r="I765" s="2"/>
      <c r="J765" s="2"/>
      <c r="K765" s="2"/>
      <c r="L765" s="19"/>
      <c r="M765" s="19"/>
      <c r="N765" s="2"/>
      <c r="O765" s="2"/>
      <c r="P765" s="2"/>
      <c r="Q765" s="2"/>
      <c r="R765" s="2"/>
      <c r="S765" s="2"/>
      <c r="T765" s="2"/>
      <c r="U765" s="2"/>
      <c r="V765" s="2"/>
      <c r="W765" s="2"/>
      <c r="X765" s="2"/>
      <c r="Y765" s="2"/>
      <c r="Z765" s="2"/>
    </row>
    <row r="766" customFormat="false" ht="12" hidden="false" customHeight="true" outlineLevel="0" collapsed="false">
      <c r="A766" s="2"/>
      <c r="B766" s="19"/>
      <c r="C766" s="19"/>
      <c r="D766" s="2"/>
      <c r="E766" s="2"/>
      <c r="F766" s="2"/>
      <c r="G766" s="2"/>
      <c r="H766" s="2"/>
      <c r="I766" s="2"/>
      <c r="J766" s="2"/>
      <c r="K766" s="2"/>
      <c r="L766" s="19"/>
      <c r="M766" s="19"/>
      <c r="N766" s="2"/>
      <c r="O766" s="2"/>
      <c r="P766" s="2"/>
      <c r="Q766" s="2"/>
      <c r="R766" s="2"/>
      <c r="S766" s="2"/>
      <c r="T766" s="2"/>
      <c r="U766" s="2"/>
      <c r="V766" s="2"/>
      <c r="W766" s="2"/>
      <c r="X766" s="2"/>
      <c r="Y766" s="2"/>
      <c r="Z766" s="2"/>
    </row>
    <row r="767" customFormat="false" ht="12" hidden="false" customHeight="true" outlineLevel="0" collapsed="false">
      <c r="A767" s="2"/>
      <c r="B767" s="19"/>
      <c r="C767" s="19"/>
      <c r="D767" s="2"/>
      <c r="E767" s="2"/>
      <c r="F767" s="2"/>
      <c r="G767" s="2"/>
      <c r="H767" s="2"/>
      <c r="I767" s="2"/>
      <c r="J767" s="2"/>
      <c r="K767" s="2"/>
      <c r="L767" s="19"/>
      <c r="M767" s="19"/>
      <c r="N767" s="2"/>
      <c r="O767" s="2"/>
      <c r="P767" s="2"/>
      <c r="Q767" s="2"/>
      <c r="R767" s="2"/>
      <c r="S767" s="2"/>
      <c r="T767" s="2"/>
      <c r="U767" s="2"/>
      <c r="V767" s="2"/>
      <c r="W767" s="2"/>
      <c r="X767" s="2"/>
      <c r="Y767" s="2"/>
      <c r="Z767" s="2"/>
    </row>
    <row r="768" customFormat="false" ht="12" hidden="false" customHeight="true" outlineLevel="0" collapsed="false">
      <c r="A768" s="2"/>
      <c r="B768" s="19"/>
      <c r="C768" s="19"/>
      <c r="D768" s="2"/>
      <c r="E768" s="2"/>
      <c r="F768" s="2"/>
      <c r="G768" s="2"/>
      <c r="H768" s="2"/>
      <c r="I768" s="2"/>
      <c r="J768" s="2"/>
      <c r="K768" s="2"/>
      <c r="L768" s="19"/>
      <c r="M768" s="19"/>
      <c r="N768" s="2"/>
      <c r="O768" s="2"/>
      <c r="P768" s="2"/>
      <c r="Q768" s="2"/>
      <c r="R768" s="2"/>
      <c r="S768" s="2"/>
      <c r="T768" s="2"/>
      <c r="U768" s="2"/>
      <c r="V768" s="2"/>
      <c r="W768" s="2"/>
      <c r="X768" s="2"/>
      <c r="Y768" s="2"/>
      <c r="Z768" s="2"/>
    </row>
    <row r="769" customFormat="false" ht="12" hidden="false" customHeight="true" outlineLevel="0" collapsed="false">
      <c r="A769" s="2"/>
      <c r="B769" s="19"/>
      <c r="C769" s="19"/>
      <c r="D769" s="2"/>
      <c r="E769" s="2"/>
      <c r="F769" s="2"/>
      <c r="G769" s="2"/>
      <c r="H769" s="2"/>
      <c r="I769" s="2"/>
      <c r="J769" s="2"/>
      <c r="K769" s="2"/>
      <c r="L769" s="19"/>
      <c r="M769" s="19"/>
      <c r="N769" s="2"/>
      <c r="O769" s="2"/>
      <c r="P769" s="2"/>
      <c r="Q769" s="2"/>
      <c r="R769" s="2"/>
      <c r="S769" s="2"/>
      <c r="T769" s="2"/>
      <c r="U769" s="2"/>
      <c r="V769" s="2"/>
      <c r="W769" s="2"/>
      <c r="X769" s="2"/>
      <c r="Y769" s="2"/>
      <c r="Z769" s="2"/>
    </row>
    <row r="770" customFormat="false" ht="12" hidden="false" customHeight="true" outlineLevel="0" collapsed="false">
      <c r="A770" s="2"/>
      <c r="B770" s="19"/>
      <c r="C770" s="19"/>
      <c r="D770" s="2"/>
      <c r="E770" s="2"/>
      <c r="F770" s="2"/>
      <c r="G770" s="2"/>
      <c r="H770" s="2"/>
      <c r="I770" s="2"/>
      <c r="J770" s="2"/>
      <c r="K770" s="2"/>
      <c r="L770" s="19"/>
      <c r="M770" s="19"/>
      <c r="N770" s="2"/>
      <c r="O770" s="2"/>
      <c r="P770" s="2"/>
      <c r="Q770" s="2"/>
      <c r="R770" s="2"/>
      <c r="S770" s="2"/>
      <c r="T770" s="2"/>
      <c r="U770" s="2"/>
      <c r="V770" s="2"/>
      <c r="W770" s="2"/>
      <c r="X770" s="2"/>
      <c r="Y770" s="2"/>
      <c r="Z770" s="2"/>
    </row>
    <row r="771" customFormat="false" ht="12" hidden="false" customHeight="true" outlineLevel="0" collapsed="false">
      <c r="A771" s="2"/>
      <c r="B771" s="19"/>
      <c r="C771" s="19"/>
      <c r="D771" s="2"/>
      <c r="E771" s="2"/>
      <c r="F771" s="2"/>
      <c r="G771" s="2"/>
      <c r="H771" s="2"/>
      <c r="I771" s="2"/>
      <c r="J771" s="2"/>
      <c r="K771" s="2"/>
      <c r="L771" s="19"/>
      <c r="M771" s="19"/>
      <c r="N771" s="2"/>
      <c r="O771" s="2"/>
      <c r="P771" s="2"/>
      <c r="Q771" s="2"/>
      <c r="R771" s="2"/>
      <c r="S771" s="2"/>
      <c r="T771" s="2"/>
      <c r="U771" s="2"/>
      <c r="V771" s="2"/>
      <c r="W771" s="2"/>
      <c r="X771" s="2"/>
      <c r="Y771" s="2"/>
      <c r="Z771" s="2"/>
    </row>
    <row r="772" customFormat="false" ht="12" hidden="false" customHeight="true" outlineLevel="0" collapsed="false">
      <c r="A772" s="2"/>
      <c r="B772" s="19"/>
      <c r="C772" s="19"/>
      <c r="D772" s="2"/>
      <c r="E772" s="2"/>
      <c r="F772" s="2"/>
      <c r="G772" s="2"/>
      <c r="H772" s="2"/>
      <c r="I772" s="2"/>
      <c r="J772" s="2"/>
      <c r="K772" s="2"/>
      <c r="L772" s="19"/>
      <c r="M772" s="19"/>
      <c r="N772" s="2"/>
      <c r="O772" s="2"/>
      <c r="P772" s="2"/>
      <c r="Q772" s="2"/>
      <c r="R772" s="2"/>
      <c r="S772" s="2"/>
      <c r="T772" s="2"/>
      <c r="U772" s="2"/>
      <c r="V772" s="2"/>
      <c r="W772" s="2"/>
      <c r="X772" s="2"/>
      <c r="Y772" s="2"/>
      <c r="Z772" s="2"/>
    </row>
    <row r="773" customFormat="false" ht="12" hidden="false" customHeight="true" outlineLevel="0" collapsed="false">
      <c r="A773" s="2"/>
      <c r="B773" s="19"/>
      <c r="C773" s="19"/>
      <c r="D773" s="2"/>
      <c r="E773" s="2"/>
      <c r="F773" s="2"/>
      <c r="G773" s="2"/>
      <c r="H773" s="2"/>
      <c r="I773" s="2"/>
      <c r="J773" s="2"/>
      <c r="K773" s="2"/>
      <c r="L773" s="19"/>
      <c r="M773" s="19"/>
      <c r="N773" s="2"/>
      <c r="O773" s="2"/>
      <c r="P773" s="2"/>
      <c r="Q773" s="2"/>
      <c r="R773" s="2"/>
      <c r="S773" s="2"/>
      <c r="T773" s="2"/>
      <c r="U773" s="2"/>
      <c r="V773" s="2"/>
      <c r="W773" s="2"/>
      <c r="X773" s="2"/>
      <c r="Y773" s="2"/>
      <c r="Z773" s="2"/>
    </row>
    <row r="774" customFormat="false" ht="12" hidden="false" customHeight="true" outlineLevel="0" collapsed="false">
      <c r="A774" s="2"/>
      <c r="B774" s="19"/>
      <c r="C774" s="19"/>
      <c r="D774" s="2"/>
      <c r="E774" s="2"/>
      <c r="F774" s="2"/>
      <c r="G774" s="2"/>
      <c r="H774" s="2"/>
      <c r="I774" s="2"/>
      <c r="J774" s="2"/>
      <c r="K774" s="2"/>
      <c r="L774" s="19"/>
      <c r="M774" s="19"/>
      <c r="N774" s="2"/>
      <c r="O774" s="2"/>
      <c r="P774" s="2"/>
      <c r="Q774" s="2"/>
      <c r="R774" s="2"/>
      <c r="S774" s="2"/>
      <c r="T774" s="2"/>
      <c r="U774" s="2"/>
      <c r="V774" s="2"/>
      <c r="W774" s="2"/>
      <c r="X774" s="2"/>
      <c r="Y774" s="2"/>
      <c r="Z774" s="2"/>
    </row>
    <row r="775" customFormat="false" ht="12" hidden="false" customHeight="true" outlineLevel="0" collapsed="false">
      <c r="A775" s="2"/>
      <c r="B775" s="19"/>
      <c r="C775" s="19"/>
      <c r="D775" s="2"/>
      <c r="E775" s="2"/>
      <c r="F775" s="2"/>
      <c r="G775" s="2"/>
      <c r="H775" s="2"/>
      <c r="I775" s="2"/>
      <c r="J775" s="2"/>
      <c r="K775" s="2"/>
      <c r="L775" s="19"/>
      <c r="M775" s="19"/>
      <c r="N775" s="2"/>
      <c r="O775" s="2"/>
      <c r="P775" s="2"/>
      <c r="Q775" s="2"/>
      <c r="R775" s="2"/>
      <c r="S775" s="2"/>
      <c r="T775" s="2"/>
      <c r="U775" s="2"/>
      <c r="V775" s="2"/>
      <c r="W775" s="2"/>
      <c r="X775" s="2"/>
      <c r="Y775" s="2"/>
      <c r="Z775" s="2"/>
    </row>
    <row r="776" customFormat="false" ht="12" hidden="false" customHeight="true" outlineLevel="0" collapsed="false">
      <c r="A776" s="2"/>
      <c r="B776" s="19"/>
      <c r="C776" s="19"/>
      <c r="D776" s="2"/>
      <c r="E776" s="2"/>
      <c r="F776" s="2"/>
      <c r="G776" s="2"/>
      <c r="H776" s="2"/>
      <c r="I776" s="2"/>
      <c r="J776" s="2"/>
      <c r="K776" s="2"/>
      <c r="L776" s="19"/>
      <c r="M776" s="19"/>
      <c r="N776" s="2"/>
      <c r="O776" s="2"/>
      <c r="P776" s="2"/>
      <c r="Q776" s="2"/>
      <c r="R776" s="2"/>
      <c r="S776" s="2"/>
      <c r="T776" s="2"/>
      <c r="U776" s="2"/>
      <c r="V776" s="2"/>
      <c r="W776" s="2"/>
      <c r="X776" s="2"/>
      <c r="Y776" s="2"/>
      <c r="Z776" s="2"/>
    </row>
    <row r="777" customFormat="false" ht="12" hidden="false" customHeight="true" outlineLevel="0" collapsed="false">
      <c r="A777" s="2"/>
      <c r="B777" s="19"/>
      <c r="C777" s="19"/>
      <c r="D777" s="2"/>
      <c r="E777" s="2"/>
      <c r="F777" s="2"/>
      <c r="G777" s="2"/>
      <c r="H777" s="2"/>
      <c r="I777" s="2"/>
      <c r="J777" s="2"/>
      <c r="K777" s="2"/>
      <c r="L777" s="19"/>
      <c r="M777" s="19"/>
      <c r="N777" s="2"/>
      <c r="O777" s="2"/>
      <c r="P777" s="2"/>
      <c r="Q777" s="2"/>
      <c r="R777" s="2"/>
      <c r="S777" s="2"/>
      <c r="T777" s="2"/>
      <c r="U777" s="2"/>
      <c r="V777" s="2"/>
      <c r="W777" s="2"/>
      <c r="X777" s="2"/>
      <c r="Y777" s="2"/>
      <c r="Z777" s="2"/>
    </row>
    <row r="778" customFormat="false" ht="12" hidden="false" customHeight="true" outlineLevel="0" collapsed="false">
      <c r="A778" s="2"/>
      <c r="B778" s="19"/>
      <c r="C778" s="19"/>
      <c r="D778" s="2"/>
      <c r="E778" s="2"/>
      <c r="F778" s="2"/>
      <c r="G778" s="2"/>
      <c r="H778" s="2"/>
      <c r="I778" s="2"/>
      <c r="J778" s="2"/>
      <c r="K778" s="2"/>
      <c r="L778" s="19"/>
      <c r="M778" s="19"/>
      <c r="N778" s="2"/>
      <c r="O778" s="2"/>
      <c r="P778" s="2"/>
      <c r="Q778" s="2"/>
      <c r="R778" s="2"/>
      <c r="S778" s="2"/>
      <c r="T778" s="2"/>
      <c r="U778" s="2"/>
      <c r="V778" s="2"/>
      <c r="W778" s="2"/>
      <c r="X778" s="2"/>
      <c r="Y778" s="2"/>
      <c r="Z778" s="2"/>
    </row>
    <row r="779" customFormat="false" ht="12" hidden="false" customHeight="true" outlineLevel="0" collapsed="false">
      <c r="A779" s="2"/>
      <c r="B779" s="19"/>
      <c r="C779" s="19"/>
      <c r="D779" s="2"/>
      <c r="E779" s="2"/>
      <c r="F779" s="2"/>
      <c r="G779" s="2"/>
      <c r="H779" s="2"/>
      <c r="I779" s="2"/>
      <c r="J779" s="2"/>
      <c r="K779" s="2"/>
      <c r="L779" s="19"/>
      <c r="M779" s="19"/>
      <c r="N779" s="2"/>
      <c r="O779" s="2"/>
      <c r="P779" s="2"/>
      <c r="Q779" s="2"/>
      <c r="R779" s="2"/>
      <c r="S779" s="2"/>
      <c r="T779" s="2"/>
      <c r="U779" s="2"/>
      <c r="V779" s="2"/>
      <c r="W779" s="2"/>
      <c r="X779" s="2"/>
      <c r="Y779" s="2"/>
      <c r="Z779" s="2"/>
    </row>
    <row r="780" customFormat="false" ht="12" hidden="false" customHeight="true" outlineLevel="0" collapsed="false">
      <c r="A780" s="2"/>
      <c r="B780" s="19"/>
      <c r="C780" s="19"/>
      <c r="D780" s="2"/>
      <c r="E780" s="2"/>
      <c r="F780" s="2"/>
      <c r="G780" s="2"/>
      <c r="H780" s="2"/>
      <c r="I780" s="2"/>
      <c r="J780" s="2"/>
      <c r="K780" s="2"/>
      <c r="L780" s="19"/>
      <c r="M780" s="19"/>
      <c r="N780" s="2"/>
      <c r="O780" s="2"/>
      <c r="P780" s="2"/>
      <c r="Q780" s="2"/>
      <c r="R780" s="2"/>
      <c r="S780" s="2"/>
      <c r="T780" s="2"/>
      <c r="U780" s="2"/>
      <c r="V780" s="2"/>
      <c r="W780" s="2"/>
      <c r="X780" s="2"/>
      <c r="Y780" s="2"/>
      <c r="Z780" s="2"/>
    </row>
    <row r="781" customFormat="false" ht="12" hidden="false" customHeight="true" outlineLevel="0" collapsed="false">
      <c r="A781" s="2"/>
      <c r="B781" s="19"/>
      <c r="C781" s="19"/>
      <c r="D781" s="2"/>
      <c r="E781" s="2"/>
      <c r="F781" s="2"/>
      <c r="G781" s="2"/>
      <c r="H781" s="2"/>
      <c r="I781" s="2"/>
      <c r="J781" s="2"/>
      <c r="K781" s="2"/>
      <c r="L781" s="19"/>
      <c r="M781" s="19"/>
      <c r="N781" s="2"/>
      <c r="O781" s="2"/>
      <c r="P781" s="2"/>
      <c r="Q781" s="2"/>
      <c r="R781" s="2"/>
      <c r="S781" s="2"/>
      <c r="T781" s="2"/>
      <c r="U781" s="2"/>
      <c r="V781" s="2"/>
      <c r="W781" s="2"/>
      <c r="X781" s="2"/>
      <c r="Y781" s="2"/>
      <c r="Z781" s="2"/>
    </row>
    <row r="782" customFormat="false" ht="12" hidden="false" customHeight="true" outlineLevel="0" collapsed="false">
      <c r="A782" s="2"/>
      <c r="B782" s="19"/>
      <c r="C782" s="19"/>
      <c r="D782" s="2"/>
      <c r="E782" s="2"/>
      <c r="F782" s="2"/>
      <c r="G782" s="2"/>
      <c r="H782" s="2"/>
      <c r="I782" s="2"/>
      <c r="J782" s="2"/>
      <c r="K782" s="2"/>
      <c r="L782" s="19"/>
      <c r="M782" s="19"/>
      <c r="N782" s="2"/>
      <c r="O782" s="2"/>
      <c r="P782" s="2"/>
      <c r="Q782" s="2"/>
      <c r="R782" s="2"/>
      <c r="S782" s="2"/>
      <c r="T782" s="2"/>
      <c r="U782" s="2"/>
      <c r="V782" s="2"/>
      <c r="W782" s="2"/>
      <c r="X782" s="2"/>
      <c r="Y782" s="2"/>
      <c r="Z782" s="2"/>
    </row>
    <row r="783" customFormat="false" ht="12" hidden="false" customHeight="true" outlineLevel="0" collapsed="false">
      <c r="A783" s="2"/>
      <c r="B783" s="19"/>
      <c r="C783" s="19"/>
      <c r="D783" s="2"/>
      <c r="E783" s="2"/>
      <c r="F783" s="2"/>
      <c r="G783" s="2"/>
      <c r="H783" s="2"/>
      <c r="I783" s="2"/>
      <c r="J783" s="2"/>
      <c r="K783" s="2"/>
      <c r="L783" s="19"/>
      <c r="M783" s="19"/>
      <c r="N783" s="2"/>
      <c r="O783" s="2"/>
      <c r="P783" s="2"/>
      <c r="Q783" s="2"/>
      <c r="R783" s="2"/>
      <c r="S783" s="2"/>
      <c r="T783" s="2"/>
      <c r="U783" s="2"/>
      <c r="V783" s="2"/>
      <c r="W783" s="2"/>
      <c r="X783" s="2"/>
      <c r="Y783" s="2"/>
      <c r="Z783" s="2"/>
    </row>
    <row r="784" customFormat="false" ht="12" hidden="false" customHeight="true" outlineLevel="0" collapsed="false">
      <c r="A784" s="2"/>
      <c r="B784" s="19"/>
      <c r="C784" s="19"/>
      <c r="D784" s="2"/>
      <c r="E784" s="2"/>
      <c r="F784" s="2"/>
      <c r="G784" s="2"/>
      <c r="H784" s="2"/>
      <c r="I784" s="2"/>
      <c r="J784" s="2"/>
      <c r="K784" s="2"/>
      <c r="L784" s="19"/>
      <c r="M784" s="19"/>
      <c r="N784" s="2"/>
      <c r="O784" s="2"/>
      <c r="P784" s="2"/>
      <c r="Q784" s="2"/>
      <c r="R784" s="2"/>
      <c r="S784" s="2"/>
      <c r="T784" s="2"/>
      <c r="U784" s="2"/>
      <c r="V784" s="2"/>
      <c r="W784" s="2"/>
      <c r="X784" s="2"/>
      <c r="Y784" s="2"/>
      <c r="Z784" s="2"/>
    </row>
    <row r="785" customFormat="false" ht="12" hidden="false" customHeight="true" outlineLevel="0" collapsed="false">
      <c r="A785" s="2"/>
      <c r="B785" s="19"/>
      <c r="C785" s="19"/>
      <c r="D785" s="2"/>
      <c r="E785" s="2"/>
      <c r="F785" s="2"/>
      <c r="G785" s="2"/>
      <c r="H785" s="2"/>
      <c r="I785" s="2"/>
      <c r="J785" s="2"/>
      <c r="K785" s="2"/>
      <c r="L785" s="19"/>
      <c r="M785" s="19"/>
      <c r="N785" s="2"/>
      <c r="O785" s="2"/>
      <c r="P785" s="2"/>
      <c r="Q785" s="2"/>
      <c r="R785" s="2"/>
      <c r="S785" s="2"/>
      <c r="T785" s="2"/>
      <c r="U785" s="2"/>
      <c r="V785" s="2"/>
      <c r="W785" s="2"/>
      <c r="X785" s="2"/>
      <c r="Y785" s="2"/>
      <c r="Z785" s="2"/>
    </row>
    <row r="786" customFormat="false" ht="12" hidden="false" customHeight="true" outlineLevel="0" collapsed="false">
      <c r="A786" s="2"/>
      <c r="B786" s="19"/>
      <c r="C786" s="19"/>
      <c r="D786" s="2"/>
      <c r="E786" s="2"/>
      <c r="F786" s="2"/>
      <c r="G786" s="2"/>
      <c r="H786" s="2"/>
      <c r="I786" s="2"/>
      <c r="J786" s="2"/>
      <c r="K786" s="2"/>
      <c r="L786" s="19"/>
      <c r="M786" s="19"/>
      <c r="N786" s="2"/>
      <c r="O786" s="2"/>
      <c r="P786" s="2"/>
      <c r="Q786" s="2"/>
      <c r="R786" s="2"/>
      <c r="S786" s="2"/>
      <c r="T786" s="2"/>
      <c r="U786" s="2"/>
      <c r="V786" s="2"/>
      <c r="W786" s="2"/>
      <c r="X786" s="2"/>
      <c r="Y786" s="2"/>
      <c r="Z786" s="2"/>
    </row>
    <row r="787" customFormat="false" ht="12" hidden="false" customHeight="true" outlineLevel="0" collapsed="false">
      <c r="A787" s="2"/>
      <c r="B787" s="19"/>
      <c r="C787" s="19"/>
      <c r="D787" s="2"/>
      <c r="E787" s="2"/>
      <c r="F787" s="2"/>
      <c r="G787" s="2"/>
      <c r="H787" s="2"/>
      <c r="I787" s="2"/>
      <c r="J787" s="2"/>
      <c r="K787" s="2"/>
      <c r="L787" s="19"/>
      <c r="M787" s="19"/>
      <c r="N787" s="2"/>
      <c r="O787" s="2"/>
      <c r="P787" s="2"/>
      <c r="Q787" s="2"/>
      <c r="R787" s="2"/>
      <c r="S787" s="2"/>
      <c r="T787" s="2"/>
      <c r="U787" s="2"/>
      <c r="V787" s="2"/>
      <c r="W787" s="2"/>
      <c r="X787" s="2"/>
      <c r="Y787" s="2"/>
      <c r="Z787" s="2"/>
    </row>
    <row r="788" customFormat="false" ht="12" hidden="false" customHeight="true" outlineLevel="0" collapsed="false">
      <c r="A788" s="2"/>
      <c r="B788" s="19"/>
      <c r="C788" s="19"/>
      <c r="D788" s="2"/>
      <c r="E788" s="2"/>
      <c r="F788" s="2"/>
      <c r="G788" s="2"/>
      <c r="H788" s="2"/>
      <c r="I788" s="2"/>
      <c r="J788" s="2"/>
      <c r="K788" s="2"/>
      <c r="L788" s="19"/>
      <c r="M788" s="19"/>
      <c r="N788" s="2"/>
      <c r="O788" s="2"/>
      <c r="P788" s="2"/>
      <c r="Q788" s="2"/>
      <c r="R788" s="2"/>
      <c r="S788" s="2"/>
      <c r="T788" s="2"/>
      <c r="U788" s="2"/>
      <c r="V788" s="2"/>
      <c r="W788" s="2"/>
      <c r="X788" s="2"/>
      <c r="Y788" s="2"/>
      <c r="Z788" s="2"/>
    </row>
    <row r="789" customFormat="false" ht="12" hidden="false" customHeight="true" outlineLevel="0" collapsed="false">
      <c r="A789" s="2"/>
      <c r="B789" s="19"/>
      <c r="C789" s="19"/>
      <c r="D789" s="2"/>
      <c r="E789" s="2"/>
      <c r="F789" s="2"/>
      <c r="G789" s="2"/>
      <c r="H789" s="2"/>
      <c r="I789" s="2"/>
      <c r="J789" s="2"/>
      <c r="K789" s="2"/>
      <c r="L789" s="19"/>
      <c r="M789" s="19"/>
      <c r="N789" s="2"/>
      <c r="O789" s="2"/>
      <c r="P789" s="2"/>
      <c r="Q789" s="2"/>
      <c r="R789" s="2"/>
      <c r="S789" s="2"/>
      <c r="T789" s="2"/>
      <c r="U789" s="2"/>
      <c r="V789" s="2"/>
      <c r="W789" s="2"/>
      <c r="X789" s="2"/>
      <c r="Y789" s="2"/>
      <c r="Z789" s="2"/>
    </row>
    <row r="790" customFormat="false" ht="12" hidden="false" customHeight="true" outlineLevel="0" collapsed="false">
      <c r="A790" s="2"/>
      <c r="B790" s="19"/>
      <c r="C790" s="19"/>
      <c r="D790" s="2"/>
      <c r="E790" s="2"/>
      <c r="F790" s="2"/>
      <c r="G790" s="2"/>
      <c r="H790" s="2"/>
      <c r="I790" s="2"/>
      <c r="J790" s="2"/>
      <c r="K790" s="2"/>
      <c r="L790" s="19"/>
      <c r="M790" s="19"/>
      <c r="N790" s="2"/>
      <c r="O790" s="2"/>
      <c r="P790" s="2"/>
      <c r="Q790" s="2"/>
      <c r="R790" s="2"/>
      <c r="S790" s="2"/>
      <c r="T790" s="2"/>
      <c r="U790" s="2"/>
      <c r="V790" s="2"/>
      <c r="W790" s="2"/>
      <c r="X790" s="2"/>
      <c r="Y790" s="2"/>
      <c r="Z790" s="2"/>
    </row>
    <row r="791" customFormat="false" ht="12" hidden="false" customHeight="true" outlineLevel="0" collapsed="false">
      <c r="A791" s="2"/>
      <c r="B791" s="19"/>
      <c r="C791" s="19"/>
      <c r="D791" s="2"/>
      <c r="E791" s="2"/>
      <c r="F791" s="2"/>
      <c r="G791" s="2"/>
      <c r="H791" s="2"/>
      <c r="I791" s="2"/>
      <c r="J791" s="2"/>
      <c r="K791" s="2"/>
      <c r="L791" s="19"/>
      <c r="M791" s="19"/>
      <c r="N791" s="2"/>
      <c r="O791" s="2"/>
      <c r="P791" s="2"/>
      <c r="Q791" s="2"/>
      <c r="R791" s="2"/>
      <c r="S791" s="2"/>
      <c r="T791" s="2"/>
      <c r="U791" s="2"/>
      <c r="V791" s="2"/>
      <c r="W791" s="2"/>
      <c r="X791" s="2"/>
      <c r="Y791" s="2"/>
      <c r="Z791" s="2"/>
    </row>
    <row r="792" customFormat="false" ht="12" hidden="false" customHeight="true" outlineLevel="0" collapsed="false">
      <c r="A792" s="2"/>
      <c r="B792" s="19"/>
      <c r="C792" s="19"/>
      <c r="D792" s="2"/>
      <c r="E792" s="2"/>
      <c r="F792" s="2"/>
      <c r="G792" s="2"/>
      <c r="H792" s="2"/>
      <c r="I792" s="2"/>
      <c r="J792" s="2"/>
      <c r="K792" s="2"/>
      <c r="L792" s="19"/>
      <c r="M792" s="19"/>
      <c r="N792" s="2"/>
      <c r="O792" s="2"/>
      <c r="P792" s="2"/>
      <c r="Q792" s="2"/>
      <c r="R792" s="2"/>
      <c r="S792" s="2"/>
      <c r="T792" s="2"/>
      <c r="U792" s="2"/>
      <c r="V792" s="2"/>
      <c r="W792" s="2"/>
      <c r="X792" s="2"/>
      <c r="Y792" s="2"/>
      <c r="Z792" s="2"/>
    </row>
    <row r="793" customFormat="false" ht="12" hidden="false" customHeight="true" outlineLevel="0" collapsed="false">
      <c r="A793" s="2"/>
      <c r="B793" s="19"/>
      <c r="C793" s="19"/>
      <c r="D793" s="2"/>
      <c r="E793" s="2"/>
      <c r="F793" s="2"/>
      <c r="G793" s="2"/>
      <c r="H793" s="2"/>
      <c r="I793" s="2"/>
      <c r="J793" s="2"/>
      <c r="K793" s="2"/>
      <c r="L793" s="19"/>
      <c r="M793" s="19"/>
      <c r="N793" s="2"/>
      <c r="O793" s="2"/>
      <c r="P793" s="2"/>
      <c r="Q793" s="2"/>
      <c r="R793" s="2"/>
      <c r="S793" s="2"/>
      <c r="T793" s="2"/>
      <c r="U793" s="2"/>
      <c r="V793" s="2"/>
      <c r="W793" s="2"/>
      <c r="X793" s="2"/>
      <c r="Y793" s="2"/>
      <c r="Z793" s="2"/>
    </row>
    <row r="794" customFormat="false" ht="12" hidden="false" customHeight="true" outlineLevel="0" collapsed="false">
      <c r="A794" s="2"/>
      <c r="B794" s="19"/>
      <c r="C794" s="19"/>
      <c r="D794" s="2"/>
      <c r="E794" s="2"/>
      <c r="F794" s="2"/>
      <c r="G794" s="2"/>
      <c r="H794" s="2"/>
      <c r="I794" s="2"/>
      <c r="J794" s="2"/>
      <c r="K794" s="2"/>
      <c r="L794" s="19"/>
      <c r="M794" s="19"/>
      <c r="N794" s="2"/>
      <c r="O794" s="2"/>
      <c r="P794" s="2"/>
      <c r="Q794" s="2"/>
      <c r="R794" s="2"/>
      <c r="S794" s="2"/>
      <c r="T794" s="2"/>
      <c r="U794" s="2"/>
      <c r="V794" s="2"/>
      <c r="W794" s="2"/>
      <c r="X794" s="2"/>
      <c r="Y794" s="2"/>
      <c r="Z794" s="2"/>
    </row>
    <row r="795" customFormat="false" ht="12" hidden="false" customHeight="true" outlineLevel="0" collapsed="false">
      <c r="A795" s="2"/>
      <c r="B795" s="19"/>
      <c r="C795" s="19"/>
      <c r="D795" s="2"/>
      <c r="E795" s="2"/>
      <c r="F795" s="2"/>
      <c r="G795" s="2"/>
      <c r="H795" s="2"/>
      <c r="I795" s="2"/>
      <c r="J795" s="2"/>
      <c r="K795" s="2"/>
      <c r="L795" s="19"/>
      <c r="M795" s="19"/>
      <c r="N795" s="2"/>
      <c r="O795" s="2"/>
      <c r="P795" s="2"/>
      <c r="Q795" s="2"/>
      <c r="R795" s="2"/>
      <c r="S795" s="2"/>
      <c r="T795" s="2"/>
      <c r="U795" s="2"/>
      <c r="V795" s="2"/>
      <c r="W795" s="2"/>
      <c r="X795" s="2"/>
      <c r="Y795" s="2"/>
      <c r="Z795" s="2"/>
    </row>
    <row r="796" customFormat="false" ht="12" hidden="false" customHeight="true" outlineLevel="0" collapsed="false">
      <c r="A796" s="2"/>
      <c r="B796" s="19"/>
      <c r="C796" s="19"/>
      <c r="D796" s="2"/>
      <c r="E796" s="2"/>
      <c r="F796" s="2"/>
      <c r="G796" s="2"/>
      <c r="H796" s="2"/>
      <c r="I796" s="2"/>
      <c r="J796" s="2"/>
      <c r="K796" s="2"/>
      <c r="L796" s="19"/>
      <c r="M796" s="19"/>
      <c r="N796" s="2"/>
      <c r="O796" s="2"/>
      <c r="P796" s="2"/>
      <c r="Q796" s="2"/>
      <c r="R796" s="2"/>
      <c r="S796" s="2"/>
      <c r="T796" s="2"/>
      <c r="U796" s="2"/>
      <c r="V796" s="2"/>
      <c r="W796" s="2"/>
      <c r="X796" s="2"/>
      <c r="Y796" s="2"/>
      <c r="Z796" s="2"/>
    </row>
    <row r="797" customFormat="false" ht="12" hidden="false" customHeight="true" outlineLevel="0" collapsed="false">
      <c r="A797" s="2"/>
      <c r="B797" s="19"/>
      <c r="C797" s="19"/>
      <c r="D797" s="2"/>
      <c r="E797" s="2"/>
      <c r="F797" s="2"/>
      <c r="G797" s="2"/>
      <c r="H797" s="2"/>
      <c r="I797" s="2"/>
      <c r="J797" s="2"/>
      <c r="K797" s="2"/>
      <c r="L797" s="19"/>
      <c r="M797" s="19"/>
      <c r="N797" s="2"/>
      <c r="O797" s="2"/>
      <c r="P797" s="2"/>
      <c r="Q797" s="2"/>
      <c r="R797" s="2"/>
      <c r="S797" s="2"/>
      <c r="T797" s="2"/>
      <c r="U797" s="2"/>
      <c r="V797" s="2"/>
      <c r="W797" s="2"/>
      <c r="X797" s="2"/>
      <c r="Y797" s="2"/>
      <c r="Z797" s="2"/>
    </row>
    <row r="798" customFormat="false" ht="12" hidden="false" customHeight="true" outlineLevel="0" collapsed="false">
      <c r="A798" s="2"/>
      <c r="B798" s="19"/>
      <c r="C798" s="19"/>
      <c r="D798" s="2"/>
      <c r="E798" s="2"/>
      <c r="F798" s="2"/>
      <c r="G798" s="2"/>
      <c r="H798" s="2"/>
      <c r="I798" s="2"/>
      <c r="J798" s="2"/>
      <c r="K798" s="2"/>
      <c r="L798" s="19"/>
      <c r="M798" s="19"/>
      <c r="N798" s="2"/>
      <c r="O798" s="2"/>
      <c r="P798" s="2"/>
      <c r="Q798" s="2"/>
      <c r="R798" s="2"/>
      <c r="S798" s="2"/>
      <c r="T798" s="2"/>
      <c r="U798" s="2"/>
      <c r="V798" s="2"/>
      <c r="W798" s="2"/>
      <c r="X798" s="2"/>
      <c r="Y798" s="2"/>
      <c r="Z798" s="2"/>
    </row>
    <row r="799" customFormat="false" ht="12" hidden="false" customHeight="true" outlineLevel="0" collapsed="false">
      <c r="A799" s="2"/>
      <c r="B799" s="19"/>
      <c r="C799" s="19"/>
      <c r="D799" s="2"/>
      <c r="E799" s="2"/>
      <c r="F799" s="2"/>
      <c r="G799" s="2"/>
      <c r="H799" s="2"/>
      <c r="I799" s="2"/>
      <c r="J799" s="2"/>
      <c r="K799" s="2"/>
      <c r="L799" s="19"/>
      <c r="M799" s="19"/>
      <c r="N799" s="2"/>
      <c r="O799" s="2"/>
      <c r="P799" s="2"/>
      <c r="Q799" s="2"/>
      <c r="R799" s="2"/>
      <c r="S799" s="2"/>
      <c r="T799" s="2"/>
      <c r="U799" s="2"/>
      <c r="V799" s="2"/>
      <c r="W799" s="2"/>
      <c r="X799" s="2"/>
      <c r="Y799" s="2"/>
      <c r="Z799" s="2"/>
    </row>
    <row r="800" customFormat="false" ht="12" hidden="false" customHeight="true" outlineLevel="0" collapsed="false">
      <c r="A800" s="2"/>
      <c r="B800" s="19"/>
      <c r="C800" s="19"/>
      <c r="D800" s="2"/>
      <c r="E800" s="2"/>
      <c r="F800" s="2"/>
      <c r="G800" s="2"/>
      <c r="H800" s="2"/>
      <c r="I800" s="2"/>
      <c r="J800" s="2"/>
      <c r="K800" s="2"/>
      <c r="L800" s="19"/>
      <c r="M800" s="19"/>
      <c r="N800" s="2"/>
      <c r="O800" s="2"/>
      <c r="P800" s="2"/>
      <c r="Q800" s="2"/>
      <c r="R800" s="2"/>
      <c r="S800" s="2"/>
      <c r="T800" s="2"/>
      <c r="U800" s="2"/>
      <c r="V800" s="2"/>
      <c r="W800" s="2"/>
      <c r="X800" s="2"/>
      <c r="Y800" s="2"/>
      <c r="Z800" s="2"/>
    </row>
    <row r="801" customFormat="false" ht="12" hidden="false" customHeight="true" outlineLevel="0" collapsed="false">
      <c r="A801" s="2"/>
      <c r="B801" s="19"/>
      <c r="C801" s="19"/>
      <c r="D801" s="2"/>
      <c r="E801" s="2"/>
      <c r="F801" s="2"/>
      <c r="G801" s="2"/>
      <c r="H801" s="2"/>
      <c r="I801" s="2"/>
      <c r="J801" s="2"/>
      <c r="K801" s="2"/>
      <c r="L801" s="19"/>
      <c r="M801" s="19"/>
      <c r="N801" s="2"/>
      <c r="O801" s="2"/>
      <c r="P801" s="2"/>
      <c r="Q801" s="2"/>
      <c r="R801" s="2"/>
      <c r="S801" s="2"/>
      <c r="T801" s="2"/>
      <c r="U801" s="2"/>
      <c r="V801" s="2"/>
      <c r="W801" s="2"/>
      <c r="X801" s="2"/>
      <c r="Y801" s="2"/>
      <c r="Z801" s="2"/>
    </row>
    <row r="802" customFormat="false" ht="12" hidden="false" customHeight="true" outlineLevel="0" collapsed="false">
      <c r="A802" s="2"/>
      <c r="B802" s="19"/>
      <c r="C802" s="19"/>
      <c r="D802" s="2"/>
      <c r="E802" s="2"/>
      <c r="F802" s="2"/>
      <c r="G802" s="2"/>
      <c r="H802" s="2"/>
      <c r="I802" s="2"/>
      <c r="J802" s="2"/>
      <c r="K802" s="2"/>
      <c r="L802" s="19"/>
      <c r="M802" s="19"/>
      <c r="N802" s="2"/>
      <c r="O802" s="2"/>
      <c r="P802" s="2"/>
      <c r="Q802" s="2"/>
      <c r="R802" s="2"/>
      <c r="S802" s="2"/>
      <c r="T802" s="2"/>
      <c r="U802" s="2"/>
      <c r="V802" s="2"/>
      <c r="W802" s="2"/>
      <c r="X802" s="2"/>
      <c r="Y802" s="2"/>
      <c r="Z802" s="2"/>
    </row>
    <row r="803" customFormat="false" ht="12" hidden="false" customHeight="true" outlineLevel="0" collapsed="false">
      <c r="A803" s="2"/>
      <c r="B803" s="19"/>
      <c r="C803" s="19"/>
      <c r="D803" s="2"/>
      <c r="E803" s="2"/>
      <c r="F803" s="2"/>
      <c r="G803" s="2"/>
      <c r="H803" s="2"/>
      <c r="I803" s="2"/>
      <c r="J803" s="2"/>
      <c r="K803" s="2"/>
      <c r="L803" s="19"/>
      <c r="M803" s="19"/>
      <c r="N803" s="2"/>
      <c r="O803" s="2"/>
      <c r="P803" s="2"/>
      <c r="Q803" s="2"/>
      <c r="R803" s="2"/>
      <c r="S803" s="2"/>
      <c r="T803" s="2"/>
      <c r="U803" s="2"/>
      <c r="V803" s="2"/>
      <c r="W803" s="2"/>
      <c r="X803" s="2"/>
      <c r="Y803" s="2"/>
      <c r="Z803" s="2"/>
    </row>
    <row r="804" customFormat="false" ht="12" hidden="false" customHeight="true" outlineLevel="0" collapsed="false">
      <c r="A804" s="2"/>
      <c r="B804" s="19"/>
      <c r="C804" s="19"/>
      <c r="D804" s="2"/>
      <c r="E804" s="2"/>
      <c r="F804" s="2"/>
      <c r="G804" s="2"/>
      <c r="H804" s="2"/>
      <c r="I804" s="2"/>
      <c r="J804" s="2"/>
      <c r="K804" s="2"/>
      <c r="L804" s="19"/>
      <c r="M804" s="19"/>
      <c r="N804" s="2"/>
      <c r="O804" s="2"/>
      <c r="P804" s="2"/>
      <c r="Q804" s="2"/>
      <c r="R804" s="2"/>
      <c r="S804" s="2"/>
      <c r="T804" s="2"/>
      <c r="U804" s="2"/>
      <c r="V804" s="2"/>
      <c r="W804" s="2"/>
      <c r="X804" s="2"/>
      <c r="Y804" s="2"/>
      <c r="Z804" s="2"/>
    </row>
    <row r="805" customFormat="false" ht="12" hidden="false" customHeight="true" outlineLevel="0" collapsed="false">
      <c r="A805" s="2"/>
      <c r="B805" s="19"/>
      <c r="C805" s="19"/>
      <c r="D805" s="2"/>
      <c r="E805" s="2"/>
      <c r="F805" s="2"/>
      <c r="G805" s="2"/>
      <c r="H805" s="2"/>
      <c r="I805" s="2"/>
      <c r="J805" s="2"/>
      <c r="K805" s="2"/>
      <c r="L805" s="19"/>
      <c r="M805" s="19"/>
      <c r="N805" s="2"/>
      <c r="O805" s="2"/>
      <c r="P805" s="2"/>
      <c r="Q805" s="2"/>
      <c r="R805" s="2"/>
      <c r="S805" s="2"/>
      <c r="T805" s="2"/>
      <c r="U805" s="2"/>
      <c r="V805" s="2"/>
      <c r="W805" s="2"/>
      <c r="X805" s="2"/>
      <c r="Y805" s="2"/>
      <c r="Z805" s="2"/>
    </row>
    <row r="806" customFormat="false" ht="12" hidden="false" customHeight="true" outlineLevel="0" collapsed="false">
      <c r="A806" s="2"/>
      <c r="B806" s="19"/>
      <c r="C806" s="19"/>
      <c r="D806" s="2"/>
      <c r="E806" s="2"/>
      <c r="F806" s="2"/>
      <c r="G806" s="2"/>
      <c r="H806" s="2"/>
      <c r="I806" s="2"/>
      <c r="J806" s="2"/>
      <c r="K806" s="2"/>
      <c r="L806" s="19"/>
      <c r="M806" s="19"/>
      <c r="N806" s="2"/>
      <c r="O806" s="2"/>
      <c r="P806" s="2"/>
      <c r="Q806" s="2"/>
      <c r="R806" s="2"/>
      <c r="S806" s="2"/>
      <c r="T806" s="2"/>
      <c r="U806" s="2"/>
      <c r="V806" s="2"/>
      <c r="W806" s="2"/>
      <c r="X806" s="2"/>
      <c r="Y806" s="2"/>
      <c r="Z806" s="2"/>
    </row>
    <row r="807" customFormat="false" ht="12" hidden="false" customHeight="true" outlineLevel="0" collapsed="false">
      <c r="A807" s="2"/>
      <c r="B807" s="19"/>
      <c r="C807" s="19"/>
      <c r="D807" s="2"/>
      <c r="E807" s="2"/>
      <c r="F807" s="2"/>
      <c r="G807" s="2"/>
      <c r="H807" s="2"/>
      <c r="I807" s="2"/>
      <c r="J807" s="2"/>
      <c r="K807" s="2"/>
      <c r="L807" s="19"/>
      <c r="M807" s="19"/>
      <c r="N807" s="2"/>
      <c r="O807" s="2"/>
      <c r="P807" s="2"/>
      <c r="Q807" s="2"/>
      <c r="R807" s="2"/>
      <c r="S807" s="2"/>
      <c r="T807" s="2"/>
      <c r="U807" s="2"/>
      <c r="V807" s="2"/>
      <c r="W807" s="2"/>
      <c r="X807" s="2"/>
      <c r="Y807" s="2"/>
      <c r="Z807" s="2"/>
    </row>
    <row r="808" customFormat="false" ht="12" hidden="false" customHeight="true" outlineLevel="0" collapsed="false">
      <c r="A808" s="2"/>
      <c r="B808" s="19"/>
      <c r="C808" s="19"/>
      <c r="D808" s="2"/>
      <c r="E808" s="2"/>
      <c r="F808" s="2"/>
      <c r="G808" s="2"/>
      <c r="H808" s="2"/>
      <c r="I808" s="2"/>
      <c r="J808" s="2"/>
      <c r="K808" s="2"/>
      <c r="L808" s="19"/>
      <c r="M808" s="19"/>
      <c r="N808" s="2"/>
      <c r="O808" s="2"/>
      <c r="P808" s="2"/>
      <c r="Q808" s="2"/>
      <c r="R808" s="2"/>
      <c r="S808" s="2"/>
      <c r="T808" s="2"/>
      <c r="U808" s="2"/>
      <c r="V808" s="2"/>
      <c r="W808" s="2"/>
      <c r="X808" s="2"/>
      <c r="Y808" s="2"/>
      <c r="Z808" s="2"/>
    </row>
    <row r="809" customFormat="false" ht="12" hidden="false" customHeight="true" outlineLevel="0" collapsed="false">
      <c r="A809" s="2"/>
      <c r="B809" s="19"/>
      <c r="C809" s="19"/>
      <c r="D809" s="2"/>
      <c r="E809" s="2"/>
      <c r="F809" s="2"/>
      <c r="G809" s="2"/>
      <c r="H809" s="2"/>
      <c r="I809" s="2"/>
      <c r="J809" s="2"/>
      <c r="K809" s="2"/>
      <c r="L809" s="19"/>
      <c r="M809" s="19"/>
      <c r="N809" s="2"/>
      <c r="O809" s="2"/>
      <c r="P809" s="2"/>
      <c r="Q809" s="2"/>
      <c r="R809" s="2"/>
      <c r="S809" s="2"/>
      <c r="T809" s="2"/>
      <c r="U809" s="2"/>
      <c r="V809" s="2"/>
      <c r="W809" s="2"/>
      <c r="X809" s="2"/>
      <c r="Y809" s="2"/>
      <c r="Z809" s="2"/>
    </row>
    <row r="810" customFormat="false" ht="12" hidden="false" customHeight="true" outlineLevel="0" collapsed="false">
      <c r="A810" s="2"/>
      <c r="B810" s="19"/>
      <c r="C810" s="19"/>
      <c r="D810" s="2"/>
      <c r="E810" s="2"/>
      <c r="F810" s="2"/>
      <c r="G810" s="2"/>
      <c r="H810" s="2"/>
      <c r="I810" s="2"/>
      <c r="J810" s="2"/>
      <c r="K810" s="2"/>
      <c r="L810" s="19"/>
      <c r="M810" s="19"/>
      <c r="N810" s="2"/>
      <c r="O810" s="2"/>
      <c r="P810" s="2"/>
      <c r="Q810" s="2"/>
      <c r="R810" s="2"/>
      <c r="S810" s="2"/>
      <c r="T810" s="2"/>
      <c r="U810" s="2"/>
      <c r="V810" s="2"/>
      <c r="W810" s="2"/>
      <c r="X810" s="2"/>
      <c r="Y810" s="2"/>
      <c r="Z810" s="2"/>
    </row>
    <row r="811" customFormat="false" ht="12" hidden="false" customHeight="true" outlineLevel="0" collapsed="false">
      <c r="A811" s="2"/>
      <c r="B811" s="19"/>
      <c r="C811" s="19"/>
      <c r="D811" s="2"/>
      <c r="E811" s="2"/>
      <c r="F811" s="2"/>
      <c r="G811" s="2"/>
      <c r="H811" s="2"/>
      <c r="I811" s="2"/>
      <c r="J811" s="2"/>
      <c r="K811" s="2"/>
      <c r="L811" s="19"/>
      <c r="M811" s="19"/>
      <c r="N811" s="2"/>
      <c r="O811" s="2"/>
      <c r="P811" s="2"/>
      <c r="Q811" s="2"/>
      <c r="R811" s="2"/>
      <c r="S811" s="2"/>
      <c r="T811" s="2"/>
      <c r="U811" s="2"/>
      <c r="V811" s="2"/>
      <c r="W811" s="2"/>
      <c r="X811" s="2"/>
      <c r="Y811" s="2"/>
      <c r="Z811" s="2"/>
    </row>
    <row r="812" customFormat="false" ht="12" hidden="false" customHeight="true" outlineLevel="0" collapsed="false">
      <c r="A812" s="2"/>
      <c r="B812" s="19"/>
      <c r="C812" s="19"/>
      <c r="D812" s="2"/>
      <c r="E812" s="2"/>
      <c r="F812" s="2"/>
      <c r="G812" s="2"/>
      <c r="H812" s="2"/>
      <c r="I812" s="2"/>
      <c r="J812" s="2"/>
      <c r="K812" s="2"/>
      <c r="L812" s="19"/>
      <c r="M812" s="19"/>
      <c r="N812" s="2"/>
      <c r="O812" s="2"/>
      <c r="P812" s="2"/>
      <c r="Q812" s="2"/>
      <c r="R812" s="2"/>
      <c r="S812" s="2"/>
      <c r="T812" s="2"/>
      <c r="U812" s="2"/>
      <c r="V812" s="2"/>
      <c r="W812" s="2"/>
      <c r="X812" s="2"/>
      <c r="Y812" s="2"/>
      <c r="Z812" s="2"/>
    </row>
    <row r="813" customFormat="false" ht="12" hidden="false" customHeight="true" outlineLevel="0" collapsed="false">
      <c r="A813" s="2"/>
      <c r="B813" s="19"/>
      <c r="C813" s="19"/>
      <c r="D813" s="2"/>
      <c r="E813" s="2"/>
      <c r="F813" s="2"/>
      <c r="G813" s="2"/>
      <c r="H813" s="2"/>
      <c r="I813" s="2"/>
      <c r="J813" s="2"/>
      <c r="K813" s="2"/>
      <c r="L813" s="19"/>
      <c r="M813" s="19"/>
      <c r="N813" s="2"/>
      <c r="O813" s="2"/>
      <c r="P813" s="2"/>
      <c r="Q813" s="2"/>
      <c r="R813" s="2"/>
      <c r="S813" s="2"/>
      <c r="T813" s="2"/>
      <c r="U813" s="2"/>
      <c r="V813" s="2"/>
      <c r="W813" s="2"/>
      <c r="X813" s="2"/>
      <c r="Y813" s="2"/>
      <c r="Z813" s="2"/>
    </row>
    <row r="814" customFormat="false" ht="12" hidden="false" customHeight="true" outlineLevel="0" collapsed="false">
      <c r="A814" s="2"/>
      <c r="B814" s="19"/>
      <c r="C814" s="19"/>
      <c r="D814" s="2"/>
      <c r="E814" s="2"/>
      <c r="F814" s="2"/>
      <c r="G814" s="2"/>
      <c r="H814" s="2"/>
      <c r="I814" s="2"/>
      <c r="J814" s="2"/>
      <c r="K814" s="2"/>
      <c r="L814" s="19"/>
      <c r="M814" s="19"/>
      <c r="N814" s="2"/>
      <c r="O814" s="2"/>
      <c r="P814" s="2"/>
      <c r="Q814" s="2"/>
      <c r="R814" s="2"/>
      <c r="S814" s="2"/>
      <c r="T814" s="2"/>
      <c r="U814" s="2"/>
      <c r="V814" s="2"/>
      <c r="W814" s="2"/>
      <c r="X814" s="2"/>
      <c r="Y814" s="2"/>
      <c r="Z814" s="2"/>
    </row>
    <row r="815" customFormat="false" ht="12" hidden="false" customHeight="true" outlineLevel="0" collapsed="false">
      <c r="A815" s="2"/>
      <c r="B815" s="19"/>
      <c r="C815" s="19"/>
      <c r="D815" s="2"/>
      <c r="E815" s="2"/>
      <c r="F815" s="2"/>
      <c r="G815" s="2"/>
      <c r="H815" s="2"/>
      <c r="I815" s="2"/>
      <c r="J815" s="2"/>
      <c r="K815" s="2"/>
      <c r="L815" s="19"/>
      <c r="M815" s="19"/>
      <c r="N815" s="2"/>
      <c r="O815" s="2"/>
      <c r="P815" s="2"/>
      <c r="Q815" s="2"/>
      <c r="R815" s="2"/>
      <c r="S815" s="2"/>
      <c r="T815" s="2"/>
      <c r="U815" s="2"/>
      <c r="V815" s="2"/>
      <c r="W815" s="2"/>
      <c r="X815" s="2"/>
      <c r="Y815" s="2"/>
      <c r="Z815" s="2"/>
    </row>
    <row r="816" customFormat="false" ht="12" hidden="false" customHeight="true" outlineLevel="0" collapsed="false">
      <c r="A816" s="2"/>
      <c r="B816" s="19"/>
      <c r="C816" s="19"/>
      <c r="D816" s="2"/>
      <c r="E816" s="2"/>
      <c r="F816" s="2"/>
      <c r="G816" s="2"/>
      <c r="H816" s="2"/>
      <c r="I816" s="2"/>
      <c r="J816" s="2"/>
      <c r="K816" s="2"/>
      <c r="L816" s="19"/>
      <c r="M816" s="19"/>
      <c r="N816" s="2"/>
      <c r="O816" s="2"/>
      <c r="P816" s="2"/>
      <c r="Q816" s="2"/>
      <c r="R816" s="2"/>
      <c r="S816" s="2"/>
      <c r="T816" s="2"/>
      <c r="U816" s="2"/>
      <c r="V816" s="2"/>
      <c r="W816" s="2"/>
      <c r="X816" s="2"/>
      <c r="Y816" s="2"/>
      <c r="Z816" s="2"/>
    </row>
    <row r="817" customFormat="false" ht="12" hidden="false" customHeight="true" outlineLevel="0" collapsed="false">
      <c r="A817" s="2"/>
      <c r="B817" s="19"/>
      <c r="C817" s="19"/>
      <c r="D817" s="2"/>
      <c r="E817" s="2"/>
      <c r="F817" s="2"/>
      <c r="G817" s="2"/>
      <c r="H817" s="2"/>
      <c r="I817" s="2"/>
      <c r="J817" s="2"/>
      <c r="K817" s="2"/>
      <c r="L817" s="19"/>
      <c r="M817" s="19"/>
      <c r="N817" s="2"/>
      <c r="O817" s="2"/>
      <c r="P817" s="2"/>
      <c r="Q817" s="2"/>
      <c r="R817" s="2"/>
      <c r="S817" s="2"/>
      <c r="T817" s="2"/>
      <c r="U817" s="2"/>
      <c r="V817" s="2"/>
      <c r="W817" s="2"/>
      <c r="X817" s="2"/>
      <c r="Y817" s="2"/>
      <c r="Z817" s="2"/>
    </row>
    <row r="818" customFormat="false" ht="12" hidden="false" customHeight="true" outlineLevel="0" collapsed="false">
      <c r="A818" s="2"/>
      <c r="B818" s="19"/>
      <c r="C818" s="19"/>
      <c r="D818" s="2"/>
      <c r="E818" s="2"/>
      <c r="F818" s="2"/>
      <c r="G818" s="2"/>
      <c r="H818" s="2"/>
      <c r="I818" s="2"/>
      <c r="J818" s="2"/>
      <c r="K818" s="2"/>
      <c r="L818" s="19"/>
      <c r="M818" s="19"/>
      <c r="N818" s="2"/>
      <c r="O818" s="2"/>
      <c r="P818" s="2"/>
      <c r="Q818" s="2"/>
      <c r="R818" s="2"/>
      <c r="S818" s="2"/>
      <c r="T818" s="2"/>
      <c r="U818" s="2"/>
      <c r="V818" s="2"/>
      <c r="W818" s="2"/>
      <c r="X818" s="2"/>
      <c r="Y818" s="2"/>
      <c r="Z818" s="2"/>
    </row>
    <row r="819" customFormat="false" ht="12" hidden="false" customHeight="true" outlineLevel="0" collapsed="false">
      <c r="A819" s="2"/>
      <c r="B819" s="19"/>
      <c r="C819" s="19"/>
      <c r="D819" s="2"/>
      <c r="E819" s="2"/>
      <c r="F819" s="2"/>
      <c r="G819" s="2"/>
      <c r="H819" s="2"/>
      <c r="I819" s="2"/>
      <c r="J819" s="2"/>
      <c r="K819" s="2"/>
      <c r="L819" s="19"/>
      <c r="M819" s="19"/>
      <c r="N819" s="2"/>
      <c r="O819" s="2"/>
      <c r="P819" s="2"/>
      <c r="Q819" s="2"/>
      <c r="R819" s="2"/>
      <c r="S819" s="2"/>
      <c r="T819" s="2"/>
      <c r="U819" s="2"/>
      <c r="V819" s="2"/>
      <c r="W819" s="2"/>
      <c r="X819" s="2"/>
      <c r="Y819" s="2"/>
      <c r="Z819" s="2"/>
    </row>
    <row r="820" customFormat="false" ht="12" hidden="false" customHeight="true" outlineLevel="0" collapsed="false">
      <c r="A820" s="2"/>
      <c r="B820" s="19"/>
      <c r="C820" s="19"/>
      <c r="D820" s="2"/>
      <c r="E820" s="2"/>
      <c r="F820" s="2"/>
      <c r="G820" s="2"/>
      <c r="H820" s="2"/>
      <c r="I820" s="2"/>
      <c r="J820" s="2"/>
      <c r="K820" s="2"/>
      <c r="L820" s="19"/>
      <c r="M820" s="19"/>
      <c r="N820" s="2"/>
      <c r="O820" s="2"/>
      <c r="P820" s="2"/>
      <c r="Q820" s="2"/>
      <c r="R820" s="2"/>
      <c r="S820" s="2"/>
      <c r="T820" s="2"/>
      <c r="U820" s="2"/>
      <c r="V820" s="2"/>
      <c r="W820" s="2"/>
      <c r="X820" s="2"/>
      <c r="Y820" s="2"/>
      <c r="Z820" s="2"/>
    </row>
    <row r="821" customFormat="false" ht="12" hidden="false" customHeight="true" outlineLevel="0" collapsed="false">
      <c r="A821" s="2"/>
      <c r="B821" s="19"/>
      <c r="C821" s="19"/>
      <c r="D821" s="2"/>
      <c r="E821" s="2"/>
      <c r="F821" s="2"/>
      <c r="G821" s="2"/>
      <c r="H821" s="2"/>
      <c r="I821" s="2"/>
      <c r="J821" s="2"/>
      <c r="K821" s="2"/>
      <c r="L821" s="19"/>
      <c r="M821" s="19"/>
      <c r="N821" s="2"/>
      <c r="O821" s="2"/>
      <c r="P821" s="2"/>
      <c r="Q821" s="2"/>
      <c r="R821" s="2"/>
      <c r="S821" s="2"/>
      <c r="T821" s="2"/>
      <c r="U821" s="2"/>
      <c r="V821" s="2"/>
      <c r="W821" s="2"/>
      <c r="X821" s="2"/>
      <c r="Y821" s="2"/>
      <c r="Z821" s="2"/>
    </row>
    <row r="822" customFormat="false" ht="12" hidden="false" customHeight="true" outlineLevel="0" collapsed="false">
      <c r="A822" s="2"/>
      <c r="B822" s="19"/>
      <c r="C822" s="19"/>
      <c r="D822" s="2"/>
      <c r="E822" s="2"/>
      <c r="F822" s="2"/>
      <c r="G822" s="2"/>
      <c r="H822" s="2"/>
      <c r="I822" s="2"/>
      <c r="J822" s="2"/>
      <c r="K822" s="2"/>
      <c r="L822" s="19"/>
      <c r="M822" s="19"/>
      <c r="N822" s="2"/>
      <c r="O822" s="2"/>
      <c r="P822" s="2"/>
      <c r="Q822" s="2"/>
      <c r="R822" s="2"/>
      <c r="S822" s="2"/>
      <c r="T822" s="2"/>
      <c r="U822" s="2"/>
      <c r="V822" s="2"/>
      <c r="W822" s="2"/>
      <c r="X822" s="2"/>
      <c r="Y822" s="2"/>
      <c r="Z822" s="2"/>
    </row>
    <row r="823" customFormat="false" ht="12" hidden="false" customHeight="true" outlineLevel="0" collapsed="false">
      <c r="A823" s="2"/>
      <c r="B823" s="19"/>
      <c r="C823" s="19"/>
      <c r="D823" s="2"/>
      <c r="E823" s="2"/>
      <c r="F823" s="2"/>
      <c r="G823" s="2"/>
      <c r="H823" s="2"/>
      <c r="I823" s="2"/>
      <c r="J823" s="2"/>
      <c r="K823" s="2"/>
      <c r="L823" s="19"/>
      <c r="M823" s="19"/>
      <c r="N823" s="2"/>
      <c r="O823" s="2"/>
      <c r="P823" s="2"/>
      <c r="Q823" s="2"/>
      <c r="R823" s="2"/>
      <c r="S823" s="2"/>
      <c r="T823" s="2"/>
      <c r="U823" s="2"/>
      <c r="V823" s="2"/>
      <c r="W823" s="2"/>
      <c r="X823" s="2"/>
      <c r="Y823" s="2"/>
      <c r="Z823" s="2"/>
    </row>
    <row r="824" customFormat="false" ht="12" hidden="false" customHeight="true" outlineLevel="0" collapsed="false">
      <c r="A824" s="2"/>
      <c r="B824" s="19"/>
      <c r="C824" s="19"/>
      <c r="D824" s="2"/>
      <c r="E824" s="2"/>
      <c r="F824" s="2"/>
      <c r="G824" s="2"/>
      <c r="H824" s="2"/>
      <c r="I824" s="2"/>
      <c r="J824" s="2"/>
      <c r="K824" s="2"/>
      <c r="L824" s="19"/>
      <c r="M824" s="19"/>
      <c r="N824" s="2"/>
      <c r="O824" s="2"/>
      <c r="P824" s="2"/>
      <c r="Q824" s="2"/>
      <c r="R824" s="2"/>
      <c r="S824" s="2"/>
      <c r="T824" s="2"/>
      <c r="U824" s="2"/>
      <c r="V824" s="2"/>
      <c r="W824" s="2"/>
      <c r="X824" s="2"/>
      <c r="Y824" s="2"/>
      <c r="Z824" s="2"/>
    </row>
    <row r="825" customFormat="false" ht="12" hidden="false" customHeight="true" outlineLevel="0" collapsed="false">
      <c r="A825" s="2"/>
      <c r="B825" s="19"/>
      <c r="C825" s="19"/>
      <c r="D825" s="2"/>
      <c r="E825" s="2"/>
      <c r="F825" s="2"/>
      <c r="G825" s="2"/>
      <c r="H825" s="2"/>
      <c r="I825" s="2"/>
      <c r="J825" s="2"/>
      <c r="K825" s="2"/>
      <c r="L825" s="19"/>
      <c r="M825" s="19"/>
      <c r="N825" s="2"/>
      <c r="O825" s="2"/>
      <c r="P825" s="2"/>
      <c r="Q825" s="2"/>
      <c r="R825" s="2"/>
      <c r="S825" s="2"/>
      <c r="T825" s="2"/>
      <c r="U825" s="2"/>
      <c r="V825" s="2"/>
      <c r="W825" s="2"/>
      <c r="X825" s="2"/>
      <c r="Y825" s="2"/>
      <c r="Z825" s="2"/>
    </row>
    <row r="826" customFormat="false" ht="12" hidden="false" customHeight="true" outlineLevel="0" collapsed="false">
      <c r="A826" s="2"/>
      <c r="B826" s="19"/>
      <c r="C826" s="19"/>
      <c r="D826" s="2"/>
      <c r="E826" s="2"/>
      <c r="F826" s="2"/>
      <c r="G826" s="2"/>
      <c r="H826" s="2"/>
      <c r="I826" s="2"/>
      <c r="J826" s="2"/>
      <c r="K826" s="2"/>
      <c r="L826" s="19"/>
      <c r="M826" s="19"/>
      <c r="N826" s="2"/>
      <c r="O826" s="2"/>
      <c r="P826" s="2"/>
      <c r="Q826" s="2"/>
      <c r="R826" s="2"/>
      <c r="S826" s="2"/>
      <c r="T826" s="2"/>
      <c r="U826" s="2"/>
      <c r="V826" s="2"/>
      <c r="W826" s="2"/>
      <c r="X826" s="2"/>
      <c r="Y826" s="2"/>
      <c r="Z826" s="2"/>
    </row>
    <row r="827" customFormat="false" ht="12" hidden="false" customHeight="true" outlineLevel="0" collapsed="false">
      <c r="A827" s="2"/>
      <c r="B827" s="19"/>
      <c r="C827" s="19"/>
      <c r="D827" s="2"/>
      <c r="E827" s="2"/>
      <c r="F827" s="2"/>
      <c r="G827" s="2"/>
      <c r="H827" s="2"/>
      <c r="I827" s="2"/>
      <c r="J827" s="2"/>
      <c r="K827" s="2"/>
      <c r="L827" s="19"/>
      <c r="M827" s="19"/>
      <c r="N827" s="2"/>
      <c r="O827" s="2"/>
      <c r="P827" s="2"/>
      <c r="Q827" s="2"/>
      <c r="R827" s="2"/>
      <c r="S827" s="2"/>
      <c r="T827" s="2"/>
      <c r="U827" s="2"/>
      <c r="V827" s="2"/>
      <c r="W827" s="2"/>
      <c r="X827" s="2"/>
      <c r="Y827" s="2"/>
      <c r="Z827" s="2"/>
    </row>
    <row r="828" customFormat="false" ht="12" hidden="false" customHeight="true" outlineLevel="0" collapsed="false">
      <c r="A828" s="2"/>
      <c r="B828" s="19"/>
      <c r="C828" s="19"/>
      <c r="D828" s="2"/>
      <c r="E828" s="2"/>
      <c r="F828" s="2"/>
      <c r="G828" s="2"/>
      <c r="H828" s="2"/>
      <c r="I828" s="2"/>
      <c r="J828" s="2"/>
      <c r="K828" s="2"/>
      <c r="L828" s="19"/>
      <c r="M828" s="19"/>
      <c r="N828" s="2"/>
      <c r="O828" s="2"/>
      <c r="P828" s="2"/>
      <c r="Q828" s="2"/>
      <c r="R828" s="2"/>
      <c r="S828" s="2"/>
      <c r="T828" s="2"/>
      <c r="U828" s="2"/>
      <c r="V828" s="2"/>
      <c r="W828" s="2"/>
      <c r="X828" s="2"/>
      <c r="Y828" s="2"/>
      <c r="Z828" s="2"/>
    </row>
    <row r="829" customFormat="false" ht="12" hidden="false" customHeight="true" outlineLevel="0" collapsed="false">
      <c r="A829" s="2"/>
      <c r="B829" s="19"/>
      <c r="C829" s="19"/>
      <c r="D829" s="2"/>
      <c r="E829" s="2"/>
      <c r="F829" s="2"/>
      <c r="G829" s="2"/>
      <c r="H829" s="2"/>
      <c r="I829" s="2"/>
      <c r="J829" s="2"/>
      <c r="K829" s="2"/>
      <c r="L829" s="19"/>
      <c r="M829" s="19"/>
      <c r="N829" s="2"/>
      <c r="O829" s="2"/>
      <c r="P829" s="2"/>
      <c r="Q829" s="2"/>
      <c r="R829" s="2"/>
      <c r="S829" s="2"/>
      <c r="T829" s="2"/>
      <c r="U829" s="2"/>
      <c r="V829" s="2"/>
      <c r="W829" s="2"/>
      <c r="X829" s="2"/>
      <c r="Y829" s="2"/>
      <c r="Z829" s="2"/>
    </row>
    <row r="830" customFormat="false" ht="12" hidden="false" customHeight="true" outlineLevel="0" collapsed="false">
      <c r="A830" s="2"/>
      <c r="B830" s="19"/>
      <c r="C830" s="19"/>
      <c r="D830" s="2"/>
      <c r="E830" s="2"/>
      <c r="F830" s="2"/>
      <c r="G830" s="2"/>
      <c r="H830" s="2"/>
      <c r="I830" s="2"/>
      <c r="J830" s="2"/>
      <c r="K830" s="2"/>
      <c r="L830" s="19"/>
      <c r="M830" s="19"/>
      <c r="N830" s="2"/>
      <c r="O830" s="2"/>
      <c r="P830" s="2"/>
      <c r="Q830" s="2"/>
      <c r="R830" s="2"/>
      <c r="S830" s="2"/>
      <c r="T830" s="2"/>
      <c r="U830" s="2"/>
      <c r="V830" s="2"/>
      <c r="W830" s="2"/>
      <c r="X830" s="2"/>
      <c r="Y830" s="2"/>
      <c r="Z830" s="2"/>
    </row>
    <row r="831" customFormat="false" ht="12" hidden="false" customHeight="true" outlineLevel="0" collapsed="false">
      <c r="A831" s="2"/>
      <c r="B831" s="19"/>
      <c r="C831" s="19"/>
      <c r="D831" s="2"/>
      <c r="E831" s="2"/>
      <c r="F831" s="2"/>
      <c r="G831" s="2"/>
      <c r="H831" s="2"/>
      <c r="I831" s="2"/>
      <c r="J831" s="2"/>
      <c r="K831" s="2"/>
      <c r="L831" s="19"/>
      <c r="M831" s="19"/>
      <c r="N831" s="2"/>
      <c r="O831" s="2"/>
      <c r="P831" s="2"/>
      <c r="Q831" s="2"/>
      <c r="R831" s="2"/>
      <c r="S831" s="2"/>
      <c r="T831" s="2"/>
      <c r="U831" s="2"/>
      <c r="V831" s="2"/>
      <c r="W831" s="2"/>
      <c r="X831" s="2"/>
      <c r="Y831" s="2"/>
      <c r="Z831" s="2"/>
    </row>
    <row r="832" customFormat="false" ht="12" hidden="false" customHeight="true" outlineLevel="0" collapsed="false">
      <c r="A832" s="2"/>
      <c r="B832" s="19"/>
      <c r="C832" s="19"/>
      <c r="D832" s="2"/>
      <c r="E832" s="2"/>
      <c r="F832" s="2"/>
      <c r="G832" s="2"/>
      <c r="H832" s="2"/>
      <c r="I832" s="2"/>
      <c r="J832" s="2"/>
      <c r="K832" s="2"/>
      <c r="L832" s="19"/>
      <c r="M832" s="19"/>
      <c r="N832" s="2"/>
      <c r="O832" s="2"/>
      <c r="P832" s="2"/>
      <c r="Q832" s="2"/>
      <c r="R832" s="2"/>
      <c r="S832" s="2"/>
      <c r="T832" s="2"/>
      <c r="U832" s="2"/>
      <c r="V832" s="2"/>
      <c r="W832" s="2"/>
      <c r="X832" s="2"/>
      <c r="Y832" s="2"/>
      <c r="Z832" s="2"/>
    </row>
    <row r="833" customFormat="false" ht="12" hidden="false" customHeight="true" outlineLevel="0" collapsed="false">
      <c r="A833" s="2"/>
      <c r="B833" s="19"/>
      <c r="C833" s="19"/>
      <c r="D833" s="2"/>
      <c r="E833" s="2"/>
      <c r="F833" s="2"/>
      <c r="G833" s="2"/>
      <c r="H833" s="2"/>
      <c r="I833" s="2"/>
      <c r="J833" s="2"/>
      <c r="K833" s="2"/>
      <c r="L833" s="19"/>
      <c r="M833" s="19"/>
      <c r="N833" s="2"/>
      <c r="O833" s="2"/>
      <c r="P833" s="2"/>
      <c r="Q833" s="2"/>
      <c r="R833" s="2"/>
      <c r="S833" s="2"/>
      <c r="T833" s="2"/>
      <c r="U833" s="2"/>
      <c r="V833" s="2"/>
      <c r="W833" s="2"/>
      <c r="X833" s="2"/>
      <c r="Y833" s="2"/>
      <c r="Z833" s="2"/>
    </row>
    <row r="834" customFormat="false" ht="12" hidden="false" customHeight="true" outlineLevel="0" collapsed="false">
      <c r="A834" s="2"/>
      <c r="B834" s="19"/>
      <c r="C834" s="19"/>
      <c r="D834" s="2"/>
      <c r="E834" s="2"/>
      <c r="F834" s="2"/>
      <c r="G834" s="2"/>
      <c r="H834" s="2"/>
      <c r="I834" s="2"/>
      <c r="J834" s="2"/>
      <c r="K834" s="2"/>
      <c r="L834" s="19"/>
      <c r="M834" s="19"/>
      <c r="N834" s="2"/>
      <c r="O834" s="2"/>
      <c r="P834" s="2"/>
      <c r="Q834" s="2"/>
      <c r="R834" s="2"/>
      <c r="S834" s="2"/>
      <c r="T834" s="2"/>
      <c r="U834" s="2"/>
      <c r="V834" s="2"/>
      <c r="W834" s="2"/>
      <c r="X834" s="2"/>
      <c r="Y834" s="2"/>
      <c r="Z834" s="2"/>
    </row>
    <row r="835" customFormat="false" ht="12" hidden="false" customHeight="true" outlineLevel="0" collapsed="false">
      <c r="A835" s="2"/>
      <c r="B835" s="19"/>
      <c r="C835" s="19"/>
      <c r="D835" s="2"/>
      <c r="E835" s="2"/>
      <c r="F835" s="2"/>
      <c r="G835" s="2"/>
      <c r="H835" s="2"/>
      <c r="I835" s="2"/>
      <c r="J835" s="2"/>
      <c r="K835" s="2"/>
      <c r="L835" s="19"/>
      <c r="M835" s="19"/>
      <c r="N835" s="2"/>
      <c r="O835" s="2"/>
      <c r="P835" s="2"/>
      <c r="Q835" s="2"/>
      <c r="R835" s="2"/>
      <c r="S835" s="2"/>
      <c r="T835" s="2"/>
      <c r="U835" s="2"/>
      <c r="V835" s="2"/>
      <c r="W835" s="2"/>
      <c r="X835" s="2"/>
      <c r="Y835" s="2"/>
      <c r="Z835" s="2"/>
    </row>
    <row r="836" customFormat="false" ht="12" hidden="false" customHeight="true" outlineLevel="0" collapsed="false">
      <c r="A836" s="2"/>
      <c r="B836" s="19"/>
      <c r="C836" s="19"/>
      <c r="D836" s="2"/>
      <c r="E836" s="2"/>
      <c r="F836" s="2"/>
      <c r="G836" s="2"/>
      <c r="H836" s="2"/>
      <c r="I836" s="2"/>
      <c r="J836" s="2"/>
      <c r="K836" s="2"/>
      <c r="L836" s="19"/>
      <c r="M836" s="19"/>
      <c r="N836" s="2"/>
      <c r="O836" s="2"/>
      <c r="P836" s="2"/>
      <c r="Q836" s="2"/>
      <c r="R836" s="2"/>
      <c r="S836" s="2"/>
      <c r="T836" s="2"/>
      <c r="U836" s="2"/>
      <c r="V836" s="2"/>
      <c r="W836" s="2"/>
      <c r="X836" s="2"/>
      <c r="Y836" s="2"/>
      <c r="Z836" s="2"/>
    </row>
    <row r="837" customFormat="false" ht="12" hidden="false" customHeight="true" outlineLevel="0" collapsed="false">
      <c r="A837" s="2"/>
      <c r="B837" s="19"/>
      <c r="C837" s="19"/>
      <c r="D837" s="2"/>
      <c r="E837" s="2"/>
      <c r="F837" s="2"/>
      <c r="G837" s="2"/>
      <c r="H837" s="2"/>
      <c r="I837" s="2"/>
      <c r="J837" s="2"/>
      <c r="K837" s="2"/>
      <c r="L837" s="19"/>
      <c r="M837" s="19"/>
      <c r="N837" s="2"/>
      <c r="O837" s="2"/>
      <c r="P837" s="2"/>
      <c r="Q837" s="2"/>
      <c r="R837" s="2"/>
      <c r="S837" s="2"/>
      <c r="T837" s="2"/>
      <c r="U837" s="2"/>
      <c r="V837" s="2"/>
      <c r="W837" s="2"/>
      <c r="X837" s="2"/>
      <c r="Y837" s="2"/>
      <c r="Z837" s="2"/>
    </row>
    <row r="838" customFormat="false" ht="12" hidden="false" customHeight="true" outlineLevel="0" collapsed="false">
      <c r="A838" s="2"/>
      <c r="B838" s="19"/>
      <c r="C838" s="19"/>
      <c r="D838" s="2"/>
      <c r="E838" s="2"/>
      <c r="F838" s="2"/>
      <c r="G838" s="2"/>
      <c r="H838" s="2"/>
      <c r="I838" s="2"/>
      <c r="J838" s="2"/>
      <c r="K838" s="2"/>
      <c r="L838" s="19"/>
      <c r="M838" s="19"/>
      <c r="N838" s="2"/>
      <c r="O838" s="2"/>
      <c r="P838" s="2"/>
      <c r="Q838" s="2"/>
      <c r="R838" s="2"/>
      <c r="S838" s="2"/>
      <c r="T838" s="2"/>
      <c r="U838" s="2"/>
      <c r="V838" s="2"/>
      <c r="W838" s="2"/>
      <c r="X838" s="2"/>
      <c r="Y838" s="2"/>
      <c r="Z838" s="2"/>
    </row>
    <row r="839" customFormat="false" ht="12" hidden="false" customHeight="true" outlineLevel="0" collapsed="false">
      <c r="A839" s="2"/>
      <c r="B839" s="19"/>
      <c r="C839" s="19"/>
      <c r="D839" s="2"/>
      <c r="E839" s="2"/>
      <c r="F839" s="2"/>
      <c r="G839" s="2"/>
      <c r="H839" s="2"/>
      <c r="I839" s="2"/>
      <c r="J839" s="2"/>
      <c r="K839" s="2"/>
      <c r="L839" s="19"/>
      <c r="M839" s="19"/>
      <c r="N839" s="2"/>
      <c r="O839" s="2"/>
      <c r="P839" s="2"/>
      <c r="Q839" s="2"/>
      <c r="R839" s="2"/>
      <c r="S839" s="2"/>
      <c r="T839" s="2"/>
      <c r="U839" s="2"/>
      <c r="V839" s="2"/>
      <c r="W839" s="2"/>
      <c r="X839" s="2"/>
      <c r="Y839" s="2"/>
      <c r="Z839" s="2"/>
    </row>
    <row r="840" customFormat="false" ht="12" hidden="false" customHeight="true" outlineLevel="0" collapsed="false">
      <c r="A840" s="2"/>
      <c r="B840" s="19"/>
      <c r="C840" s="19"/>
      <c r="D840" s="2"/>
      <c r="E840" s="2"/>
      <c r="F840" s="2"/>
      <c r="G840" s="2"/>
      <c r="H840" s="2"/>
      <c r="I840" s="2"/>
      <c r="J840" s="2"/>
      <c r="K840" s="2"/>
      <c r="L840" s="19"/>
      <c r="M840" s="19"/>
      <c r="N840" s="2"/>
      <c r="O840" s="2"/>
      <c r="P840" s="2"/>
      <c r="Q840" s="2"/>
      <c r="R840" s="2"/>
      <c r="S840" s="2"/>
      <c r="T840" s="2"/>
      <c r="U840" s="2"/>
      <c r="V840" s="2"/>
      <c r="W840" s="2"/>
      <c r="X840" s="2"/>
      <c r="Y840" s="2"/>
      <c r="Z840" s="2"/>
    </row>
    <row r="841" customFormat="false" ht="12" hidden="false" customHeight="true" outlineLevel="0" collapsed="false">
      <c r="A841" s="2"/>
      <c r="B841" s="19"/>
      <c r="C841" s="19"/>
      <c r="D841" s="2"/>
      <c r="E841" s="2"/>
      <c r="F841" s="2"/>
      <c r="G841" s="2"/>
      <c r="H841" s="2"/>
      <c r="I841" s="2"/>
      <c r="J841" s="2"/>
      <c r="K841" s="2"/>
      <c r="L841" s="19"/>
      <c r="M841" s="19"/>
      <c r="N841" s="2"/>
      <c r="O841" s="2"/>
      <c r="P841" s="2"/>
      <c r="Q841" s="2"/>
      <c r="R841" s="2"/>
      <c r="S841" s="2"/>
      <c r="T841" s="2"/>
      <c r="U841" s="2"/>
      <c r="V841" s="2"/>
      <c r="W841" s="2"/>
      <c r="X841" s="2"/>
      <c r="Y841" s="2"/>
      <c r="Z841" s="2"/>
    </row>
    <row r="842" customFormat="false" ht="12" hidden="false" customHeight="true" outlineLevel="0" collapsed="false">
      <c r="A842" s="2"/>
      <c r="B842" s="19"/>
      <c r="C842" s="19"/>
      <c r="D842" s="2"/>
      <c r="E842" s="2"/>
      <c r="F842" s="2"/>
      <c r="G842" s="2"/>
      <c r="H842" s="2"/>
      <c r="I842" s="2"/>
      <c r="J842" s="2"/>
      <c r="K842" s="2"/>
      <c r="L842" s="19"/>
      <c r="M842" s="19"/>
      <c r="N842" s="2"/>
      <c r="O842" s="2"/>
      <c r="P842" s="2"/>
      <c r="Q842" s="2"/>
      <c r="R842" s="2"/>
      <c r="S842" s="2"/>
      <c r="T842" s="2"/>
      <c r="U842" s="2"/>
      <c r="V842" s="2"/>
      <c r="W842" s="2"/>
      <c r="X842" s="2"/>
      <c r="Y842" s="2"/>
      <c r="Z842" s="2"/>
    </row>
    <row r="843" customFormat="false" ht="12" hidden="false" customHeight="true" outlineLevel="0" collapsed="false">
      <c r="A843" s="2"/>
      <c r="B843" s="19"/>
      <c r="C843" s="19"/>
      <c r="D843" s="2"/>
      <c r="E843" s="2"/>
      <c r="F843" s="2"/>
      <c r="G843" s="2"/>
      <c r="H843" s="2"/>
      <c r="I843" s="2"/>
      <c r="J843" s="2"/>
      <c r="K843" s="2"/>
      <c r="L843" s="19"/>
      <c r="M843" s="19"/>
      <c r="N843" s="2"/>
      <c r="O843" s="2"/>
      <c r="P843" s="2"/>
      <c r="Q843" s="2"/>
      <c r="R843" s="2"/>
      <c r="S843" s="2"/>
      <c r="T843" s="2"/>
      <c r="U843" s="2"/>
      <c r="V843" s="2"/>
      <c r="W843" s="2"/>
      <c r="X843" s="2"/>
      <c r="Y843" s="2"/>
      <c r="Z843" s="2"/>
    </row>
    <row r="844" customFormat="false" ht="12" hidden="false" customHeight="true" outlineLevel="0" collapsed="false">
      <c r="A844" s="2"/>
      <c r="B844" s="19"/>
      <c r="C844" s="19"/>
      <c r="D844" s="2"/>
      <c r="E844" s="2"/>
      <c r="F844" s="2"/>
      <c r="G844" s="2"/>
      <c r="H844" s="2"/>
      <c r="I844" s="2"/>
      <c r="J844" s="2"/>
      <c r="K844" s="2"/>
      <c r="L844" s="19"/>
      <c r="M844" s="19"/>
      <c r="N844" s="2"/>
      <c r="O844" s="2"/>
      <c r="P844" s="2"/>
      <c r="Q844" s="2"/>
      <c r="R844" s="2"/>
      <c r="S844" s="2"/>
      <c r="T844" s="2"/>
      <c r="U844" s="2"/>
      <c r="V844" s="2"/>
      <c r="W844" s="2"/>
      <c r="X844" s="2"/>
      <c r="Y844" s="2"/>
      <c r="Z844" s="2"/>
    </row>
    <row r="845" customFormat="false" ht="12" hidden="false" customHeight="true" outlineLevel="0" collapsed="false">
      <c r="A845" s="2"/>
      <c r="B845" s="19"/>
      <c r="C845" s="19"/>
      <c r="D845" s="2"/>
      <c r="E845" s="2"/>
      <c r="F845" s="2"/>
      <c r="G845" s="2"/>
      <c r="H845" s="2"/>
      <c r="I845" s="2"/>
      <c r="J845" s="2"/>
      <c r="K845" s="2"/>
      <c r="L845" s="19"/>
      <c r="M845" s="19"/>
      <c r="N845" s="2"/>
      <c r="O845" s="2"/>
      <c r="P845" s="2"/>
      <c r="Q845" s="2"/>
      <c r="R845" s="2"/>
      <c r="S845" s="2"/>
      <c r="T845" s="2"/>
      <c r="U845" s="2"/>
      <c r="V845" s="2"/>
      <c r="W845" s="2"/>
      <c r="X845" s="2"/>
      <c r="Y845" s="2"/>
      <c r="Z845" s="2"/>
    </row>
    <row r="846" customFormat="false" ht="12" hidden="false" customHeight="true" outlineLevel="0" collapsed="false">
      <c r="A846" s="2"/>
      <c r="B846" s="19"/>
      <c r="C846" s="19"/>
      <c r="D846" s="2"/>
      <c r="E846" s="2"/>
      <c r="F846" s="2"/>
      <c r="G846" s="2"/>
      <c r="H846" s="2"/>
      <c r="I846" s="2"/>
      <c r="J846" s="2"/>
      <c r="K846" s="2"/>
      <c r="L846" s="19"/>
      <c r="M846" s="19"/>
      <c r="N846" s="2"/>
      <c r="O846" s="2"/>
      <c r="P846" s="2"/>
      <c r="Q846" s="2"/>
      <c r="R846" s="2"/>
      <c r="S846" s="2"/>
      <c r="T846" s="2"/>
      <c r="U846" s="2"/>
      <c r="V846" s="2"/>
      <c r="W846" s="2"/>
      <c r="X846" s="2"/>
      <c r="Y846" s="2"/>
      <c r="Z846" s="2"/>
    </row>
    <row r="847" customFormat="false" ht="12" hidden="false" customHeight="true" outlineLevel="0" collapsed="false">
      <c r="A847" s="2"/>
      <c r="B847" s="19"/>
      <c r="C847" s="19"/>
      <c r="D847" s="2"/>
      <c r="E847" s="2"/>
      <c r="F847" s="2"/>
      <c r="G847" s="2"/>
      <c r="H847" s="2"/>
      <c r="I847" s="2"/>
      <c r="J847" s="2"/>
      <c r="K847" s="2"/>
      <c r="L847" s="19"/>
      <c r="M847" s="19"/>
      <c r="N847" s="2"/>
      <c r="O847" s="2"/>
      <c r="P847" s="2"/>
      <c r="Q847" s="2"/>
      <c r="R847" s="2"/>
      <c r="S847" s="2"/>
      <c r="T847" s="2"/>
      <c r="U847" s="2"/>
      <c r="V847" s="2"/>
      <c r="W847" s="2"/>
      <c r="X847" s="2"/>
      <c r="Y847" s="2"/>
      <c r="Z847" s="2"/>
    </row>
    <row r="848" customFormat="false" ht="12" hidden="false" customHeight="true" outlineLevel="0" collapsed="false">
      <c r="A848" s="2"/>
      <c r="B848" s="19"/>
      <c r="C848" s="19"/>
      <c r="D848" s="2"/>
      <c r="E848" s="2"/>
      <c r="F848" s="2"/>
      <c r="G848" s="2"/>
      <c r="H848" s="2"/>
      <c r="I848" s="2"/>
      <c r="J848" s="2"/>
      <c r="K848" s="2"/>
      <c r="L848" s="19"/>
      <c r="M848" s="19"/>
      <c r="N848" s="2"/>
      <c r="O848" s="2"/>
      <c r="P848" s="2"/>
      <c r="Q848" s="2"/>
      <c r="R848" s="2"/>
      <c r="S848" s="2"/>
      <c r="T848" s="2"/>
      <c r="U848" s="2"/>
      <c r="V848" s="2"/>
      <c r="W848" s="2"/>
      <c r="X848" s="2"/>
      <c r="Y848" s="2"/>
      <c r="Z848" s="2"/>
    </row>
    <row r="849" customFormat="false" ht="12" hidden="false" customHeight="true" outlineLevel="0" collapsed="false">
      <c r="A849" s="2"/>
      <c r="B849" s="19"/>
      <c r="C849" s="19"/>
      <c r="D849" s="2"/>
      <c r="E849" s="2"/>
      <c r="F849" s="2"/>
      <c r="G849" s="2"/>
      <c r="H849" s="2"/>
      <c r="I849" s="2"/>
      <c r="J849" s="2"/>
      <c r="K849" s="2"/>
      <c r="L849" s="19"/>
      <c r="M849" s="19"/>
      <c r="N849" s="2"/>
      <c r="O849" s="2"/>
      <c r="P849" s="2"/>
      <c r="Q849" s="2"/>
      <c r="R849" s="2"/>
      <c r="S849" s="2"/>
      <c r="T849" s="2"/>
      <c r="U849" s="2"/>
      <c r="V849" s="2"/>
      <c r="W849" s="2"/>
      <c r="X849" s="2"/>
      <c r="Y849" s="2"/>
      <c r="Z849" s="2"/>
    </row>
    <row r="850" customFormat="false" ht="12" hidden="false" customHeight="true" outlineLevel="0" collapsed="false">
      <c r="A850" s="2"/>
      <c r="B850" s="19"/>
      <c r="C850" s="19"/>
      <c r="D850" s="2"/>
      <c r="E850" s="2"/>
      <c r="F850" s="2"/>
      <c r="G850" s="2"/>
      <c r="H850" s="2"/>
      <c r="I850" s="2"/>
      <c r="J850" s="2"/>
      <c r="K850" s="2"/>
      <c r="L850" s="19"/>
      <c r="M850" s="19"/>
      <c r="N850" s="2"/>
      <c r="O850" s="2"/>
      <c r="P850" s="2"/>
      <c r="Q850" s="2"/>
      <c r="R850" s="2"/>
      <c r="S850" s="2"/>
      <c r="T850" s="2"/>
      <c r="U850" s="2"/>
      <c r="V850" s="2"/>
      <c r="W850" s="2"/>
      <c r="X850" s="2"/>
      <c r="Y850" s="2"/>
      <c r="Z850" s="2"/>
    </row>
    <row r="851" customFormat="false" ht="12" hidden="false" customHeight="true" outlineLevel="0" collapsed="false">
      <c r="A851" s="2"/>
      <c r="B851" s="19"/>
      <c r="C851" s="19"/>
      <c r="D851" s="2"/>
      <c r="E851" s="2"/>
      <c r="F851" s="2"/>
      <c r="G851" s="2"/>
      <c r="H851" s="2"/>
      <c r="I851" s="2"/>
      <c r="J851" s="2"/>
      <c r="K851" s="2"/>
      <c r="L851" s="19"/>
      <c r="M851" s="19"/>
      <c r="N851" s="2"/>
      <c r="O851" s="2"/>
      <c r="P851" s="2"/>
      <c r="Q851" s="2"/>
      <c r="R851" s="2"/>
      <c r="S851" s="2"/>
      <c r="T851" s="2"/>
      <c r="U851" s="2"/>
      <c r="V851" s="2"/>
      <c r="W851" s="2"/>
      <c r="X851" s="2"/>
      <c r="Y851" s="2"/>
      <c r="Z851" s="2"/>
    </row>
    <row r="852" customFormat="false" ht="12" hidden="false" customHeight="true" outlineLevel="0" collapsed="false">
      <c r="A852" s="2"/>
      <c r="B852" s="19"/>
      <c r="C852" s="19"/>
      <c r="D852" s="2"/>
      <c r="E852" s="2"/>
      <c r="F852" s="2"/>
      <c r="G852" s="2"/>
      <c r="H852" s="2"/>
      <c r="I852" s="2"/>
      <c r="J852" s="2"/>
      <c r="K852" s="2"/>
      <c r="L852" s="19"/>
      <c r="M852" s="19"/>
      <c r="N852" s="2"/>
      <c r="O852" s="2"/>
      <c r="P852" s="2"/>
      <c r="Q852" s="2"/>
      <c r="R852" s="2"/>
      <c r="S852" s="2"/>
      <c r="T852" s="2"/>
      <c r="U852" s="2"/>
      <c r="V852" s="2"/>
      <c r="W852" s="2"/>
      <c r="X852" s="2"/>
      <c r="Y852" s="2"/>
      <c r="Z852" s="2"/>
    </row>
    <row r="853" customFormat="false" ht="12" hidden="false" customHeight="true" outlineLevel="0" collapsed="false">
      <c r="A853" s="2"/>
      <c r="B853" s="19"/>
      <c r="C853" s="19"/>
      <c r="D853" s="2"/>
      <c r="E853" s="2"/>
      <c r="F853" s="2"/>
      <c r="G853" s="2"/>
      <c r="H853" s="2"/>
      <c r="I853" s="2"/>
      <c r="J853" s="2"/>
      <c r="K853" s="2"/>
      <c r="L853" s="19"/>
      <c r="M853" s="19"/>
      <c r="N853" s="2"/>
      <c r="O853" s="2"/>
      <c r="P853" s="2"/>
      <c r="Q853" s="2"/>
      <c r="R853" s="2"/>
      <c r="S853" s="2"/>
      <c r="T853" s="2"/>
      <c r="U853" s="2"/>
      <c r="V853" s="2"/>
      <c r="W853" s="2"/>
      <c r="X853" s="2"/>
      <c r="Y853" s="2"/>
      <c r="Z853" s="2"/>
    </row>
    <row r="854" customFormat="false" ht="12" hidden="false" customHeight="true" outlineLevel="0" collapsed="false">
      <c r="A854" s="2"/>
      <c r="B854" s="19"/>
      <c r="C854" s="19"/>
      <c r="D854" s="2"/>
      <c r="E854" s="2"/>
      <c r="F854" s="2"/>
      <c r="G854" s="2"/>
      <c r="H854" s="2"/>
      <c r="I854" s="2"/>
      <c r="J854" s="2"/>
      <c r="K854" s="2"/>
      <c r="L854" s="19"/>
      <c r="M854" s="19"/>
      <c r="N854" s="2"/>
      <c r="O854" s="2"/>
      <c r="P854" s="2"/>
      <c r="Q854" s="2"/>
      <c r="R854" s="2"/>
      <c r="S854" s="2"/>
      <c r="T854" s="2"/>
      <c r="U854" s="2"/>
      <c r="V854" s="2"/>
      <c r="W854" s="2"/>
      <c r="X854" s="2"/>
      <c r="Y854" s="2"/>
      <c r="Z854" s="2"/>
    </row>
    <row r="855" customFormat="false" ht="12" hidden="false" customHeight="true" outlineLevel="0" collapsed="false">
      <c r="A855" s="2"/>
      <c r="B855" s="19"/>
      <c r="C855" s="19"/>
      <c r="D855" s="2"/>
      <c r="E855" s="2"/>
      <c r="F855" s="2"/>
      <c r="G855" s="2"/>
      <c r="H855" s="2"/>
      <c r="I855" s="2"/>
      <c r="J855" s="2"/>
      <c r="K855" s="2"/>
      <c r="L855" s="19"/>
      <c r="M855" s="19"/>
      <c r="N855" s="2"/>
      <c r="O855" s="2"/>
      <c r="P855" s="2"/>
      <c r="Q855" s="2"/>
      <c r="R855" s="2"/>
      <c r="S855" s="2"/>
      <c r="T855" s="2"/>
      <c r="U855" s="2"/>
      <c r="V855" s="2"/>
      <c r="W855" s="2"/>
      <c r="X855" s="2"/>
      <c r="Y855" s="2"/>
      <c r="Z855" s="2"/>
    </row>
    <row r="856" customFormat="false" ht="12" hidden="false" customHeight="true" outlineLevel="0" collapsed="false">
      <c r="A856" s="2"/>
      <c r="B856" s="19"/>
      <c r="C856" s="19"/>
      <c r="D856" s="2"/>
      <c r="E856" s="2"/>
      <c r="F856" s="2"/>
      <c r="G856" s="2"/>
      <c r="H856" s="2"/>
      <c r="I856" s="2"/>
      <c r="J856" s="2"/>
      <c r="K856" s="2"/>
      <c r="L856" s="19"/>
      <c r="M856" s="19"/>
      <c r="N856" s="2"/>
      <c r="O856" s="2"/>
      <c r="P856" s="2"/>
      <c r="Q856" s="2"/>
      <c r="R856" s="2"/>
      <c r="S856" s="2"/>
      <c r="T856" s="2"/>
      <c r="U856" s="2"/>
      <c r="V856" s="2"/>
      <c r="W856" s="2"/>
      <c r="X856" s="2"/>
      <c r="Y856" s="2"/>
      <c r="Z856" s="2"/>
    </row>
    <row r="857" customFormat="false" ht="12" hidden="false" customHeight="true" outlineLevel="0" collapsed="false">
      <c r="A857" s="2"/>
      <c r="B857" s="19"/>
      <c r="C857" s="19"/>
      <c r="D857" s="2"/>
      <c r="E857" s="2"/>
      <c r="F857" s="2"/>
      <c r="G857" s="2"/>
      <c r="H857" s="2"/>
      <c r="I857" s="2"/>
      <c r="J857" s="2"/>
      <c r="K857" s="2"/>
      <c r="L857" s="19"/>
      <c r="M857" s="19"/>
      <c r="N857" s="2"/>
      <c r="O857" s="2"/>
      <c r="P857" s="2"/>
      <c r="Q857" s="2"/>
      <c r="R857" s="2"/>
      <c r="S857" s="2"/>
      <c r="T857" s="2"/>
      <c r="U857" s="2"/>
      <c r="V857" s="2"/>
      <c r="W857" s="2"/>
      <c r="X857" s="2"/>
      <c r="Y857" s="2"/>
      <c r="Z857" s="2"/>
    </row>
    <row r="858" customFormat="false" ht="12" hidden="false" customHeight="true" outlineLevel="0" collapsed="false">
      <c r="A858" s="2"/>
      <c r="B858" s="19"/>
      <c r="C858" s="19"/>
      <c r="D858" s="2"/>
      <c r="E858" s="2"/>
      <c r="F858" s="2"/>
      <c r="G858" s="2"/>
      <c r="H858" s="2"/>
      <c r="I858" s="2"/>
      <c r="J858" s="2"/>
      <c r="K858" s="2"/>
      <c r="L858" s="19"/>
      <c r="M858" s="19"/>
      <c r="N858" s="2"/>
      <c r="O858" s="2"/>
      <c r="P858" s="2"/>
      <c r="Q858" s="2"/>
      <c r="R858" s="2"/>
      <c r="S858" s="2"/>
      <c r="T858" s="2"/>
      <c r="U858" s="2"/>
      <c r="V858" s="2"/>
      <c r="W858" s="2"/>
      <c r="X858" s="2"/>
      <c r="Y858" s="2"/>
      <c r="Z858" s="2"/>
    </row>
    <row r="859" customFormat="false" ht="12" hidden="false" customHeight="true" outlineLevel="0" collapsed="false">
      <c r="A859" s="2"/>
      <c r="B859" s="19"/>
      <c r="C859" s="19"/>
      <c r="D859" s="2"/>
      <c r="E859" s="2"/>
      <c r="F859" s="2"/>
      <c r="G859" s="2"/>
      <c r="H859" s="2"/>
      <c r="I859" s="2"/>
      <c r="J859" s="2"/>
      <c r="K859" s="2"/>
      <c r="L859" s="19"/>
      <c r="M859" s="19"/>
      <c r="N859" s="2"/>
      <c r="O859" s="2"/>
      <c r="P859" s="2"/>
      <c r="Q859" s="2"/>
      <c r="R859" s="2"/>
      <c r="S859" s="2"/>
      <c r="T859" s="2"/>
      <c r="U859" s="2"/>
      <c r="V859" s="2"/>
      <c r="W859" s="2"/>
      <c r="X859" s="2"/>
      <c r="Y859" s="2"/>
      <c r="Z859" s="2"/>
    </row>
    <row r="860" customFormat="false" ht="12" hidden="false" customHeight="true" outlineLevel="0" collapsed="false">
      <c r="A860" s="2"/>
      <c r="B860" s="19"/>
      <c r="C860" s="19"/>
      <c r="D860" s="2"/>
      <c r="E860" s="2"/>
      <c r="F860" s="2"/>
      <c r="G860" s="2"/>
      <c r="H860" s="2"/>
      <c r="I860" s="2"/>
      <c r="J860" s="2"/>
      <c r="K860" s="2"/>
      <c r="L860" s="19"/>
      <c r="M860" s="19"/>
      <c r="N860" s="2"/>
      <c r="O860" s="2"/>
      <c r="P860" s="2"/>
      <c r="Q860" s="2"/>
      <c r="R860" s="2"/>
      <c r="S860" s="2"/>
      <c r="T860" s="2"/>
      <c r="U860" s="2"/>
      <c r="V860" s="2"/>
      <c r="W860" s="2"/>
      <c r="X860" s="2"/>
      <c r="Y860" s="2"/>
      <c r="Z860" s="2"/>
    </row>
    <row r="861" customFormat="false" ht="12" hidden="false" customHeight="true" outlineLevel="0" collapsed="false">
      <c r="A861" s="2"/>
      <c r="B861" s="19"/>
      <c r="C861" s="19"/>
      <c r="D861" s="2"/>
      <c r="E861" s="2"/>
      <c r="F861" s="2"/>
      <c r="G861" s="2"/>
      <c r="H861" s="2"/>
      <c r="I861" s="2"/>
      <c r="J861" s="2"/>
      <c r="K861" s="2"/>
      <c r="L861" s="19"/>
      <c r="M861" s="19"/>
      <c r="N861" s="2"/>
      <c r="O861" s="2"/>
      <c r="P861" s="2"/>
      <c r="Q861" s="2"/>
      <c r="R861" s="2"/>
      <c r="S861" s="2"/>
      <c r="T861" s="2"/>
      <c r="U861" s="2"/>
      <c r="V861" s="2"/>
      <c r="W861" s="2"/>
      <c r="X861" s="2"/>
      <c r="Y861" s="2"/>
      <c r="Z861" s="2"/>
    </row>
    <row r="862" customFormat="false" ht="12" hidden="false" customHeight="true" outlineLevel="0" collapsed="false">
      <c r="A862" s="2"/>
      <c r="B862" s="19"/>
      <c r="C862" s="19"/>
      <c r="D862" s="2"/>
      <c r="E862" s="2"/>
      <c r="F862" s="2"/>
      <c r="G862" s="2"/>
      <c r="H862" s="2"/>
      <c r="I862" s="2"/>
      <c r="J862" s="2"/>
      <c r="K862" s="2"/>
      <c r="L862" s="19"/>
      <c r="M862" s="19"/>
      <c r="N862" s="2"/>
      <c r="O862" s="2"/>
      <c r="P862" s="2"/>
      <c r="Q862" s="2"/>
      <c r="R862" s="2"/>
      <c r="S862" s="2"/>
      <c r="T862" s="2"/>
      <c r="U862" s="2"/>
      <c r="V862" s="2"/>
      <c r="W862" s="2"/>
      <c r="X862" s="2"/>
      <c r="Y862" s="2"/>
      <c r="Z862" s="2"/>
    </row>
    <row r="863" customFormat="false" ht="12" hidden="false" customHeight="true" outlineLevel="0" collapsed="false">
      <c r="A863" s="2"/>
      <c r="B863" s="19"/>
      <c r="C863" s="19"/>
      <c r="D863" s="2"/>
      <c r="E863" s="2"/>
      <c r="F863" s="2"/>
      <c r="G863" s="2"/>
      <c r="H863" s="2"/>
      <c r="I863" s="2"/>
      <c r="J863" s="2"/>
      <c r="K863" s="2"/>
      <c r="L863" s="19"/>
      <c r="M863" s="19"/>
      <c r="N863" s="2"/>
      <c r="O863" s="2"/>
      <c r="P863" s="2"/>
      <c r="Q863" s="2"/>
      <c r="R863" s="2"/>
      <c r="S863" s="2"/>
      <c r="T863" s="2"/>
      <c r="U863" s="2"/>
      <c r="V863" s="2"/>
      <c r="W863" s="2"/>
      <c r="X863" s="2"/>
      <c r="Y863" s="2"/>
      <c r="Z863" s="2"/>
    </row>
    <row r="864" customFormat="false" ht="12" hidden="false" customHeight="true" outlineLevel="0" collapsed="false">
      <c r="A864" s="2"/>
      <c r="B864" s="19"/>
      <c r="C864" s="19"/>
      <c r="D864" s="2"/>
      <c r="E864" s="2"/>
      <c r="F864" s="2"/>
      <c r="G864" s="2"/>
      <c r="H864" s="2"/>
      <c r="I864" s="2"/>
      <c r="J864" s="2"/>
      <c r="K864" s="2"/>
      <c r="L864" s="19"/>
      <c r="M864" s="19"/>
      <c r="N864" s="2"/>
      <c r="O864" s="2"/>
      <c r="P864" s="2"/>
      <c r="Q864" s="2"/>
      <c r="R864" s="2"/>
      <c r="S864" s="2"/>
      <c r="T864" s="2"/>
      <c r="U864" s="2"/>
      <c r="V864" s="2"/>
      <c r="W864" s="2"/>
      <c r="X864" s="2"/>
      <c r="Y864" s="2"/>
      <c r="Z864" s="2"/>
    </row>
    <row r="865" customFormat="false" ht="12" hidden="false" customHeight="true" outlineLevel="0" collapsed="false">
      <c r="A865" s="2"/>
      <c r="B865" s="19"/>
      <c r="C865" s="19"/>
      <c r="D865" s="2"/>
      <c r="E865" s="2"/>
      <c r="F865" s="2"/>
      <c r="G865" s="2"/>
      <c r="H865" s="2"/>
      <c r="I865" s="2"/>
      <c r="J865" s="2"/>
      <c r="K865" s="2"/>
      <c r="L865" s="19"/>
      <c r="M865" s="19"/>
      <c r="N865" s="2"/>
      <c r="O865" s="2"/>
      <c r="P865" s="2"/>
      <c r="Q865" s="2"/>
      <c r="R865" s="2"/>
      <c r="S865" s="2"/>
      <c r="T865" s="2"/>
      <c r="U865" s="2"/>
      <c r="V865" s="2"/>
      <c r="W865" s="2"/>
      <c r="X865" s="2"/>
      <c r="Y865" s="2"/>
      <c r="Z865" s="2"/>
    </row>
    <row r="866" customFormat="false" ht="12" hidden="false" customHeight="true" outlineLevel="0" collapsed="false">
      <c r="A866" s="2"/>
      <c r="B866" s="19"/>
      <c r="C866" s="19"/>
      <c r="D866" s="2"/>
      <c r="E866" s="2"/>
      <c r="F866" s="2"/>
      <c r="G866" s="2"/>
      <c r="H866" s="2"/>
      <c r="I866" s="2"/>
      <c r="J866" s="2"/>
      <c r="K866" s="2"/>
      <c r="L866" s="19"/>
      <c r="M866" s="19"/>
      <c r="N866" s="2"/>
      <c r="O866" s="2"/>
      <c r="P866" s="2"/>
      <c r="Q866" s="2"/>
      <c r="R866" s="2"/>
      <c r="S866" s="2"/>
      <c r="T866" s="2"/>
      <c r="U866" s="2"/>
      <c r="V866" s="2"/>
      <c r="W866" s="2"/>
      <c r="X866" s="2"/>
      <c r="Y866" s="2"/>
      <c r="Z866" s="2"/>
    </row>
    <row r="867" customFormat="false" ht="12" hidden="false" customHeight="true" outlineLevel="0" collapsed="false">
      <c r="A867" s="2"/>
      <c r="B867" s="19"/>
      <c r="C867" s="19"/>
      <c r="D867" s="2"/>
      <c r="E867" s="2"/>
      <c r="F867" s="2"/>
      <c r="G867" s="2"/>
      <c r="H867" s="2"/>
      <c r="I867" s="2"/>
      <c r="J867" s="2"/>
      <c r="K867" s="2"/>
      <c r="L867" s="19"/>
      <c r="M867" s="19"/>
      <c r="N867" s="2"/>
      <c r="O867" s="2"/>
      <c r="P867" s="2"/>
      <c r="Q867" s="2"/>
      <c r="R867" s="2"/>
      <c r="S867" s="2"/>
      <c r="T867" s="2"/>
      <c r="U867" s="2"/>
      <c r="V867" s="2"/>
      <c r="W867" s="2"/>
      <c r="X867" s="2"/>
      <c r="Y867" s="2"/>
      <c r="Z867" s="2"/>
    </row>
    <row r="868" customFormat="false" ht="12" hidden="false" customHeight="true" outlineLevel="0" collapsed="false">
      <c r="A868" s="2"/>
      <c r="B868" s="19"/>
      <c r="C868" s="19"/>
      <c r="D868" s="2"/>
      <c r="E868" s="2"/>
      <c r="F868" s="2"/>
      <c r="G868" s="2"/>
      <c r="H868" s="2"/>
      <c r="I868" s="2"/>
      <c r="J868" s="2"/>
      <c r="K868" s="2"/>
      <c r="L868" s="19"/>
      <c r="M868" s="19"/>
      <c r="N868" s="2"/>
      <c r="O868" s="2"/>
      <c r="P868" s="2"/>
      <c r="Q868" s="2"/>
      <c r="R868" s="2"/>
      <c r="S868" s="2"/>
      <c r="T868" s="2"/>
      <c r="U868" s="2"/>
      <c r="V868" s="2"/>
      <c r="W868" s="2"/>
      <c r="X868" s="2"/>
      <c r="Y868" s="2"/>
      <c r="Z868" s="2"/>
    </row>
    <row r="869" customFormat="false" ht="12" hidden="false" customHeight="true" outlineLevel="0" collapsed="false">
      <c r="A869" s="2"/>
      <c r="B869" s="19"/>
      <c r="C869" s="19"/>
      <c r="D869" s="2"/>
      <c r="E869" s="2"/>
      <c r="F869" s="2"/>
      <c r="G869" s="2"/>
      <c r="H869" s="2"/>
      <c r="I869" s="2"/>
      <c r="J869" s="2"/>
      <c r="K869" s="2"/>
      <c r="L869" s="19"/>
      <c r="M869" s="19"/>
      <c r="N869" s="2"/>
      <c r="O869" s="2"/>
      <c r="P869" s="2"/>
      <c r="Q869" s="2"/>
      <c r="R869" s="2"/>
      <c r="S869" s="2"/>
      <c r="T869" s="2"/>
      <c r="U869" s="2"/>
      <c r="V869" s="2"/>
      <c r="W869" s="2"/>
      <c r="X869" s="2"/>
      <c r="Y869" s="2"/>
      <c r="Z869" s="2"/>
    </row>
    <row r="870" customFormat="false" ht="12" hidden="false" customHeight="true" outlineLevel="0" collapsed="false">
      <c r="A870" s="2"/>
      <c r="B870" s="19"/>
      <c r="C870" s="19"/>
      <c r="D870" s="2"/>
      <c r="E870" s="2"/>
      <c r="F870" s="2"/>
      <c r="G870" s="2"/>
      <c r="H870" s="2"/>
      <c r="I870" s="2"/>
      <c r="J870" s="2"/>
      <c r="K870" s="2"/>
      <c r="L870" s="19"/>
      <c r="M870" s="19"/>
      <c r="N870" s="2"/>
      <c r="O870" s="2"/>
      <c r="P870" s="2"/>
      <c r="Q870" s="2"/>
      <c r="R870" s="2"/>
      <c r="S870" s="2"/>
      <c r="T870" s="2"/>
      <c r="U870" s="2"/>
      <c r="V870" s="2"/>
      <c r="W870" s="2"/>
      <c r="X870" s="2"/>
      <c r="Y870" s="2"/>
      <c r="Z870" s="2"/>
    </row>
    <row r="871" customFormat="false" ht="12" hidden="false" customHeight="true" outlineLevel="0" collapsed="false">
      <c r="A871" s="2"/>
      <c r="B871" s="19"/>
      <c r="C871" s="19"/>
      <c r="D871" s="2"/>
      <c r="E871" s="2"/>
      <c r="F871" s="2"/>
      <c r="G871" s="2"/>
      <c r="H871" s="2"/>
      <c r="I871" s="2"/>
      <c r="J871" s="2"/>
      <c r="K871" s="2"/>
      <c r="L871" s="19"/>
      <c r="M871" s="19"/>
      <c r="N871" s="2"/>
      <c r="O871" s="2"/>
      <c r="P871" s="2"/>
      <c r="Q871" s="2"/>
      <c r="R871" s="2"/>
      <c r="S871" s="2"/>
      <c r="T871" s="2"/>
      <c r="U871" s="2"/>
      <c r="V871" s="2"/>
      <c r="W871" s="2"/>
      <c r="X871" s="2"/>
      <c r="Y871" s="2"/>
      <c r="Z871" s="2"/>
    </row>
    <row r="872" customFormat="false" ht="12" hidden="false" customHeight="true" outlineLevel="0" collapsed="false">
      <c r="A872" s="2"/>
      <c r="B872" s="19"/>
      <c r="C872" s="19"/>
      <c r="D872" s="2"/>
      <c r="E872" s="2"/>
      <c r="F872" s="2"/>
      <c r="G872" s="2"/>
      <c r="H872" s="2"/>
      <c r="I872" s="2"/>
      <c r="J872" s="2"/>
      <c r="K872" s="2"/>
      <c r="L872" s="19"/>
      <c r="M872" s="19"/>
      <c r="N872" s="2"/>
      <c r="O872" s="2"/>
      <c r="P872" s="2"/>
      <c r="Q872" s="2"/>
      <c r="R872" s="2"/>
      <c r="S872" s="2"/>
      <c r="T872" s="2"/>
      <c r="U872" s="2"/>
      <c r="V872" s="2"/>
      <c r="W872" s="2"/>
      <c r="X872" s="2"/>
      <c r="Y872" s="2"/>
      <c r="Z872" s="2"/>
    </row>
    <row r="873" customFormat="false" ht="12" hidden="false" customHeight="true" outlineLevel="0" collapsed="false">
      <c r="A873" s="2"/>
      <c r="B873" s="19"/>
      <c r="C873" s="19"/>
      <c r="D873" s="2"/>
      <c r="E873" s="2"/>
      <c r="F873" s="2"/>
      <c r="G873" s="2"/>
      <c r="H873" s="2"/>
      <c r="I873" s="2"/>
      <c r="J873" s="2"/>
      <c r="K873" s="2"/>
      <c r="L873" s="19"/>
      <c r="M873" s="19"/>
      <c r="N873" s="2"/>
      <c r="O873" s="2"/>
      <c r="P873" s="2"/>
      <c r="Q873" s="2"/>
      <c r="R873" s="2"/>
      <c r="S873" s="2"/>
      <c r="T873" s="2"/>
      <c r="U873" s="2"/>
      <c r="V873" s="2"/>
      <c r="W873" s="2"/>
      <c r="X873" s="2"/>
      <c r="Y873" s="2"/>
      <c r="Z873" s="2"/>
    </row>
    <row r="874" customFormat="false" ht="12" hidden="false" customHeight="true" outlineLevel="0" collapsed="false">
      <c r="A874" s="2"/>
      <c r="B874" s="19"/>
      <c r="C874" s="19"/>
      <c r="D874" s="2"/>
      <c r="E874" s="2"/>
      <c r="F874" s="2"/>
      <c r="G874" s="2"/>
      <c r="H874" s="2"/>
      <c r="I874" s="2"/>
      <c r="J874" s="2"/>
      <c r="K874" s="2"/>
      <c r="L874" s="19"/>
      <c r="M874" s="19"/>
      <c r="N874" s="2"/>
      <c r="O874" s="2"/>
      <c r="P874" s="2"/>
      <c r="Q874" s="2"/>
      <c r="R874" s="2"/>
      <c r="S874" s="2"/>
      <c r="T874" s="2"/>
      <c r="U874" s="2"/>
      <c r="V874" s="2"/>
      <c r="W874" s="2"/>
      <c r="X874" s="2"/>
      <c r="Y874" s="2"/>
      <c r="Z874" s="2"/>
    </row>
    <row r="875" customFormat="false" ht="12" hidden="false" customHeight="true" outlineLevel="0" collapsed="false">
      <c r="A875" s="2"/>
      <c r="B875" s="19"/>
      <c r="C875" s="19"/>
      <c r="D875" s="2"/>
      <c r="E875" s="2"/>
      <c r="F875" s="2"/>
      <c r="G875" s="2"/>
      <c r="H875" s="2"/>
      <c r="I875" s="2"/>
      <c r="J875" s="2"/>
      <c r="K875" s="2"/>
      <c r="L875" s="19"/>
      <c r="M875" s="19"/>
      <c r="N875" s="2"/>
      <c r="O875" s="2"/>
      <c r="P875" s="2"/>
      <c r="Q875" s="2"/>
      <c r="R875" s="2"/>
      <c r="S875" s="2"/>
      <c r="T875" s="2"/>
      <c r="U875" s="2"/>
      <c r="V875" s="2"/>
      <c r="W875" s="2"/>
      <c r="X875" s="2"/>
      <c r="Y875" s="2"/>
      <c r="Z875" s="2"/>
    </row>
    <row r="876" customFormat="false" ht="12" hidden="false" customHeight="true" outlineLevel="0" collapsed="false">
      <c r="A876" s="2"/>
      <c r="B876" s="19"/>
      <c r="C876" s="19"/>
      <c r="D876" s="2"/>
      <c r="E876" s="2"/>
      <c r="F876" s="2"/>
      <c r="G876" s="2"/>
      <c r="H876" s="2"/>
      <c r="I876" s="2"/>
      <c r="J876" s="2"/>
      <c r="K876" s="2"/>
      <c r="L876" s="19"/>
      <c r="M876" s="19"/>
      <c r="N876" s="2"/>
      <c r="O876" s="2"/>
      <c r="P876" s="2"/>
      <c r="Q876" s="2"/>
      <c r="R876" s="2"/>
      <c r="S876" s="2"/>
      <c r="T876" s="2"/>
      <c r="U876" s="2"/>
      <c r="V876" s="2"/>
      <c r="W876" s="2"/>
      <c r="X876" s="2"/>
      <c r="Y876" s="2"/>
      <c r="Z876" s="2"/>
    </row>
    <row r="877" customFormat="false" ht="12" hidden="false" customHeight="true" outlineLevel="0" collapsed="false">
      <c r="A877" s="2"/>
      <c r="B877" s="19"/>
      <c r="C877" s="19"/>
      <c r="D877" s="2"/>
      <c r="E877" s="2"/>
      <c r="F877" s="2"/>
      <c r="G877" s="2"/>
      <c r="H877" s="2"/>
      <c r="I877" s="2"/>
      <c r="J877" s="2"/>
      <c r="K877" s="2"/>
      <c r="L877" s="19"/>
      <c r="M877" s="19"/>
      <c r="N877" s="2"/>
      <c r="O877" s="2"/>
      <c r="P877" s="2"/>
      <c r="Q877" s="2"/>
      <c r="R877" s="2"/>
      <c r="S877" s="2"/>
      <c r="T877" s="2"/>
      <c r="U877" s="2"/>
      <c r="V877" s="2"/>
      <c r="W877" s="2"/>
      <c r="X877" s="2"/>
      <c r="Y877" s="2"/>
      <c r="Z877" s="2"/>
    </row>
    <row r="878" customFormat="false" ht="12" hidden="false" customHeight="true" outlineLevel="0" collapsed="false">
      <c r="A878" s="2"/>
      <c r="B878" s="19"/>
      <c r="C878" s="19"/>
      <c r="D878" s="2"/>
      <c r="E878" s="2"/>
      <c r="F878" s="2"/>
      <c r="G878" s="2"/>
      <c r="H878" s="2"/>
      <c r="I878" s="2"/>
      <c r="J878" s="2"/>
      <c r="K878" s="2"/>
      <c r="L878" s="19"/>
      <c r="M878" s="19"/>
      <c r="N878" s="2"/>
      <c r="O878" s="2"/>
      <c r="P878" s="2"/>
      <c r="Q878" s="2"/>
      <c r="R878" s="2"/>
      <c r="S878" s="2"/>
      <c r="T878" s="2"/>
      <c r="U878" s="2"/>
      <c r="V878" s="2"/>
      <c r="W878" s="2"/>
      <c r="X878" s="2"/>
      <c r="Y878" s="2"/>
      <c r="Z878" s="2"/>
    </row>
    <row r="879" customFormat="false" ht="12" hidden="false" customHeight="true" outlineLevel="0" collapsed="false">
      <c r="A879" s="2"/>
      <c r="B879" s="19"/>
      <c r="C879" s="19"/>
      <c r="D879" s="2"/>
      <c r="E879" s="2"/>
      <c r="F879" s="2"/>
      <c r="G879" s="2"/>
      <c r="H879" s="2"/>
      <c r="I879" s="2"/>
      <c r="J879" s="2"/>
      <c r="K879" s="2"/>
      <c r="L879" s="19"/>
      <c r="M879" s="19"/>
      <c r="N879" s="2"/>
      <c r="O879" s="2"/>
      <c r="P879" s="2"/>
      <c r="Q879" s="2"/>
      <c r="R879" s="2"/>
      <c r="S879" s="2"/>
      <c r="T879" s="2"/>
      <c r="U879" s="2"/>
      <c r="V879" s="2"/>
      <c r="W879" s="2"/>
      <c r="X879" s="2"/>
      <c r="Y879" s="2"/>
      <c r="Z879" s="2"/>
    </row>
    <row r="880" customFormat="false" ht="12" hidden="false" customHeight="true" outlineLevel="0" collapsed="false">
      <c r="A880" s="2"/>
      <c r="B880" s="19"/>
      <c r="C880" s="19"/>
      <c r="D880" s="2"/>
      <c r="E880" s="2"/>
      <c r="F880" s="2"/>
      <c r="G880" s="2"/>
      <c r="H880" s="2"/>
      <c r="I880" s="2"/>
      <c r="J880" s="2"/>
      <c r="K880" s="2"/>
      <c r="L880" s="19"/>
      <c r="M880" s="19"/>
      <c r="N880" s="2"/>
      <c r="O880" s="2"/>
      <c r="P880" s="2"/>
      <c r="Q880" s="2"/>
      <c r="R880" s="2"/>
      <c r="S880" s="2"/>
      <c r="T880" s="2"/>
      <c r="U880" s="2"/>
      <c r="V880" s="2"/>
      <c r="W880" s="2"/>
      <c r="X880" s="2"/>
      <c r="Y880" s="2"/>
      <c r="Z880" s="2"/>
    </row>
    <row r="881" customFormat="false" ht="12" hidden="false" customHeight="true" outlineLevel="0" collapsed="false">
      <c r="A881" s="2"/>
      <c r="B881" s="19"/>
      <c r="C881" s="19"/>
      <c r="D881" s="2"/>
      <c r="E881" s="2"/>
      <c r="F881" s="2"/>
      <c r="G881" s="2"/>
      <c r="H881" s="2"/>
      <c r="I881" s="2"/>
      <c r="J881" s="2"/>
      <c r="K881" s="2"/>
      <c r="L881" s="19"/>
      <c r="M881" s="19"/>
      <c r="N881" s="2"/>
      <c r="O881" s="2"/>
      <c r="P881" s="2"/>
      <c r="Q881" s="2"/>
      <c r="R881" s="2"/>
      <c r="S881" s="2"/>
      <c r="T881" s="2"/>
      <c r="U881" s="2"/>
      <c r="V881" s="2"/>
      <c r="W881" s="2"/>
      <c r="X881" s="2"/>
      <c r="Y881" s="2"/>
      <c r="Z881" s="2"/>
    </row>
    <row r="882" customFormat="false" ht="12" hidden="false" customHeight="true" outlineLevel="0" collapsed="false">
      <c r="A882" s="2"/>
      <c r="B882" s="19"/>
      <c r="C882" s="19"/>
      <c r="D882" s="2"/>
      <c r="E882" s="2"/>
      <c r="F882" s="2"/>
      <c r="G882" s="2"/>
      <c r="H882" s="2"/>
      <c r="I882" s="2"/>
      <c r="J882" s="2"/>
      <c r="K882" s="2"/>
      <c r="L882" s="19"/>
      <c r="M882" s="19"/>
      <c r="N882" s="2"/>
      <c r="O882" s="2"/>
      <c r="P882" s="2"/>
      <c r="Q882" s="2"/>
      <c r="R882" s="2"/>
      <c r="S882" s="2"/>
      <c r="T882" s="2"/>
      <c r="U882" s="2"/>
      <c r="V882" s="2"/>
      <c r="W882" s="2"/>
      <c r="X882" s="2"/>
      <c r="Y882" s="2"/>
      <c r="Z882" s="2"/>
    </row>
    <row r="883" customFormat="false" ht="12" hidden="false" customHeight="true" outlineLevel="0" collapsed="false">
      <c r="A883" s="2"/>
      <c r="B883" s="19"/>
      <c r="C883" s="19"/>
      <c r="D883" s="2"/>
      <c r="E883" s="2"/>
      <c r="F883" s="2"/>
      <c r="G883" s="2"/>
      <c r="H883" s="2"/>
      <c r="I883" s="2"/>
      <c r="J883" s="2"/>
      <c r="K883" s="2"/>
      <c r="L883" s="19"/>
      <c r="M883" s="19"/>
      <c r="N883" s="2"/>
      <c r="O883" s="2"/>
      <c r="P883" s="2"/>
      <c r="Q883" s="2"/>
      <c r="R883" s="2"/>
      <c r="S883" s="2"/>
      <c r="T883" s="2"/>
      <c r="U883" s="2"/>
      <c r="V883" s="2"/>
      <c r="W883" s="2"/>
      <c r="X883" s="2"/>
      <c r="Y883" s="2"/>
      <c r="Z883" s="2"/>
    </row>
    <row r="884" customFormat="false" ht="12" hidden="false" customHeight="true" outlineLevel="0" collapsed="false">
      <c r="A884" s="2"/>
      <c r="B884" s="19"/>
      <c r="C884" s="19"/>
      <c r="D884" s="2"/>
      <c r="E884" s="2"/>
      <c r="F884" s="2"/>
      <c r="G884" s="2"/>
      <c r="H884" s="2"/>
      <c r="I884" s="2"/>
      <c r="J884" s="2"/>
      <c r="K884" s="2"/>
      <c r="L884" s="19"/>
      <c r="M884" s="19"/>
      <c r="N884" s="2"/>
      <c r="O884" s="2"/>
      <c r="P884" s="2"/>
      <c r="Q884" s="2"/>
      <c r="R884" s="2"/>
      <c r="S884" s="2"/>
      <c r="T884" s="2"/>
      <c r="U884" s="2"/>
      <c r="V884" s="2"/>
      <c r="W884" s="2"/>
      <c r="X884" s="2"/>
      <c r="Y884" s="2"/>
      <c r="Z884" s="2"/>
    </row>
    <row r="885" customFormat="false" ht="12" hidden="false" customHeight="true" outlineLevel="0" collapsed="false">
      <c r="A885" s="2"/>
      <c r="B885" s="19"/>
      <c r="C885" s="19"/>
      <c r="D885" s="2"/>
      <c r="E885" s="2"/>
      <c r="F885" s="2"/>
      <c r="G885" s="2"/>
      <c r="H885" s="2"/>
      <c r="I885" s="2"/>
      <c r="J885" s="2"/>
      <c r="K885" s="2"/>
      <c r="L885" s="19"/>
      <c r="M885" s="19"/>
      <c r="N885" s="2"/>
      <c r="O885" s="2"/>
      <c r="P885" s="2"/>
      <c r="Q885" s="2"/>
      <c r="R885" s="2"/>
      <c r="S885" s="2"/>
      <c r="T885" s="2"/>
      <c r="U885" s="2"/>
      <c r="V885" s="2"/>
      <c r="W885" s="2"/>
      <c r="X885" s="2"/>
      <c r="Y885" s="2"/>
      <c r="Z885" s="2"/>
    </row>
    <row r="886" customFormat="false" ht="12" hidden="false" customHeight="true" outlineLevel="0" collapsed="false">
      <c r="A886" s="2"/>
      <c r="B886" s="19"/>
      <c r="C886" s="19"/>
      <c r="D886" s="2"/>
      <c r="E886" s="2"/>
      <c r="F886" s="2"/>
      <c r="G886" s="2"/>
      <c r="H886" s="2"/>
      <c r="I886" s="2"/>
      <c r="J886" s="2"/>
      <c r="K886" s="2"/>
      <c r="L886" s="19"/>
      <c r="M886" s="19"/>
      <c r="N886" s="2"/>
      <c r="O886" s="2"/>
      <c r="P886" s="2"/>
      <c r="Q886" s="2"/>
      <c r="R886" s="2"/>
      <c r="S886" s="2"/>
      <c r="T886" s="2"/>
      <c r="U886" s="2"/>
      <c r="V886" s="2"/>
      <c r="W886" s="2"/>
      <c r="X886" s="2"/>
      <c r="Y886" s="2"/>
      <c r="Z886" s="2"/>
    </row>
    <row r="887" customFormat="false" ht="12" hidden="false" customHeight="true" outlineLevel="0" collapsed="false">
      <c r="A887" s="2"/>
      <c r="B887" s="19"/>
      <c r="C887" s="19"/>
      <c r="D887" s="2"/>
      <c r="E887" s="2"/>
      <c r="F887" s="2"/>
      <c r="G887" s="2"/>
      <c r="H887" s="2"/>
      <c r="I887" s="2"/>
      <c r="J887" s="2"/>
      <c r="K887" s="2"/>
      <c r="L887" s="19"/>
      <c r="M887" s="19"/>
      <c r="N887" s="2"/>
      <c r="O887" s="2"/>
      <c r="P887" s="2"/>
      <c r="Q887" s="2"/>
      <c r="R887" s="2"/>
      <c r="S887" s="2"/>
      <c r="T887" s="2"/>
      <c r="U887" s="2"/>
      <c r="V887" s="2"/>
      <c r="W887" s="2"/>
      <c r="X887" s="2"/>
      <c r="Y887" s="2"/>
      <c r="Z887" s="2"/>
    </row>
    <row r="888" customFormat="false" ht="12" hidden="false" customHeight="true" outlineLevel="0" collapsed="false">
      <c r="A888" s="2"/>
      <c r="B888" s="19"/>
      <c r="C888" s="19"/>
      <c r="D888" s="2"/>
      <c r="E888" s="2"/>
      <c r="F888" s="2"/>
      <c r="G888" s="2"/>
      <c r="H888" s="2"/>
      <c r="I888" s="2"/>
      <c r="J888" s="2"/>
      <c r="K888" s="2"/>
      <c r="L888" s="19"/>
      <c r="M888" s="19"/>
      <c r="N888" s="2"/>
      <c r="O888" s="2"/>
      <c r="P888" s="2"/>
      <c r="Q888" s="2"/>
      <c r="R888" s="2"/>
      <c r="S888" s="2"/>
      <c r="T888" s="2"/>
      <c r="U888" s="2"/>
      <c r="V888" s="2"/>
      <c r="W888" s="2"/>
      <c r="X888" s="2"/>
      <c r="Y888" s="2"/>
      <c r="Z888" s="2"/>
    </row>
    <row r="889" customFormat="false" ht="12" hidden="false" customHeight="true" outlineLevel="0" collapsed="false">
      <c r="A889" s="2"/>
      <c r="B889" s="19"/>
      <c r="C889" s="19"/>
      <c r="D889" s="2"/>
      <c r="E889" s="2"/>
      <c r="F889" s="2"/>
      <c r="G889" s="2"/>
      <c r="H889" s="2"/>
      <c r="I889" s="2"/>
      <c r="J889" s="2"/>
      <c r="K889" s="2"/>
      <c r="L889" s="19"/>
      <c r="M889" s="19"/>
      <c r="N889" s="2"/>
      <c r="O889" s="2"/>
      <c r="P889" s="2"/>
      <c r="Q889" s="2"/>
      <c r="R889" s="2"/>
      <c r="S889" s="2"/>
      <c r="T889" s="2"/>
      <c r="U889" s="2"/>
      <c r="V889" s="2"/>
      <c r="W889" s="2"/>
      <c r="X889" s="2"/>
      <c r="Y889" s="2"/>
      <c r="Z889" s="2"/>
    </row>
    <row r="890" customFormat="false" ht="12" hidden="false" customHeight="true" outlineLevel="0" collapsed="false">
      <c r="A890" s="2"/>
      <c r="B890" s="19"/>
      <c r="C890" s="19"/>
      <c r="D890" s="2"/>
      <c r="E890" s="2"/>
      <c r="F890" s="2"/>
      <c r="G890" s="2"/>
      <c r="H890" s="2"/>
      <c r="I890" s="2"/>
      <c r="J890" s="2"/>
      <c r="K890" s="2"/>
      <c r="L890" s="19"/>
      <c r="M890" s="19"/>
      <c r="N890" s="2"/>
      <c r="O890" s="2"/>
      <c r="P890" s="2"/>
      <c r="Q890" s="2"/>
      <c r="R890" s="2"/>
      <c r="S890" s="2"/>
      <c r="T890" s="2"/>
      <c r="U890" s="2"/>
      <c r="V890" s="2"/>
      <c r="W890" s="2"/>
      <c r="X890" s="2"/>
      <c r="Y890" s="2"/>
      <c r="Z890" s="2"/>
    </row>
    <row r="891" customFormat="false" ht="12" hidden="false" customHeight="true" outlineLevel="0" collapsed="false">
      <c r="A891" s="2"/>
      <c r="B891" s="19"/>
      <c r="C891" s="19"/>
      <c r="D891" s="2"/>
      <c r="E891" s="2"/>
      <c r="F891" s="2"/>
      <c r="G891" s="2"/>
      <c r="H891" s="2"/>
      <c r="I891" s="2"/>
      <c r="J891" s="2"/>
      <c r="K891" s="2"/>
      <c r="L891" s="19"/>
      <c r="M891" s="19"/>
      <c r="N891" s="2"/>
      <c r="O891" s="2"/>
      <c r="P891" s="2"/>
      <c r="Q891" s="2"/>
      <c r="R891" s="2"/>
      <c r="S891" s="2"/>
      <c r="T891" s="2"/>
      <c r="U891" s="2"/>
      <c r="V891" s="2"/>
      <c r="W891" s="2"/>
      <c r="X891" s="2"/>
      <c r="Y891" s="2"/>
      <c r="Z891" s="2"/>
    </row>
    <row r="892" customFormat="false" ht="12" hidden="false" customHeight="true" outlineLevel="0" collapsed="false">
      <c r="A892" s="2"/>
      <c r="B892" s="19"/>
      <c r="C892" s="19"/>
      <c r="D892" s="2"/>
      <c r="E892" s="2"/>
      <c r="F892" s="2"/>
      <c r="G892" s="2"/>
      <c r="H892" s="2"/>
      <c r="I892" s="2"/>
      <c r="J892" s="2"/>
      <c r="K892" s="2"/>
      <c r="L892" s="19"/>
      <c r="M892" s="19"/>
      <c r="N892" s="2"/>
      <c r="O892" s="2"/>
      <c r="P892" s="2"/>
      <c r="Q892" s="2"/>
      <c r="R892" s="2"/>
      <c r="S892" s="2"/>
      <c r="T892" s="2"/>
      <c r="U892" s="2"/>
      <c r="V892" s="2"/>
      <c r="W892" s="2"/>
      <c r="X892" s="2"/>
      <c r="Y892" s="2"/>
      <c r="Z892" s="2"/>
    </row>
    <row r="893" customFormat="false" ht="12" hidden="false" customHeight="true" outlineLevel="0" collapsed="false">
      <c r="A893" s="2"/>
      <c r="B893" s="19"/>
      <c r="C893" s="19"/>
      <c r="D893" s="2"/>
      <c r="E893" s="2"/>
      <c r="F893" s="2"/>
      <c r="G893" s="2"/>
      <c r="H893" s="2"/>
      <c r="I893" s="2"/>
      <c r="J893" s="2"/>
      <c r="K893" s="2"/>
      <c r="L893" s="19"/>
      <c r="M893" s="19"/>
      <c r="N893" s="2"/>
      <c r="O893" s="2"/>
      <c r="P893" s="2"/>
      <c r="Q893" s="2"/>
      <c r="R893" s="2"/>
      <c r="S893" s="2"/>
      <c r="T893" s="2"/>
      <c r="U893" s="2"/>
      <c r="V893" s="2"/>
      <c r="W893" s="2"/>
      <c r="X893" s="2"/>
      <c r="Y893" s="2"/>
      <c r="Z893" s="2"/>
    </row>
    <row r="894" customFormat="false" ht="12" hidden="false" customHeight="true" outlineLevel="0" collapsed="false">
      <c r="A894" s="2"/>
      <c r="B894" s="19"/>
      <c r="C894" s="19"/>
      <c r="D894" s="2"/>
      <c r="E894" s="2"/>
      <c r="F894" s="2"/>
      <c r="G894" s="2"/>
      <c r="H894" s="2"/>
      <c r="I894" s="2"/>
      <c r="J894" s="2"/>
      <c r="K894" s="2"/>
      <c r="L894" s="19"/>
      <c r="M894" s="19"/>
      <c r="N894" s="2"/>
      <c r="O894" s="2"/>
      <c r="P894" s="2"/>
      <c r="Q894" s="2"/>
      <c r="R894" s="2"/>
      <c r="S894" s="2"/>
      <c r="T894" s="2"/>
      <c r="U894" s="2"/>
      <c r="V894" s="2"/>
      <c r="W894" s="2"/>
      <c r="X894" s="2"/>
      <c r="Y894" s="2"/>
      <c r="Z894" s="2"/>
    </row>
    <row r="895" customFormat="false" ht="12" hidden="false" customHeight="true" outlineLevel="0" collapsed="false">
      <c r="A895" s="2"/>
      <c r="B895" s="19"/>
      <c r="C895" s="19"/>
      <c r="D895" s="2"/>
      <c r="E895" s="2"/>
      <c r="F895" s="2"/>
      <c r="G895" s="2"/>
      <c r="H895" s="2"/>
      <c r="I895" s="2"/>
      <c r="J895" s="2"/>
      <c r="K895" s="2"/>
      <c r="L895" s="19"/>
      <c r="M895" s="19"/>
      <c r="N895" s="2"/>
      <c r="O895" s="2"/>
      <c r="P895" s="2"/>
      <c r="Q895" s="2"/>
      <c r="R895" s="2"/>
      <c r="S895" s="2"/>
      <c r="T895" s="2"/>
      <c r="U895" s="2"/>
      <c r="V895" s="2"/>
      <c r="W895" s="2"/>
      <c r="X895" s="2"/>
      <c r="Y895" s="2"/>
      <c r="Z895" s="2"/>
    </row>
    <row r="896" customFormat="false" ht="12" hidden="false" customHeight="true" outlineLevel="0" collapsed="false">
      <c r="A896" s="2"/>
      <c r="B896" s="19"/>
      <c r="C896" s="19"/>
      <c r="D896" s="2"/>
      <c r="E896" s="2"/>
      <c r="F896" s="2"/>
      <c r="G896" s="2"/>
      <c r="H896" s="2"/>
      <c r="I896" s="2"/>
      <c r="J896" s="2"/>
      <c r="K896" s="2"/>
      <c r="L896" s="19"/>
      <c r="M896" s="19"/>
      <c r="N896" s="2"/>
      <c r="O896" s="2"/>
      <c r="P896" s="2"/>
      <c r="Q896" s="2"/>
      <c r="R896" s="2"/>
      <c r="S896" s="2"/>
      <c r="T896" s="2"/>
      <c r="U896" s="2"/>
      <c r="V896" s="2"/>
      <c r="W896" s="2"/>
      <c r="X896" s="2"/>
      <c r="Y896" s="2"/>
      <c r="Z896" s="2"/>
    </row>
    <row r="897" customFormat="false" ht="12" hidden="false" customHeight="true" outlineLevel="0" collapsed="false">
      <c r="A897" s="2"/>
      <c r="B897" s="19"/>
      <c r="C897" s="19"/>
      <c r="D897" s="2"/>
      <c r="E897" s="2"/>
      <c r="F897" s="2"/>
      <c r="G897" s="2"/>
      <c r="H897" s="2"/>
      <c r="I897" s="2"/>
      <c r="J897" s="2"/>
      <c r="K897" s="2"/>
      <c r="L897" s="19"/>
      <c r="M897" s="19"/>
      <c r="N897" s="2"/>
      <c r="O897" s="2"/>
      <c r="P897" s="2"/>
      <c r="Q897" s="2"/>
      <c r="R897" s="2"/>
      <c r="S897" s="2"/>
      <c r="T897" s="2"/>
      <c r="U897" s="2"/>
      <c r="V897" s="2"/>
      <c r="W897" s="2"/>
      <c r="X897" s="2"/>
      <c r="Y897" s="2"/>
      <c r="Z897" s="2"/>
    </row>
    <row r="898" customFormat="false" ht="12" hidden="false" customHeight="true" outlineLevel="0" collapsed="false">
      <c r="A898" s="2"/>
      <c r="B898" s="19"/>
      <c r="C898" s="19"/>
      <c r="D898" s="2"/>
      <c r="E898" s="2"/>
      <c r="F898" s="2"/>
      <c r="G898" s="2"/>
      <c r="H898" s="2"/>
      <c r="I898" s="2"/>
      <c r="J898" s="2"/>
      <c r="K898" s="2"/>
      <c r="L898" s="19"/>
      <c r="M898" s="19"/>
      <c r="N898" s="2"/>
      <c r="O898" s="2"/>
      <c r="P898" s="2"/>
      <c r="Q898" s="2"/>
      <c r="R898" s="2"/>
      <c r="S898" s="2"/>
      <c r="T898" s="2"/>
      <c r="U898" s="2"/>
      <c r="V898" s="2"/>
      <c r="W898" s="2"/>
      <c r="X898" s="2"/>
      <c r="Y898" s="2"/>
      <c r="Z898" s="2"/>
    </row>
    <row r="899" customFormat="false" ht="12" hidden="false" customHeight="true" outlineLevel="0" collapsed="false">
      <c r="A899" s="2"/>
      <c r="B899" s="19"/>
      <c r="C899" s="19"/>
      <c r="D899" s="2"/>
      <c r="E899" s="2"/>
      <c r="F899" s="2"/>
      <c r="G899" s="2"/>
      <c r="H899" s="2"/>
      <c r="I899" s="2"/>
      <c r="J899" s="2"/>
      <c r="K899" s="2"/>
      <c r="L899" s="19"/>
      <c r="M899" s="19"/>
      <c r="N899" s="2"/>
      <c r="O899" s="2"/>
      <c r="P899" s="2"/>
      <c r="Q899" s="2"/>
      <c r="R899" s="2"/>
      <c r="S899" s="2"/>
      <c r="T899" s="2"/>
      <c r="U899" s="2"/>
      <c r="V899" s="2"/>
      <c r="W899" s="2"/>
      <c r="X899" s="2"/>
      <c r="Y899" s="2"/>
      <c r="Z899" s="2"/>
    </row>
    <row r="900" customFormat="false" ht="12" hidden="false" customHeight="true" outlineLevel="0" collapsed="false">
      <c r="A900" s="2"/>
      <c r="B900" s="19"/>
      <c r="C900" s="19"/>
      <c r="D900" s="2"/>
      <c r="E900" s="2"/>
      <c r="F900" s="2"/>
      <c r="G900" s="2"/>
      <c r="H900" s="2"/>
      <c r="I900" s="2"/>
      <c r="J900" s="2"/>
      <c r="K900" s="2"/>
      <c r="L900" s="19"/>
      <c r="M900" s="19"/>
      <c r="N900" s="2"/>
      <c r="O900" s="2"/>
      <c r="P900" s="2"/>
      <c r="Q900" s="2"/>
      <c r="R900" s="2"/>
      <c r="S900" s="2"/>
      <c r="T900" s="2"/>
      <c r="U900" s="2"/>
      <c r="V900" s="2"/>
      <c r="W900" s="2"/>
      <c r="X900" s="2"/>
      <c r="Y900" s="2"/>
      <c r="Z900" s="2"/>
    </row>
    <row r="901" customFormat="false" ht="12" hidden="false" customHeight="true" outlineLevel="0" collapsed="false">
      <c r="A901" s="2"/>
      <c r="B901" s="19"/>
      <c r="C901" s="19"/>
      <c r="D901" s="2"/>
      <c r="E901" s="2"/>
      <c r="F901" s="2"/>
      <c r="G901" s="2"/>
      <c r="H901" s="2"/>
      <c r="I901" s="2"/>
      <c r="J901" s="2"/>
      <c r="K901" s="2"/>
      <c r="L901" s="19"/>
      <c r="M901" s="19"/>
      <c r="N901" s="2"/>
      <c r="O901" s="2"/>
      <c r="P901" s="2"/>
      <c r="Q901" s="2"/>
      <c r="R901" s="2"/>
      <c r="S901" s="2"/>
      <c r="T901" s="2"/>
      <c r="U901" s="2"/>
      <c r="V901" s="2"/>
      <c r="W901" s="2"/>
      <c r="X901" s="2"/>
      <c r="Y901" s="2"/>
      <c r="Z901" s="2"/>
    </row>
    <row r="902" customFormat="false" ht="12" hidden="false" customHeight="true" outlineLevel="0" collapsed="false">
      <c r="A902" s="2"/>
      <c r="B902" s="19"/>
      <c r="C902" s="19"/>
      <c r="D902" s="2"/>
      <c r="E902" s="2"/>
      <c r="F902" s="2"/>
      <c r="G902" s="2"/>
      <c r="H902" s="2"/>
      <c r="I902" s="2"/>
      <c r="J902" s="2"/>
      <c r="K902" s="2"/>
      <c r="L902" s="19"/>
      <c r="M902" s="19"/>
      <c r="N902" s="2"/>
      <c r="O902" s="2"/>
      <c r="P902" s="2"/>
      <c r="Q902" s="2"/>
      <c r="R902" s="2"/>
      <c r="S902" s="2"/>
      <c r="T902" s="2"/>
      <c r="U902" s="2"/>
      <c r="V902" s="2"/>
      <c r="W902" s="2"/>
      <c r="X902" s="2"/>
      <c r="Y902" s="2"/>
      <c r="Z902" s="2"/>
    </row>
    <row r="903" customFormat="false" ht="12" hidden="false" customHeight="true" outlineLevel="0" collapsed="false">
      <c r="A903" s="2"/>
      <c r="B903" s="19"/>
      <c r="C903" s="19"/>
      <c r="D903" s="2"/>
      <c r="E903" s="2"/>
      <c r="F903" s="2"/>
      <c r="G903" s="2"/>
      <c r="H903" s="2"/>
      <c r="I903" s="2"/>
      <c r="J903" s="2"/>
      <c r="K903" s="2"/>
      <c r="L903" s="19"/>
      <c r="M903" s="19"/>
      <c r="N903" s="2"/>
      <c r="O903" s="2"/>
      <c r="P903" s="2"/>
      <c r="Q903" s="2"/>
      <c r="R903" s="2"/>
      <c r="S903" s="2"/>
      <c r="T903" s="2"/>
      <c r="U903" s="2"/>
      <c r="V903" s="2"/>
      <c r="W903" s="2"/>
      <c r="X903" s="2"/>
      <c r="Y903" s="2"/>
      <c r="Z903" s="2"/>
    </row>
    <row r="904" customFormat="false" ht="12" hidden="false" customHeight="true" outlineLevel="0" collapsed="false">
      <c r="A904" s="2"/>
      <c r="B904" s="19"/>
      <c r="C904" s="19"/>
      <c r="D904" s="2"/>
      <c r="E904" s="2"/>
      <c r="F904" s="2"/>
      <c r="G904" s="2"/>
      <c r="H904" s="2"/>
      <c r="I904" s="2"/>
      <c r="J904" s="2"/>
      <c r="K904" s="2"/>
      <c r="L904" s="19"/>
      <c r="M904" s="19"/>
      <c r="N904" s="2"/>
      <c r="O904" s="2"/>
      <c r="P904" s="2"/>
      <c r="Q904" s="2"/>
      <c r="R904" s="2"/>
      <c r="S904" s="2"/>
      <c r="T904" s="2"/>
      <c r="U904" s="2"/>
      <c r="V904" s="2"/>
      <c r="W904" s="2"/>
      <c r="X904" s="2"/>
      <c r="Y904" s="2"/>
      <c r="Z904" s="2"/>
    </row>
    <row r="905" customFormat="false" ht="12" hidden="false" customHeight="true" outlineLevel="0" collapsed="false">
      <c r="A905" s="2"/>
      <c r="B905" s="19"/>
      <c r="C905" s="19"/>
      <c r="D905" s="2"/>
      <c r="E905" s="2"/>
      <c r="F905" s="2"/>
      <c r="G905" s="2"/>
      <c r="H905" s="2"/>
      <c r="I905" s="2"/>
      <c r="J905" s="2"/>
      <c r="K905" s="2"/>
      <c r="L905" s="19"/>
      <c r="M905" s="19"/>
      <c r="N905" s="2"/>
      <c r="O905" s="2"/>
      <c r="P905" s="2"/>
      <c r="Q905" s="2"/>
      <c r="R905" s="2"/>
      <c r="S905" s="2"/>
      <c r="T905" s="2"/>
      <c r="U905" s="2"/>
      <c r="V905" s="2"/>
      <c r="W905" s="2"/>
      <c r="X905" s="2"/>
      <c r="Y905" s="2"/>
      <c r="Z905" s="2"/>
    </row>
    <row r="906" customFormat="false" ht="12" hidden="false" customHeight="true" outlineLevel="0" collapsed="false">
      <c r="A906" s="2"/>
      <c r="B906" s="19"/>
      <c r="C906" s="19"/>
      <c r="D906" s="2"/>
      <c r="E906" s="2"/>
      <c r="F906" s="2"/>
      <c r="G906" s="2"/>
      <c r="H906" s="2"/>
      <c r="I906" s="2"/>
      <c r="J906" s="2"/>
      <c r="K906" s="2"/>
      <c r="L906" s="19"/>
      <c r="M906" s="19"/>
      <c r="N906" s="2"/>
      <c r="O906" s="2"/>
      <c r="P906" s="2"/>
      <c r="Q906" s="2"/>
      <c r="R906" s="2"/>
      <c r="S906" s="2"/>
      <c r="T906" s="2"/>
      <c r="U906" s="2"/>
      <c r="V906" s="2"/>
      <c r="W906" s="2"/>
      <c r="X906" s="2"/>
      <c r="Y906" s="2"/>
      <c r="Z906" s="2"/>
    </row>
    <row r="907" customFormat="false" ht="12" hidden="false" customHeight="true" outlineLevel="0" collapsed="false">
      <c r="A907" s="2"/>
      <c r="B907" s="19"/>
      <c r="C907" s="19"/>
      <c r="D907" s="2"/>
      <c r="E907" s="2"/>
      <c r="F907" s="2"/>
      <c r="G907" s="2"/>
      <c r="H907" s="2"/>
      <c r="I907" s="2"/>
      <c r="J907" s="2"/>
      <c r="K907" s="2"/>
      <c r="L907" s="19"/>
      <c r="M907" s="19"/>
      <c r="N907" s="2"/>
      <c r="O907" s="2"/>
      <c r="P907" s="2"/>
      <c r="Q907" s="2"/>
      <c r="R907" s="2"/>
      <c r="S907" s="2"/>
      <c r="T907" s="2"/>
      <c r="U907" s="2"/>
      <c r="V907" s="2"/>
      <c r="W907" s="2"/>
      <c r="X907" s="2"/>
      <c r="Y907" s="2"/>
      <c r="Z907" s="2"/>
    </row>
    <row r="908" customFormat="false" ht="12" hidden="false" customHeight="true" outlineLevel="0" collapsed="false">
      <c r="A908" s="2"/>
      <c r="B908" s="19"/>
      <c r="C908" s="19"/>
      <c r="D908" s="2"/>
      <c r="E908" s="2"/>
      <c r="F908" s="2"/>
      <c r="G908" s="2"/>
      <c r="H908" s="2"/>
      <c r="I908" s="2"/>
      <c r="J908" s="2"/>
      <c r="K908" s="2"/>
      <c r="L908" s="19"/>
      <c r="M908" s="19"/>
      <c r="N908" s="2"/>
      <c r="O908" s="2"/>
      <c r="P908" s="2"/>
      <c r="Q908" s="2"/>
      <c r="R908" s="2"/>
      <c r="S908" s="2"/>
      <c r="T908" s="2"/>
      <c r="U908" s="2"/>
      <c r="V908" s="2"/>
      <c r="W908" s="2"/>
      <c r="X908" s="2"/>
      <c r="Y908" s="2"/>
      <c r="Z908" s="2"/>
    </row>
    <row r="909" customFormat="false" ht="12" hidden="false" customHeight="true" outlineLevel="0" collapsed="false">
      <c r="A909" s="2"/>
      <c r="B909" s="19"/>
      <c r="C909" s="19"/>
      <c r="D909" s="2"/>
      <c r="E909" s="2"/>
      <c r="F909" s="2"/>
      <c r="G909" s="2"/>
      <c r="H909" s="2"/>
      <c r="I909" s="2"/>
      <c r="J909" s="2"/>
      <c r="K909" s="2"/>
      <c r="L909" s="19"/>
      <c r="M909" s="19"/>
      <c r="N909" s="2"/>
      <c r="O909" s="2"/>
      <c r="P909" s="2"/>
      <c r="Q909" s="2"/>
      <c r="R909" s="2"/>
      <c r="S909" s="2"/>
      <c r="T909" s="2"/>
      <c r="U909" s="2"/>
      <c r="V909" s="2"/>
      <c r="W909" s="2"/>
      <c r="X909" s="2"/>
      <c r="Y909" s="2"/>
      <c r="Z909" s="2"/>
    </row>
    <row r="910" customFormat="false" ht="12" hidden="false" customHeight="true" outlineLevel="0" collapsed="false">
      <c r="A910" s="2"/>
      <c r="B910" s="19"/>
      <c r="C910" s="19"/>
      <c r="D910" s="2"/>
      <c r="E910" s="2"/>
      <c r="F910" s="2"/>
      <c r="G910" s="2"/>
      <c r="H910" s="2"/>
      <c r="I910" s="2"/>
      <c r="J910" s="2"/>
      <c r="K910" s="2"/>
      <c r="L910" s="19"/>
      <c r="M910" s="19"/>
      <c r="N910" s="2"/>
      <c r="O910" s="2"/>
      <c r="P910" s="2"/>
      <c r="Q910" s="2"/>
      <c r="R910" s="2"/>
      <c r="S910" s="2"/>
      <c r="T910" s="2"/>
      <c r="U910" s="2"/>
      <c r="V910" s="2"/>
      <c r="W910" s="2"/>
      <c r="X910" s="2"/>
      <c r="Y910" s="2"/>
      <c r="Z910" s="2"/>
    </row>
    <row r="911" customFormat="false" ht="12" hidden="false" customHeight="true" outlineLevel="0" collapsed="false">
      <c r="A911" s="2"/>
      <c r="B911" s="19"/>
      <c r="C911" s="19"/>
      <c r="D911" s="2"/>
      <c r="E911" s="2"/>
      <c r="F911" s="2"/>
      <c r="G911" s="2"/>
      <c r="H911" s="2"/>
      <c r="I911" s="2"/>
      <c r="J911" s="2"/>
      <c r="K911" s="2"/>
      <c r="L911" s="19"/>
      <c r="M911" s="19"/>
      <c r="N911" s="2"/>
      <c r="O911" s="2"/>
      <c r="P911" s="2"/>
      <c r="Q911" s="2"/>
      <c r="R911" s="2"/>
      <c r="S911" s="2"/>
      <c r="T911" s="2"/>
      <c r="U911" s="2"/>
      <c r="V911" s="2"/>
      <c r="W911" s="2"/>
      <c r="X911" s="2"/>
      <c r="Y911" s="2"/>
      <c r="Z911" s="2"/>
    </row>
    <row r="912" customFormat="false" ht="12" hidden="false" customHeight="true" outlineLevel="0" collapsed="false">
      <c r="A912" s="2"/>
      <c r="B912" s="19"/>
      <c r="C912" s="19"/>
      <c r="D912" s="2"/>
      <c r="E912" s="2"/>
      <c r="F912" s="2"/>
      <c r="G912" s="2"/>
      <c r="H912" s="2"/>
      <c r="I912" s="2"/>
      <c r="J912" s="2"/>
      <c r="K912" s="2"/>
      <c r="L912" s="19"/>
      <c r="M912" s="19"/>
      <c r="N912" s="2"/>
      <c r="O912" s="2"/>
      <c r="P912" s="2"/>
      <c r="Q912" s="2"/>
      <c r="R912" s="2"/>
      <c r="S912" s="2"/>
      <c r="T912" s="2"/>
      <c r="U912" s="2"/>
      <c r="V912" s="2"/>
      <c r="W912" s="2"/>
      <c r="X912" s="2"/>
      <c r="Y912" s="2"/>
      <c r="Z912" s="2"/>
    </row>
    <row r="913" customFormat="false" ht="12" hidden="false" customHeight="true" outlineLevel="0" collapsed="false">
      <c r="A913" s="2"/>
      <c r="B913" s="19"/>
      <c r="C913" s="19"/>
      <c r="D913" s="2"/>
      <c r="E913" s="2"/>
      <c r="F913" s="2"/>
      <c r="G913" s="2"/>
      <c r="H913" s="2"/>
      <c r="I913" s="2"/>
      <c r="J913" s="2"/>
      <c r="K913" s="2"/>
      <c r="L913" s="19"/>
      <c r="M913" s="19"/>
      <c r="N913" s="2"/>
      <c r="O913" s="2"/>
      <c r="P913" s="2"/>
      <c r="Q913" s="2"/>
      <c r="R913" s="2"/>
      <c r="S913" s="2"/>
      <c r="T913" s="2"/>
      <c r="U913" s="2"/>
      <c r="V913" s="2"/>
      <c r="W913" s="2"/>
      <c r="X913" s="2"/>
      <c r="Y913" s="2"/>
      <c r="Z913" s="2"/>
    </row>
    <row r="914" customFormat="false" ht="12" hidden="false" customHeight="true" outlineLevel="0" collapsed="false">
      <c r="A914" s="2"/>
      <c r="B914" s="19"/>
      <c r="C914" s="19"/>
      <c r="D914" s="2"/>
      <c r="E914" s="2"/>
      <c r="F914" s="2"/>
      <c r="G914" s="2"/>
      <c r="H914" s="2"/>
      <c r="I914" s="2"/>
      <c r="J914" s="2"/>
      <c r="K914" s="2"/>
      <c r="L914" s="19"/>
      <c r="M914" s="19"/>
      <c r="N914" s="2"/>
      <c r="O914" s="2"/>
      <c r="P914" s="2"/>
      <c r="Q914" s="2"/>
      <c r="R914" s="2"/>
      <c r="S914" s="2"/>
      <c r="T914" s="2"/>
      <c r="U914" s="2"/>
      <c r="V914" s="2"/>
      <c r="W914" s="2"/>
      <c r="X914" s="2"/>
      <c r="Y914" s="2"/>
      <c r="Z914" s="2"/>
    </row>
    <row r="915" customFormat="false" ht="12" hidden="false" customHeight="true" outlineLevel="0" collapsed="false">
      <c r="A915" s="2"/>
      <c r="B915" s="19"/>
      <c r="C915" s="19"/>
      <c r="D915" s="2"/>
      <c r="E915" s="2"/>
      <c r="F915" s="2"/>
      <c r="G915" s="2"/>
      <c r="H915" s="2"/>
      <c r="I915" s="2"/>
      <c r="J915" s="2"/>
      <c r="K915" s="2"/>
      <c r="L915" s="19"/>
      <c r="M915" s="19"/>
      <c r="N915" s="2"/>
      <c r="O915" s="2"/>
      <c r="P915" s="2"/>
      <c r="Q915" s="2"/>
      <c r="R915" s="2"/>
      <c r="S915" s="2"/>
      <c r="T915" s="2"/>
      <c r="U915" s="2"/>
      <c r="V915" s="2"/>
      <c r="W915" s="2"/>
      <c r="X915" s="2"/>
      <c r="Y915" s="2"/>
      <c r="Z915" s="2"/>
    </row>
    <row r="916" customFormat="false" ht="12" hidden="false" customHeight="true" outlineLevel="0" collapsed="false">
      <c r="A916" s="2"/>
      <c r="B916" s="19"/>
      <c r="C916" s="19"/>
      <c r="D916" s="2"/>
      <c r="E916" s="2"/>
      <c r="F916" s="2"/>
      <c r="G916" s="2"/>
      <c r="H916" s="2"/>
      <c r="I916" s="2"/>
      <c r="J916" s="2"/>
      <c r="K916" s="2"/>
      <c r="L916" s="19"/>
      <c r="M916" s="19"/>
      <c r="N916" s="2"/>
      <c r="O916" s="2"/>
      <c r="P916" s="2"/>
      <c r="Q916" s="2"/>
      <c r="R916" s="2"/>
      <c r="S916" s="2"/>
      <c r="T916" s="2"/>
      <c r="U916" s="2"/>
      <c r="V916" s="2"/>
      <c r="W916" s="2"/>
      <c r="X916" s="2"/>
      <c r="Y916" s="2"/>
      <c r="Z916" s="2"/>
    </row>
    <row r="917" customFormat="false" ht="12" hidden="false" customHeight="true" outlineLevel="0" collapsed="false">
      <c r="A917" s="2"/>
      <c r="B917" s="19"/>
      <c r="C917" s="19"/>
      <c r="D917" s="2"/>
      <c r="E917" s="2"/>
      <c r="F917" s="2"/>
      <c r="G917" s="2"/>
      <c r="H917" s="2"/>
      <c r="I917" s="2"/>
      <c r="J917" s="2"/>
      <c r="K917" s="2"/>
      <c r="L917" s="19"/>
      <c r="M917" s="19"/>
      <c r="N917" s="2"/>
      <c r="O917" s="2"/>
      <c r="P917" s="2"/>
      <c r="Q917" s="2"/>
      <c r="R917" s="2"/>
      <c r="S917" s="2"/>
      <c r="T917" s="2"/>
      <c r="U917" s="2"/>
      <c r="V917" s="2"/>
      <c r="W917" s="2"/>
      <c r="X917" s="2"/>
      <c r="Y917" s="2"/>
      <c r="Z917" s="2"/>
    </row>
    <row r="918" customFormat="false" ht="12" hidden="false" customHeight="true" outlineLevel="0" collapsed="false">
      <c r="A918" s="2"/>
      <c r="B918" s="19"/>
      <c r="C918" s="19"/>
      <c r="D918" s="2"/>
      <c r="E918" s="2"/>
      <c r="F918" s="2"/>
      <c r="G918" s="2"/>
      <c r="H918" s="2"/>
      <c r="I918" s="2"/>
      <c r="J918" s="2"/>
      <c r="K918" s="2"/>
      <c r="L918" s="19"/>
      <c r="M918" s="19"/>
      <c r="N918" s="2"/>
      <c r="O918" s="2"/>
      <c r="P918" s="2"/>
      <c r="Q918" s="2"/>
      <c r="R918" s="2"/>
      <c r="S918" s="2"/>
      <c r="T918" s="2"/>
      <c r="U918" s="2"/>
      <c r="V918" s="2"/>
      <c r="W918" s="2"/>
      <c r="X918" s="2"/>
      <c r="Y918" s="2"/>
      <c r="Z918" s="2"/>
    </row>
    <row r="919" customFormat="false" ht="12" hidden="false" customHeight="true" outlineLevel="0" collapsed="false">
      <c r="A919" s="2"/>
      <c r="B919" s="19"/>
      <c r="C919" s="19"/>
      <c r="D919" s="2"/>
      <c r="E919" s="2"/>
      <c r="F919" s="2"/>
      <c r="G919" s="2"/>
      <c r="H919" s="2"/>
      <c r="I919" s="2"/>
      <c r="J919" s="2"/>
      <c r="K919" s="2"/>
      <c r="L919" s="19"/>
      <c r="M919" s="19"/>
      <c r="N919" s="2"/>
      <c r="O919" s="2"/>
      <c r="P919" s="2"/>
      <c r="Q919" s="2"/>
      <c r="R919" s="2"/>
      <c r="S919" s="2"/>
      <c r="T919" s="2"/>
      <c r="U919" s="2"/>
      <c r="V919" s="2"/>
      <c r="W919" s="2"/>
      <c r="X919" s="2"/>
      <c r="Y919" s="2"/>
      <c r="Z919" s="2"/>
    </row>
    <row r="920" customFormat="false" ht="12" hidden="false" customHeight="true" outlineLevel="0" collapsed="false">
      <c r="A920" s="2"/>
      <c r="B920" s="19"/>
      <c r="C920" s="19"/>
      <c r="D920" s="2"/>
      <c r="E920" s="2"/>
      <c r="F920" s="2"/>
      <c r="G920" s="2"/>
      <c r="H920" s="2"/>
      <c r="I920" s="2"/>
      <c r="J920" s="2"/>
      <c r="K920" s="2"/>
      <c r="L920" s="19"/>
      <c r="M920" s="19"/>
      <c r="N920" s="2"/>
      <c r="O920" s="2"/>
      <c r="P920" s="2"/>
      <c r="Q920" s="2"/>
      <c r="R920" s="2"/>
      <c r="S920" s="2"/>
      <c r="T920" s="2"/>
      <c r="U920" s="2"/>
      <c r="V920" s="2"/>
      <c r="W920" s="2"/>
      <c r="X920" s="2"/>
      <c r="Y920" s="2"/>
      <c r="Z920" s="2"/>
    </row>
    <row r="921" customFormat="false" ht="12" hidden="false" customHeight="true" outlineLevel="0" collapsed="false">
      <c r="A921" s="2"/>
      <c r="B921" s="19"/>
      <c r="C921" s="19"/>
      <c r="D921" s="2"/>
      <c r="E921" s="2"/>
      <c r="F921" s="2"/>
      <c r="G921" s="2"/>
      <c r="H921" s="2"/>
      <c r="I921" s="2"/>
      <c r="J921" s="2"/>
      <c r="K921" s="2"/>
      <c r="L921" s="19"/>
      <c r="M921" s="19"/>
      <c r="N921" s="2"/>
      <c r="O921" s="2"/>
      <c r="P921" s="2"/>
      <c r="Q921" s="2"/>
      <c r="R921" s="2"/>
      <c r="S921" s="2"/>
      <c r="T921" s="2"/>
      <c r="U921" s="2"/>
      <c r="V921" s="2"/>
      <c r="W921" s="2"/>
      <c r="X921" s="2"/>
      <c r="Y921" s="2"/>
      <c r="Z921" s="2"/>
    </row>
    <row r="922" customFormat="false" ht="12" hidden="false" customHeight="true" outlineLevel="0" collapsed="false">
      <c r="A922" s="2"/>
      <c r="B922" s="19"/>
      <c r="C922" s="19"/>
      <c r="D922" s="2"/>
      <c r="E922" s="2"/>
      <c r="F922" s="2"/>
      <c r="G922" s="2"/>
      <c r="H922" s="2"/>
      <c r="I922" s="2"/>
      <c r="J922" s="2"/>
      <c r="K922" s="2"/>
      <c r="L922" s="19"/>
      <c r="M922" s="19"/>
      <c r="N922" s="2"/>
      <c r="O922" s="2"/>
      <c r="P922" s="2"/>
      <c r="Q922" s="2"/>
      <c r="R922" s="2"/>
      <c r="S922" s="2"/>
      <c r="T922" s="2"/>
      <c r="U922" s="2"/>
      <c r="V922" s="2"/>
      <c r="W922" s="2"/>
      <c r="X922" s="2"/>
      <c r="Y922" s="2"/>
      <c r="Z922" s="2"/>
    </row>
    <row r="923" customFormat="false" ht="12" hidden="false" customHeight="true" outlineLevel="0" collapsed="false">
      <c r="A923" s="2"/>
      <c r="B923" s="19"/>
      <c r="C923" s="19"/>
      <c r="D923" s="2"/>
      <c r="E923" s="2"/>
      <c r="F923" s="2"/>
      <c r="G923" s="2"/>
      <c r="H923" s="2"/>
      <c r="I923" s="2"/>
      <c r="J923" s="2"/>
      <c r="K923" s="2"/>
      <c r="L923" s="19"/>
      <c r="M923" s="19"/>
      <c r="N923" s="2"/>
      <c r="O923" s="2"/>
      <c r="P923" s="2"/>
      <c r="Q923" s="2"/>
      <c r="R923" s="2"/>
      <c r="S923" s="2"/>
      <c r="T923" s="2"/>
      <c r="U923" s="2"/>
      <c r="V923" s="2"/>
      <c r="W923" s="2"/>
      <c r="X923" s="2"/>
      <c r="Y923" s="2"/>
      <c r="Z923" s="2"/>
    </row>
    <row r="924" customFormat="false" ht="12" hidden="false" customHeight="true" outlineLevel="0" collapsed="false">
      <c r="A924" s="2"/>
      <c r="B924" s="19"/>
      <c r="C924" s="19"/>
      <c r="D924" s="2"/>
      <c r="E924" s="2"/>
      <c r="F924" s="2"/>
      <c r="G924" s="2"/>
      <c r="H924" s="2"/>
      <c r="I924" s="2"/>
      <c r="J924" s="2"/>
      <c r="K924" s="2"/>
      <c r="L924" s="19"/>
      <c r="M924" s="19"/>
      <c r="N924" s="2"/>
      <c r="O924" s="2"/>
      <c r="P924" s="2"/>
      <c r="Q924" s="2"/>
      <c r="R924" s="2"/>
      <c r="S924" s="2"/>
      <c r="T924" s="2"/>
      <c r="U924" s="2"/>
      <c r="V924" s="2"/>
      <c r="W924" s="2"/>
      <c r="X924" s="2"/>
      <c r="Y924" s="2"/>
      <c r="Z924" s="2"/>
    </row>
    <row r="925" customFormat="false" ht="12" hidden="false" customHeight="true" outlineLevel="0" collapsed="false">
      <c r="A925" s="2"/>
      <c r="B925" s="19"/>
      <c r="C925" s="19"/>
      <c r="D925" s="2"/>
      <c r="E925" s="2"/>
      <c r="F925" s="2"/>
      <c r="G925" s="2"/>
      <c r="H925" s="2"/>
      <c r="I925" s="2"/>
      <c r="J925" s="2"/>
      <c r="K925" s="2"/>
      <c r="L925" s="19"/>
      <c r="M925" s="19"/>
      <c r="N925" s="2"/>
      <c r="O925" s="2"/>
      <c r="P925" s="2"/>
      <c r="Q925" s="2"/>
      <c r="R925" s="2"/>
      <c r="S925" s="2"/>
      <c r="T925" s="2"/>
      <c r="U925" s="2"/>
      <c r="V925" s="2"/>
      <c r="W925" s="2"/>
      <c r="X925" s="2"/>
      <c r="Y925" s="2"/>
      <c r="Z925" s="2"/>
    </row>
    <row r="926" customFormat="false" ht="12" hidden="false" customHeight="true" outlineLevel="0" collapsed="false">
      <c r="A926" s="2"/>
      <c r="B926" s="19"/>
      <c r="C926" s="19"/>
      <c r="D926" s="2"/>
      <c r="E926" s="2"/>
      <c r="F926" s="2"/>
      <c r="G926" s="2"/>
      <c r="H926" s="2"/>
      <c r="I926" s="2"/>
      <c r="J926" s="2"/>
      <c r="K926" s="2"/>
      <c r="L926" s="19"/>
      <c r="M926" s="19"/>
      <c r="N926" s="2"/>
      <c r="O926" s="2"/>
      <c r="P926" s="2"/>
      <c r="Q926" s="2"/>
      <c r="R926" s="2"/>
      <c r="S926" s="2"/>
      <c r="T926" s="2"/>
      <c r="U926" s="2"/>
      <c r="V926" s="2"/>
      <c r="W926" s="2"/>
      <c r="X926" s="2"/>
      <c r="Y926" s="2"/>
      <c r="Z926" s="2"/>
    </row>
    <row r="927" customFormat="false" ht="12" hidden="false" customHeight="true" outlineLevel="0" collapsed="false">
      <c r="A927" s="2"/>
      <c r="B927" s="19"/>
      <c r="C927" s="19"/>
      <c r="D927" s="2"/>
      <c r="E927" s="2"/>
      <c r="F927" s="2"/>
      <c r="G927" s="2"/>
      <c r="H927" s="2"/>
      <c r="I927" s="2"/>
      <c r="J927" s="2"/>
      <c r="K927" s="2"/>
      <c r="L927" s="19"/>
      <c r="M927" s="19"/>
      <c r="N927" s="2"/>
      <c r="O927" s="2"/>
      <c r="P927" s="2"/>
      <c r="Q927" s="2"/>
      <c r="R927" s="2"/>
      <c r="S927" s="2"/>
      <c r="T927" s="2"/>
      <c r="U927" s="2"/>
      <c r="V927" s="2"/>
      <c r="W927" s="2"/>
      <c r="X927" s="2"/>
      <c r="Y927" s="2"/>
      <c r="Z927" s="2"/>
    </row>
    <row r="928" customFormat="false" ht="12" hidden="false" customHeight="true" outlineLevel="0" collapsed="false">
      <c r="A928" s="2"/>
      <c r="B928" s="19"/>
      <c r="C928" s="19"/>
      <c r="D928" s="2"/>
      <c r="E928" s="2"/>
      <c r="F928" s="2"/>
      <c r="G928" s="2"/>
      <c r="H928" s="2"/>
      <c r="I928" s="2"/>
      <c r="J928" s="2"/>
      <c r="K928" s="2"/>
      <c r="L928" s="19"/>
      <c r="M928" s="19"/>
      <c r="N928" s="2"/>
      <c r="O928" s="2"/>
      <c r="P928" s="2"/>
      <c r="Q928" s="2"/>
      <c r="R928" s="2"/>
      <c r="S928" s="2"/>
      <c r="T928" s="2"/>
      <c r="U928" s="2"/>
      <c r="V928" s="2"/>
      <c r="W928" s="2"/>
      <c r="X928" s="2"/>
      <c r="Y928" s="2"/>
      <c r="Z928" s="2"/>
    </row>
    <row r="929" customFormat="false" ht="12" hidden="false" customHeight="true" outlineLevel="0" collapsed="false">
      <c r="A929" s="2"/>
      <c r="B929" s="19"/>
      <c r="C929" s="19"/>
      <c r="D929" s="2"/>
      <c r="E929" s="2"/>
      <c r="F929" s="2"/>
      <c r="G929" s="2"/>
      <c r="H929" s="2"/>
      <c r="I929" s="2"/>
      <c r="J929" s="2"/>
      <c r="K929" s="2"/>
      <c r="L929" s="19"/>
      <c r="M929" s="19"/>
      <c r="N929" s="2"/>
      <c r="O929" s="2"/>
      <c r="P929" s="2"/>
      <c r="Q929" s="2"/>
      <c r="R929" s="2"/>
      <c r="S929" s="2"/>
      <c r="T929" s="2"/>
      <c r="U929" s="2"/>
      <c r="V929" s="2"/>
      <c r="W929" s="2"/>
      <c r="X929" s="2"/>
      <c r="Y929" s="2"/>
      <c r="Z929" s="2"/>
    </row>
    <row r="930" customFormat="false" ht="12" hidden="false" customHeight="true" outlineLevel="0" collapsed="false">
      <c r="A930" s="2"/>
      <c r="B930" s="19"/>
      <c r="C930" s="19"/>
      <c r="D930" s="2"/>
      <c r="E930" s="2"/>
      <c r="F930" s="2"/>
      <c r="G930" s="2"/>
      <c r="H930" s="2"/>
      <c r="I930" s="2"/>
      <c r="J930" s="2"/>
      <c r="K930" s="2"/>
      <c r="L930" s="19"/>
      <c r="M930" s="19"/>
      <c r="N930" s="2"/>
      <c r="O930" s="2"/>
      <c r="P930" s="2"/>
      <c r="Q930" s="2"/>
      <c r="R930" s="2"/>
      <c r="S930" s="2"/>
      <c r="T930" s="2"/>
      <c r="U930" s="2"/>
      <c r="V930" s="2"/>
      <c r="W930" s="2"/>
      <c r="X930" s="2"/>
      <c r="Y930" s="2"/>
      <c r="Z930" s="2"/>
    </row>
    <row r="931" customFormat="false" ht="12" hidden="false" customHeight="true" outlineLevel="0" collapsed="false">
      <c r="A931" s="2"/>
      <c r="B931" s="19"/>
      <c r="C931" s="19"/>
      <c r="D931" s="2"/>
      <c r="E931" s="2"/>
      <c r="F931" s="2"/>
      <c r="G931" s="2"/>
      <c r="H931" s="2"/>
      <c r="I931" s="2"/>
      <c r="J931" s="2"/>
      <c r="K931" s="2"/>
      <c r="L931" s="19"/>
      <c r="M931" s="19"/>
      <c r="N931" s="2"/>
      <c r="O931" s="2"/>
      <c r="P931" s="2"/>
      <c r="Q931" s="2"/>
      <c r="R931" s="2"/>
      <c r="S931" s="2"/>
      <c r="T931" s="2"/>
      <c r="U931" s="2"/>
      <c r="V931" s="2"/>
      <c r="W931" s="2"/>
      <c r="X931" s="2"/>
      <c r="Y931" s="2"/>
      <c r="Z931" s="2"/>
    </row>
    <row r="932" customFormat="false" ht="12" hidden="false" customHeight="true" outlineLevel="0" collapsed="false">
      <c r="A932" s="2"/>
      <c r="B932" s="19"/>
      <c r="C932" s="19"/>
      <c r="D932" s="2"/>
      <c r="E932" s="2"/>
      <c r="F932" s="2"/>
      <c r="G932" s="2"/>
      <c r="H932" s="2"/>
      <c r="I932" s="2"/>
      <c r="J932" s="2"/>
      <c r="K932" s="2"/>
      <c r="L932" s="19"/>
      <c r="M932" s="19"/>
      <c r="N932" s="2"/>
      <c r="O932" s="2"/>
      <c r="P932" s="2"/>
      <c r="Q932" s="2"/>
      <c r="R932" s="2"/>
      <c r="S932" s="2"/>
      <c r="T932" s="2"/>
      <c r="U932" s="2"/>
      <c r="V932" s="2"/>
      <c r="W932" s="2"/>
      <c r="X932" s="2"/>
      <c r="Y932" s="2"/>
      <c r="Z932" s="2"/>
    </row>
    <row r="933" customFormat="false" ht="12" hidden="false" customHeight="true" outlineLevel="0" collapsed="false">
      <c r="A933" s="2"/>
      <c r="B933" s="19"/>
      <c r="C933" s="19"/>
      <c r="D933" s="2"/>
      <c r="E933" s="2"/>
      <c r="F933" s="2"/>
      <c r="G933" s="2"/>
      <c r="H933" s="2"/>
      <c r="I933" s="2"/>
      <c r="J933" s="2"/>
      <c r="K933" s="2"/>
      <c r="L933" s="19"/>
      <c r="M933" s="19"/>
      <c r="N933" s="2"/>
      <c r="O933" s="2"/>
      <c r="P933" s="2"/>
      <c r="Q933" s="2"/>
      <c r="R933" s="2"/>
      <c r="S933" s="2"/>
      <c r="T933" s="2"/>
      <c r="U933" s="2"/>
      <c r="V933" s="2"/>
      <c r="W933" s="2"/>
      <c r="X933" s="2"/>
      <c r="Y933" s="2"/>
      <c r="Z933" s="2"/>
    </row>
    <row r="934" customFormat="false" ht="12" hidden="false" customHeight="true" outlineLevel="0" collapsed="false">
      <c r="A934" s="2"/>
      <c r="B934" s="19"/>
      <c r="C934" s="19"/>
      <c r="D934" s="2"/>
      <c r="E934" s="2"/>
      <c r="F934" s="2"/>
      <c r="G934" s="2"/>
      <c r="H934" s="2"/>
      <c r="I934" s="2"/>
      <c r="J934" s="2"/>
      <c r="K934" s="2"/>
      <c r="L934" s="19"/>
      <c r="M934" s="19"/>
      <c r="N934" s="2"/>
      <c r="O934" s="2"/>
      <c r="P934" s="2"/>
      <c r="Q934" s="2"/>
      <c r="R934" s="2"/>
      <c r="S934" s="2"/>
      <c r="T934" s="2"/>
      <c r="U934" s="2"/>
      <c r="V934" s="2"/>
      <c r="W934" s="2"/>
      <c r="X934" s="2"/>
      <c r="Y934" s="2"/>
      <c r="Z934" s="2"/>
    </row>
    <row r="935" customFormat="false" ht="12" hidden="false" customHeight="true" outlineLevel="0" collapsed="false">
      <c r="A935" s="2"/>
      <c r="B935" s="19"/>
      <c r="C935" s="19"/>
      <c r="D935" s="2"/>
      <c r="E935" s="2"/>
      <c r="F935" s="2"/>
      <c r="G935" s="2"/>
      <c r="H935" s="2"/>
      <c r="I935" s="2"/>
      <c r="J935" s="2"/>
      <c r="K935" s="2"/>
      <c r="L935" s="19"/>
      <c r="M935" s="19"/>
      <c r="N935" s="2"/>
      <c r="O935" s="2"/>
      <c r="P935" s="2"/>
      <c r="Q935" s="2"/>
      <c r="R935" s="2"/>
      <c r="S935" s="2"/>
      <c r="T935" s="2"/>
      <c r="U935" s="2"/>
      <c r="V935" s="2"/>
      <c r="W935" s="2"/>
      <c r="X935" s="2"/>
      <c r="Y935" s="2"/>
      <c r="Z935" s="2"/>
    </row>
    <row r="936" customFormat="false" ht="12" hidden="false" customHeight="true" outlineLevel="0" collapsed="false">
      <c r="A936" s="2"/>
      <c r="B936" s="19"/>
      <c r="C936" s="19"/>
      <c r="D936" s="2"/>
      <c r="E936" s="2"/>
      <c r="F936" s="2"/>
      <c r="G936" s="2"/>
      <c r="H936" s="2"/>
      <c r="I936" s="2"/>
      <c r="J936" s="2"/>
      <c r="K936" s="2"/>
      <c r="L936" s="19"/>
      <c r="M936" s="19"/>
      <c r="N936" s="2"/>
      <c r="O936" s="2"/>
      <c r="P936" s="2"/>
      <c r="Q936" s="2"/>
      <c r="R936" s="2"/>
      <c r="S936" s="2"/>
      <c r="T936" s="2"/>
      <c r="U936" s="2"/>
      <c r="V936" s="2"/>
      <c r="W936" s="2"/>
      <c r="X936" s="2"/>
      <c r="Y936" s="2"/>
      <c r="Z936" s="2"/>
    </row>
    <row r="937" customFormat="false" ht="12" hidden="false" customHeight="true" outlineLevel="0" collapsed="false">
      <c r="A937" s="2"/>
      <c r="B937" s="19"/>
      <c r="C937" s="19"/>
      <c r="D937" s="2"/>
      <c r="E937" s="2"/>
      <c r="F937" s="2"/>
      <c r="G937" s="2"/>
      <c r="H937" s="2"/>
      <c r="I937" s="2"/>
      <c r="J937" s="2"/>
      <c r="K937" s="2"/>
      <c r="L937" s="19"/>
      <c r="M937" s="19"/>
      <c r="N937" s="2"/>
      <c r="O937" s="2"/>
      <c r="P937" s="2"/>
      <c r="Q937" s="2"/>
      <c r="R937" s="2"/>
      <c r="S937" s="2"/>
      <c r="T937" s="2"/>
      <c r="U937" s="2"/>
      <c r="V937" s="2"/>
      <c r="W937" s="2"/>
      <c r="X937" s="2"/>
      <c r="Y937" s="2"/>
      <c r="Z937" s="2"/>
    </row>
    <row r="938" customFormat="false" ht="12" hidden="false" customHeight="true" outlineLevel="0" collapsed="false">
      <c r="A938" s="2"/>
      <c r="B938" s="19"/>
      <c r="C938" s="19"/>
      <c r="D938" s="2"/>
      <c r="E938" s="2"/>
      <c r="F938" s="2"/>
      <c r="G938" s="2"/>
      <c r="H938" s="2"/>
      <c r="I938" s="2"/>
      <c r="J938" s="2"/>
      <c r="K938" s="2"/>
      <c r="L938" s="19"/>
      <c r="M938" s="19"/>
      <c r="N938" s="2"/>
      <c r="O938" s="2"/>
      <c r="P938" s="2"/>
      <c r="Q938" s="2"/>
      <c r="R938" s="2"/>
      <c r="S938" s="2"/>
      <c r="T938" s="2"/>
      <c r="U938" s="2"/>
      <c r="V938" s="2"/>
      <c r="W938" s="2"/>
      <c r="X938" s="2"/>
      <c r="Y938" s="2"/>
      <c r="Z938" s="2"/>
    </row>
    <row r="939" customFormat="false" ht="12" hidden="false" customHeight="true" outlineLevel="0" collapsed="false">
      <c r="A939" s="2"/>
      <c r="B939" s="19"/>
      <c r="C939" s="19"/>
      <c r="D939" s="2"/>
      <c r="E939" s="2"/>
      <c r="F939" s="2"/>
      <c r="G939" s="2"/>
      <c r="H939" s="2"/>
      <c r="I939" s="2"/>
      <c r="J939" s="2"/>
      <c r="K939" s="2"/>
      <c r="L939" s="19"/>
      <c r="M939" s="19"/>
      <c r="N939" s="2"/>
      <c r="O939" s="2"/>
      <c r="P939" s="2"/>
      <c r="Q939" s="2"/>
      <c r="R939" s="2"/>
      <c r="S939" s="2"/>
      <c r="T939" s="2"/>
      <c r="U939" s="2"/>
      <c r="V939" s="2"/>
      <c r="W939" s="2"/>
      <c r="X939" s="2"/>
      <c r="Y939" s="2"/>
      <c r="Z939" s="2"/>
    </row>
    <row r="940" customFormat="false" ht="12" hidden="false" customHeight="true" outlineLevel="0" collapsed="false">
      <c r="A940" s="2"/>
      <c r="B940" s="19"/>
      <c r="C940" s="19"/>
      <c r="D940" s="2"/>
      <c r="E940" s="2"/>
      <c r="F940" s="2"/>
      <c r="G940" s="2"/>
      <c r="H940" s="2"/>
      <c r="I940" s="2"/>
      <c r="J940" s="2"/>
      <c r="K940" s="2"/>
      <c r="L940" s="19"/>
      <c r="M940" s="19"/>
      <c r="N940" s="2"/>
      <c r="O940" s="2"/>
      <c r="P940" s="2"/>
      <c r="Q940" s="2"/>
      <c r="R940" s="2"/>
      <c r="S940" s="2"/>
      <c r="T940" s="2"/>
      <c r="U940" s="2"/>
      <c r="V940" s="2"/>
      <c r="W940" s="2"/>
      <c r="X940" s="2"/>
      <c r="Y940" s="2"/>
      <c r="Z940" s="2"/>
    </row>
    <row r="941" customFormat="false" ht="12" hidden="false" customHeight="true" outlineLevel="0" collapsed="false">
      <c r="A941" s="2"/>
      <c r="B941" s="19"/>
      <c r="C941" s="19"/>
      <c r="D941" s="2"/>
      <c r="E941" s="2"/>
      <c r="F941" s="2"/>
      <c r="G941" s="2"/>
      <c r="H941" s="2"/>
      <c r="I941" s="2"/>
      <c r="J941" s="2"/>
      <c r="K941" s="2"/>
      <c r="L941" s="19"/>
      <c r="M941" s="19"/>
      <c r="N941" s="2"/>
      <c r="O941" s="2"/>
      <c r="P941" s="2"/>
      <c r="Q941" s="2"/>
      <c r="R941" s="2"/>
      <c r="S941" s="2"/>
      <c r="T941" s="2"/>
      <c r="U941" s="2"/>
      <c r="V941" s="2"/>
      <c r="W941" s="2"/>
      <c r="X941" s="2"/>
      <c r="Y941" s="2"/>
      <c r="Z941" s="2"/>
    </row>
    <row r="942" customFormat="false" ht="12" hidden="false" customHeight="true" outlineLevel="0" collapsed="false">
      <c r="A942" s="2"/>
      <c r="B942" s="19"/>
      <c r="C942" s="19"/>
      <c r="D942" s="2"/>
      <c r="E942" s="2"/>
      <c r="F942" s="2"/>
      <c r="G942" s="2"/>
      <c r="H942" s="2"/>
      <c r="I942" s="2"/>
      <c r="J942" s="2"/>
      <c r="K942" s="2"/>
      <c r="L942" s="19"/>
      <c r="M942" s="19"/>
      <c r="N942" s="2"/>
      <c r="O942" s="2"/>
      <c r="P942" s="2"/>
      <c r="Q942" s="2"/>
      <c r="R942" s="2"/>
      <c r="S942" s="2"/>
      <c r="T942" s="2"/>
      <c r="U942" s="2"/>
      <c r="V942" s="2"/>
      <c r="W942" s="2"/>
      <c r="X942" s="2"/>
      <c r="Y942" s="2"/>
      <c r="Z942" s="2"/>
    </row>
    <row r="943" customFormat="false" ht="12" hidden="false" customHeight="true" outlineLevel="0" collapsed="false">
      <c r="A943" s="2"/>
      <c r="B943" s="19"/>
      <c r="C943" s="19"/>
      <c r="D943" s="2"/>
      <c r="E943" s="2"/>
      <c r="F943" s="2"/>
      <c r="G943" s="2"/>
      <c r="H943" s="2"/>
      <c r="I943" s="2"/>
      <c r="J943" s="2"/>
      <c r="K943" s="2"/>
      <c r="L943" s="19"/>
      <c r="M943" s="19"/>
      <c r="N943" s="2"/>
      <c r="O943" s="2"/>
      <c r="P943" s="2"/>
      <c r="Q943" s="2"/>
      <c r="R943" s="2"/>
      <c r="S943" s="2"/>
      <c r="T943" s="2"/>
      <c r="U943" s="2"/>
      <c r="V943" s="2"/>
      <c r="W943" s="2"/>
      <c r="X943" s="2"/>
      <c r="Y943" s="2"/>
      <c r="Z943" s="2"/>
    </row>
    <row r="944" customFormat="false" ht="12" hidden="false" customHeight="true" outlineLevel="0" collapsed="false">
      <c r="A944" s="2"/>
      <c r="B944" s="19"/>
      <c r="C944" s="19"/>
      <c r="D944" s="2"/>
      <c r="E944" s="2"/>
      <c r="F944" s="2"/>
      <c r="G944" s="2"/>
      <c r="H944" s="2"/>
      <c r="I944" s="2"/>
      <c r="J944" s="2"/>
      <c r="K944" s="2"/>
      <c r="L944" s="19"/>
      <c r="M944" s="19"/>
      <c r="N944" s="2"/>
      <c r="O944" s="2"/>
      <c r="P944" s="2"/>
      <c r="Q944" s="2"/>
      <c r="R944" s="2"/>
      <c r="S944" s="2"/>
      <c r="T944" s="2"/>
      <c r="U944" s="2"/>
      <c r="V944" s="2"/>
      <c r="W944" s="2"/>
      <c r="X944" s="2"/>
      <c r="Y944" s="2"/>
      <c r="Z944" s="2"/>
    </row>
    <row r="945" customFormat="false" ht="12" hidden="false" customHeight="true" outlineLevel="0" collapsed="false">
      <c r="A945" s="2"/>
      <c r="B945" s="19"/>
      <c r="C945" s="19"/>
      <c r="D945" s="2"/>
      <c r="E945" s="2"/>
      <c r="F945" s="2"/>
      <c r="G945" s="2"/>
      <c r="H945" s="2"/>
      <c r="I945" s="2"/>
      <c r="J945" s="2"/>
      <c r="K945" s="2"/>
      <c r="L945" s="19"/>
      <c r="M945" s="19"/>
      <c r="N945" s="2"/>
      <c r="O945" s="2"/>
      <c r="P945" s="2"/>
      <c r="Q945" s="2"/>
      <c r="R945" s="2"/>
      <c r="S945" s="2"/>
      <c r="T945" s="2"/>
      <c r="U945" s="2"/>
      <c r="V945" s="2"/>
      <c r="W945" s="2"/>
      <c r="X945" s="2"/>
      <c r="Y945" s="2"/>
      <c r="Z945" s="2"/>
    </row>
    <row r="946" customFormat="false" ht="12" hidden="false" customHeight="true" outlineLevel="0" collapsed="false">
      <c r="A946" s="2"/>
      <c r="B946" s="19"/>
      <c r="C946" s="19"/>
      <c r="D946" s="2"/>
      <c r="E946" s="2"/>
      <c r="F946" s="2"/>
      <c r="G946" s="2"/>
      <c r="H946" s="2"/>
      <c r="I946" s="2"/>
      <c r="J946" s="2"/>
      <c r="K946" s="2"/>
      <c r="L946" s="19"/>
      <c r="M946" s="19"/>
      <c r="N946" s="2"/>
      <c r="O946" s="2"/>
      <c r="P946" s="2"/>
      <c r="Q946" s="2"/>
      <c r="R946" s="2"/>
      <c r="S946" s="2"/>
      <c r="T946" s="2"/>
      <c r="U946" s="2"/>
      <c r="V946" s="2"/>
      <c r="W946" s="2"/>
      <c r="X946" s="2"/>
      <c r="Y946" s="2"/>
      <c r="Z946" s="2"/>
    </row>
    <row r="947" customFormat="false" ht="12" hidden="false" customHeight="true" outlineLevel="0" collapsed="false">
      <c r="A947" s="2"/>
      <c r="B947" s="19"/>
      <c r="C947" s="19"/>
      <c r="D947" s="2"/>
      <c r="E947" s="2"/>
      <c r="F947" s="2"/>
      <c r="G947" s="2"/>
      <c r="H947" s="2"/>
      <c r="I947" s="2"/>
      <c r="J947" s="2"/>
      <c r="K947" s="2"/>
      <c r="L947" s="19"/>
      <c r="M947" s="19"/>
      <c r="N947" s="2"/>
      <c r="O947" s="2"/>
      <c r="P947" s="2"/>
      <c r="Q947" s="2"/>
      <c r="R947" s="2"/>
      <c r="S947" s="2"/>
      <c r="T947" s="2"/>
      <c r="U947" s="2"/>
      <c r="V947" s="2"/>
      <c r="W947" s="2"/>
      <c r="X947" s="2"/>
      <c r="Y947" s="2"/>
      <c r="Z947" s="2"/>
    </row>
    <row r="948" customFormat="false" ht="12" hidden="false" customHeight="true" outlineLevel="0" collapsed="false">
      <c r="A948" s="2"/>
      <c r="B948" s="19"/>
      <c r="C948" s="19"/>
      <c r="D948" s="2"/>
      <c r="E948" s="2"/>
      <c r="F948" s="2"/>
      <c r="G948" s="2"/>
      <c r="H948" s="2"/>
      <c r="I948" s="2"/>
      <c r="J948" s="2"/>
      <c r="K948" s="2"/>
      <c r="L948" s="19"/>
      <c r="M948" s="19"/>
      <c r="N948" s="2"/>
      <c r="O948" s="2"/>
      <c r="P948" s="2"/>
      <c r="Q948" s="2"/>
      <c r="R948" s="2"/>
      <c r="S948" s="2"/>
      <c r="T948" s="2"/>
      <c r="U948" s="2"/>
      <c r="V948" s="2"/>
      <c r="W948" s="2"/>
      <c r="X948" s="2"/>
      <c r="Y948" s="2"/>
      <c r="Z948" s="2"/>
    </row>
    <row r="949" customFormat="false" ht="12" hidden="false" customHeight="true" outlineLevel="0" collapsed="false">
      <c r="A949" s="2"/>
      <c r="B949" s="19"/>
      <c r="C949" s="19"/>
      <c r="D949" s="2"/>
      <c r="E949" s="2"/>
      <c r="F949" s="2"/>
      <c r="G949" s="2"/>
      <c r="H949" s="2"/>
      <c r="I949" s="2"/>
      <c r="J949" s="2"/>
      <c r="K949" s="2"/>
      <c r="L949" s="19"/>
      <c r="M949" s="19"/>
      <c r="N949" s="2"/>
      <c r="O949" s="2"/>
      <c r="P949" s="2"/>
      <c r="Q949" s="2"/>
      <c r="R949" s="2"/>
      <c r="S949" s="2"/>
      <c r="T949" s="2"/>
      <c r="U949" s="2"/>
      <c r="V949" s="2"/>
      <c r="W949" s="2"/>
      <c r="X949" s="2"/>
      <c r="Y949" s="2"/>
      <c r="Z949" s="2"/>
    </row>
    <row r="950" customFormat="false" ht="12" hidden="false" customHeight="true" outlineLevel="0" collapsed="false">
      <c r="A950" s="2"/>
      <c r="B950" s="19"/>
      <c r="C950" s="19"/>
      <c r="D950" s="2"/>
      <c r="E950" s="2"/>
      <c r="F950" s="2"/>
      <c r="G950" s="2"/>
      <c r="H950" s="2"/>
      <c r="I950" s="2"/>
      <c r="J950" s="2"/>
      <c r="K950" s="2"/>
      <c r="L950" s="19"/>
      <c r="M950" s="19"/>
      <c r="N950" s="2"/>
      <c r="O950" s="2"/>
      <c r="P950" s="2"/>
      <c r="Q950" s="2"/>
      <c r="R950" s="2"/>
      <c r="S950" s="2"/>
      <c r="T950" s="2"/>
      <c r="U950" s="2"/>
      <c r="V950" s="2"/>
      <c r="W950" s="2"/>
      <c r="X950" s="2"/>
      <c r="Y950" s="2"/>
      <c r="Z950" s="2"/>
    </row>
    <row r="951" customFormat="false" ht="12" hidden="false" customHeight="true" outlineLevel="0" collapsed="false">
      <c r="A951" s="2"/>
      <c r="B951" s="19"/>
      <c r="C951" s="19"/>
      <c r="D951" s="2"/>
      <c r="E951" s="2"/>
      <c r="F951" s="2"/>
      <c r="G951" s="2"/>
      <c r="H951" s="2"/>
      <c r="I951" s="2"/>
      <c r="J951" s="2"/>
      <c r="K951" s="2"/>
      <c r="L951" s="19"/>
      <c r="M951" s="19"/>
      <c r="N951" s="2"/>
      <c r="O951" s="2"/>
      <c r="P951" s="2"/>
      <c r="Q951" s="2"/>
      <c r="R951" s="2"/>
      <c r="S951" s="2"/>
      <c r="T951" s="2"/>
      <c r="U951" s="2"/>
      <c r="V951" s="2"/>
      <c r="W951" s="2"/>
      <c r="X951" s="2"/>
      <c r="Y951" s="2"/>
      <c r="Z951" s="2"/>
    </row>
    <row r="952" customFormat="false" ht="12" hidden="false" customHeight="true" outlineLevel="0" collapsed="false">
      <c r="A952" s="2"/>
      <c r="B952" s="19"/>
      <c r="C952" s="19"/>
      <c r="D952" s="2"/>
      <c r="E952" s="2"/>
      <c r="F952" s="2"/>
      <c r="G952" s="2"/>
      <c r="H952" s="2"/>
      <c r="I952" s="2"/>
      <c r="J952" s="2"/>
      <c r="K952" s="2"/>
      <c r="L952" s="19"/>
      <c r="M952" s="19"/>
      <c r="N952" s="2"/>
      <c r="O952" s="2"/>
      <c r="P952" s="2"/>
      <c r="Q952" s="2"/>
      <c r="R952" s="2"/>
      <c r="S952" s="2"/>
      <c r="T952" s="2"/>
      <c r="U952" s="2"/>
      <c r="V952" s="2"/>
      <c r="W952" s="2"/>
      <c r="X952" s="2"/>
      <c r="Y952" s="2"/>
      <c r="Z952" s="2"/>
    </row>
    <row r="953" customFormat="false" ht="12" hidden="false" customHeight="true" outlineLevel="0" collapsed="false">
      <c r="A953" s="2"/>
      <c r="B953" s="19"/>
      <c r="C953" s="19"/>
      <c r="D953" s="2"/>
      <c r="E953" s="2"/>
      <c r="F953" s="2"/>
      <c r="G953" s="2"/>
      <c r="H953" s="2"/>
      <c r="I953" s="2"/>
      <c r="J953" s="2"/>
      <c r="K953" s="2"/>
      <c r="L953" s="19"/>
      <c r="M953" s="19"/>
      <c r="N953" s="2"/>
      <c r="O953" s="2"/>
      <c r="P953" s="2"/>
      <c r="Q953" s="2"/>
      <c r="R953" s="2"/>
      <c r="S953" s="2"/>
      <c r="T953" s="2"/>
      <c r="U953" s="2"/>
      <c r="V953" s="2"/>
      <c r="W953" s="2"/>
      <c r="X953" s="2"/>
      <c r="Y953" s="2"/>
      <c r="Z953" s="2"/>
    </row>
    <row r="954" customFormat="false" ht="12" hidden="false" customHeight="true" outlineLevel="0" collapsed="false">
      <c r="A954" s="2"/>
      <c r="B954" s="19"/>
      <c r="C954" s="19"/>
      <c r="D954" s="2"/>
      <c r="E954" s="2"/>
      <c r="F954" s="2"/>
      <c r="G954" s="2"/>
      <c r="H954" s="2"/>
      <c r="I954" s="2"/>
      <c r="J954" s="2"/>
      <c r="K954" s="2"/>
      <c r="L954" s="19"/>
      <c r="M954" s="19"/>
      <c r="N954" s="2"/>
      <c r="O954" s="2"/>
      <c r="P954" s="2"/>
      <c r="Q954" s="2"/>
      <c r="R954" s="2"/>
      <c r="S954" s="2"/>
      <c r="T954" s="2"/>
      <c r="U954" s="2"/>
      <c r="V954" s="2"/>
      <c r="W954" s="2"/>
      <c r="X954" s="2"/>
      <c r="Y954" s="2"/>
      <c r="Z954" s="2"/>
    </row>
    <row r="955" customFormat="false" ht="12" hidden="false" customHeight="true" outlineLevel="0" collapsed="false">
      <c r="A955" s="2"/>
      <c r="B955" s="19"/>
      <c r="C955" s="19"/>
      <c r="D955" s="2"/>
      <c r="E955" s="2"/>
      <c r="F955" s="2"/>
      <c r="G955" s="2"/>
      <c r="H955" s="2"/>
      <c r="I955" s="2"/>
      <c r="J955" s="2"/>
      <c r="K955" s="2"/>
      <c r="L955" s="19"/>
      <c r="M955" s="19"/>
      <c r="N955" s="2"/>
      <c r="O955" s="2"/>
      <c r="P955" s="2"/>
      <c r="Q955" s="2"/>
      <c r="R955" s="2"/>
      <c r="S955" s="2"/>
      <c r="T955" s="2"/>
      <c r="U955" s="2"/>
      <c r="V955" s="2"/>
      <c r="W955" s="2"/>
      <c r="X955" s="2"/>
      <c r="Y955" s="2"/>
      <c r="Z955" s="2"/>
    </row>
    <row r="956" customFormat="false" ht="12" hidden="false" customHeight="true" outlineLevel="0" collapsed="false">
      <c r="A956" s="2"/>
      <c r="B956" s="19"/>
      <c r="C956" s="19"/>
      <c r="D956" s="2"/>
      <c r="E956" s="2"/>
      <c r="F956" s="2"/>
      <c r="G956" s="2"/>
      <c r="H956" s="2"/>
      <c r="I956" s="2"/>
      <c r="J956" s="2"/>
      <c r="K956" s="2"/>
      <c r="L956" s="19"/>
      <c r="M956" s="19"/>
      <c r="N956" s="2"/>
      <c r="O956" s="2"/>
      <c r="P956" s="2"/>
      <c r="Q956" s="2"/>
      <c r="R956" s="2"/>
      <c r="S956" s="2"/>
      <c r="T956" s="2"/>
      <c r="U956" s="2"/>
      <c r="V956" s="2"/>
      <c r="W956" s="2"/>
      <c r="X956" s="2"/>
      <c r="Y956" s="2"/>
      <c r="Z956" s="2"/>
    </row>
    <row r="957" customFormat="false" ht="12" hidden="false" customHeight="true" outlineLevel="0" collapsed="false">
      <c r="A957" s="2"/>
      <c r="B957" s="19"/>
      <c r="C957" s="19"/>
      <c r="D957" s="2"/>
      <c r="E957" s="2"/>
      <c r="F957" s="2"/>
      <c r="G957" s="2"/>
      <c r="H957" s="2"/>
      <c r="I957" s="2"/>
      <c r="J957" s="2"/>
      <c r="K957" s="2"/>
      <c r="L957" s="19"/>
      <c r="M957" s="19"/>
      <c r="N957" s="2"/>
      <c r="O957" s="2"/>
      <c r="P957" s="2"/>
      <c r="Q957" s="2"/>
      <c r="R957" s="2"/>
      <c r="S957" s="2"/>
      <c r="T957" s="2"/>
      <c r="U957" s="2"/>
      <c r="V957" s="2"/>
      <c r="W957" s="2"/>
      <c r="X957" s="2"/>
      <c r="Y957" s="2"/>
      <c r="Z957" s="2"/>
    </row>
    <row r="958" customFormat="false" ht="12" hidden="false" customHeight="true" outlineLevel="0" collapsed="false">
      <c r="A958" s="2"/>
      <c r="B958" s="19"/>
      <c r="C958" s="19"/>
      <c r="D958" s="2"/>
      <c r="E958" s="2"/>
      <c r="F958" s="2"/>
      <c r="G958" s="2"/>
      <c r="H958" s="2"/>
      <c r="I958" s="2"/>
      <c r="J958" s="2"/>
      <c r="K958" s="2"/>
      <c r="L958" s="19"/>
      <c r="M958" s="19"/>
      <c r="N958" s="2"/>
      <c r="O958" s="2"/>
      <c r="P958" s="2"/>
      <c r="Q958" s="2"/>
      <c r="R958" s="2"/>
      <c r="S958" s="2"/>
      <c r="T958" s="2"/>
      <c r="U958" s="2"/>
      <c r="V958" s="2"/>
      <c r="W958" s="2"/>
      <c r="X958" s="2"/>
      <c r="Y958" s="2"/>
      <c r="Z958" s="2"/>
    </row>
    <row r="959" customFormat="false" ht="12" hidden="false" customHeight="true" outlineLevel="0" collapsed="false">
      <c r="A959" s="2"/>
      <c r="B959" s="19"/>
      <c r="C959" s="19"/>
      <c r="D959" s="2"/>
      <c r="E959" s="2"/>
      <c r="F959" s="2"/>
      <c r="G959" s="2"/>
      <c r="H959" s="2"/>
      <c r="I959" s="2"/>
      <c r="J959" s="2"/>
      <c r="K959" s="2"/>
      <c r="L959" s="19"/>
      <c r="M959" s="19"/>
      <c r="N959" s="2"/>
      <c r="O959" s="2"/>
      <c r="P959" s="2"/>
      <c r="Q959" s="2"/>
      <c r="R959" s="2"/>
      <c r="S959" s="2"/>
      <c r="T959" s="2"/>
      <c r="U959" s="2"/>
      <c r="V959" s="2"/>
      <c r="W959" s="2"/>
      <c r="X959" s="2"/>
      <c r="Y959" s="2"/>
      <c r="Z959" s="2"/>
    </row>
    <row r="960" customFormat="false" ht="12" hidden="false" customHeight="true" outlineLevel="0" collapsed="false">
      <c r="A960" s="2"/>
      <c r="B960" s="19"/>
      <c r="C960" s="19"/>
      <c r="D960" s="2"/>
      <c r="E960" s="2"/>
      <c r="F960" s="2"/>
      <c r="G960" s="2"/>
      <c r="H960" s="2"/>
      <c r="I960" s="2"/>
      <c r="J960" s="2"/>
      <c r="K960" s="2"/>
      <c r="L960" s="19"/>
      <c r="M960" s="19"/>
      <c r="N960" s="2"/>
      <c r="O960" s="2"/>
      <c r="P960" s="2"/>
      <c r="Q960" s="2"/>
      <c r="R960" s="2"/>
      <c r="S960" s="2"/>
      <c r="T960" s="2"/>
      <c r="U960" s="2"/>
      <c r="V960" s="2"/>
      <c r="W960" s="2"/>
      <c r="X960" s="2"/>
      <c r="Y960" s="2"/>
      <c r="Z960" s="2"/>
    </row>
    <row r="961" customFormat="false" ht="12" hidden="false" customHeight="true" outlineLevel="0" collapsed="false">
      <c r="A961" s="2"/>
      <c r="B961" s="19"/>
      <c r="C961" s="19"/>
      <c r="D961" s="2"/>
      <c r="E961" s="2"/>
      <c r="F961" s="2"/>
      <c r="G961" s="2"/>
      <c r="H961" s="2"/>
      <c r="I961" s="2"/>
      <c r="J961" s="2"/>
      <c r="K961" s="2"/>
      <c r="L961" s="19"/>
      <c r="M961" s="19"/>
      <c r="N961" s="2"/>
      <c r="O961" s="2"/>
      <c r="P961" s="2"/>
      <c r="Q961" s="2"/>
      <c r="R961" s="2"/>
      <c r="S961" s="2"/>
      <c r="T961" s="2"/>
      <c r="U961" s="2"/>
      <c r="V961" s="2"/>
      <c r="W961" s="2"/>
      <c r="X961" s="2"/>
      <c r="Y961" s="2"/>
      <c r="Z961" s="2"/>
    </row>
    <row r="962" customFormat="false" ht="12" hidden="false" customHeight="true" outlineLevel="0" collapsed="false">
      <c r="A962" s="2"/>
      <c r="B962" s="19"/>
      <c r="C962" s="19"/>
      <c r="D962" s="2"/>
      <c r="E962" s="2"/>
      <c r="F962" s="2"/>
      <c r="G962" s="2"/>
      <c r="H962" s="2"/>
      <c r="I962" s="2"/>
      <c r="J962" s="2"/>
      <c r="K962" s="2"/>
      <c r="L962" s="19"/>
      <c r="M962" s="19"/>
      <c r="N962" s="2"/>
      <c r="O962" s="2"/>
      <c r="P962" s="2"/>
      <c r="Q962" s="2"/>
      <c r="R962" s="2"/>
      <c r="S962" s="2"/>
      <c r="T962" s="2"/>
      <c r="U962" s="2"/>
      <c r="V962" s="2"/>
      <c r="W962" s="2"/>
      <c r="X962" s="2"/>
      <c r="Y962" s="2"/>
      <c r="Z962" s="2"/>
    </row>
    <row r="963" customFormat="false" ht="12" hidden="false" customHeight="true" outlineLevel="0" collapsed="false">
      <c r="A963" s="2"/>
      <c r="B963" s="19"/>
      <c r="C963" s="19"/>
      <c r="D963" s="2"/>
      <c r="E963" s="2"/>
      <c r="F963" s="2"/>
      <c r="G963" s="2"/>
      <c r="H963" s="2"/>
      <c r="I963" s="2"/>
      <c r="J963" s="2"/>
      <c r="K963" s="2"/>
      <c r="L963" s="19"/>
      <c r="M963" s="19"/>
      <c r="N963" s="2"/>
      <c r="O963" s="2"/>
      <c r="P963" s="2"/>
      <c r="Q963" s="2"/>
      <c r="R963" s="2"/>
      <c r="S963" s="2"/>
      <c r="T963" s="2"/>
      <c r="U963" s="2"/>
      <c r="V963" s="2"/>
      <c r="W963" s="2"/>
      <c r="X963" s="2"/>
      <c r="Y963" s="2"/>
      <c r="Z963" s="2"/>
    </row>
    <row r="964" customFormat="false" ht="12" hidden="false" customHeight="true" outlineLevel="0" collapsed="false">
      <c r="A964" s="2"/>
      <c r="B964" s="19"/>
      <c r="C964" s="19"/>
      <c r="D964" s="2"/>
      <c r="E964" s="2"/>
      <c r="F964" s="2"/>
      <c r="G964" s="2"/>
      <c r="H964" s="2"/>
      <c r="I964" s="2"/>
      <c r="J964" s="2"/>
      <c r="K964" s="2"/>
      <c r="L964" s="19"/>
      <c r="M964" s="19"/>
      <c r="N964" s="2"/>
      <c r="O964" s="2"/>
      <c r="P964" s="2"/>
      <c r="Q964" s="2"/>
      <c r="R964" s="2"/>
      <c r="S964" s="2"/>
      <c r="T964" s="2"/>
      <c r="U964" s="2"/>
      <c r="V964" s="2"/>
      <c r="W964" s="2"/>
      <c r="X964" s="2"/>
      <c r="Y964" s="2"/>
      <c r="Z964" s="2"/>
    </row>
    <row r="965" customFormat="false" ht="12" hidden="false" customHeight="true" outlineLevel="0" collapsed="false">
      <c r="A965" s="2"/>
      <c r="B965" s="19"/>
      <c r="C965" s="19"/>
      <c r="D965" s="2"/>
      <c r="E965" s="2"/>
      <c r="F965" s="2"/>
      <c r="G965" s="2"/>
      <c r="H965" s="2"/>
      <c r="I965" s="2"/>
      <c r="J965" s="2"/>
      <c r="K965" s="2"/>
      <c r="L965" s="19"/>
      <c r="M965" s="19"/>
      <c r="N965" s="2"/>
      <c r="O965" s="2"/>
      <c r="P965" s="2"/>
      <c r="Q965" s="2"/>
      <c r="R965" s="2"/>
      <c r="S965" s="2"/>
      <c r="T965" s="2"/>
      <c r="U965" s="2"/>
      <c r="V965" s="2"/>
      <c r="W965" s="2"/>
      <c r="X965" s="2"/>
      <c r="Y965" s="2"/>
      <c r="Z965" s="2"/>
    </row>
    <row r="966" customFormat="false" ht="12" hidden="false" customHeight="true" outlineLevel="0" collapsed="false">
      <c r="A966" s="2"/>
      <c r="B966" s="19"/>
      <c r="C966" s="19"/>
      <c r="D966" s="2"/>
      <c r="E966" s="2"/>
      <c r="F966" s="2"/>
      <c r="G966" s="2"/>
      <c r="H966" s="2"/>
      <c r="I966" s="2"/>
      <c r="J966" s="2"/>
      <c r="K966" s="2"/>
      <c r="L966" s="19"/>
      <c r="M966" s="19"/>
      <c r="N966" s="2"/>
      <c r="O966" s="2"/>
      <c r="P966" s="2"/>
      <c r="Q966" s="2"/>
      <c r="R966" s="2"/>
      <c r="S966" s="2"/>
      <c r="T966" s="2"/>
      <c r="U966" s="2"/>
      <c r="V966" s="2"/>
      <c r="W966" s="2"/>
      <c r="X966" s="2"/>
      <c r="Y966" s="2"/>
      <c r="Z966" s="2"/>
    </row>
    <row r="967" customFormat="false" ht="12" hidden="false" customHeight="true" outlineLevel="0" collapsed="false">
      <c r="A967" s="2"/>
      <c r="B967" s="19"/>
      <c r="C967" s="19"/>
      <c r="D967" s="2"/>
      <c r="E967" s="2"/>
      <c r="F967" s="2"/>
      <c r="G967" s="2"/>
      <c r="H967" s="2"/>
      <c r="I967" s="2"/>
      <c r="J967" s="2"/>
      <c r="K967" s="2"/>
      <c r="L967" s="19"/>
      <c r="M967" s="19"/>
      <c r="N967" s="2"/>
      <c r="O967" s="2"/>
      <c r="P967" s="2"/>
      <c r="Q967" s="2"/>
      <c r="R967" s="2"/>
      <c r="S967" s="2"/>
      <c r="T967" s="2"/>
      <c r="U967" s="2"/>
      <c r="V967" s="2"/>
      <c r="W967" s="2"/>
      <c r="X967" s="2"/>
      <c r="Y967" s="2"/>
      <c r="Z967" s="2"/>
    </row>
    <row r="968" customFormat="false" ht="12" hidden="false" customHeight="true" outlineLevel="0" collapsed="false">
      <c r="A968" s="2"/>
      <c r="B968" s="19"/>
      <c r="C968" s="19"/>
      <c r="D968" s="2"/>
      <c r="E968" s="2"/>
      <c r="F968" s="2"/>
      <c r="G968" s="2"/>
      <c r="H968" s="2"/>
      <c r="I968" s="2"/>
      <c r="J968" s="2"/>
      <c r="K968" s="2"/>
      <c r="L968" s="19"/>
      <c r="M968" s="19"/>
      <c r="N968" s="2"/>
      <c r="O968" s="2"/>
      <c r="P968" s="2"/>
      <c r="Q968" s="2"/>
      <c r="R968" s="2"/>
      <c r="S968" s="2"/>
      <c r="T968" s="2"/>
      <c r="U968" s="2"/>
      <c r="V968" s="2"/>
      <c r="W968" s="2"/>
      <c r="X968" s="2"/>
      <c r="Y968" s="2"/>
      <c r="Z968" s="2"/>
    </row>
    <row r="969" customFormat="false" ht="12" hidden="false" customHeight="true" outlineLevel="0" collapsed="false">
      <c r="A969" s="2"/>
      <c r="B969" s="19"/>
      <c r="C969" s="19"/>
      <c r="D969" s="2"/>
      <c r="E969" s="2"/>
      <c r="F969" s="2"/>
      <c r="G969" s="2"/>
      <c r="H969" s="2"/>
      <c r="I969" s="2"/>
      <c r="J969" s="2"/>
      <c r="K969" s="2"/>
      <c r="L969" s="19"/>
      <c r="M969" s="19"/>
      <c r="N969" s="2"/>
      <c r="O969" s="2"/>
      <c r="P969" s="2"/>
      <c r="Q969" s="2"/>
      <c r="R969" s="2"/>
      <c r="S969" s="2"/>
      <c r="T969" s="2"/>
      <c r="U969" s="2"/>
      <c r="V969" s="2"/>
      <c r="W969" s="2"/>
      <c r="X969" s="2"/>
      <c r="Y969" s="2"/>
      <c r="Z969" s="2"/>
    </row>
    <row r="970" customFormat="false" ht="12" hidden="false" customHeight="true" outlineLevel="0" collapsed="false">
      <c r="A970" s="2"/>
      <c r="B970" s="19"/>
      <c r="C970" s="19"/>
      <c r="D970" s="2"/>
      <c r="E970" s="2"/>
      <c r="F970" s="2"/>
      <c r="G970" s="2"/>
      <c r="H970" s="2"/>
      <c r="I970" s="2"/>
      <c r="J970" s="2"/>
      <c r="K970" s="2"/>
      <c r="L970" s="19"/>
      <c r="M970" s="19"/>
      <c r="N970" s="2"/>
      <c r="O970" s="2"/>
      <c r="P970" s="2"/>
      <c r="Q970" s="2"/>
      <c r="R970" s="2"/>
      <c r="S970" s="2"/>
      <c r="T970" s="2"/>
      <c r="U970" s="2"/>
      <c r="V970" s="2"/>
      <c r="W970" s="2"/>
      <c r="X970" s="2"/>
      <c r="Y970" s="2"/>
      <c r="Z970" s="2"/>
    </row>
    <row r="971" customFormat="false" ht="12" hidden="false" customHeight="true" outlineLevel="0" collapsed="false">
      <c r="A971" s="2"/>
      <c r="B971" s="19"/>
      <c r="C971" s="19"/>
      <c r="D971" s="2"/>
      <c r="E971" s="2"/>
      <c r="F971" s="2"/>
      <c r="G971" s="2"/>
      <c r="H971" s="2"/>
      <c r="I971" s="2"/>
      <c r="J971" s="2"/>
      <c r="K971" s="2"/>
      <c r="L971" s="19"/>
      <c r="M971" s="19"/>
      <c r="N971" s="2"/>
      <c r="O971" s="2"/>
      <c r="P971" s="2"/>
      <c r="Q971" s="2"/>
      <c r="R971" s="2"/>
      <c r="S971" s="2"/>
      <c r="T971" s="2"/>
      <c r="U971" s="2"/>
      <c r="V971" s="2"/>
      <c r="W971" s="2"/>
      <c r="X971" s="2"/>
      <c r="Y971" s="2"/>
      <c r="Z971" s="2"/>
    </row>
    <row r="972" customFormat="false" ht="12" hidden="false" customHeight="true" outlineLevel="0" collapsed="false">
      <c r="A972" s="2"/>
      <c r="B972" s="19"/>
      <c r="C972" s="19"/>
      <c r="D972" s="2"/>
      <c r="E972" s="2"/>
      <c r="F972" s="2"/>
      <c r="G972" s="2"/>
      <c r="H972" s="2"/>
      <c r="I972" s="2"/>
      <c r="J972" s="2"/>
      <c r="K972" s="2"/>
      <c r="L972" s="19"/>
      <c r="M972" s="19"/>
      <c r="N972" s="2"/>
      <c r="O972" s="2"/>
      <c r="P972" s="2"/>
      <c r="Q972" s="2"/>
      <c r="R972" s="2"/>
      <c r="S972" s="2"/>
      <c r="T972" s="2"/>
      <c r="U972" s="2"/>
      <c r="V972" s="2"/>
      <c r="W972" s="2"/>
      <c r="X972" s="2"/>
      <c r="Y972" s="2"/>
      <c r="Z972" s="2"/>
    </row>
    <row r="973" customFormat="false" ht="12" hidden="false" customHeight="true" outlineLevel="0" collapsed="false">
      <c r="A973" s="2"/>
      <c r="B973" s="19"/>
      <c r="C973" s="19"/>
      <c r="D973" s="2"/>
      <c r="E973" s="2"/>
      <c r="F973" s="2"/>
      <c r="G973" s="2"/>
      <c r="H973" s="2"/>
      <c r="I973" s="2"/>
      <c r="J973" s="2"/>
      <c r="K973" s="2"/>
      <c r="L973" s="19"/>
      <c r="M973" s="19"/>
      <c r="N973" s="2"/>
      <c r="O973" s="2"/>
      <c r="P973" s="2"/>
      <c r="Q973" s="2"/>
      <c r="R973" s="2"/>
      <c r="S973" s="2"/>
      <c r="T973" s="2"/>
      <c r="U973" s="2"/>
      <c r="V973" s="2"/>
      <c r="W973" s="2"/>
      <c r="X973" s="2"/>
      <c r="Y973" s="2"/>
      <c r="Z973" s="2"/>
    </row>
    <row r="974" customFormat="false" ht="12" hidden="false" customHeight="true" outlineLevel="0" collapsed="false">
      <c r="A974" s="2"/>
      <c r="B974" s="19"/>
      <c r="C974" s="19"/>
      <c r="D974" s="2"/>
      <c r="E974" s="2"/>
      <c r="F974" s="2"/>
      <c r="G974" s="2"/>
      <c r="H974" s="2"/>
      <c r="I974" s="2"/>
      <c r="J974" s="2"/>
      <c r="K974" s="2"/>
      <c r="L974" s="19"/>
      <c r="M974" s="19"/>
      <c r="N974" s="2"/>
      <c r="O974" s="2"/>
      <c r="P974" s="2"/>
      <c r="Q974" s="2"/>
      <c r="R974" s="2"/>
      <c r="S974" s="2"/>
      <c r="T974" s="2"/>
      <c r="U974" s="2"/>
      <c r="V974" s="2"/>
      <c r="W974" s="2"/>
      <c r="X974" s="2"/>
      <c r="Y974" s="2"/>
      <c r="Z974" s="2"/>
    </row>
    <row r="975" customFormat="false" ht="12" hidden="false" customHeight="true" outlineLevel="0" collapsed="false">
      <c r="A975" s="2"/>
      <c r="B975" s="19"/>
      <c r="C975" s="19"/>
      <c r="D975" s="2"/>
      <c r="E975" s="2"/>
      <c r="F975" s="2"/>
      <c r="G975" s="2"/>
      <c r="H975" s="2"/>
      <c r="I975" s="2"/>
      <c r="J975" s="2"/>
      <c r="K975" s="2"/>
      <c r="L975" s="19"/>
      <c r="M975" s="19"/>
      <c r="N975" s="2"/>
      <c r="O975" s="2"/>
      <c r="P975" s="2"/>
      <c r="Q975" s="2"/>
      <c r="R975" s="2"/>
      <c r="S975" s="2"/>
      <c r="T975" s="2"/>
      <c r="U975" s="2"/>
      <c r="V975" s="2"/>
      <c r="W975" s="2"/>
      <c r="X975" s="2"/>
      <c r="Y975" s="2"/>
      <c r="Z975" s="2"/>
    </row>
    <row r="976" customFormat="false" ht="12" hidden="false" customHeight="true" outlineLevel="0" collapsed="false">
      <c r="A976" s="2"/>
      <c r="B976" s="19"/>
      <c r="C976" s="19"/>
      <c r="D976" s="2"/>
      <c r="E976" s="2"/>
      <c r="F976" s="2"/>
      <c r="G976" s="2"/>
      <c r="H976" s="2"/>
      <c r="I976" s="2"/>
      <c r="J976" s="2"/>
      <c r="K976" s="2"/>
      <c r="L976" s="19"/>
      <c r="M976" s="19"/>
      <c r="N976" s="2"/>
      <c r="O976" s="2"/>
      <c r="P976" s="2"/>
      <c r="Q976" s="2"/>
      <c r="R976" s="2"/>
      <c r="S976" s="2"/>
      <c r="T976" s="2"/>
      <c r="U976" s="2"/>
      <c r="V976" s="2"/>
      <c r="W976" s="2"/>
      <c r="X976" s="2"/>
      <c r="Y976" s="2"/>
      <c r="Z976" s="2"/>
    </row>
    <row r="977" customFormat="false" ht="12" hidden="false" customHeight="true" outlineLevel="0" collapsed="false">
      <c r="A977" s="2"/>
      <c r="B977" s="19"/>
      <c r="C977" s="19"/>
      <c r="D977" s="2"/>
      <c r="E977" s="2"/>
      <c r="F977" s="2"/>
      <c r="G977" s="2"/>
      <c r="H977" s="2"/>
      <c r="I977" s="2"/>
      <c r="J977" s="2"/>
      <c r="K977" s="2"/>
      <c r="L977" s="19"/>
      <c r="M977" s="19"/>
      <c r="N977" s="2"/>
      <c r="O977" s="2"/>
      <c r="P977" s="2"/>
      <c r="Q977" s="2"/>
      <c r="R977" s="2"/>
      <c r="S977" s="2"/>
      <c r="T977" s="2"/>
      <c r="U977" s="2"/>
      <c r="V977" s="2"/>
      <c r="W977" s="2"/>
      <c r="X977" s="2"/>
      <c r="Y977" s="2"/>
      <c r="Z977" s="2"/>
    </row>
    <row r="978" customFormat="false" ht="12" hidden="false" customHeight="true" outlineLevel="0" collapsed="false">
      <c r="A978" s="2"/>
      <c r="B978" s="19"/>
      <c r="C978" s="19"/>
      <c r="D978" s="2"/>
      <c r="E978" s="2"/>
      <c r="F978" s="2"/>
      <c r="G978" s="2"/>
      <c r="H978" s="2"/>
      <c r="I978" s="2"/>
      <c r="J978" s="2"/>
      <c r="K978" s="2"/>
      <c r="L978" s="19"/>
      <c r="M978" s="19"/>
      <c r="N978" s="2"/>
      <c r="O978" s="2"/>
      <c r="P978" s="2"/>
      <c r="Q978" s="2"/>
      <c r="R978" s="2"/>
      <c r="S978" s="2"/>
      <c r="T978" s="2"/>
      <c r="U978" s="2"/>
      <c r="V978" s="2"/>
      <c r="W978" s="2"/>
      <c r="X978" s="2"/>
      <c r="Y978" s="2"/>
      <c r="Z978" s="2"/>
    </row>
    <row r="979" customFormat="false" ht="12" hidden="false" customHeight="true" outlineLevel="0" collapsed="false">
      <c r="A979" s="2"/>
      <c r="B979" s="19"/>
      <c r="C979" s="19"/>
      <c r="D979" s="2"/>
      <c r="E979" s="2"/>
      <c r="F979" s="2"/>
      <c r="G979" s="2"/>
      <c r="H979" s="2"/>
      <c r="I979" s="2"/>
      <c r="J979" s="2"/>
      <c r="K979" s="2"/>
      <c r="L979" s="19"/>
      <c r="M979" s="19"/>
      <c r="N979" s="2"/>
      <c r="O979" s="2"/>
      <c r="P979" s="2"/>
      <c r="Q979" s="2"/>
      <c r="R979" s="2"/>
      <c r="S979" s="2"/>
      <c r="T979" s="2"/>
      <c r="U979" s="2"/>
      <c r="V979" s="2"/>
      <c r="W979" s="2"/>
      <c r="X979" s="2"/>
      <c r="Y979" s="2"/>
      <c r="Z979" s="2"/>
    </row>
    <row r="980" customFormat="false" ht="12" hidden="false" customHeight="true" outlineLevel="0" collapsed="false">
      <c r="A980" s="2"/>
      <c r="B980" s="19"/>
      <c r="C980" s="19"/>
      <c r="D980" s="2"/>
      <c r="E980" s="2"/>
      <c r="F980" s="2"/>
      <c r="G980" s="2"/>
      <c r="H980" s="2"/>
      <c r="I980" s="2"/>
      <c r="J980" s="2"/>
      <c r="K980" s="2"/>
      <c r="L980" s="19"/>
      <c r="M980" s="19"/>
      <c r="N980" s="2"/>
      <c r="O980" s="2"/>
      <c r="P980" s="2"/>
      <c r="Q980" s="2"/>
      <c r="R980" s="2"/>
      <c r="S980" s="2"/>
      <c r="T980" s="2"/>
      <c r="U980" s="2"/>
      <c r="V980" s="2"/>
      <c r="W980" s="2"/>
      <c r="X980" s="2"/>
      <c r="Y980" s="2"/>
      <c r="Z980" s="2"/>
    </row>
    <row r="981" customFormat="false" ht="12" hidden="false" customHeight="true" outlineLevel="0" collapsed="false">
      <c r="A981" s="2"/>
      <c r="B981" s="19"/>
      <c r="C981" s="19"/>
      <c r="D981" s="2"/>
      <c r="E981" s="2"/>
      <c r="F981" s="2"/>
      <c r="G981" s="2"/>
      <c r="H981" s="2"/>
      <c r="I981" s="2"/>
      <c r="J981" s="2"/>
      <c r="K981" s="2"/>
      <c r="L981" s="19"/>
      <c r="M981" s="19"/>
      <c r="N981" s="2"/>
      <c r="O981" s="2"/>
      <c r="P981" s="2"/>
      <c r="Q981" s="2"/>
      <c r="R981" s="2"/>
      <c r="S981" s="2"/>
      <c r="T981" s="2"/>
      <c r="U981" s="2"/>
      <c r="V981" s="2"/>
      <c r="W981" s="2"/>
      <c r="X981" s="2"/>
      <c r="Y981" s="2"/>
      <c r="Z981" s="2"/>
    </row>
    <row r="982" customFormat="false" ht="12" hidden="false" customHeight="true" outlineLevel="0" collapsed="false">
      <c r="A982" s="2"/>
      <c r="B982" s="19"/>
      <c r="C982" s="19"/>
      <c r="D982" s="2"/>
      <c r="E982" s="2"/>
      <c r="F982" s="2"/>
      <c r="G982" s="2"/>
      <c r="H982" s="2"/>
      <c r="I982" s="2"/>
      <c r="J982" s="2"/>
      <c r="K982" s="2"/>
      <c r="L982" s="19"/>
      <c r="M982" s="19"/>
      <c r="N982" s="2"/>
      <c r="O982" s="2"/>
      <c r="P982" s="2"/>
      <c r="Q982" s="2"/>
      <c r="R982" s="2"/>
      <c r="S982" s="2"/>
      <c r="T982" s="2"/>
      <c r="U982" s="2"/>
      <c r="V982" s="2"/>
      <c r="W982" s="2"/>
      <c r="X982" s="2"/>
      <c r="Y982" s="2"/>
      <c r="Z982" s="2"/>
    </row>
    <row r="983" customFormat="false" ht="12" hidden="false" customHeight="true" outlineLevel="0" collapsed="false">
      <c r="A983" s="2"/>
      <c r="B983" s="19"/>
      <c r="C983" s="19"/>
      <c r="D983" s="2"/>
      <c r="E983" s="2"/>
      <c r="F983" s="2"/>
      <c r="G983" s="2"/>
      <c r="H983" s="2"/>
      <c r="I983" s="2"/>
      <c r="J983" s="2"/>
      <c r="K983" s="2"/>
      <c r="L983" s="19"/>
      <c r="M983" s="19"/>
      <c r="N983" s="2"/>
      <c r="O983" s="2"/>
      <c r="P983" s="2"/>
      <c r="Q983" s="2"/>
      <c r="R983" s="2"/>
      <c r="S983" s="2"/>
      <c r="T983" s="2"/>
      <c r="U983" s="2"/>
      <c r="V983" s="2"/>
      <c r="W983" s="2"/>
      <c r="X983" s="2"/>
      <c r="Y983" s="2"/>
      <c r="Z983" s="2"/>
    </row>
    <row r="984" customFormat="false" ht="12" hidden="false" customHeight="true" outlineLevel="0" collapsed="false">
      <c r="A984" s="2"/>
      <c r="B984" s="19"/>
      <c r="C984" s="19"/>
      <c r="D984" s="2"/>
      <c r="E984" s="2"/>
      <c r="F984" s="2"/>
      <c r="G984" s="2"/>
      <c r="H984" s="2"/>
      <c r="I984" s="2"/>
      <c r="J984" s="2"/>
      <c r="K984" s="2"/>
      <c r="L984" s="19"/>
      <c r="M984" s="19"/>
      <c r="N984" s="2"/>
      <c r="O984" s="2"/>
      <c r="P984" s="2"/>
      <c r="Q984" s="2"/>
      <c r="R984" s="2"/>
      <c r="S984" s="2"/>
      <c r="T984" s="2"/>
      <c r="U984" s="2"/>
      <c r="V984" s="2"/>
      <c r="W984" s="2"/>
      <c r="X984" s="2"/>
      <c r="Y984" s="2"/>
      <c r="Z984" s="2"/>
    </row>
    <row r="985" customFormat="false" ht="12" hidden="false" customHeight="true" outlineLevel="0" collapsed="false">
      <c r="A985" s="2"/>
      <c r="B985" s="19"/>
      <c r="C985" s="19"/>
      <c r="D985" s="2"/>
      <c r="E985" s="2"/>
      <c r="F985" s="2"/>
      <c r="G985" s="2"/>
      <c r="H985" s="2"/>
      <c r="I985" s="2"/>
      <c r="J985" s="2"/>
      <c r="K985" s="2"/>
      <c r="L985" s="19"/>
      <c r="M985" s="19"/>
      <c r="N985" s="2"/>
      <c r="O985" s="2"/>
      <c r="P985" s="2"/>
      <c r="Q985" s="2"/>
      <c r="R985" s="2"/>
      <c r="S985" s="2"/>
      <c r="T985" s="2"/>
      <c r="U985" s="2"/>
      <c r="V985" s="2"/>
      <c r="W985" s="2"/>
      <c r="X985" s="2"/>
      <c r="Y985" s="2"/>
      <c r="Z985" s="2"/>
    </row>
    <row r="986" customFormat="false" ht="12" hidden="false" customHeight="true" outlineLevel="0" collapsed="false">
      <c r="A986" s="2"/>
      <c r="B986" s="19"/>
      <c r="C986" s="19"/>
      <c r="D986" s="2"/>
      <c r="E986" s="2"/>
      <c r="F986" s="2"/>
      <c r="G986" s="2"/>
      <c r="H986" s="2"/>
      <c r="I986" s="2"/>
      <c r="J986" s="2"/>
      <c r="K986" s="2"/>
      <c r="L986" s="19"/>
      <c r="M986" s="19"/>
      <c r="N986" s="2"/>
      <c r="O986" s="2"/>
      <c r="P986" s="2"/>
      <c r="Q986" s="2"/>
      <c r="R986" s="2"/>
      <c r="S986" s="2"/>
      <c r="T986" s="2"/>
      <c r="U986" s="2"/>
      <c r="V986" s="2"/>
      <c r="W986" s="2"/>
      <c r="X986" s="2"/>
      <c r="Y986" s="2"/>
      <c r="Z986" s="2"/>
    </row>
    <row r="987" customFormat="false" ht="12" hidden="false" customHeight="true" outlineLevel="0" collapsed="false">
      <c r="A987" s="2"/>
      <c r="B987" s="19"/>
      <c r="C987" s="19"/>
      <c r="D987" s="2"/>
      <c r="E987" s="2"/>
      <c r="F987" s="2"/>
      <c r="G987" s="2"/>
      <c r="H987" s="2"/>
      <c r="I987" s="2"/>
      <c r="J987" s="2"/>
      <c r="K987" s="2"/>
      <c r="L987" s="19"/>
      <c r="M987" s="19"/>
      <c r="N987" s="2"/>
      <c r="O987" s="2"/>
      <c r="P987" s="2"/>
      <c r="Q987" s="2"/>
      <c r="R987" s="2"/>
      <c r="S987" s="2"/>
      <c r="T987" s="2"/>
      <c r="U987" s="2"/>
      <c r="V987" s="2"/>
      <c r="W987" s="2"/>
      <c r="X987" s="2"/>
      <c r="Y987" s="2"/>
      <c r="Z987" s="2"/>
    </row>
    <row r="988" customFormat="false" ht="12" hidden="false" customHeight="true" outlineLevel="0" collapsed="false">
      <c r="A988" s="2"/>
      <c r="B988" s="19"/>
      <c r="C988" s="19"/>
      <c r="D988" s="2"/>
      <c r="E988" s="2"/>
      <c r="F988" s="2"/>
      <c r="G988" s="2"/>
      <c r="H988" s="2"/>
      <c r="I988" s="2"/>
      <c r="J988" s="2"/>
      <c r="K988" s="2"/>
      <c r="L988" s="19"/>
      <c r="M988" s="19"/>
      <c r="N988" s="2"/>
      <c r="O988" s="2"/>
      <c r="P988" s="2"/>
      <c r="Q988" s="2"/>
      <c r="R988" s="2"/>
      <c r="S988" s="2"/>
      <c r="T988" s="2"/>
      <c r="U988" s="2"/>
      <c r="V988" s="2"/>
      <c r="W988" s="2"/>
      <c r="X988" s="2"/>
      <c r="Y988" s="2"/>
      <c r="Z988" s="2"/>
    </row>
    <row r="989" customFormat="false" ht="12" hidden="false" customHeight="true" outlineLevel="0" collapsed="false">
      <c r="A989" s="2"/>
      <c r="B989" s="19"/>
      <c r="C989" s="19"/>
      <c r="D989" s="2"/>
      <c r="E989" s="2"/>
      <c r="F989" s="2"/>
      <c r="G989" s="2"/>
      <c r="H989" s="2"/>
      <c r="I989" s="2"/>
      <c r="J989" s="2"/>
      <c r="K989" s="2"/>
      <c r="L989" s="19"/>
      <c r="M989" s="19"/>
      <c r="N989" s="2"/>
      <c r="O989" s="2"/>
      <c r="P989" s="2"/>
      <c r="Q989" s="2"/>
      <c r="R989" s="2"/>
      <c r="S989" s="2"/>
      <c r="T989" s="2"/>
      <c r="U989" s="2"/>
      <c r="V989" s="2"/>
      <c r="W989" s="2"/>
      <c r="X989" s="2"/>
      <c r="Y989" s="2"/>
      <c r="Z989" s="2"/>
    </row>
    <row r="990" customFormat="false" ht="12" hidden="false" customHeight="true" outlineLevel="0" collapsed="false">
      <c r="A990" s="2"/>
      <c r="B990" s="19"/>
      <c r="C990" s="19"/>
      <c r="D990" s="2"/>
      <c r="E990" s="2"/>
      <c r="F990" s="2"/>
      <c r="G990" s="2"/>
      <c r="H990" s="2"/>
      <c r="I990" s="2"/>
      <c r="J990" s="2"/>
      <c r="K990" s="2"/>
      <c r="L990" s="19"/>
      <c r="M990" s="19"/>
      <c r="N990" s="2"/>
      <c r="O990" s="2"/>
      <c r="P990" s="2"/>
      <c r="Q990" s="2"/>
      <c r="R990" s="2"/>
      <c r="S990" s="2"/>
      <c r="T990" s="2"/>
      <c r="U990" s="2"/>
      <c r="V990" s="2"/>
      <c r="W990" s="2"/>
      <c r="X990" s="2"/>
      <c r="Y990" s="2"/>
      <c r="Z990" s="2"/>
    </row>
    <row r="991" customFormat="false" ht="12" hidden="false" customHeight="true" outlineLevel="0" collapsed="false">
      <c r="A991" s="2"/>
      <c r="B991" s="19"/>
      <c r="C991" s="19"/>
      <c r="D991" s="2"/>
      <c r="E991" s="2"/>
      <c r="F991" s="2"/>
      <c r="G991" s="2"/>
      <c r="H991" s="2"/>
      <c r="I991" s="2"/>
      <c r="J991" s="2"/>
      <c r="K991" s="2"/>
      <c r="L991" s="19"/>
      <c r="M991" s="19"/>
      <c r="N991" s="2"/>
      <c r="O991" s="2"/>
      <c r="P991" s="2"/>
      <c r="Q991" s="2"/>
      <c r="R991" s="2"/>
      <c r="S991" s="2"/>
      <c r="T991" s="2"/>
      <c r="U991" s="2"/>
      <c r="V991" s="2"/>
      <c r="W991" s="2"/>
      <c r="X991" s="2"/>
      <c r="Y991" s="2"/>
      <c r="Z991" s="2"/>
    </row>
    <row r="992" customFormat="false" ht="12" hidden="false" customHeight="true" outlineLevel="0" collapsed="false">
      <c r="A992" s="2"/>
      <c r="B992" s="19"/>
      <c r="C992" s="19"/>
      <c r="D992" s="2"/>
      <c r="E992" s="2"/>
      <c r="F992" s="2"/>
      <c r="G992" s="2"/>
      <c r="H992" s="2"/>
      <c r="I992" s="2"/>
      <c r="J992" s="2"/>
      <c r="K992" s="2"/>
      <c r="L992" s="19"/>
      <c r="M992" s="19"/>
      <c r="N992" s="2"/>
      <c r="O992" s="2"/>
      <c r="P992" s="2"/>
      <c r="Q992" s="2"/>
      <c r="R992" s="2"/>
      <c r="S992" s="2"/>
      <c r="T992" s="2"/>
      <c r="U992" s="2"/>
      <c r="V992" s="2"/>
      <c r="W992" s="2"/>
      <c r="X992" s="2"/>
      <c r="Y992" s="2"/>
      <c r="Z992" s="2"/>
    </row>
    <row r="993" customFormat="false" ht="12" hidden="false" customHeight="true" outlineLevel="0" collapsed="false">
      <c r="A993" s="2"/>
      <c r="B993" s="19"/>
      <c r="C993" s="19"/>
      <c r="D993" s="2"/>
      <c r="E993" s="2"/>
      <c r="F993" s="2"/>
      <c r="G993" s="2"/>
      <c r="H993" s="2"/>
      <c r="I993" s="2"/>
      <c r="J993" s="2"/>
      <c r="K993" s="2"/>
      <c r="L993" s="19"/>
      <c r="M993" s="19"/>
      <c r="N993" s="2"/>
      <c r="O993" s="2"/>
      <c r="P993" s="2"/>
      <c r="Q993" s="2"/>
      <c r="R993" s="2"/>
      <c r="S993" s="2"/>
      <c r="T993" s="2"/>
      <c r="U993" s="2"/>
      <c r="V993" s="2"/>
      <c r="W993" s="2"/>
      <c r="X993" s="2"/>
      <c r="Y993" s="2"/>
      <c r="Z993" s="2"/>
    </row>
    <row r="994" customFormat="false" ht="12" hidden="false" customHeight="true" outlineLevel="0" collapsed="false">
      <c r="A994" s="2"/>
      <c r="B994" s="19"/>
      <c r="C994" s="19"/>
      <c r="D994" s="2"/>
      <c r="E994" s="2"/>
      <c r="F994" s="2"/>
      <c r="G994" s="2"/>
      <c r="H994" s="2"/>
      <c r="I994" s="2"/>
      <c r="J994" s="2"/>
      <c r="K994" s="2"/>
      <c r="L994" s="19"/>
      <c r="M994" s="19"/>
      <c r="N994" s="2"/>
      <c r="O994" s="2"/>
      <c r="P994" s="2"/>
      <c r="Q994" s="2"/>
      <c r="R994" s="2"/>
      <c r="S994" s="2"/>
      <c r="T994" s="2"/>
      <c r="U994" s="2"/>
      <c r="V994" s="2"/>
      <c r="W994" s="2"/>
      <c r="X994" s="2"/>
      <c r="Y994" s="2"/>
      <c r="Z994" s="2"/>
    </row>
    <row r="995" customFormat="false" ht="12" hidden="false" customHeight="true" outlineLevel="0" collapsed="false">
      <c r="A995" s="2"/>
      <c r="B995" s="19"/>
      <c r="C995" s="19"/>
      <c r="D995" s="2"/>
      <c r="E995" s="2"/>
      <c r="F995" s="2"/>
      <c r="G995" s="2"/>
      <c r="H995" s="2"/>
      <c r="I995" s="2"/>
      <c r="J995" s="2"/>
      <c r="K995" s="2"/>
      <c r="L995" s="19"/>
      <c r="M995" s="19"/>
      <c r="N995" s="2"/>
      <c r="O995" s="2"/>
      <c r="P995" s="2"/>
      <c r="Q995" s="2"/>
      <c r="R995" s="2"/>
      <c r="S995" s="2"/>
      <c r="T995" s="2"/>
      <c r="U995" s="2"/>
      <c r="V995" s="2"/>
      <c r="W995" s="2"/>
      <c r="X995" s="2"/>
      <c r="Y995" s="2"/>
      <c r="Z995" s="2"/>
    </row>
    <row r="996" customFormat="false" ht="12" hidden="false" customHeight="true" outlineLevel="0" collapsed="false">
      <c r="A996" s="2"/>
      <c r="B996" s="19"/>
      <c r="C996" s="19"/>
      <c r="D996" s="2"/>
      <c r="E996" s="2"/>
      <c r="F996" s="2"/>
      <c r="G996" s="2"/>
      <c r="H996" s="2"/>
      <c r="I996" s="2"/>
      <c r="J996" s="2"/>
      <c r="K996" s="2"/>
      <c r="L996" s="19"/>
      <c r="M996" s="19"/>
      <c r="N996" s="2"/>
      <c r="O996" s="2"/>
      <c r="P996" s="2"/>
      <c r="Q996" s="2"/>
      <c r="R996" s="2"/>
      <c r="S996" s="2"/>
      <c r="T996" s="2"/>
      <c r="U996" s="2"/>
      <c r="V996" s="2"/>
      <c r="W996" s="2"/>
      <c r="X996" s="2"/>
      <c r="Y996" s="2"/>
      <c r="Z996" s="2"/>
    </row>
    <row r="997" customFormat="false" ht="12" hidden="false" customHeight="true" outlineLevel="0" collapsed="false">
      <c r="A997" s="2"/>
      <c r="B997" s="19"/>
      <c r="C997" s="19"/>
      <c r="D997" s="2"/>
      <c r="E997" s="2"/>
      <c r="F997" s="2"/>
      <c r="G997" s="2"/>
      <c r="H997" s="2"/>
      <c r="I997" s="2"/>
      <c r="J997" s="2"/>
      <c r="K997" s="2"/>
      <c r="L997" s="19"/>
      <c r="M997" s="19"/>
      <c r="N997" s="2"/>
      <c r="O997" s="2"/>
      <c r="P997" s="2"/>
      <c r="Q997" s="2"/>
      <c r="R997" s="2"/>
      <c r="S997" s="2"/>
      <c r="T997" s="2"/>
      <c r="U997" s="2"/>
      <c r="V997" s="2"/>
      <c r="W997" s="2"/>
      <c r="X997" s="2"/>
      <c r="Y997" s="2"/>
      <c r="Z997" s="2"/>
    </row>
    <row r="998" customFormat="false" ht="12" hidden="false" customHeight="true" outlineLevel="0" collapsed="false">
      <c r="A998" s="2"/>
      <c r="B998" s="19"/>
      <c r="C998" s="19"/>
      <c r="D998" s="2"/>
      <c r="E998" s="2"/>
      <c r="F998" s="2"/>
      <c r="G998" s="2"/>
      <c r="H998" s="2"/>
      <c r="I998" s="2"/>
      <c r="J998" s="2"/>
      <c r="K998" s="2"/>
      <c r="L998" s="19"/>
      <c r="M998" s="19"/>
      <c r="N998" s="2"/>
      <c r="O998" s="2"/>
      <c r="P998" s="2"/>
      <c r="Q998" s="2"/>
      <c r="R998" s="2"/>
      <c r="S998" s="2"/>
      <c r="T998" s="2"/>
      <c r="U998" s="2"/>
      <c r="V998" s="2"/>
      <c r="W998" s="2"/>
      <c r="X998" s="2"/>
      <c r="Y998" s="2"/>
      <c r="Z998" s="2"/>
    </row>
    <row r="999" customFormat="false" ht="12" hidden="false" customHeight="true" outlineLevel="0" collapsed="false">
      <c r="A999" s="2"/>
      <c r="B999" s="19"/>
      <c r="C999" s="19"/>
      <c r="D999" s="2"/>
      <c r="E999" s="2"/>
      <c r="F999" s="2"/>
      <c r="G999" s="2"/>
      <c r="H999" s="2"/>
      <c r="I999" s="2"/>
      <c r="J999" s="2"/>
      <c r="K999" s="2"/>
      <c r="L999" s="19"/>
      <c r="M999" s="19"/>
      <c r="N999" s="2"/>
      <c r="O999" s="2"/>
      <c r="P999" s="2"/>
      <c r="Q999" s="2"/>
      <c r="R999" s="2"/>
      <c r="S999" s="2"/>
      <c r="T999" s="2"/>
      <c r="U999" s="2"/>
      <c r="V999" s="2"/>
      <c r="W999" s="2"/>
      <c r="X999" s="2"/>
      <c r="Y999" s="2"/>
      <c r="Z999" s="2"/>
    </row>
    <row r="1000" customFormat="false" ht="12" hidden="false" customHeight="true" outlineLevel="0" collapsed="false">
      <c r="A1000" s="2"/>
      <c r="B1000" s="19"/>
      <c r="C1000" s="19"/>
      <c r="D1000" s="2"/>
      <c r="E1000" s="2"/>
      <c r="F1000" s="2"/>
      <c r="G1000" s="2"/>
      <c r="H1000" s="2"/>
      <c r="I1000" s="2"/>
      <c r="J1000" s="2"/>
      <c r="K1000" s="2"/>
      <c r="L1000" s="19"/>
      <c r="M1000" s="19"/>
      <c r="N1000" s="2"/>
      <c r="O1000" s="2"/>
      <c r="P1000" s="2"/>
      <c r="Q1000" s="2"/>
      <c r="R1000" s="2"/>
      <c r="S1000" s="2"/>
      <c r="T1000" s="2"/>
      <c r="U1000" s="2"/>
      <c r="V1000" s="2"/>
      <c r="W1000" s="2"/>
      <c r="X1000" s="2"/>
      <c r="Y1000" s="2"/>
      <c r="Z1000" s="2"/>
    </row>
  </sheetData>
  <hyperlinks>
    <hyperlink ref="L6" r:id="rId1" display="https://insuranceasia.com/insurance/news/sbi-life-au-small-finance-bank-partner-expand-insurance-in-rural-india"/>
    <hyperlink ref="L9" r:id="rId2" display="https://www.business-standard.com/content/press-releases-ani/axis-max-life-insurance-partners-with-india-post-payments-bank-to-drive-life-insurance-penetration-in-tier-3-tier-4-and-rural-markets-125091001068_1.html"/>
    <hyperlink ref="L16" r:id="rId3" display="https://www.business-standard.com/content/press-releases-ani/canara-hsbc-life-insurance-launches-omnigen-ai-an-industry-first-generative-ai-solution-to-optimize-risk-evaluation-in-underwriting-124112500592_1.html"/>
    <hyperlink ref="L18" r:id="rId4" display="https://www.business-standard.com/companies/news/reliance-nippon-life-in-talks-with-indusind-bank-on-bancassurance-tie-up-124121800909_1.html"/>
    <hyperlink ref="L19" r:id="rId5" display="https://www.business-standard.com/search?q=Shriram%20Life"/>
    <hyperlink ref="L20" r:id="rId6" location=":~:text=Ageas%20Federal%20Life%20Insurance%2C%20one%20of%20India’s%20leading,and%20Individual%20entrepreneurs%2C%20on%20a%20pan%20India%20basis." display="https://www.moneycontrol.com/banking/ageas-federal-life-insurance-and-csb-bank-forge-sme-bancassurance-partnership-article-13624207.html#:~:text=Ageas%20Federal%20Life%20Insurance%2C%20one%20of%20India%E2%80%99s%20leading,and%20Individual%20entrepreneurs%2C%20on%20a%20pan%20India%20basis."/>
    <hyperlink ref="L22" r:id="rId7" display="https://insuranceasia.com/insurance/news/generali-central-rebrands-insurance-venture-digital-focus"/>
    <hyperlink ref="L23" r:id="rId8" display="https://www.business-standard.com/search?q=Pramerica%20Life"/>
    <hyperlink ref="L30" r:id="rId9" display="https://www.angelone.in/news/stocks/sbi-life-insurance-to-acquire-sahara-india-life-assets-after-sat-ruling?msockid=2167906cfca86e7a20de86d2fd7b6f09"/>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1" min="1" style="0" width="8.5"/>
    <col collapsed="false" customWidth="true" hidden="false" outlineLevel="0" max="2" min="2" style="0" width="44.13"/>
    <col collapsed="false" customWidth="true" hidden="false" outlineLevel="0" max="4" min="3" style="0" width="19.5"/>
    <col collapsed="false" customWidth="true" hidden="false" outlineLevel="0" max="5" min="5" style="0" width="14.5"/>
    <col collapsed="false" customWidth="true" hidden="false" outlineLevel="0" max="6" min="6" style="0" width="20.5"/>
    <col collapsed="false" customWidth="true" hidden="false" outlineLevel="0" max="7" min="7" style="0" width="32.13"/>
    <col collapsed="false" customWidth="true" hidden="true" outlineLevel="0" max="8" min="8" style="0" width="17.5"/>
    <col collapsed="false" customWidth="true" hidden="false" outlineLevel="0" max="9" min="9" style="0" width="41.88"/>
    <col collapsed="false" customWidth="true" hidden="false" outlineLevel="0" max="10" min="10" style="0" width="19.5"/>
    <col collapsed="false" customWidth="true" hidden="false" outlineLevel="0" max="26" min="11" style="0" width="8.88"/>
  </cols>
  <sheetData>
    <row r="1" customFormat="false" ht="12" hidden="false" customHeight="true" outlineLevel="0" collapsed="false">
      <c r="A1" s="1" t="s">
        <v>440</v>
      </c>
      <c r="B1" s="2"/>
      <c r="C1" s="2"/>
      <c r="D1" s="2"/>
      <c r="E1" s="2"/>
      <c r="F1" s="2"/>
      <c r="G1" s="2"/>
      <c r="H1" s="2"/>
      <c r="I1" s="2"/>
      <c r="J1" s="2"/>
      <c r="K1" s="2"/>
      <c r="L1" s="2"/>
      <c r="M1" s="2"/>
      <c r="N1" s="2"/>
      <c r="O1" s="2"/>
      <c r="P1" s="2"/>
      <c r="Q1" s="2"/>
      <c r="R1" s="2"/>
      <c r="S1" s="2"/>
      <c r="T1" s="2"/>
      <c r="U1" s="2"/>
      <c r="V1" s="2"/>
      <c r="W1" s="2"/>
      <c r="X1" s="2"/>
      <c r="Y1" s="2"/>
      <c r="Z1" s="2"/>
    </row>
    <row r="2" customFormat="false" ht="12" hidden="false" customHeight="true" outlineLevel="0" collapsed="false">
      <c r="A2" s="2"/>
      <c r="B2" s="2"/>
      <c r="C2" s="2"/>
      <c r="D2" s="2"/>
      <c r="E2" s="2"/>
      <c r="F2" s="2"/>
      <c r="G2" s="2"/>
      <c r="H2" s="2"/>
      <c r="I2" s="2"/>
      <c r="J2" s="2"/>
      <c r="K2" s="2"/>
      <c r="L2" s="2"/>
      <c r="M2" s="2"/>
      <c r="N2" s="2"/>
      <c r="O2" s="2"/>
      <c r="P2" s="2"/>
      <c r="Q2" s="2"/>
      <c r="R2" s="2"/>
      <c r="S2" s="2"/>
      <c r="T2" s="2"/>
      <c r="U2" s="2"/>
      <c r="V2" s="2"/>
      <c r="W2" s="2"/>
      <c r="X2" s="2"/>
      <c r="Y2" s="2"/>
      <c r="Z2" s="2"/>
    </row>
    <row r="3" customFormat="false" ht="12" hidden="false" customHeight="tru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12" hidden="false" customHeight="true" outlineLevel="0" collapsed="false">
      <c r="A4" s="21" t="s">
        <v>6</v>
      </c>
      <c r="B4" s="21" t="s">
        <v>7</v>
      </c>
      <c r="C4" s="21" t="s">
        <v>441</v>
      </c>
      <c r="D4" s="21" t="s">
        <v>165</v>
      </c>
      <c r="E4" s="21" t="s">
        <v>166</v>
      </c>
      <c r="F4" s="21" t="s">
        <v>167</v>
      </c>
      <c r="G4" s="21" t="s">
        <v>168</v>
      </c>
      <c r="H4" s="21" t="s">
        <v>169</v>
      </c>
      <c r="I4" s="21" t="s">
        <v>170</v>
      </c>
      <c r="J4" s="48" t="s">
        <v>442</v>
      </c>
      <c r="K4" s="2"/>
      <c r="L4" s="2"/>
      <c r="M4" s="2"/>
      <c r="N4" s="2"/>
      <c r="O4" s="2"/>
      <c r="P4" s="2"/>
      <c r="Q4" s="2"/>
      <c r="R4" s="2"/>
      <c r="S4" s="2"/>
      <c r="T4" s="2"/>
      <c r="U4" s="2"/>
      <c r="V4" s="2"/>
      <c r="W4" s="2"/>
      <c r="X4" s="2"/>
      <c r="Y4" s="2"/>
      <c r="Z4" s="2"/>
    </row>
    <row r="5" customFormat="false" ht="12" hidden="false" customHeight="true" outlineLevel="0" collapsed="false">
      <c r="A5" s="37" t="n">
        <v>1</v>
      </c>
      <c r="B5" s="39" t="s">
        <v>443</v>
      </c>
      <c r="C5" s="39" t="s">
        <v>108</v>
      </c>
      <c r="D5" s="38" t="s">
        <v>444</v>
      </c>
      <c r="E5" s="49" t="s">
        <v>175</v>
      </c>
      <c r="F5" s="39" t="s">
        <v>445</v>
      </c>
      <c r="G5" s="25" t="s">
        <v>446</v>
      </c>
      <c r="H5" s="39"/>
      <c r="I5" s="50"/>
      <c r="J5" s="51" t="n">
        <v>24.2</v>
      </c>
      <c r="K5" s="52"/>
      <c r="L5" s="2"/>
      <c r="M5" s="2"/>
      <c r="N5" s="2"/>
      <c r="O5" s="2"/>
      <c r="P5" s="2"/>
      <c r="Q5" s="2"/>
      <c r="R5" s="2"/>
      <c r="S5" s="2"/>
      <c r="T5" s="2"/>
      <c r="U5" s="2"/>
      <c r="V5" s="2"/>
      <c r="W5" s="2"/>
      <c r="X5" s="2"/>
      <c r="Y5" s="2"/>
      <c r="Z5" s="2"/>
    </row>
    <row r="6" customFormat="false" ht="12" hidden="false" customHeight="true" outlineLevel="0" collapsed="false">
      <c r="A6" s="23" t="n">
        <f aca="false">A5+1</f>
        <v>2</v>
      </c>
      <c r="B6" s="25" t="s">
        <v>447</v>
      </c>
      <c r="C6" s="39" t="s">
        <v>448</v>
      </c>
      <c r="D6" s="25" t="s">
        <v>449</v>
      </c>
      <c r="E6" s="49" t="s">
        <v>175</v>
      </c>
      <c r="F6" s="39" t="s">
        <v>450</v>
      </c>
      <c r="G6" s="24" t="s">
        <v>446</v>
      </c>
      <c r="H6" s="25"/>
      <c r="I6" s="53"/>
      <c r="J6" s="54" t="n">
        <v>64.1</v>
      </c>
      <c r="K6" s="52"/>
      <c r="L6" s="2"/>
      <c r="M6" s="2"/>
      <c r="N6" s="2"/>
      <c r="O6" s="2"/>
      <c r="P6" s="2"/>
      <c r="Q6" s="2"/>
      <c r="R6" s="2"/>
      <c r="S6" s="2"/>
      <c r="T6" s="2"/>
      <c r="U6" s="2"/>
      <c r="V6" s="2"/>
      <c r="W6" s="2"/>
      <c r="X6" s="2"/>
      <c r="Y6" s="2"/>
      <c r="Z6" s="2"/>
    </row>
    <row r="7" customFormat="false" ht="12" hidden="false" customHeight="true" outlineLevel="0" collapsed="false">
      <c r="A7" s="23" t="n">
        <f aca="false">A6+1</f>
        <v>3</v>
      </c>
      <c r="B7" s="25" t="s">
        <v>451</v>
      </c>
      <c r="C7" s="39" t="s">
        <v>452</v>
      </c>
      <c r="D7" s="55" t="s">
        <v>453</v>
      </c>
      <c r="E7" s="49" t="s">
        <v>175</v>
      </c>
      <c r="F7" s="39" t="s">
        <v>454</v>
      </c>
      <c r="G7" s="24" t="s">
        <v>446</v>
      </c>
      <c r="H7" s="25"/>
      <c r="I7" s="56"/>
      <c r="J7" s="54" t="n">
        <v>19.6</v>
      </c>
      <c r="K7" s="52"/>
      <c r="L7" s="2"/>
      <c r="M7" s="2"/>
      <c r="N7" s="2"/>
      <c r="O7" s="2"/>
      <c r="P7" s="2"/>
      <c r="Q7" s="2"/>
      <c r="R7" s="2"/>
      <c r="S7" s="2"/>
      <c r="T7" s="2"/>
      <c r="U7" s="2"/>
      <c r="V7" s="2"/>
      <c r="W7" s="2"/>
      <c r="X7" s="2"/>
      <c r="Y7" s="2"/>
      <c r="Z7" s="2"/>
    </row>
    <row r="8" customFormat="false" ht="12" hidden="false" customHeight="true" outlineLevel="0" collapsed="false">
      <c r="A8" s="23" t="n">
        <f aca="false">A7+1</f>
        <v>4</v>
      </c>
      <c r="B8" s="25" t="s">
        <v>455</v>
      </c>
      <c r="C8" s="39" t="s">
        <v>452</v>
      </c>
      <c r="D8" s="25" t="s">
        <v>456</v>
      </c>
      <c r="E8" s="49" t="s">
        <v>202</v>
      </c>
      <c r="F8" s="39" t="s">
        <v>457</v>
      </c>
      <c r="G8" s="24" t="s">
        <v>458</v>
      </c>
      <c r="H8" s="25"/>
      <c r="I8" s="53"/>
      <c r="J8" s="54" t="n">
        <v>23.9</v>
      </c>
      <c r="K8" s="52"/>
      <c r="L8" s="2"/>
      <c r="M8" s="2"/>
      <c r="N8" s="2"/>
      <c r="O8" s="2"/>
      <c r="P8" s="2"/>
      <c r="Q8" s="2"/>
      <c r="R8" s="2"/>
      <c r="S8" s="2"/>
      <c r="T8" s="2"/>
      <c r="U8" s="2"/>
      <c r="V8" s="2"/>
      <c r="W8" s="2"/>
      <c r="X8" s="2"/>
      <c r="Y8" s="2"/>
      <c r="Z8" s="2"/>
    </row>
    <row r="9" customFormat="false" ht="12" hidden="false" customHeight="true" outlineLevel="0" collapsed="false">
      <c r="A9" s="23" t="n">
        <f aca="false">A8+1</f>
        <v>5</v>
      </c>
      <c r="B9" s="24" t="s">
        <v>459</v>
      </c>
      <c r="C9" s="39" t="s">
        <v>448</v>
      </c>
      <c r="D9" s="25" t="s">
        <v>460</v>
      </c>
      <c r="E9" s="49" t="s">
        <v>202</v>
      </c>
      <c r="F9" s="39" t="s">
        <v>461</v>
      </c>
      <c r="G9" s="24" t="s">
        <v>462</v>
      </c>
      <c r="H9" s="25"/>
      <c r="I9" s="53"/>
      <c r="J9" s="54" t="n">
        <v>80.3</v>
      </c>
      <c r="K9" s="52" t="s">
        <v>463</v>
      </c>
      <c r="L9" s="2"/>
      <c r="M9" s="2"/>
      <c r="N9" s="2"/>
      <c r="O9" s="2"/>
      <c r="P9" s="2"/>
      <c r="Q9" s="2"/>
      <c r="R9" s="2"/>
      <c r="S9" s="2"/>
      <c r="T9" s="2"/>
      <c r="U9" s="2"/>
      <c r="V9" s="2"/>
      <c r="W9" s="2"/>
      <c r="X9" s="2"/>
      <c r="Y9" s="2"/>
      <c r="Z9" s="2"/>
    </row>
    <row r="10" customFormat="false" ht="12" hidden="false" customHeight="true" outlineLevel="0" collapsed="false">
      <c r="A10" s="23" t="n">
        <f aca="false">A9+1</f>
        <v>6</v>
      </c>
      <c r="B10" s="25" t="s">
        <v>464</v>
      </c>
      <c r="C10" s="39" t="s">
        <v>452</v>
      </c>
      <c r="D10" s="25" t="s">
        <v>465</v>
      </c>
      <c r="E10" s="49" t="s">
        <v>175</v>
      </c>
      <c r="F10" s="39" t="s">
        <v>466</v>
      </c>
      <c r="G10" s="24" t="s">
        <v>462</v>
      </c>
      <c r="H10" s="25"/>
      <c r="I10" s="53"/>
      <c r="J10" s="54" t="n">
        <v>62</v>
      </c>
      <c r="K10" s="52" t="s">
        <v>463</v>
      </c>
      <c r="L10" s="2"/>
      <c r="M10" s="2"/>
      <c r="N10" s="2"/>
      <c r="O10" s="2"/>
      <c r="P10" s="2"/>
      <c r="Q10" s="2"/>
      <c r="R10" s="2"/>
      <c r="S10" s="2"/>
      <c r="T10" s="2"/>
      <c r="U10" s="2"/>
      <c r="V10" s="2"/>
      <c r="W10" s="2"/>
      <c r="X10" s="2"/>
      <c r="Y10" s="2"/>
      <c r="Z10" s="2"/>
    </row>
    <row r="11" customFormat="false" ht="12" hidden="false" customHeight="true" outlineLevel="0" collapsed="false">
      <c r="A11" s="23" t="n">
        <f aca="false">A10+1</f>
        <v>7</v>
      </c>
      <c r="B11" s="25" t="s">
        <v>467</v>
      </c>
      <c r="C11" s="39" t="s">
        <v>108</v>
      </c>
      <c r="D11" s="25" t="s">
        <v>468</v>
      </c>
      <c r="E11" s="49" t="s">
        <v>175</v>
      </c>
      <c r="F11" s="39" t="s">
        <v>322</v>
      </c>
      <c r="G11" s="24" t="s">
        <v>446</v>
      </c>
      <c r="H11" s="25"/>
      <c r="I11" s="53"/>
      <c r="J11" s="54" t="n">
        <v>76.4</v>
      </c>
      <c r="K11" s="52"/>
      <c r="L11" s="2"/>
      <c r="M11" s="2"/>
      <c r="N11" s="2"/>
      <c r="O11" s="2"/>
      <c r="P11" s="2"/>
      <c r="Q11" s="2"/>
      <c r="R11" s="2"/>
      <c r="S11" s="2"/>
      <c r="T11" s="2"/>
      <c r="U11" s="2"/>
      <c r="V11" s="2"/>
      <c r="W11" s="2"/>
      <c r="X11" s="2"/>
      <c r="Y11" s="2"/>
      <c r="Z11" s="2"/>
    </row>
    <row r="12" customFormat="false" ht="12" hidden="false" customHeight="true" outlineLevel="0" collapsed="false">
      <c r="A12" s="23" t="n">
        <f aca="false">A11+1</f>
        <v>8</v>
      </c>
      <c r="B12" s="25" t="s">
        <v>469</v>
      </c>
      <c r="C12" s="39" t="s">
        <v>108</v>
      </c>
      <c r="D12" s="25" t="s">
        <v>470</v>
      </c>
      <c r="E12" s="49" t="s">
        <v>190</v>
      </c>
      <c r="F12" s="39" t="s">
        <v>471</v>
      </c>
      <c r="G12" s="24" t="s">
        <v>472</v>
      </c>
      <c r="H12" s="25"/>
      <c r="I12" s="53"/>
      <c r="J12" s="54" t="n">
        <v>122.7</v>
      </c>
      <c r="K12" s="52" t="s">
        <v>463</v>
      </c>
      <c r="L12" s="2"/>
      <c r="M12" s="2"/>
      <c r="N12" s="2"/>
      <c r="O12" s="2"/>
      <c r="P12" s="2"/>
      <c r="Q12" s="2"/>
      <c r="R12" s="2"/>
      <c r="S12" s="2"/>
      <c r="T12" s="2"/>
      <c r="U12" s="2"/>
      <c r="V12" s="2"/>
      <c r="W12" s="2"/>
      <c r="X12" s="2"/>
      <c r="Y12" s="2"/>
      <c r="Z12" s="2"/>
    </row>
    <row r="13" customFormat="false" ht="12" hidden="false" customHeight="true" outlineLevel="0" collapsed="false">
      <c r="A13" s="23" t="n">
        <f aca="false">A12+1</f>
        <v>9</v>
      </c>
      <c r="B13" s="24" t="s">
        <v>473</v>
      </c>
      <c r="C13" s="39" t="s">
        <v>452</v>
      </c>
      <c r="D13" s="25" t="s">
        <v>474</v>
      </c>
      <c r="E13" s="49" t="s">
        <v>175</v>
      </c>
      <c r="F13" s="39" t="s">
        <v>475</v>
      </c>
      <c r="G13" s="24" t="s">
        <v>476</v>
      </c>
      <c r="H13" s="25"/>
      <c r="I13" s="53"/>
      <c r="J13" s="54" t="n">
        <v>28.3</v>
      </c>
      <c r="K13" s="52"/>
      <c r="L13" s="2"/>
      <c r="M13" s="2"/>
      <c r="N13" s="2"/>
      <c r="O13" s="2"/>
      <c r="P13" s="2"/>
      <c r="Q13" s="2"/>
      <c r="R13" s="2"/>
      <c r="S13" s="2"/>
      <c r="T13" s="2"/>
      <c r="U13" s="2"/>
      <c r="V13" s="2"/>
      <c r="W13" s="2"/>
      <c r="X13" s="2"/>
      <c r="Y13" s="2"/>
      <c r="Z13" s="2"/>
    </row>
    <row r="14" customFormat="false" ht="12" hidden="false" customHeight="true" outlineLevel="0" collapsed="false">
      <c r="A14" s="23" t="n">
        <f aca="false">A13+1</f>
        <v>10</v>
      </c>
      <c r="B14" s="25" t="s">
        <v>477</v>
      </c>
      <c r="C14" s="39" t="s">
        <v>108</v>
      </c>
      <c r="D14" s="25" t="s">
        <v>478</v>
      </c>
      <c r="E14" s="49" t="s">
        <v>175</v>
      </c>
      <c r="F14" s="39" t="s">
        <v>479</v>
      </c>
      <c r="G14" s="24" t="s">
        <v>446</v>
      </c>
      <c r="H14" s="25"/>
      <c r="I14" s="53"/>
      <c r="J14" s="54" t="n">
        <v>90.3</v>
      </c>
      <c r="K14" s="52"/>
      <c r="L14" s="2"/>
      <c r="M14" s="2"/>
      <c r="N14" s="2"/>
      <c r="O14" s="2"/>
      <c r="P14" s="2"/>
      <c r="Q14" s="2"/>
      <c r="R14" s="2"/>
      <c r="S14" s="2"/>
      <c r="T14" s="2"/>
      <c r="U14" s="2"/>
      <c r="V14" s="2"/>
      <c r="W14" s="2"/>
      <c r="X14" s="2"/>
      <c r="Y14" s="2"/>
      <c r="Z14" s="2"/>
    </row>
    <row r="15" customFormat="false" ht="12" hidden="false" customHeight="true" outlineLevel="0" collapsed="false">
      <c r="A15" s="23" t="n">
        <f aca="false">A14+1</f>
        <v>11</v>
      </c>
      <c r="B15" s="25" t="s">
        <v>480</v>
      </c>
      <c r="C15" s="39" t="s">
        <v>452</v>
      </c>
      <c r="D15" s="25" t="s">
        <v>481</v>
      </c>
      <c r="E15" s="49" t="s">
        <v>482</v>
      </c>
      <c r="F15" s="39" t="s">
        <v>288</v>
      </c>
      <c r="G15" s="24" t="s">
        <v>483</v>
      </c>
      <c r="H15" s="25"/>
      <c r="I15" s="53"/>
      <c r="J15" s="54" t="n">
        <v>45</v>
      </c>
      <c r="K15" s="52"/>
      <c r="L15" s="2"/>
      <c r="M15" s="2"/>
      <c r="N15" s="2"/>
      <c r="O15" s="2"/>
      <c r="P15" s="2"/>
      <c r="Q15" s="2"/>
      <c r="R15" s="2"/>
      <c r="S15" s="2"/>
      <c r="T15" s="2"/>
      <c r="U15" s="2"/>
      <c r="V15" s="2"/>
      <c r="W15" s="2"/>
      <c r="X15" s="2"/>
      <c r="Y15" s="2"/>
      <c r="Z15" s="2"/>
    </row>
    <row r="16" customFormat="false" ht="12" hidden="false" customHeight="true" outlineLevel="0" collapsed="false">
      <c r="A16" s="23" t="n">
        <f aca="false">A15+1</f>
        <v>12</v>
      </c>
      <c r="B16" s="25" t="s">
        <v>484</v>
      </c>
      <c r="C16" s="39" t="s">
        <v>15</v>
      </c>
      <c r="D16" s="25" t="s">
        <v>485</v>
      </c>
      <c r="E16" s="49" t="s">
        <v>175</v>
      </c>
      <c r="F16" s="39" t="s">
        <v>486</v>
      </c>
      <c r="G16" s="24" t="s">
        <v>458</v>
      </c>
      <c r="H16" s="25"/>
      <c r="I16" s="56"/>
      <c r="J16" s="54" t="n">
        <v>41</v>
      </c>
      <c r="K16" s="52"/>
      <c r="L16" s="2"/>
      <c r="M16" s="2"/>
      <c r="N16" s="2"/>
      <c r="O16" s="2"/>
      <c r="P16" s="2"/>
      <c r="Q16" s="2"/>
      <c r="R16" s="2"/>
      <c r="S16" s="2"/>
      <c r="T16" s="2"/>
      <c r="U16" s="2"/>
      <c r="V16" s="2"/>
      <c r="W16" s="2"/>
      <c r="X16" s="2"/>
      <c r="Y16" s="2"/>
      <c r="Z16" s="2"/>
    </row>
    <row r="17" customFormat="false" ht="12" hidden="false" customHeight="true" outlineLevel="0" collapsed="false">
      <c r="A17" s="23" t="n">
        <f aca="false">A16+1</f>
        <v>13</v>
      </c>
      <c r="B17" s="25" t="s">
        <v>487</v>
      </c>
      <c r="C17" s="39" t="s">
        <v>15</v>
      </c>
      <c r="D17" s="25" t="s">
        <v>488</v>
      </c>
      <c r="E17" s="49" t="s">
        <v>175</v>
      </c>
      <c r="F17" s="39" t="s">
        <v>489</v>
      </c>
      <c r="G17" s="24" t="s">
        <v>490</v>
      </c>
      <c r="H17" s="25"/>
      <c r="I17" s="53"/>
      <c r="J17" s="54" t="n">
        <v>52.5</v>
      </c>
      <c r="K17" s="52"/>
      <c r="L17" s="2"/>
      <c r="M17" s="2"/>
      <c r="N17" s="2"/>
      <c r="O17" s="2"/>
      <c r="P17" s="2"/>
      <c r="Q17" s="2"/>
      <c r="R17" s="2"/>
      <c r="S17" s="2"/>
      <c r="T17" s="2"/>
      <c r="U17" s="2"/>
      <c r="V17" s="2"/>
      <c r="W17" s="2"/>
      <c r="X17" s="2"/>
      <c r="Y17" s="2"/>
      <c r="Z17" s="2"/>
    </row>
    <row r="18" customFormat="false" ht="12" hidden="false" customHeight="true" outlineLevel="0" collapsed="false">
      <c r="A18" s="23" t="n">
        <f aca="false">A17+1</f>
        <v>14</v>
      </c>
      <c r="B18" s="25" t="s">
        <v>491</v>
      </c>
      <c r="C18" s="39" t="s">
        <v>452</v>
      </c>
      <c r="D18" s="25" t="s">
        <v>492</v>
      </c>
      <c r="E18" s="49" t="s">
        <v>175</v>
      </c>
      <c r="F18" s="39" t="s">
        <v>493</v>
      </c>
      <c r="G18" s="24" t="s">
        <v>446</v>
      </c>
      <c r="H18" s="25"/>
      <c r="I18" s="53"/>
      <c r="J18" s="54" t="n">
        <v>68.5</v>
      </c>
      <c r="K18" s="52"/>
      <c r="L18" s="2"/>
      <c r="M18" s="2"/>
      <c r="N18" s="2"/>
      <c r="O18" s="2"/>
      <c r="P18" s="2"/>
      <c r="Q18" s="2"/>
      <c r="R18" s="2"/>
      <c r="S18" s="2"/>
      <c r="T18" s="2"/>
      <c r="U18" s="2"/>
      <c r="V18" s="2"/>
      <c r="W18" s="2"/>
      <c r="X18" s="2"/>
      <c r="Y18" s="2"/>
      <c r="Z18" s="2"/>
    </row>
    <row r="19" customFormat="false" ht="12" hidden="false" customHeight="true" outlineLevel="0" collapsed="false">
      <c r="A19" s="23" t="n">
        <f aca="false">A18+1</f>
        <v>15</v>
      </c>
      <c r="B19" s="25" t="s">
        <v>494</v>
      </c>
      <c r="C19" s="39" t="s">
        <v>452</v>
      </c>
      <c r="D19" s="25" t="s">
        <v>495</v>
      </c>
      <c r="E19" s="49" t="s">
        <v>175</v>
      </c>
      <c r="F19" s="39" t="s">
        <v>496</v>
      </c>
      <c r="G19" s="24" t="s">
        <v>446</v>
      </c>
      <c r="H19" s="25"/>
      <c r="I19" s="53"/>
      <c r="J19" s="54" t="n">
        <v>74.4</v>
      </c>
      <c r="K19" s="52"/>
      <c r="L19" s="2"/>
      <c r="M19" s="2"/>
      <c r="N19" s="2"/>
      <c r="O19" s="2"/>
      <c r="P19" s="2"/>
      <c r="Q19" s="2"/>
      <c r="R19" s="2"/>
      <c r="S19" s="2"/>
      <c r="T19" s="2"/>
      <c r="U19" s="2"/>
      <c r="V19" s="2"/>
      <c r="W19" s="2"/>
      <c r="X19" s="2"/>
      <c r="Y19" s="2"/>
      <c r="Z19" s="2"/>
    </row>
    <row r="20" customFormat="false" ht="12" hidden="false" customHeight="true" outlineLevel="0" collapsed="false">
      <c r="A20" s="23" t="n">
        <f aca="false">A19+1</f>
        <v>16</v>
      </c>
      <c r="B20" s="25" t="s">
        <v>497</v>
      </c>
      <c r="C20" s="39" t="s">
        <v>15</v>
      </c>
      <c r="D20" s="25" t="s">
        <v>498</v>
      </c>
      <c r="E20" s="49" t="s">
        <v>202</v>
      </c>
      <c r="F20" s="39" t="s">
        <v>499</v>
      </c>
      <c r="G20" s="24" t="s">
        <v>490</v>
      </c>
      <c r="H20" s="25"/>
      <c r="I20" s="53"/>
      <c r="J20" s="54" t="n">
        <v>26</v>
      </c>
      <c r="K20" s="52"/>
      <c r="L20" s="2"/>
      <c r="M20" s="2"/>
      <c r="N20" s="2"/>
      <c r="O20" s="2"/>
      <c r="P20" s="2"/>
      <c r="Q20" s="2"/>
      <c r="R20" s="2"/>
      <c r="S20" s="2"/>
      <c r="T20" s="2"/>
      <c r="U20" s="2"/>
      <c r="V20" s="2"/>
      <c r="W20" s="2"/>
      <c r="X20" s="2"/>
      <c r="Y20" s="2"/>
      <c r="Z20" s="2"/>
    </row>
    <row r="21" customFormat="false" ht="12" hidden="false" customHeight="true" outlineLevel="0" collapsed="false">
      <c r="A21" s="23" t="n">
        <f aca="false">A20+1</f>
        <v>17</v>
      </c>
      <c r="B21" s="25" t="s">
        <v>500</v>
      </c>
      <c r="C21" s="39" t="s">
        <v>452</v>
      </c>
      <c r="D21" s="25" t="s">
        <v>501</v>
      </c>
      <c r="E21" s="49" t="s">
        <v>175</v>
      </c>
      <c r="F21" s="39" t="s">
        <v>502</v>
      </c>
      <c r="G21" s="24" t="s">
        <v>446</v>
      </c>
      <c r="H21" s="25"/>
      <c r="I21" s="53"/>
      <c r="J21" s="54" t="n">
        <v>108.9</v>
      </c>
      <c r="K21" s="52"/>
      <c r="L21" s="2"/>
      <c r="M21" s="2"/>
      <c r="N21" s="2"/>
      <c r="O21" s="2"/>
      <c r="P21" s="2"/>
      <c r="Q21" s="2"/>
      <c r="R21" s="2"/>
      <c r="S21" s="2"/>
      <c r="T21" s="2"/>
      <c r="U21" s="2"/>
      <c r="V21" s="2"/>
      <c r="W21" s="2"/>
      <c r="X21" s="2"/>
      <c r="Y21" s="2"/>
      <c r="Z21" s="2"/>
    </row>
    <row r="22" customFormat="false" ht="12" hidden="false" customHeight="true" outlineLevel="0" collapsed="false">
      <c r="A22" s="23" t="n">
        <f aca="false">A21+1</f>
        <v>18</v>
      </c>
      <c r="B22" s="25" t="s">
        <v>503</v>
      </c>
      <c r="C22" s="39" t="s">
        <v>452</v>
      </c>
      <c r="D22" s="25" t="s">
        <v>504</v>
      </c>
      <c r="E22" s="49" t="s">
        <v>175</v>
      </c>
      <c r="F22" s="39" t="s">
        <v>505</v>
      </c>
      <c r="G22" s="24" t="s">
        <v>446</v>
      </c>
      <c r="H22" s="25"/>
      <c r="I22" s="56"/>
      <c r="J22" s="54" t="n">
        <v>43.4</v>
      </c>
      <c r="K22" s="52"/>
      <c r="L22" s="2"/>
      <c r="M22" s="2"/>
      <c r="N22" s="2"/>
      <c r="O22" s="2"/>
      <c r="P22" s="2"/>
      <c r="Q22" s="2"/>
      <c r="R22" s="2"/>
      <c r="S22" s="2"/>
      <c r="T22" s="2"/>
      <c r="U22" s="2"/>
      <c r="V22" s="2"/>
      <c r="W22" s="2"/>
      <c r="X22" s="2"/>
      <c r="Y22" s="2"/>
      <c r="Z22" s="2"/>
    </row>
    <row r="23" customFormat="false" ht="12" hidden="false" customHeight="true" outlineLevel="0" collapsed="false">
      <c r="A23" s="23" t="n">
        <f aca="false">A22+1</f>
        <v>19</v>
      </c>
      <c r="B23" s="25" t="s">
        <v>506</v>
      </c>
      <c r="C23" s="39" t="s">
        <v>448</v>
      </c>
      <c r="D23" s="25" t="s">
        <v>507</v>
      </c>
      <c r="E23" s="49" t="s">
        <v>190</v>
      </c>
      <c r="F23" s="39" t="s">
        <v>508</v>
      </c>
      <c r="G23" s="24" t="s">
        <v>509</v>
      </c>
      <c r="H23" s="25"/>
      <c r="I23" s="53"/>
      <c r="J23" s="54" t="n">
        <v>36.1</v>
      </c>
      <c r="K23" s="52"/>
      <c r="L23" s="2"/>
      <c r="M23" s="2"/>
      <c r="N23" s="2"/>
      <c r="O23" s="2"/>
      <c r="P23" s="2"/>
      <c r="Q23" s="2"/>
      <c r="R23" s="2"/>
      <c r="S23" s="2"/>
      <c r="T23" s="2"/>
      <c r="U23" s="2"/>
      <c r="V23" s="2"/>
      <c r="W23" s="2"/>
      <c r="X23" s="2"/>
      <c r="Y23" s="2"/>
      <c r="Z23" s="2"/>
    </row>
    <row r="24" customFormat="false" ht="12" hidden="false" customHeight="true" outlineLevel="0" collapsed="false">
      <c r="A24" s="31" t="n">
        <f aca="false">A23+1</f>
        <v>20</v>
      </c>
      <c r="B24" s="34" t="s">
        <v>510</v>
      </c>
      <c r="C24" s="57" t="s">
        <v>108</v>
      </c>
      <c r="D24" s="34" t="s">
        <v>511</v>
      </c>
      <c r="E24" s="58" t="s">
        <v>202</v>
      </c>
      <c r="F24" s="57" t="s">
        <v>512</v>
      </c>
      <c r="G24" s="33" t="s">
        <v>458</v>
      </c>
      <c r="H24" s="34"/>
      <c r="I24" s="59"/>
      <c r="J24" s="60" t="n">
        <v>308.8</v>
      </c>
      <c r="K24" s="52" t="s">
        <v>463</v>
      </c>
      <c r="L24" s="2"/>
      <c r="M24" s="2"/>
      <c r="N24" s="2"/>
      <c r="O24" s="2"/>
      <c r="P24" s="2"/>
      <c r="Q24" s="2"/>
      <c r="R24" s="2"/>
      <c r="S24" s="2"/>
      <c r="T24" s="2"/>
      <c r="U24" s="2"/>
      <c r="V24" s="2"/>
      <c r="W24" s="2"/>
      <c r="X24" s="2"/>
      <c r="Y24" s="2"/>
      <c r="Z24" s="2"/>
    </row>
    <row r="25" customFormat="false" ht="12" hidden="false" customHeight="tru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12" hidden="false" customHeight="tru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2" hidden="false" customHeight="tru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2"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2"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2"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2" hidden="true" customHeight="true" outlineLevel="0" collapsed="false">
      <c r="A31" s="8" t="s">
        <v>6</v>
      </c>
      <c r="B31" s="8" t="s">
        <v>7</v>
      </c>
      <c r="C31" s="8" t="s">
        <v>166</v>
      </c>
      <c r="D31" s="8" t="s">
        <v>167</v>
      </c>
      <c r="E31" s="8" t="s">
        <v>513</v>
      </c>
      <c r="F31" s="8" t="s">
        <v>331</v>
      </c>
      <c r="G31" s="2"/>
      <c r="H31" s="2"/>
      <c r="I31" s="2"/>
      <c r="J31" s="2"/>
      <c r="K31" s="2"/>
      <c r="L31" s="2"/>
      <c r="M31" s="2"/>
      <c r="N31" s="2"/>
      <c r="O31" s="2"/>
      <c r="P31" s="2"/>
      <c r="Q31" s="2"/>
      <c r="R31" s="2"/>
      <c r="S31" s="2"/>
      <c r="T31" s="2"/>
      <c r="U31" s="2"/>
      <c r="V31" s="2"/>
      <c r="W31" s="2"/>
      <c r="X31" s="2"/>
      <c r="Y31" s="2"/>
      <c r="Z31" s="2"/>
    </row>
    <row r="32" customFormat="false" ht="12" hidden="true" customHeight="true" outlineLevel="0" collapsed="false">
      <c r="A32" s="61" t="n">
        <v>1</v>
      </c>
      <c r="B32" s="62" t="s">
        <v>443</v>
      </c>
      <c r="C32" s="61" t="n">
        <v>2</v>
      </c>
      <c r="D32" s="61" t="s">
        <v>445</v>
      </c>
      <c r="E32" s="61" t="n">
        <v>24.2</v>
      </c>
      <c r="F32" s="61" t="s">
        <v>514</v>
      </c>
      <c r="G32" s="2"/>
      <c r="H32" s="2"/>
      <c r="I32" s="2"/>
      <c r="J32" s="2"/>
      <c r="K32" s="2"/>
      <c r="L32" s="2"/>
      <c r="M32" s="2"/>
      <c r="N32" s="2"/>
      <c r="O32" s="2"/>
      <c r="P32" s="2"/>
      <c r="Q32" s="2"/>
      <c r="R32" s="2"/>
      <c r="S32" s="2"/>
      <c r="T32" s="2"/>
      <c r="U32" s="2"/>
      <c r="V32" s="2"/>
      <c r="W32" s="2"/>
      <c r="X32" s="2"/>
      <c r="Y32" s="2"/>
      <c r="Z32" s="2"/>
    </row>
    <row r="33" customFormat="false" ht="12" hidden="true" customHeight="true" outlineLevel="0" collapsed="false">
      <c r="A33" s="61" t="n">
        <v>2</v>
      </c>
      <c r="B33" s="62" t="s">
        <v>447</v>
      </c>
      <c r="C33" s="61" t="n">
        <v>2</v>
      </c>
      <c r="D33" s="61" t="s">
        <v>450</v>
      </c>
      <c r="E33" s="61" t="n">
        <v>64.1</v>
      </c>
      <c r="F33" s="61" t="s">
        <v>515</v>
      </c>
      <c r="G33" s="2"/>
      <c r="H33" s="2"/>
      <c r="I33" s="2"/>
      <c r="J33" s="2"/>
      <c r="K33" s="2"/>
      <c r="L33" s="2"/>
      <c r="M33" s="2"/>
      <c r="N33" s="2"/>
      <c r="O33" s="2"/>
      <c r="P33" s="2"/>
      <c r="Q33" s="2"/>
      <c r="R33" s="2"/>
      <c r="S33" s="2"/>
      <c r="T33" s="2"/>
      <c r="U33" s="2"/>
      <c r="V33" s="2"/>
      <c r="W33" s="2"/>
      <c r="X33" s="2"/>
      <c r="Y33" s="2"/>
      <c r="Z33" s="2"/>
    </row>
    <row r="34" customFormat="false" ht="12" hidden="true" customHeight="true" outlineLevel="0" collapsed="false">
      <c r="A34" s="61" t="n">
        <v>3</v>
      </c>
      <c r="B34" s="62" t="s">
        <v>451</v>
      </c>
      <c r="C34" s="61" t="n">
        <v>2</v>
      </c>
      <c r="D34" s="61" t="s">
        <v>454</v>
      </c>
      <c r="E34" s="61" t="n">
        <v>20</v>
      </c>
      <c r="F34" s="63" t="s">
        <v>516</v>
      </c>
      <c r="G34" s="2"/>
      <c r="H34" s="2"/>
      <c r="I34" s="2"/>
      <c r="J34" s="2"/>
      <c r="K34" s="2"/>
      <c r="L34" s="2"/>
      <c r="M34" s="2"/>
      <c r="N34" s="2"/>
      <c r="O34" s="2"/>
      <c r="P34" s="2"/>
      <c r="Q34" s="2"/>
      <c r="R34" s="2"/>
      <c r="S34" s="2"/>
      <c r="T34" s="2"/>
      <c r="U34" s="2"/>
      <c r="V34" s="2"/>
      <c r="W34" s="2"/>
      <c r="X34" s="2"/>
      <c r="Y34" s="2"/>
      <c r="Z34" s="2"/>
    </row>
    <row r="35" customFormat="false" ht="12" hidden="true" customHeight="true" outlineLevel="0" collapsed="false">
      <c r="A35" s="61" t="n">
        <v>4</v>
      </c>
      <c r="B35" s="62" t="s">
        <v>455</v>
      </c>
      <c r="C35" s="61" t="n">
        <v>2</v>
      </c>
      <c r="D35" s="61" t="s">
        <v>457</v>
      </c>
      <c r="E35" s="61" t="n">
        <v>23.9</v>
      </c>
      <c r="F35" s="63" t="s">
        <v>517</v>
      </c>
      <c r="G35" s="2"/>
      <c r="H35" s="2"/>
      <c r="I35" s="2"/>
      <c r="J35" s="2"/>
      <c r="K35" s="2"/>
      <c r="L35" s="2"/>
      <c r="M35" s="2"/>
      <c r="N35" s="2"/>
      <c r="O35" s="2"/>
      <c r="P35" s="2"/>
      <c r="Q35" s="2"/>
      <c r="R35" s="2"/>
      <c r="S35" s="2"/>
      <c r="T35" s="2"/>
      <c r="U35" s="2"/>
      <c r="V35" s="2"/>
      <c r="W35" s="2"/>
      <c r="X35" s="2"/>
      <c r="Y35" s="2"/>
      <c r="Z35" s="2"/>
    </row>
    <row r="36" customFormat="false" ht="12" hidden="true" customHeight="true" outlineLevel="0" collapsed="false">
      <c r="A36" s="61" t="n">
        <v>5</v>
      </c>
      <c r="B36" s="61" t="s">
        <v>518</v>
      </c>
      <c r="C36" s="61" t="n">
        <v>1</v>
      </c>
      <c r="D36" s="61" t="s">
        <v>519</v>
      </c>
      <c r="E36" s="61"/>
      <c r="F36" s="61"/>
      <c r="G36" s="2"/>
      <c r="H36" s="2"/>
      <c r="I36" s="2"/>
      <c r="J36" s="2"/>
      <c r="K36" s="2"/>
      <c r="L36" s="2"/>
      <c r="M36" s="2"/>
      <c r="N36" s="2"/>
      <c r="O36" s="2"/>
      <c r="P36" s="2"/>
      <c r="Q36" s="2"/>
      <c r="R36" s="2"/>
      <c r="S36" s="2"/>
      <c r="T36" s="2"/>
      <c r="U36" s="2"/>
      <c r="V36" s="2"/>
      <c r="W36" s="2"/>
      <c r="X36" s="2"/>
      <c r="Y36" s="2"/>
      <c r="Z36" s="2"/>
    </row>
    <row r="37" customFormat="false" ht="12" hidden="true" customHeight="true" outlineLevel="0" collapsed="false">
      <c r="A37" s="61" t="n">
        <v>6</v>
      </c>
      <c r="B37" s="61" t="s">
        <v>520</v>
      </c>
      <c r="C37" s="61" t="n">
        <v>2</v>
      </c>
      <c r="D37" s="61" t="s">
        <v>505</v>
      </c>
      <c r="E37" s="61"/>
      <c r="F37" s="61"/>
      <c r="G37" s="2"/>
      <c r="H37" s="2"/>
      <c r="I37" s="2"/>
      <c r="J37" s="2"/>
      <c r="K37" s="2"/>
      <c r="L37" s="2"/>
      <c r="M37" s="2"/>
      <c r="N37" s="2"/>
      <c r="O37" s="2"/>
      <c r="P37" s="2"/>
      <c r="Q37" s="2"/>
      <c r="R37" s="2"/>
      <c r="S37" s="2"/>
      <c r="T37" s="2"/>
      <c r="U37" s="2"/>
      <c r="V37" s="2"/>
      <c r="W37" s="2"/>
      <c r="X37" s="2"/>
      <c r="Y37" s="2"/>
      <c r="Z37" s="2"/>
    </row>
    <row r="38" customFormat="false" ht="12" hidden="true" customHeight="true" outlineLevel="0" collapsed="false">
      <c r="A38" s="61" t="n">
        <v>7</v>
      </c>
      <c r="B38" s="61" t="s">
        <v>521</v>
      </c>
      <c r="C38" s="61" t="n">
        <v>1</v>
      </c>
      <c r="D38" s="61" t="s">
        <v>522</v>
      </c>
      <c r="E38" s="61"/>
      <c r="F38" s="61"/>
      <c r="G38" s="2"/>
      <c r="H38" s="2"/>
      <c r="I38" s="2"/>
      <c r="J38" s="2"/>
      <c r="K38" s="2"/>
      <c r="L38" s="2"/>
      <c r="M38" s="2"/>
      <c r="N38" s="2"/>
      <c r="O38" s="2"/>
      <c r="P38" s="2"/>
      <c r="Q38" s="2"/>
      <c r="R38" s="2"/>
      <c r="S38" s="2"/>
      <c r="T38" s="2"/>
      <c r="U38" s="2"/>
      <c r="V38" s="2"/>
      <c r="W38" s="2"/>
      <c r="X38" s="2"/>
      <c r="Y38" s="2"/>
      <c r="Z38" s="2"/>
    </row>
    <row r="39" customFormat="false" ht="12" hidden="true" customHeight="true" outlineLevel="0" collapsed="false">
      <c r="A39" s="61" t="n">
        <v>8</v>
      </c>
      <c r="B39" s="62" t="s">
        <v>459</v>
      </c>
      <c r="C39" s="61" t="n">
        <v>2</v>
      </c>
      <c r="D39" s="61" t="s">
        <v>461</v>
      </c>
      <c r="E39" s="61" t="n">
        <v>88.2</v>
      </c>
      <c r="F39" s="63" t="s">
        <v>523</v>
      </c>
      <c r="G39" s="2" t="s">
        <v>463</v>
      </c>
      <c r="H39" s="2"/>
      <c r="I39" s="2"/>
      <c r="J39" s="2"/>
      <c r="K39" s="2"/>
      <c r="L39" s="2"/>
      <c r="M39" s="2"/>
      <c r="N39" s="2"/>
      <c r="O39" s="2"/>
      <c r="P39" s="2"/>
      <c r="Q39" s="2"/>
      <c r="R39" s="2"/>
      <c r="S39" s="2"/>
      <c r="T39" s="2"/>
      <c r="U39" s="2"/>
      <c r="V39" s="2"/>
      <c r="W39" s="2"/>
      <c r="X39" s="2"/>
      <c r="Y39" s="2"/>
      <c r="Z39" s="2"/>
    </row>
    <row r="40" customFormat="false" ht="12" hidden="true" customHeight="true" outlineLevel="0" collapsed="false">
      <c r="A40" s="61" t="n">
        <v>9</v>
      </c>
      <c r="B40" s="62" t="s">
        <v>524</v>
      </c>
      <c r="C40" s="61" t="n">
        <v>2</v>
      </c>
      <c r="D40" s="61" t="s">
        <v>466</v>
      </c>
      <c r="E40" s="61" t="n">
        <v>62</v>
      </c>
      <c r="F40" s="63" t="s">
        <v>525</v>
      </c>
      <c r="G40" s="2" t="s">
        <v>463</v>
      </c>
      <c r="H40" s="2"/>
      <c r="I40" s="2"/>
      <c r="J40" s="2"/>
      <c r="K40" s="2"/>
      <c r="L40" s="2"/>
      <c r="M40" s="2"/>
      <c r="N40" s="2"/>
      <c r="O40" s="2"/>
      <c r="P40" s="2"/>
      <c r="Q40" s="2"/>
      <c r="R40" s="2"/>
      <c r="S40" s="2"/>
      <c r="T40" s="2"/>
      <c r="U40" s="2"/>
      <c r="V40" s="2"/>
      <c r="W40" s="2"/>
      <c r="X40" s="2"/>
      <c r="Y40" s="2"/>
      <c r="Z40" s="2"/>
    </row>
    <row r="41" customFormat="false" ht="12" hidden="true" customHeight="true" outlineLevel="0" collapsed="false">
      <c r="A41" s="61" t="n">
        <v>10</v>
      </c>
      <c r="B41" s="62" t="s">
        <v>526</v>
      </c>
      <c r="C41" s="61" t="n">
        <v>2</v>
      </c>
      <c r="D41" s="61" t="s">
        <v>527</v>
      </c>
      <c r="E41" s="61" t="n">
        <v>76.4</v>
      </c>
      <c r="F41" s="63" t="s">
        <v>528</v>
      </c>
      <c r="G41" s="2"/>
      <c r="H41" s="2"/>
      <c r="I41" s="2"/>
      <c r="J41" s="2"/>
      <c r="K41" s="2"/>
      <c r="L41" s="2"/>
      <c r="M41" s="2"/>
      <c r="N41" s="2"/>
      <c r="O41" s="2"/>
      <c r="P41" s="2"/>
      <c r="Q41" s="2"/>
      <c r="R41" s="2"/>
      <c r="S41" s="2"/>
      <c r="T41" s="2"/>
      <c r="U41" s="2"/>
      <c r="V41" s="2"/>
      <c r="W41" s="2"/>
      <c r="X41" s="2"/>
      <c r="Y41" s="2"/>
      <c r="Z41" s="2"/>
    </row>
    <row r="42" customFormat="false" ht="12" hidden="true" customHeight="true" outlineLevel="0" collapsed="false">
      <c r="A42" s="61" t="n">
        <v>11</v>
      </c>
      <c r="B42" s="62" t="s">
        <v>469</v>
      </c>
      <c r="C42" s="61" t="n">
        <v>1</v>
      </c>
      <c r="D42" s="61" t="s">
        <v>529</v>
      </c>
      <c r="E42" s="61" t="n">
        <v>144.166</v>
      </c>
      <c r="F42" s="63" t="s">
        <v>530</v>
      </c>
      <c r="G42" s="2" t="s">
        <v>463</v>
      </c>
      <c r="H42" s="2"/>
      <c r="I42" s="2"/>
      <c r="J42" s="2"/>
      <c r="K42" s="2"/>
      <c r="L42" s="2"/>
      <c r="M42" s="2"/>
      <c r="N42" s="2"/>
      <c r="O42" s="2"/>
      <c r="P42" s="2"/>
      <c r="Q42" s="2"/>
      <c r="R42" s="2"/>
      <c r="S42" s="2"/>
      <c r="T42" s="2"/>
      <c r="U42" s="2"/>
      <c r="V42" s="2"/>
      <c r="W42" s="2"/>
      <c r="X42" s="2"/>
      <c r="Y42" s="2"/>
      <c r="Z42" s="2"/>
    </row>
    <row r="43" customFormat="false" ht="12" hidden="true" customHeight="true" outlineLevel="0" collapsed="false">
      <c r="A43" s="61" t="n">
        <v>12</v>
      </c>
      <c r="B43" s="61" t="s">
        <v>531</v>
      </c>
      <c r="C43" s="61" t="n">
        <v>1</v>
      </c>
      <c r="D43" s="61" t="s">
        <v>532</v>
      </c>
      <c r="E43" s="61"/>
      <c r="F43" s="61"/>
      <c r="G43" s="2"/>
      <c r="H43" s="2"/>
      <c r="I43" s="2"/>
      <c r="J43" s="2"/>
      <c r="K43" s="2"/>
      <c r="L43" s="2"/>
      <c r="M43" s="2"/>
      <c r="N43" s="2"/>
      <c r="O43" s="2"/>
      <c r="P43" s="2"/>
      <c r="Q43" s="2"/>
      <c r="R43" s="2"/>
      <c r="S43" s="2"/>
      <c r="T43" s="2"/>
      <c r="U43" s="2"/>
      <c r="V43" s="2"/>
      <c r="W43" s="2"/>
      <c r="X43" s="2"/>
      <c r="Y43" s="2"/>
      <c r="Z43" s="2"/>
    </row>
    <row r="44" customFormat="false" ht="12" hidden="true" customHeight="true" outlineLevel="0" collapsed="false">
      <c r="A44" s="61" t="n">
        <v>13</v>
      </c>
      <c r="B44" s="61" t="s">
        <v>533</v>
      </c>
      <c r="C44" s="61" t="n">
        <v>1</v>
      </c>
      <c r="D44" s="61" t="s">
        <v>534</v>
      </c>
      <c r="E44" s="61"/>
      <c r="F44" s="61"/>
      <c r="G44" s="2"/>
      <c r="H44" s="2"/>
      <c r="I44" s="2"/>
      <c r="J44" s="2"/>
      <c r="K44" s="2"/>
      <c r="L44" s="2"/>
      <c r="M44" s="2"/>
      <c r="N44" s="2"/>
      <c r="O44" s="2"/>
      <c r="P44" s="2"/>
      <c r="Q44" s="2"/>
      <c r="R44" s="2"/>
      <c r="S44" s="2"/>
      <c r="T44" s="2"/>
      <c r="U44" s="2"/>
      <c r="V44" s="2"/>
      <c r="W44" s="2"/>
      <c r="X44" s="2"/>
      <c r="Y44" s="2"/>
      <c r="Z44" s="2"/>
    </row>
    <row r="45" customFormat="false" ht="12" hidden="true" customHeight="true" outlineLevel="0" collapsed="false">
      <c r="A45" s="61" t="n">
        <v>14</v>
      </c>
      <c r="B45" s="62" t="s">
        <v>535</v>
      </c>
      <c r="C45" s="61" t="n">
        <v>1</v>
      </c>
      <c r="D45" s="61" t="s">
        <v>536</v>
      </c>
      <c r="E45" s="61" t="n">
        <v>28.3</v>
      </c>
      <c r="F45" s="61" t="s">
        <v>537</v>
      </c>
      <c r="G45" s="2"/>
      <c r="H45" s="2"/>
      <c r="I45" s="2"/>
      <c r="J45" s="2"/>
      <c r="K45" s="2"/>
      <c r="L45" s="2"/>
      <c r="M45" s="2"/>
      <c r="N45" s="2"/>
      <c r="O45" s="2"/>
      <c r="P45" s="2"/>
      <c r="Q45" s="2"/>
      <c r="R45" s="2"/>
      <c r="S45" s="2"/>
      <c r="T45" s="2"/>
      <c r="U45" s="2"/>
      <c r="V45" s="2"/>
      <c r="W45" s="2"/>
      <c r="X45" s="2"/>
      <c r="Y45" s="2"/>
      <c r="Z45" s="2"/>
    </row>
    <row r="46" customFormat="false" ht="12" hidden="true" customHeight="true" outlineLevel="0" collapsed="false">
      <c r="A46" s="61" t="n">
        <v>15</v>
      </c>
      <c r="B46" s="61" t="s">
        <v>538</v>
      </c>
      <c r="C46" s="61" t="n">
        <v>2</v>
      </c>
      <c r="D46" s="61" t="s">
        <v>539</v>
      </c>
      <c r="E46" s="61"/>
      <c r="F46" s="61"/>
      <c r="G46" s="2"/>
      <c r="H46" s="2"/>
      <c r="I46" s="2"/>
      <c r="J46" s="2"/>
      <c r="K46" s="2"/>
      <c r="L46" s="2"/>
      <c r="M46" s="2"/>
      <c r="N46" s="2"/>
      <c r="O46" s="2"/>
      <c r="P46" s="2"/>
      <c r="Q46" s="2"/>
      <c r="R46" s="2"/>
      <c r="S46" s="2"/>
      <c r="T46" s="2"/>
      <c r="U46" s="2"/>
      <c r="V46" s="2"/>
      <c r="W46" s="2"/>
      <c r="X46" s="2"/>
      <c r="Y46" s="2"/>
      <c r="Z46" s="2"/>
    </row>
    <row r="47" customFormat="false" ht="12" hidden="true" customHeight="true" outlineLevel="0" collapsed="false">
      <c r="A47" s="61" t="n">
        <v>16</v>
      </c>
      <c r="B47" s="62" t="s">
        <v>477</v>
      </c>
      <c r="C47" s="61" t="n">
        <v>2</v>
      </c>
      <c r="D47" s="61" t="s">
        <v>540</v>
      </c>
      <c r="E47" s="61" t="n">
        <v>90.3</v>
      </c>
      <c r="F47" s="61" t="s">
        <v>541</v>
      </c>
      <c r="G47" s="2"/>
      <c r="H47" s="2"/>
      <c r="I47" s="2"/>
      <c r="J47" s="2"/>
      <c r="K47" s="2"/>
      <c r="L47" s="2"/>
      <c r="M47" s="2"/>
      <c r="N47" s="2"/>
      <c r="O47" s="2"/>
      <c r="P47" s="2"/>
      <c r="Q47" s="2"/>
      <c r="R47" s="2"/>
      <c r="S47" s="2"/>
      <c r="T47" s="2"/>
      <c r="U47" s="2"/>
      <c r="V47" s="2"/>
      <c r="W47" s="2"/>
      <c r="X47" s="2"/>
      <c r="Y47" s="2"/>
      <c r="Z47" s="2"/>
    </row>
    <row r="48" customFormat="false" ht="12" hidden="true" customHeight="true" outlineLevel="0" collapsed="false">
      <c r="A48" s="61" t="n">
        <v>17</v>
      </c>
      <c r="B48" s="61" t="s">
        <v>542</v>
      </c>
      <c r="C48" s="61" t="n">
        <v>2</v>
      </c>
      <c r="D48" s="61" t="s">
        <v>543</v>
      </c>
      <c r="E48" s="61"/>
      <c r="F48" s="61"/>
      <c r="G48" s="2"/>
      <c r="H48" s="2"/>
      <c r="I48" s="2"/>
      <c r="J48" s="2"/>
      <c r="K48" s="2"/>
      <c r="L48" s="2"/>
      <c r="M48" s="2"/>
      <c r="N48" s="2"/>
      <c r="O48" s="2"/>
      <c r="P48" s="2"/>
      <c r="Q48" s="2"/>
      <c r="R48" s="2"/>
      <c r="S48" s="2"/>
      <c r="T48" s="2"/>
      <c r="U48" s="2"/>
      <c r="V48" s="2"/>
      <c r="W48" s="2"/>
      <c r="X48" s="2"/>
      <c r="Y48" s="2"/>
      <c r="Z48" s="2"/>
    </row>
    <row r="49" customFormat="false" ht="12" hidden="true" customHeight="true" outlineLevel="0" collapsed="false">
      <c r="A49" s="61" t="n">
        <v>18</v>
      </c>
      <c r="B49" s="62" t="s">
        <v>480</v>
      </c>
      <c r="C49" s="61" t="n">
        <v>1</v>
      </c>
      <c r="D49" s="61" t="s">
        <v>288</v>
      </c>
      <c r="E49" s="61" t="n">
        <v>45</v>
      </c>
      <c r="F49" s="61" t="s">
        <v>544</v>
      </c>
      <c r="G49" s="2"/>
      <c r="H49" s="2"/>
      <c r="I49" s="2"/>
      <c r="J49" s="2"/>
      <c r="K49" s="2"/>
      <c r="L49" s="2"/>
      <c r="M49" s="2"/>
      <c r="N49" s="2"/>
      <c r="O49" s="2"/>
      <c r="P49" s="2"/>
      <c r="Q49" s="2"/>
      <c r="R49" s="2"/>
      <c r="S49" s="2"/>
      <c r="T49" s="2"/>
      <c r="U49" s="2"/>
      <c r="V49" s="2"/>
      <c r="W49" s="2"/>
      <c r="X49" s="2"/>
      <c r="Y49" s="2"/>
      <c r="Z49" s="2"/>
    </row>
    <row r="50" customFormat="false" ht="12" hidden="true" customHeight="true" outlineLevel="0" collapsed="false">
      <c r="A50" s="61" t="n">
        <v>19</v>
      </c>
      <c r="B50" s="61" t="s">
        <v>545</v>
      </c>
      <c r="C50" s="61" t="n">
        <v>1</v>
      </c>
      <c r="D50" s="61" t="s">
        <v>546</v>
      </c>
      <c r="E50" s="61"/>
      <c r="F50" s="61"/>
      <c r="G50" s="2"/>
      <c r="H50" s="2"/>
      <c r="I50" s="2"/>
      <c r="J50" s="2"/>
      <c r="K50" s="2"/>
      <c r="L50" s="2"/>
      <c r="M50" s="2"/>
      <c r="N50" s="2"/>
      <c r="O50" s="2"/>
      <c r="P50" s="2"/>
      <c r="Q50" s="2"/>
      <c r="R50" s="2"/>
      <c r="S50" s="2"/>
      <c r="T50" s="2"/>
      <c r="U50" s="2"/>
      <c r="V50" s="2"/>
      <c r="W50" s="2"/>
      <c r="X50" s="2"/>
      <c r="Y50" s="2"/>
      <c r="Z50" s="2"/>
    </row>
    <row r="51" customFormat="false" ht="12" hidden="true" customHeight="true" outlineLevel="0" collapsed="false">
      <c r="A51" s="61" t="n">
        <v>20</v>
      </c>
      <c r="B51" s="62" t="s">
        <v>484</v>
      </c>
      <c r="C51" s="61" t="n">
        <v>2</v>
      </c>
      <c r="D51" s="61" t="s">
        <v>547</v>
      </c>
      <c r="E51" s="61" t="n">
        <v>41</v>
      </c>
      <c r="F51" s="61" t="s">
        <v>548</v>
      </c>
      <c r="G51" s="2"/>
      <c r="H51" s="2"/>
      <c r="I51" s="2"/>
      <c r="J51" s="2"/>
      <c r="K51" s="2"/>
      <c r="L51" s="2"/>
      <c r="M51" s="2"/>
      <c r="N51" s="2"/>
      <c r="O51" s="2"/>
      <c r="P51" s="2"/>
      <c r="Q51" s="2"/>
      <c r="R51" s="2"/>
      <c r="S51" s="2"/>
      <c r="T51" s="2"/>
      <c r="U51" s="2"/>
      <c r="V51" s="2"/>
      <c r="W51" s="2"/>
      <c r="X51" s="2"/>
      <c r="Y51" s="2"/>
      <c r="Z51" s="2"/>
    </row>
    <row r="52" customFormat="false" ht="12" hidden="true" customHeight="true" outlineLevel="0" collapsed="false">
      <c r="A52" s="61" t="n">
        <v>21</v>
      </c>
      <c r="B52" s="62" t="s">
        <v>487</v>
      </c>
      <c r="C52" s="61" t="n">
        <v>2</v>
      </c>
      <c r="D52" s="61" t="s">
        <v>489</v>
      </c>
      <c r="E52" s="61" t="n">
        <v>52.5</v>
      </c>
      <c r="F52" s="63" t="s">
        <v>549</v>
      </c>
      <c r="G52" s="2"/>
      <c r="H52" s="2"/>
      <c r="I52" s="2"/>
      <c r="J52" s="2"/>
      <c r="K52" s="2"/>
      <c r="L52" s="2"/>
      <c r="M52" s="2"/>
      <c r="N52" s="2"/>
      <c r="O52" s="2"/>
      <c r="P52" s="2"/>
      <c r="Q52" s="2"/>
      <c r="R52" s="2"/>
      <c r="S52" s="2"/>
      <c r="T52" s="2"/>
      <c r="U52" s="2"/>
      <c r="V52" s="2"/>
      <c r="W52" s="2"/>
      <c r="X52" s="2"/>
      <c r="Y52" s="2"/>
      <c r="Z52" s="2"/>
    </row>
    <row r="53" customFormat="false" ht="12" hidden="true" customHeight="true" outlineLevel="0" collapsed="false">
      <c r="A53" s="61" t="n">
        <v>22</v>
      </c>
      <c r="B53" s="62" t="s">
        <v>491</v>
      </c>
      <c r="C53" s="61" t="n">
        <v>2</v>
      </c>
      <c r="D53" s="61" t="s">
        <v>493</v>
      </c>
      <c r="E53" s="61" t="n">
        <v>68.5</v>
      </c>
      <c r="F53" s="61" t="s">
        <v>550</v>
      </c>
      <c r="G53" s="2"/>
      <c r="H53" s="2"/>
      <c r="I53" s="2"/>
      <c r="J53" s="2"/>
      <c r="K53" s="2"/>
      <c r="L53" s="2"/>
      <c r="M53" s="2"/>
      <c r="N53" s="2"/>
      <c r="O53" s="2"/>
      <c r="P53" s="2"/>
      <c r="Q53" s="2"/>
      <c r="R53" s="2"/>
      <c r="S53" s="2"/>
      <c r="T53" s="2"/>
      <c r="U53" s="2"/>
      <c r="V53" s="2"/>
      <c r="W53" s="2"/>
      <c r="X53" s="2"/>
      <c r="Y53" s="2"/>
      <c r="Z53" s="2"/>
    </row>
    <row r="54" customFormat="false" ht="12" hidden="true" customHeight="true" outlineLevel="0" collapsed="false">
      <c r="A54" s="61" t="n">
        <v>23</v>
      </c>
      <c r="B54" s="61" t="s">
        <v>551</v>
      </c>
      <c r="C54" s="61" t="n">
        <v>1</v>
      </c>
      <c r="D54" s="61" t="s">
        <v>552</v>
      </c>
      <c r="E54" s="61"/>
      <c r="F54" s="61"/>
      <c r="G54" s="2"/>
      <c r="H54" s="2"/>
      <c r="I54" s="2"/>
      <c r="J54" s="2"/>
      <c r="K54" s="2"/>
      <c r="L54" s="2"/>
      <c r="M54" s="2"/>
      <c r="N54" s="2"/>
      <c r="O54" s="2"/>
      <c r="P54" s="2"/>
      <c r="Q54" s="2"/>
      <c r="R54" s="2"/>
      <c r="S54" s="2"/>
      <c r="T54" s="2"/>
      <c r="U54" s="2"/>
      <c r="V54" s="2"/>
      <c r="W54" s="2"/>
      <c r="X54" s="2"/>
      <c r="Y54" s="2"/>
      <c r="Z54" s="2"/>
    </row>
    <row r="55" customFormat="false" ht="12" hidden="true" customHeight="true" outlineLevel="0" collapsed="false">
      <c r="A55" s="61" t="n">
        <v>24</v>
      </c>
      <c r="B55" s="61" t="s">
        <v>553</v>
      </c>
      <c r="C55" s="61" t="n">
        <v>2</v>
      </c>
      <c r="D55" s="61" t="s">
        <v>554</v>
      </c>
      <c r="E55" s="61"/>
      <c r="F55" s="61"/>
      <c r="G55" s="2"/>
      <c r="H55" s="2"/>
      <c r="I55" s="2"/>
      <c r="J55" s="2"/>
      <c r="K55" s="2"/>
      <c r="L55" s="2"/>
      <c r="M55" s="2"/>
      <c r="N55" s="2"/>
      <c r="O55" s="2"/>
      <c r="P55" s="2"/>
      <c r="Q55" s="2"/>
      <c r="R55" s="2"/>
      <c r="S55" s="2"/>
      <c r="T55" s="2"/>
      <c r="U55" s="2"/>
      <c r="V55" s="2"/>
      <c r="W55" s="2"/>
      <c r="X55" s="2"/>
      <c r="Y55" s="2"/>
      <c r="Z55" s="2"/>
    </row>
    <row r="56" customFormat="false" ht="12" hidden="true" customHeight="true" outlineLevel="0" collapsed="false">
      <c r="A56" s="61" t="n">
        <v>25</v>
      </c>
      <c r="B56" s="61" t="s">
        <v>555</v>
      </c>
      <c r="C56" s="61" t="n">
        <v>2</v>
      </c>
      <c r="D56" s="61" t="s">
        <v>493</v>
      </c>
      <c r="E56" s="61"/>
      <c r="F56" s="61"/>
      <c r="G56" s="2"/>
      <c r="H56" s="2"/>
      <c r="I56" s="2"/>
      <c r="J56" s="2"/>
      <c r="K56" s="2"/>
      <c r="L56" s="2"/>
      <c r="M56" s="2"/>
      <c r="N56" s="2"/>
      <c r="O56" s="2"/>
      <c r="P56" s="2"/>
      <c r="Q56" s="2"/>
      <c r="R56" s="2"/>
      <c r="S56" s="2"/>
      <c r="T56" s="2"/>
      <c r="U56" s="2"/>
      <c r="V56" s="2"/>
      <c r="W56" s="2"/>
      <c r="X56" s="2"/>
      <c r="Y56" s="2"/>
      <c r="Z56" s="2"/>
    </row>
    <row r="57" customFormat="false" ht="12" hidden="true" customHeight="true" outlineLevel="0" collapsed="false">
      <c r="A57" s="61" t="n">
        <v>26</v>
      </c>
      <c r="B57" s="62" t="s">
        <v>494</v>
      </c>
      <c r="C57" s="61" t="n">
        <v>2</v>
      </c>
      <c r="D57" s="61" t="s">
        <v>556</v>
      </c>
      <c r="E57" s="61" t="n">
        <v>74.4</v>
      </c>
      <c r="F57" s="61" t="s">
        <v>557</v>
      </c>
      <c r="G57" s="2"/>
      <c r="H57" s="2"/>
      <c r="I57" s="2"/>
      <c r="J57" s="2"/>
      <c r="K57" s="2"/>
      <c r="L57" s="2"/>
      <c r="M57" s="2"/>
      <c r="N57" s="2"/>
      <c r="O57" s="2"/>
      <c r="P57" s="2"/>
      <c r="Q57" s="2"/>
      <c r="R57" s="2"/>
      <c r="S57" s="2"/>
      <c r="T57" s="2"/>
      <c r="U57" s="2"/>
      <c r="V57" s="2"/>
      <c r="W57" s="2"/>
      <c r="X57" s="2"/>
      <c r="Y57" s="2"/>
      <c r="Z57" s="2"/>
    </row>
    <row r="58" customFormat="false" ht="12" hidden="true" customHeight="true" outlineLevel="0" collapsed="false">
      <c r="A58" s="61" t="n">
        <v>27</v>
      </c>
      <c r="B58" s="62" t="s">
        <v>497</v>
      </c>
      <c r="C58" s="61" t="n">
        <v>2</v>
      </c>
      <c r="D58" s="61" t="s">
        <v>499</v>
      </c>
      <c r="E58" s="61" t="n">
        <v>26</v>
      </c>
      <c r="F58" s="61" t="s">
        <v>558</v>
      </c>
      <c r="G58" s="2"/>
      <c r="H58" s="2"/>
      <c r="I58" s="2"/>
      <c r="J58" s="2"/>
      <c r="K58" s="2"/>
      <c r="L58" s="2"/>
      <c r="M58" s="2"/>
      <c r="N58" s="2"/>
      <c r="O58" s="2"/>
      <c r="P58" s="2"/>
      <c r="Q58" s="2"/>
      <c r="R58" s="2"/>
      <c r="S58" s="2"/>
      <c r="T58" s="2"/>
      <c r="U58" s="2"/>
      <c r="V58" s="2"/>
      <c r="W58" s="2"/>
      <c r="X58" s="2"/>
      <c r="Y58" s="2"/>
      <c r="Z58" s="2"/>
    </row>
    <row r="59" customFormat="false" ht="12" hidden="true" customHeight="true" outlineLevel="0" collapsed="false">
      <c r="A59" s="61" t="n">
        <v>28</v>
      </c>
      <c r="B59" s="62" t="s">
        <v>500</v>
      </c>
      <c r="C59" s="61" t="n">
        <v>2</v>
      </c>
      <c r="D59" s="61" t="s">
        <v>556</v>
      </c>
      <c r="E59" s="61" t="n">
        <v>108.9</v>
      </c>
      <c r="F59" s="63" t="s">
        <v>559</v>
      </c>
      <c r="G59" s="2"/>
      <c r="H59" s="2"/>
      <c r="I59" s="2"/>
      <c r="J59" s="2"/>
      <c r="K59" s="2"/>
      <c r="L59" s="2"/>
      <c r="M59" s="2"/>
      <c r="N59" s="2"/>
      <c r="O59" s="2"/>
      <c r="P59" s="2"/>
      <c r="Q59" s="2"/>
      <c r="R59" s="2"/>
      <c r="S59" s="2"/>
      <c r="T59" s="2"/>
      <c r="U59" s="2"/>
      <c r="V59" s="2"/>
      <c r="W59" s="2"/>
      <c r="X59" s="2"/>
      <c r="Y59" s="2"/>
      <c r="Z59" s="2"/>
    </row>
    <row r="60" customFormat="false" ht="12" hidden="true" customHeight="true" outlineLevel="0" collapsed="false">
      <c r="A60" s="61" t="n">
        <v>29</v>
      </c>
      <c r="B60" s="61" t="s">
        <v>560</v>
      </c>
      <c r="C60" s="61" t="n">
        <v>2</v>
      </c>
      <c r="D60" s="61" t="s">
        <v>561</v>
      </c>
      <c r="E60" s="61"/>
      <c r="F60" s="61"/>
      <c r="G60" s="2"/>
      <c r="H60" s="2"/>
      <c r="I60" s="2"/>
      <c r="J60" s="2"/>
      <c r="K60" s="2"/>
      <c r="L60" s="2"/>
      <c r="M60" s="2"/>
      <c r="N60" s="2"/>
      <c r="O60" s="2"/>
      <c r="P60" s="2"/>
      <c r="Q60" s="2"/>
      <c r="R60" s="2"/>
      <c r="S60" s="2"/>
      <c r="T60" s="2"/>
      <c r="U60" s="2"/>
      <c r="V60" s="2"/>
      <c r="W60" s="2"/>
      <c r="X60" s="2"/>
      <c r="Y60" s="2"/>
      <c r="Z60" s="2"/>
    </row>
    <row r="61" customFormat="false" ht="12" hidden="true" customHeight="true" outlineLevel="0" collapsed="false">
      <c r="A61" s="61" t="n">
        <v>30</v>
      </c>
      <c r="B61" s="61" t="s">
        <v>562</v>
      </c>
      <c r="C61" s="61" t="n">
        <v>2</v>
      </c>
      <c r="D61" s="61" t="s">
        <v>563</v>
      </c>
      <c r="E61" s="61"/>
      <c r="F61" s="61"/>
      <c r="G61" s="2"/>
      <c r="H61" s="2"/>
      <c r="I61" s="2"/>
      <c r="J61" s="2"/>
      <c r="K61" s="2"/>
      <c r="L61" s="2"/>
      <c r="M61" s="2"/>
      <c r="N61" s="2"/>
      <c r="O61" s="2"/>
      <c r="P61" s="2"/>
      <c r="Q61" s="2"/>
      <c r="R61" s="2"/>
      <c r="S61" s="2"/>
      <c r="T61" s="2"/>
      <c r="U61" s="2"/>
      <c r="V61" s="2"/>
      <c r="W61" s="2"/>
      <c r="X61" s="2"/>
      <c r="Y61" s="2"/>
      <c r="Z61" s="2"/>
    </row>
    <row r="62" customFormat="false" ht="12" hidden="true" customHeight="true" outlineLevel="0" collapsed="false">
      <c r="A62" s="61" t="n">
        <v>31</v>
      </c>
      <c r="B62" s="61" t="s">
        <v>564</v>
      </c>
      <c r="C62" s="61" t="n">
        <v>2</v>
      </c>
      <c r="D62" s="61" t="s">
        <v>543</v>
      </c>
      <c r="E62" s="61"/>
      <c r="F62" s="61"/>
      <c r="G62" s="2"/>
      <c r="H62" s="2"/>
      <c r="I62" s="2"/>
      <c r="J62" s="2"/>
      <c r="K62" s="2"/>
      <c r="L62" s="2"/>
      <c r="M62" s="2"/>
      <c r="N62" s="2"/>
      <c r="O62" s="2"/>
      <c r="P62" s="2"/>
      <c r="Q62" s="2"/>
      <c r="R62" s="2"/>
      <c r="S62" s="2"/>
      <c r="T62" s="2"/>
      <c r="U62" s="2"/>
      <c r="V62" s="2"/>
      <c r="W62" s="2"/>
      <c r="X62" s="2"/>
      <c r="Y62" s="2"/>
      <c r="Z62" s="2"/>
    </row>
    <row r="63" customFormat="false" ht="12" hidden="true" customHeight="true" outlineLevel="0" collapsed="false">
      <c r="A63" s="61" t="n">
        <v>32</v>
      </c>
      <c r="B63" s="62" t="s">
        <v>565</v>
      </c>
      <c r="C63" s="61" t="n">
        <v>1</v>
      </c>
      <c r="D63" s="61" t="s">
        <v>566</v>
      </c>
      <c r="E63" s="61" t="n">
        <v>43.4</v>
      </c>
      <c r="F63" s="61" t="s">
        <v>567</v>
      </c>
      <c r="G63" s="2"/>
      <c r="H63" s="2"/>
      <c r="I63" s="2"/>
      <c r="J63" s="2"/>
      <c r="K63" s="2"/>
      <c r="L63" s="2"/>
      <c r="M63" s="2"/>
      <c r="N63" s="2"/>
      <c r="O63" s="2"/>
      <c r="P63" s="2"/>
      <c r="Q63" s="2"/>
      <c r="R63" s="2"/>
      <c r="S63" s="2"/>
      <c r="T63" s="2"/>
      <c r="U63" s="2"/>
      <c r="V63" s="2"/>
      <c r="W63" s="2"/>
      <c r="X63" s="2"/>
      <c r="Y63" s="2"/>
      <c r="Z63" s="2"/>
    </row>
    <row r="64" customFormat="false" ht="12" hidden="true" customHeight="true" outlineLevel="0" collapsed="false">
      <c r="A64" s="61" t="n">
        <v>33</v>
      </c>
      <c r="B64" s="62" t="s">
        <v>506</v>
      </c>
      <c r="C64" s="61" t="n">
        <v>1</v>
      </c>
      <c r="D64" s="61" t="s">
        <v>508</v>
      </c>
      <c r="E64" s="61" t="n">
        <v>36.1</v>
      </c>
      <c r="F64" s="61" t="s">
        <v>568</v>
      </c>
      <c r="G64" s="2"/>
      <c r="H64" s="2"/>
      <c r="I64" s="2"/>
      <c r="J64" s="2"/>
      <c r="K64" s="2"/>
      <c r="L64" s="2"/>
      <c r="M64" s="2"/>
      <c r="N64" s="2"/>
      <c r="O64" s="2"/>
      <c r="P64" s="2"/>
      <c r="Q64" s="2"/>
      <c r="R64" s="2"/>
      <c r="S64" s="2"/>
      <c r="T64" s="2"/>
      <c r="U64" s="2"/>
      <c r="V64" s="2"/>
      <c r="W64" s="2"/>
      <c r="X64" s="2"/>
      <c r="Y64" s="2"/>
      <c r="Z64" s="2"/>
    </row>
    <row r="65" customFormat="false" ht="12" hidden="true" customHeight="true" outlineLevel="0" collapsed="false">
      <c r="A65" s="61" t="n">
        <v>34</v>
      </c>
      <c r="B65" s="62" t="s">
        <v>510</v>
      </c>
      <c r="C65" s="61" t="n">
        <v>2</v>
      </c>
      <c r="D65" s="61" t="s">
        <v>569</v>
      </c>
      <c r="E65" s="61" t="n">
        <v>308.8</v>
      </c>
      <c r="F65" s="63" t="s">
        <v>570</v>
      </c>
      <c r="G65" s="2" t="s">
        <v>463</v>
      </c>
      <c r="H65" s="2"/>
      <c r="I65" s="2"/>
      <c r="J65" s="2"/>
      <c r="K65" s="2"/>
      <c r="L65" s="2"/>
      <c r="M65" s="2"/>
      <c r="N65" s="2"/>
      <c r="O65" s="2"/>
      <c r="P65" s="2"/>
      <c r="Q65" s="2"/>
      <c r="R65" s="2"/>
      <c r="S65" s="2"/>
      <c r="T65" s="2"/>
      <c r="U65" s="2"/>
      <c r="V65" s="2"/>
      <c r="W65" s="2"/>
      <c r="X65" s="2"/>
      <c r="Y65" s="2"/>
      <c r="Z65" s="2"/>
    </row>
    <row r="66" customFormat="false" ht="12" hidden="true" customHeight="true" outlineLevel="0" collapsed="false">
      <c r="A66" s="61" t="n">
        <v>35</v>
      </c>
      <c r="B66" s="61" t="s">
        <v>571</v>
      </c>
      <c r="C66" s="61" t="n">
        <v>1</v>
      </c>
      <c r="D66" s="61" t="s">
        <v>572</v>
      </c>
      <c r="E66" s="61"/>
      <c r="F66" s="61"/>
      <c r="G66" s="2"/>
      <c r="H66" s="2"/>
      <c r="I66" s="2"/>
      <c r="J66" s="2"/>
      <c r="K66" s="2"/>
      <c r="L66" s="2"/>
      <c r="M66" s="2"/>
      <c r="N66" s="2"/>
      <c r="O66" s="2"/>
      <c r="P66" s="2"/>
      <c r="Q66" s="2"/>
      <c r="R66" s="2"/>
      <c r="S66" s="2"/>
      <c r="T66" s="2"/>
      <c r="U66" s="2"/>
      <c r="V66" s="2"/>
      <c r="W66" s="2"/>
      <c r="X66" s="2"/>
      <c r="Y66" s="2"/>
      <c r="Z66" s="2"/>
    </row>
    <row r="67" customFormat="false" ht="12"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2"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2"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2"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2"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2"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2"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2"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2"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2"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2"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2"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2"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2"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2"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2"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2"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2"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2"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2"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2"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2"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2"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2"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2"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2"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2"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2"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2"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2"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2"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2"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2"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2"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2"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2"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2"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2"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2"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2"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2"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2"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2"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2"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2"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2"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2"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2"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2"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2"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2"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2"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2"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2"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2"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2"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2"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2"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2"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2"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2"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2"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2"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2"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2"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2"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2"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2"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2"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2"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2"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2"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2"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2"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2"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2"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2"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2"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2"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2"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2"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2"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2"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2"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2"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2"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2"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2"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2"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2"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2"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2"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2"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2"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2"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2"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2"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2"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2"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2"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2"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2"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2"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2"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2"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2"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2"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2"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2"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2"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2"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2"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2"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2"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2"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2"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2"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2"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2"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2"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2"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2"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2"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2"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2"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2"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2"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2"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2"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2"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2"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2"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2"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2"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2"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2"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2"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2"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2"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2"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2"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2"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2"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2"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2"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2"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2"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2"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2"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2"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2"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2"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2"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2"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2"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2"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2"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2"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2"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2"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2"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2"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2"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2"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2"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2"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2"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2"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2"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2"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2"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2"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2"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2"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2"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2"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2"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2"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2"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2"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2"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2"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2"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2"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2"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2"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2"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2"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2"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2"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2"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2"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2"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2"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2"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2"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2"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2"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2"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2"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2"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2"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2"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2"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2"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2"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2"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2"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2"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2"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2"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2"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2"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2"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2"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2"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2"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2"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2"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2"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2"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2"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2"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2"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2"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2"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2"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2"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2"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2"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2"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2"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2"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2"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2"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2"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2"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2"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2"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2"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2"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2"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2"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2"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2"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2"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2"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2"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2"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2"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2"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2"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2"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2"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2"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2"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2"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2"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2"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2"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2"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2"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2"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2"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2"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2"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2"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2"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2"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2"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2"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2"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2"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2"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2"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2"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2"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2"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2"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2"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2"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2"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2"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2"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2"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2"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2"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2"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2"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2"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2"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2"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2"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2"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2"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2"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2"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2"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2"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2"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2"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2"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2"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2"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2"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2"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2"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2"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2"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2"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2"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2"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2"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2"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2"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2"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2"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2"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2"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2"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2"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2"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2"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2"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2"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2"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2"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2"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2"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2"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2"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2"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2"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2"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2"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2"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2"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2"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2"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2"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2"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2"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2"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2"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2"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2"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2"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2"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2"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2"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2"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2"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2"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2"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2"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2"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2"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2"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2"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2"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2"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2"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2"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2"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2"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2"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2"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2"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2"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2"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2"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2"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2"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2"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2"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2"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2"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2"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2"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2"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2"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2"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2"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2"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2"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2"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2"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2"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2"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2"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2"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2"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2"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2"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2"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2"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2"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2"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2"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2"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2"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2"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2"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2"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2"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2"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2"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2"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2"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2"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2"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2"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2"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2"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2"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2"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2"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2"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2"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2"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2"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2"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2"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2"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2"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2"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2"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2"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2"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2"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2"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2"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2"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2"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2"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2"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2"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2"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2"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2"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2"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2"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2"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2"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2"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2"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2"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2"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2"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2"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2"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2"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2"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2"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2"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2"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2"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2"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2"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2"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2"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2"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2"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2"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2"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2"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2"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2"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2"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2"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2"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2"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2"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2"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2"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2"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2"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2"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2"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2"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2"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2"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2"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2"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2"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2"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2"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2"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2"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2"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2"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2"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2"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2"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2"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2"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2"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2"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2"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2"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2"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2"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2"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2"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2"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2"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2"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2"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2"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2"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2"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2"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2"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2"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2"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2"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2"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2"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2"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2"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2"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2"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2"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2"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2"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2"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2"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2"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2"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2"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2"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2"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2"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2"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2"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2"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2"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2"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2"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2"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2"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2"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2"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2"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2"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2"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2"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2"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2"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2"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2"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2"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2"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2"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2"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2"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2"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2"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2"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2"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2"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2"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2"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2"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2"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2"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2"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2"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2"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2"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2"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2"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2"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2"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2"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2"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2"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2"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2"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2"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2"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2"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2"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2"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2"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2"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2"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2"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2"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2"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2"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2"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2"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2"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2"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2"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2"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2"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2"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2"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2"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2"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2"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2"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2"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2"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2"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2"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2"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2"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2"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2"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2"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2"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2"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2"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2"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2"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2"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2"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2"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2"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2"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2"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2"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2"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2"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2"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2"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2"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2"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2"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2"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2"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2"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2"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2"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2"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2"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2"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2"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2"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2"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2"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2"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2"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2"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2"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2"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2"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2"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2"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2"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2"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2"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2"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2"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2"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2"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2"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2"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2"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2"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2"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2"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2"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2"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2"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2"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2"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2"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2"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2"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2"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2"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2"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2"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2"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2"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2"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2"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2"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2"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2"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2"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2"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2"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2"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2"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2"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2"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2"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2"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2"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2"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2"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2"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2"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2"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2"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2"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2"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2"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2"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2"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2"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2"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2"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2"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2"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2"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2"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2"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2"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2"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2"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2"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2"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2"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2"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2"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2"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2"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2"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2"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2"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2"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2"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2"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2"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2"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2"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2"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2"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2"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2"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2"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2"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2"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2"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2"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2"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2"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2"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2"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2"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2"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2"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2"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2"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2"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2"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2"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2"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2"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2"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2"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2"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2"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2"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2"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2"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2"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2"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2"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2"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2"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2"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2"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2"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2"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2"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2"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2"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2"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2"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2"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2"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2"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2"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2"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2"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2"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2"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2"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2"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2"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2"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2"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2"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2"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2"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2"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2"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2"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2"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2"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2"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2"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2"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2"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2"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2"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2"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2"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2"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2"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2"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2"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2"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2"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2"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2"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2"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2"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2"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2"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2"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2"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2"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2"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2"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2"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2"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2"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2"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2"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2"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2"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2"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2"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2"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2"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2"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2"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2"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2"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2"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2"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2"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2"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2"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2"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2"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2"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2"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2"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2"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2"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2"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2"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2"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2"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2"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2"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2"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2"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2"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2"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2"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2"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2"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2"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2"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2"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2"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2"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2"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2"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2"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2"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2"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2"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2"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2"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2"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2"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2"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2"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2"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2"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2"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2"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2"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2"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2"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2"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2"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2"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2"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2"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2"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2"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2"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2"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2"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2"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2"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2"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2"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2"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2"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2"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2"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2"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2"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2"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2"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2"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2"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2"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2"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2"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2"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2"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2"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2"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2"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2"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2"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2"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2"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2"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2"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2"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2"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2"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2"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2"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2"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2"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2"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2"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2"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31:G66"/>
  <hyperlinks>
    <hyperlink ref="F34" r:id="rId1" display="https://newsroom.amfam.com/american-family-insurance-reports-2024-financial-results/"/>
    <hyperlink ref="F35" r:id="rId2" display="https://www.aig.com/home/investor-relations/aig-2024-annual-report"/>
    <hyperlink ref="F39" r:id="rId3" display="https://www.berkshirehathaway.com/2024ar/2024ar.pdf"/>
    <hyperlink ref="F40" r:id="rId4" display="https://www.chubb.com/content/dam/annual-corporate-governance/2025/a--chubb-limited/chubb-limited-annual-report-2024.pdf"/>
    <hyperlink ref="F41" r:id="rId5" display="https://investors.thecignagroup.com/financials/annual-reports/default.aspx"/>
    <hyperlink ref="F42" r:id="rId6" display="https://www.elevancehealth.com/investors"/>
    <hyperlink ref="F52" r:id="rId7" display="https://investor.metlife.com/news/news-details/2025/MetLife-Announces-Full-Year-and-Fourth-Quarter-2024-Results/default.aspx"/>
    <hyperlink ref="F59" r:id="rId8" display="https://newsroom.statefarm.com/2024-state-farm-financial-results/"/>
    <hyperlink ref="F65" r:id="rId9" display="https://www.unitedhealthgroup.com/content/dam/UHG/PDF/investors/2024/UNH-Q4-2024-Form-10-K.pdf"/>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1" min="1" style="0" width="6.88"/>
    <col collapsed="false" customWidth="true" hidden="false" outlineLevel="0" max="2" min="2" style="0" width="51.88"/>
    <col collapsed="false" customWidth="true" hidden="false" outlineLevel="0" max="3" min="3" style="0" width="21.5"/>
    <col collapsed="false" customWidth="true" hidden="false" outlineLevel="0" max="4" min="4" style="0" width="13"/>
    <col collapsed="false" customWidth="true" hidden="false" outlineLevel="0" max="5" min="5" style="0" width="24"/>
    <col collapsed="false" customWidth="true" hidden="false" outlineLevel="0" max="6" min="6" style="0" width="21.88"/>
    <col collapsed="false" customWidth="true" hidden="false" outlineLevel="0" max="26" min="7" style="0" width="8.63"/>
  </cols>
  <sheetData>
    <row r="1" customFormat="false" ht="14.25" hidden="false" customHeight="true" outlineLevel="0" collapsed="false">
      <c r="A1" s="18" t="s">
        <v>573</v>
      </c>
    </row>
    <row r="2" customFormat="false" ht="14.25" hidden="false" customHeight="true" outlineLevel="0" collapsed="false">
      <c r="A2" s="18"/>
    </row>
    <row r="3" customFormat="false" ht="14.25" hidden="false" customHeight="true" outlineLevel="0" collapsed="false">
      <c r="A3" s="64" t="s">
        <v>574</v>
      </c>
      <c r="B3" s="65" t="s">
        <v>330</v>
      </c>
      <c r="C3" s="66" t="s">
        <v>575</v>
      </c>
      <c r="D3" s="67" t="s">
        <v>576</v>
      </c>
      <c r="E3" s="66" t="s">
        <v>577</v>
      </c>
      <c r="F3" s="66" t="s">
        <v>578</v>
      </c>
    </row>
    <row r="4" customFormat="false" ht="14.25" hidden="false" customHeight="true" outlineLevel="0" collapsed="false">
      <c r="A4" s="68" t="n">
        <v>1</v>
      </c>
      <c r="B4" s="57" t="s">
        <v>579</v>
      </c>
      <c r="C4" s="57" t="s">
        <v>580</v>
      </c>
      <c r="D4" s="69" t="s">
        <v>581</v>
      </c>
      <c r="E4" s="70" t="n">
        <v>12665500000</v>
      </c>
      <c r="F4" s="63" t="s">
        <v>582</v>
      </c>
    </row>
    <row r="5" customFormat="false" ht="14.25" hidden="false" customHeight="true" outlineLevel="0" collapsed="false">
      <c r="A5" s="68" t="n">
        <v>2</v>
      </c>
      <c r="B5" s="57" t="s">
        <v>583</v>
      </c>
      <c r="C5" s="57" t="s">
        <v>584</v>
      </c>
      <c r="D5" s="69" t="s">
        <v>585</v>
      </c>
      <c r="E5" s="70" t="n">
        <v>9381760000</v>
      </c>
      <c r="F5" s="63" t="s">
        <v>586</v>
      </c>
    </row>
    <row r="6" customFormat="false" ht="14.25" hidden="false" customHeight="true" outlineLevel="0" collapsed="false">
      <c r="A6" s="68" t="n">
        <v>3</v>
      </c>
      <c r="B6" s="57" t="s">
        <v>518</v>
      </c>
      <c r="C6" s="57" t="s">
        <v>587</v>
      </c>
      <c r="D6" s="69" t="s">
        <v>581</v>
      </c>
      <c r="E6" s="70" t="n">
        <v>7092288000</v>
      </c>
      <c r="F6" s="63" t="s">
        <v>588</v>
      </c>
    </row>
    <row r="7" customFormat="false" ht="14.25" hidden="false" customHeight="true" outlineLevel="0" collapsed="false">
      <c r="A7" s="68" t="n">
        <v>4</v>
      </c>
      <c r="B7" s="57" t="s">
        <v>589</v>
      </c>
      <c r="C7" s="57" t="s">
        <v>590</v>
      </c>
      <c r="D7" s="69" t="s">
        <v>591</v>
      </c>
      <c r="E7" s="70" t="n">
        <v>5064280000</v>
      </c>
      <c r="F7" s="63" t="s">
        <v>592</v>
      </c>
    </row>
    <row r="8" customFormat="false" ht="14.25" hidden="false" customHeight="true" outlineLevel="0" collapsed="false">
      <c r="A8" s="68" t="n">
        <v>5</v>
      </c>
      <c r="B8" s="57" t="s">
        <v>593</v>
      </c>
      <c r="C8" s="57" t="s">
        <v>594</v>
      </c>
      <c r="D8" s="69" t="s">
        <v>581</v>
      </c>
      <c r="E8" s="70" t="n">
        <v>4969605524</v>
      </c>
      <c r="F8" s="63" t="s">
        <v>595</v>
      </c>
    </row>
    <row r="9" customFormat="false" ht="14.25" hidden="false" customHeight="true" outlineLevel="0" collapsed="false">
      <c r="A9" s="68" t="n">
        <v>6</v>
      </c>
      <c r="B9" s="57" t="s">
        <v>596</v>
      </c>
      <c r="C9" s="57" t="s">
        <v>597</v>
      </c>
      <c r="D9" s="69" t="s">
        <v>581</v>
      </c>
      <c r="E9" s="70" t="n">
        <v>4036781833</v>
      </c>
      <c r="F9" s="63" t="s">
        <v>598</v>
      </c>
    </row>
    <row r="10" customFormat="false" ht="14.25" hidden="false" customHeight="true" outlineLevel="0" collapsed="false">
      <c r="A10" s="68" t="n">
        <v>7</v>
      </c>
      <c r="B10" s="57" t="s">
        <v>599</v>
      </c>
      <c r="C10" s="57" t="s">
        <v>600</v>
      </c>
      <c r="D10" s="69" t="s">
        <v>581</v>
      </c>
      <c r="E10" s="70" t="n">
        <v>3814376800</v>
      </c>
      <c r="F10" s="63" t="s">
        <v>601</v>
      </c>
    </row>
    <row r="11" customFormat="false" ht="14.25" hidden="false" customHeight="true" outlineLevel="0" collapsed="false">
      <c r="A11" s="68" t="n">
        <v>8</v>
      </c>
      <c r="B11" s="57" t="s">
        <v>602</v>
      </c>
      <c r="C11" s="57"/>
      <c r="D11" s="69" t="s">
        <v>591</v>
      </c>
      <c r="E11" s="70" t="n">
        <f aca="false">3792.6*1000000</f>
        <v>3792600000</v>
      </c>
      <c r="F11" s="71" t="s">
        <v>603</v>
      </c>
    </row>
    <row r="12" customFormat="false" ht="14.25" hidden="false" customHeight="true" outlineLevel="0" collapsed="false">
      <c r="A12" s="68" t="n">
        <v>9</v>
      </c>
      <c r="B12" s="57" t="s">
        <v>604</v>
      </c>
      <c r="C12" s="57" t="s">
        <v>605</v>
      </c>
      <c r="D12" s="69" t="s">
        <v>581</v>
      </c>
      <c r="E12" s="70" t="n">
        <v>3482289678</v>
      </c>
      <c r="F12" s="63" t="s">
        <v>606</v>
      </c>
    </row>
    <row r="13" customFormat="false" ht="14.25" hidden="false" customHeight="true" outlineLevel="0" collapsed="false">
      <c r="A13" s="68" t="n">
        <v>10</v>
      </c>
      <c r="B13" s="57" t="s">
        <v>607</v>
      </c>
      <c r="C13" s="57" t="s">
        <v>608</v>
      </c>
      <c r="D13" s="69" t="s">
        <v>581</v>
      </c>
      <c r="E13" s="70" t="n">
        <v>2874800000</v>
      </c>
      <c r="F13" s="63" t="s">
        <v>609</v>
      </c>
    </row>
    <row r="14" customFormat="false" ht="14.25" hidden="false" customHeight="true" outlineLevel="0" collapsed="false">
      <c r="A14" s="68" t="n">
        <v>11</v>
      </c>
      <c r="B14" s="57" t="s">
        <v>610</v>
      </c>
      <c r="C14" s="57" t="s">
        <v>611</v>
      </c>
      <c r="D14" s="69" t="s">
        <v>581</v>
      </c>
      <c r="E14" s="70" t="n">
        <v>2809791938</v>
      </c>
      <c r="F14" s="63" t="s">
        <v>612</v>
      </c>
    </row>
    <row r="15" customFormat="false" ht="14.25" hidden="false" customHeight="true" outlineLevel="0" collapsed="false">
      <c r="A15" s="68" t="n">
        <v>12</v>
      </c>
      <c r="B15" s="57" t="s">
        <v>613</v>
      </c>
      <c r="C15" s="57" t="s">
        <v>614</v>
      </c>
      <c r="D15" s="69" t="s">
        <v>581</v>
      </c>
      <c r="E15" s="70" t="n">
        <v>2786726700</v>
      </c>
      <c r="F15" s="63" t="s">
        <v>615</v>
      </c>
    </row>
    <row r="16" customFormat="false" ht="14.25" hidden="false" customHeight="true" outlineLevel="0" collapsed="false">
      <c r="A16" s="68" t="n">
        <v>13</v>
      </c>
      <c r="B16" s="57" t="s">
        <v>616</v>
      </c>
      <c r="C16" s="57"/>
      <c r="D16" s="69" t="s">
        <v>591</v>
      </c>
      <c r="E16" s="70" t="n">
        <f aca="false">1990*1000000</f>
        <v>1990000000</v>
      </c>
      <c r="F16" s="71" t="s">
        <v>617</v>
      </c>
    </row>
    <row r="17" customFormat="false" ht="14.25" hidden="false" customHeight="true" outlineLevel="0" collapsed="false">
      <c r="A17" s="68" t="n">
        <v>14</v>
      </c>
      <c r="B17" s="57" t="s">
        <v>618</v>
      </c>
      <c r="C17" s="57" t="s">
        <v>619</v>
      </c>
      <c r="D17" s="69" t="s">
        <v>581</v>
      </c>
      <c r="E17" s="70" t="n">
        <v>1737405200</v>
      </c>
      <c r="F17" s="63" t="s">
        <v>620</v>
      </c>
    </row>
    <row r="18" customFormat="false" ht="14.25" hidden="false" customHeight="true" outlineLevel="0" collapsed="false">
      <c r="A18" s="68" t="n">
        <v>15</v>
      </c>
      <c r="B18" s="57" t="s">
        <v>621</v>
      </c>
      <c r="C18" s="57" t="s">
        <v>622</v>
      </c>
      <c r="D18" s="69" t="s">
        <v>581</v>
      </c>
      <c r="E18" s="70" t="n">
        <v>1696546641</v>
      </c>
      <c r="F18" s="63" t="s">
        <v>623</v>
      </c>
    </row>
    <row r="19" customFormat="false" ht="14.25" hidden="false" customHeight="true" outlineLevel="0" collapsed="false">
      <c r="A19" s="68" t="n">
        <v>16</v>
      </c>
      <c r="B19" s="57" t="s">
        <v>624</v>
      </c>
      <c r="C19" s="57" t="s">
        <v>625</v>
      </c>
      <c r="D19" s="69" t="s">
        <v>581</v>
      </c>
      <c r="E19" s="70" t="n">
        <v>1432000000</v>
      </c>
      <c r="F19" s="63" t="s">
        <v>626</v>
      </c>
    </row>
    <row r="20" customFormat="false" ht="14.25" hidden="false" customHeight="true" outlineLevel="0" collapsed="false">
      <c r="A20" s="68" t="n">
        <v>17</v>
      </c>
      <c r="B20" s="57" t="s">
        <v>627</v>
      </c>
      <c r="C20" s="57" t="s">
        <v>628</v>
      </c>
      <c r="D20" s="69" t="s">
        <v>581</v>
      </c>
      <c r="E20" s="70" t="n">
        <v>1386222000</v>
      </c>
      <c r="F20" s="63" t="s">
        <v>629</v>
      </c>
    </row>
    <row r="21" customFormat="false" ht="14.25" hidden="false" customHeight="true" outlineLevel="0" collapsed="false">
      <c r="A21" s="68" t="n">
        <v>18</v>
      </c>
      <c r="B21" s="57" t="s">
        <v>630</v>
      </c>
      <c r="C21" s="57" t="s">
        <v>631</v>
      </c>
      <c r="D21" s="69" t="s">
        <v>581</v>
      </c>
      <c r="E21" s="70" t="n">
        <v>1237900000</v>
      </c>
      <c r="F21" s="63" t="s">
        <v>632</v>
      </c>
    </row>
    <row r="22" customFormat="false" ht="14.25" hidden="false" customHeight="true" outlineLevel="0" collapsed="false">
      <c r="A22" s="68" t="n">
        <v>19</v>
      </c>
      <c r="B22" s="57" t="s">
        <v>633</v>
      </c>
      <c r="C22" s="57"/>
      <c r="D22" s="69" t="s">
        <v>634</v>
      </c>
      <c r="E22" s="70" t="n">
        <f aca="false">1161.6*1000000</f>
        <v>1161600000</v>
      </c>
      <c r="F22" s="71" t="s">
        <v>635</v>
      </c>
    </row>
    <row r="23" customFormat="false" ht="14.25" hidden="false" customHeight="true" outlineLevel="0" collapsed="false">
      <c r="A23" s="68" t="n">
        <v>20</v>
      </c>
      <c r="B23" s="57" t="s">
        <v>636</v>
      </c>
      <c r="C23" s="57"/>
      <c r="D23" s="69" t="s">
        <v>637</v>
      </c>
      <c r="E23" s="70" t="n">
        <f aca="false">1112.4*1000000</f>
        <v>1112400000</v>
      </c>
      <c r="F23" s="71" t="s">
        <v>638</v>
      </c>
    </row>
    <row r="24" customFormat="false" ht="14.25" hidden="false" customHeight="true" outlineLevel="0" collapsed="false"/>
    <row r="25" customFormat="false" ht="14.25" hidden="false" customHeight="true" outlineLevel="0" collapsed="false">
      <c r="A25" s="18" t="s">
        <v>639</v>
      </c>
    </row>
    <row r="26" customFormat="false" ht="14.25" hidden="false" customHeight="true" outlineLevel="0" collapsed="false">
      <c r="A26" s="18"/>
    </row>
    <row r="27" customFormat="false" ht="14.25" hidden="false" customHeight="true" outlineLevel="0" collapsed="false">
      <c r="A27" s="64" t="s">
        <v>13</v>
      </c>
      <c r="B27" s="66" t="s">
        <v>640</v>
      </c>
      <c r="C27" s="66" t="s">
        <v>641</v>
      </c>
      <c r="D27" s="67" t="s">
        <v>576</v>
      </c>
      <c r="E27" s="66" t="s">
        <v>642</v>
      </c>
      <c r="F27" s="66" t="s">
        <v>578</v>
      </c>
      <c r="M27" s="72" t="s">
        <v>428</v>
      </c>
      <c r="W27" s="73" t="s">
        <v>429</v>
      </c>
    </row>
    <row r="28" customFormat="false" ht="14.25" hidden="false" customHeight="true" outlineLevel="0" collapsed="false">
      <c r="A28" s="68" t="n">
        <v>1</v>
      </c>
      <c r="B28" s="57" t="s">
        <v>643</v>
      </c>
      <c r="C28" s="74" t="n">
        <v>1035329776</v>
      </c>
      <c r="D28" s="69" t="s">
        <v>581</v>
      </c>
      <c r="E28" s="70" t="n">
        <v>1035329776</v>
      </c>
      <c r="F28" s="63" t="s">
        <v>644</v>
      </c>
    </row>
    <row r="29" customFormat="false" ht="14.25" hidden="false" customHeight="true" outlineLevel="0" collapsed="false">
      <c r="A29" s="68" t="n">
        <v>2</v>
      </c>
      <c r="B29" s="57" t="s">
        <v>645</v>
      </c>
      <c r="C29" s="74" t="n">
        <v>908000000</v>
      </c>
      <c r="D29" s="69" t="s">
        <v>581</v>
      </c>
      <c r="E29" s="70" t="n">
        <v>908000000</v>
      </c>
      <c r="F29" s="75"/>
    </row>
    <row r="30" customFormat="false" ht="14.25" hidden="false" customHeight="true" outlineLevel="0" collapsed="false">
      <c r="A30" s="68" t="n">
        <v>3</v>
      </c>
      <c r="B30" s="57" t="s">
        <v>646</v>
      </c>
      <c r="C30" s="74" t="n">
        <v>905023000</v>
      </c>
      <c r="D30" s="69" t="s">
        <v>581</v>
      </c>
      <c r="E30" s="70" t="n">
        <v>905023000</v>
      </c>
      <c r="F30" s="63" t="s">
        <v>647</v>
      </c>
    </row>
    <row r="31" customFormat="false" ht="14.25" hidden="false" customHeight="true" outlineLevel="0" collapsed="false">
      <c r="A31" s="68" t="n">
        <v>4</v>
      </c>
      <c r="B31" s="57" t="s">
        <v>648</v>
      </c>
      <c r="C31" s="74" t="n">
        <v>816820210</v>
      </c>
      <c r="D31" s="69" t="s">
        <v>581</v>
      </c>
      <c r="E31" s="70" t="n">
        <v>816820210</v>
      </c>
      <c r="F31" s="63" t="s">
        <v>649</v>
      </c>
    </row>
    <row r="32" customFormat="false" ht="14.25" hidden="false" customHeight="true" outlineLevel="0" collapsed="false">
      <c r="A32" s="68" t="n">
        <v>5</v>
      </c>
      <c r="B32" s="57" t="s">
        <v>650</v>
      </c>
      <c r="C32" s="57" t="s">
        <v>651</v>
      </c>
      <c r="D32" s="69" t="s">
        <v>634</v>
      </c>
      <c r="E32" s="76" t="s">
        <v>652</v>
      </c>
      <c r="F32" s="71" t="s">
        <v>653</v>
      </c>
    </row>
    <row r="33" customFormat="false" ht="14.25" hidden="false" customHeight="true" outlineLevel="0" collapsed="false">
      <c r="A33" s="68" t="n">
        <v>6</v>
      </c>
      <c r="B33" s="57" t="s">
        <v>654</v>
      </c>
      <c r="C33" s="57" t="s">
        <v>655</v>
      </c>
      <c r="D33" s="69" t="s">
        <v>591</v>
      </c>
      <c r="E33" s="76" t="s">
        <v>656</v>
      </c>
      <c r="F33" s="75" t="s">
        <v>657</v>
      </c>
    </row>
    <row r="34" customFormat="false" ht="14.25" hidden="false" customHeight="true" outlineLevel="0" collapsed="false">
      <c r="A34" s="68" t="n">
        <v>7</v>
      </c>
      <c r="B34" s="57" t="s">
        <v>658</v>
      </c>
      <c r="C34" s="57" t="s">
        <v>659</v>
      </c>
      <c r="D34" s="69" t="s">
        <v>660</v>
      </c>
      <c r="E34" s="76" t="s">
        <v>661</v>
      </c>
      <c r="F34" s="71" t="s">
        <v>662</v>
      </c>
    </row>
    <row r="35" customFormat="false" ht="14.25" hidden="false" customHeight="true" outlineLevel="0" collapsed="false">
      <c r="A35" s="68" t="n">
        <v>8</v>
      </c>
      <c r="B35" s="57" t="s">
        <v>663</v>
      </c>
      <c r="C35" s="57" t="s">
        <v>664</v>
      </c>
      <c r="D35" s="69" t="s">
        <v>637</v>
      </c>
      <c r="E35" s="76" t="s">
        <v>665</v>
      </c>
      <c r="F35" s="75" t="s">
        <v>666</v>
      </c>
    </row>
    <row r="36" customFormat="false" ht="14.25" hidden="false" customHeight="true" outlineLevel="0" collapsed="false">
      <c r="A36" s="68" t="n">
        <v>9</v>
      </c>
      <c r="B36" s="57" t="s">
        <v>667</v>
      </c>
      <c r="C36" s="57" t="s">
        <v>668</v>
      </c>
      <c r="D36" s="69" t="s">
        <v>591</v>
      </c>
      <c r="E36" s="76" t="s">
        <v>669</v>
      </c>
      <c r="F36" s="75" t="s">
        <v>670</v>
      </c>
    </row>
    <row r="37" customFormat="false" ht="14.25" hidden="false" customHeight="true" outlineLevel="0" collapsed="false">
      <c r="A37" s="68" t="n">
        <v>10</v>
      </c>
      <c r="B37" s="57" t="s">
        <v>671</v>
      </c>
      <c r="C37" s="57" t="s">
        <v>672</v>
      </c>
      <c r="D37" s="69" t="s">
        <v>637</v>
      </c>
      <c r="E37" s="76" t="s">
        <v>673</v>
      </c>
      <c r="F37" s="75" t="s">
        <v>674</v>
      </c>
    </row>
    <row r="38" customFormat="false" ht="14.25" hidden="false" customHeight="true" outlineLevel="0" collapsed="false">
      <c r="A38" s="68" t="n">
        <v>11</v>
      </c>
      <c r="B38" s="57" t="s">
        <v>675</v>
      </c>
      <c r="C38" s="57" t="s">
        <v>676</v>
      </c>
      <c r="D38" s="69" t="s">
        <v>660</v>
      </c>
      <c r="E38" s="76" t="s">
        <v>677</v>
      </c>
      <c r="F38" s="71" t="s">
        <v>678</v>
      </c>
    </row>
    <row r="39" customFormat="false" ht="14.25" hidden="false" customHeight="true" outlineLevel="0" collapsed="false">
      <c r="A39" s="68" t="n">
        <v>12</v>
      </c>
      <c r="B39" s="57" t="s">
        <v>679</v>
      </c>
      <c r="C39" s="57" t="s">
        <v>680</v>
      </c>
      <c r="D39" s="69" t="s">
        <v>681</v>
      </c>
      <c r="E39" s="76" t="s">
        <v>682</v>
      </c>
      <c r="F39" s="71" t="s">
        <v>683</v>
      </c>
    </row>
    <row r="40" customFormat="false" ht="14.25" hidden="false" customHeight="true" outlineLevel="0" collapsed="false">
      <c r="A40" s="68" t="n">
        <v>13</v>
      </c>
      <c r="B40" s="57" t="s">
        <v>684</v>
      </c>
      <c r="C40" s="57" t="s">
        <v>685</v>
      </c>
      <c r="D40" s="69" t="s">
        <v>686</v>
      </c>
      <c r="E40" s="76" t="s">
        <v>687</v>
      </c>
      <c r="F40" s="75" t="s">
        <v>688</v>
      </c>
    </row>
    <row r="41" customFormat="false" ht="14.25" hidden="false" customHeight="true" outlineLevel="0" collapsed="false">
      <c r="A41" s="68" t="n">
        <v>14</v>
      </c>
      <c r="B41" s="57" t="s">
        <v>689</v>
      </c>
      <c r="C41" s="57" t="s">
        <v>690</v>
      </c>
      <c r="D41" s="69" t="s">
        <v>691</v>
      </c>
      <c r="E41" s="76" t="s">
        <v>692</v>
      </c>
      <c r="F41" s="16" t="s">
        <v>693</v>
      </c>
    </row>
    <row r="42" customFormat="false" ht="14.25" hidden="false" customHeight="true" outlineLevel="0" collapsed="false">
      <c r="A42" s="68" t="n">
        <v>15</v>
      </c>
      <c r="B42" s="57" t="s">
        <v>694</v>
      </c>
      <c r="C42" s="57" t="s">
        <v>695</v>
      </c>
      <c r="D42" s="69" t="s">
        <v>696</v>
      </c>
      <c r="E42" s="76" t="s">
        <v>697</v>
      </c>
      <c r="F42" s="75" t="s">
        <v>698</v>
      </c>
    </row>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hyperlinks>
    <hyperlink ref="F4" r:id="rId1" display="Global network across 130+ countries via Marsh, Guy Carpenter, Mercer, Oliver Wyman [businesswire.com]"/>
    <hyperlink ref="F5" r:id="rId2" display="Global (Risk &amp; Human Capital platforms; presence across all major regions) [aon.mediaroom.com]"/>
    <hyperlink ref="F6" r:id="rId3" display="Global footprint via owned ops &amp; network partners [insuranceb...essmag.com]"/>
    <hyperlink ref="F7" r:id="rId4" display="Global (strong in GB/Europe, Americas, APAC) [businessin...urance.com]"/>
    <hyperlink ref="F8" r:id="rId5" display="U.S., Canada &amp; Mexico operations noted [businesswire.com]"/>
    <hyperlink ref="F9" r:id="rId6" display="U.S. with UK/International capabilities (programs/wholesale) [rvbusiness.com]"/>
    <hyperlink ref="F10" r:id="rId7" display="U.S. &amp; Canada dominant; selected international specialty placements [businessin...urance.com]"/>
    <hyperlink ref="F11" r:id="rId8" display="Operations in 55 countries (FY2024 release) [howdengrou...ldings.com]"/>
    <hyperlink ref="F12" r:id="rId9" display="Present in 23 countries (broking + fintech adjacencies) [crainsgran...rapids.com]"/>
    <hyperlink ref="F13" r:id="rId10" display="International operations (Europe, Asia, LatAm; &gt;140 countries via network) [businessin...urance.com]"/>
    <hyperlink ref="F14" r:id="rId11" display="U.S., UK &amp; Ireland (international offices) [assuredpartners.com]"/>
    <hyperlink ref="F15" r:id="rId12" display="Primarily U.S. (select international solutions through partners) [usi.com]"/>
    <hyperlink ref="F16" r:id="rId13" display="30+ territories; UK, Europe, APAC, LatAm, RoW (Sustainability report) [ardonagh.com]"/>
    <hyperlink ref="F17" r:id="rId14" display="Predominantly U.S. network of partner agencies [broadstreetcorp.com]"/>
    <hyperlink ref="F18" r:id="rId15" display="U.S. &amp; Canada (wholesale/program reach to international markets) [insurancejournal.com]"/>
    <hyperlink ref="F19" r:id="rId16" display="Primarily U.S.; selective international client servicing [aleragroup.com]"/>
    <hyperlink ref="F20" r:id="rId17" display="Predominantly U.S.; specialty lines with international placements [alliant.com]"/>
    <hyperlink ref="F21" r:id="rId18" display="Primarily U.S. with some international capabilities via specialty alliances [epicbrokers.com]"/>
    <hyperlink ref="F22" r:id="rId19" display="Australasia + US network (ISU), Singapore etc. [annualreports.com]"/>
    <hyperlink ref="F23" r:id="rId20" display="~half of revenue now outside France; EMEA &amp; Asia (group release) [diot-siaci.com]"/>
    <hyperlink ref="F28" r:id="rId21" display="Primarily U.S. (national footprint) [onedigital.com]"/>
    <hyperlink ref="F30" r:id="rId22" display="Primarily U.S. footprint [alliant.com]"/>
    <hyperlink ref="F31" r:id="rId23" display="Primarily U.S.; international placements via partner markets [alliant.com]"/>
    <hyperlink ref="F32" r:id="rId24" display="ANZ + UK (Tysers) + India/MENA through network/units [aubgroup.com.au]"/>
    <hyperlink ref="F34" r:id="rId25" display="Germany + Europe platform (&gt;50 broker/MGA companies under GGW) [permira.com]"/>
    <hyperlink ref="F38" r:id="rId26" display="37 locations across DACH, CEE, IT, CH, AT, PL, RO, etc. (company site) [funk-gruppe.de]"/>
    <hyperlink ref="F39" r:id="rId27" display="Private; FY2024 consolidated revenue not public; Swiss + global through networks; own presence in CH &amp; LIE. [kessler.ch]"/>
    <hyperlink ref="F41" r:id="rId28" display="RENOMIA GROUP | RENOMIA"/>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4" activeCellId="0" sqref="C4"/>
    </sheetView>
  </sheetViews>
  <sheetFormatPr defaultColWidth="12.62890625" defaultRowHeight="15" zeroHeight="false" outlineLevelRow="0" outlineLevelCol="0"/>
  <cols>
    <col collapsed="false" customWidth="true" hidden="false" outlineLevel="0" max="1" min="1" style="0" width="8.5"/>
    <col collapsed="false" customWidth="true" hidden="false" outlineLevel="0" max="2" min="2" style="0" width="47"/>
    <col collapsed="false" customWidth="true" hidden="false" outlineLevel="0" max="3" min="3" style="0" width="24.25"/>
    <col collapsed="false" customWidth="true" hidden="false" outlineLevel="0" max="4" min="4" style="0" width="27.38"/>
    <col collapsed="false" customWidth="true" hidden="false" outlineLevel="0" max="5" min="5" style="0" width="24.25"/>
    <col collapsed="false" customWidth="true" hidden="false" outlineLevel="0" max="6" min="6" style="0" width="26.75"/>
    <col collapsed="false" customWidth="true" hidden="false" outlineLevel="0" max="7" min="7" style="0" width="24.13"/>
    <col collapsed="false" customWidth="true" hidden="false" outlineLevel="0" max="8" min="8" style="0" width="48.88"/>
    <col collapsed="false" customWidth="true" hidden="false" outlineLevel="0" max="9" min="9" style="0" width="12.88"/>
    <col collapsed="false" customWidth="true" hidden="false" outlineLevel="0" max="10" min="10" style="0" width="15.13"/>
    <col collapsed="false" customWidth="true" hidden="false" outlineLevel="0" max="11" min="11" style="0" width="12.88"/>
    <col collapsed="false" customWidth="true" hidden="false" outlineLevel="0" max="12" min="12" style="0" width="18.88"/>
    <col collapsed="false" customWidth="true" hidden="true" outlineLevel="0" max="13" min="13" style="0" width="42"/>
    <col collapsed="false" customWidth="true" hidden="false" outlineLevel="0" max="14" min="14" style="0" width="77.88"/>
    <col collapsed="false" customWidth="true" hidden="false" outlineLevel="0" max="15" min="15" style="0" width="80.13"/>
    <col collapsed="false" customWidth="true" hidden="false" outlineLevel="0" max="16" min="16" style="0" width="41"/>
    <col collapsed="false" customWidth="true" hidden="false" outlineLevel="0" max="17" min="17" style="0" width="18.5"/>
    <col collapsed="false" customWidth="true" hidden="false" outlineLevel="0" max="18" min="18" style="0" width="19.25"/>
    <col collapsed="false" customWidth="true" hidden="false" outlineLevel="0" max="19" min="19" style="0" width="35"/>
    <col collapsed="false" customWidth="true" hidden="false" outlineLevel="0" max="20" min="20" style="0" width="40.5"/>
    <col collapsed="false" customWidth="true" hidden="true" outlineLevel="0" max="21" min="21" style="0" width="42.5"/>
    <col collapsed="false" customWidth="true" hidden="false" outlineLevel="0" max="25" min="22" style="0" width="8.88"/>
  </cols>
  <sheetData>
    <row r="1" customFormat="false" ht="24" hidden="false" customHeight="true" outlineLevel="0" collapsed="false">
      <c r="A1" s="77" t="s">
        <v>699</v>
      </c>
      <c r="B1" s="77"/>
      <c r="C1" s="77"/>
      <c r="D1" s="77"/>
      <c r="E1" s="77"/>
      <c r="F1" s="77"/>
      <c r="G1" s="77"/>
      <c r="H1" s="77"/>
      <c r="I1" s="77"/>
      <c r="J1" s="77"/>
      <c r="K1" s="78"/>
      <c r="L1" s="79"/>
      <c r="M1" s="78"/>
      <c r="N1" s="80"/>
      <c r="O1" s="80"/>
      <c r="P1" s="78"/>
      <c r="Q1" s="78"/>
      <c r="R1" s="78"/>
      <c r="S1" s="78"/>
      <c r="T1" s="78"/>
      <c r="U1" s="81"/>
      <c r="V1" s="81"/>
      <c r="W1" s="81"/>
      <c r="X1" s="81"/>
      <c r="Y1" s="81"/>
    </row>
    <row r="2" customFormat="false" ht="12" hidden="false" customHeight="true" outlineLevel="0" collapsed="false">
      <c r="A2" s="82" t="s">
        <v>700</v>
      </c>
      <c r="B2" s="78"/>
      <c r="C2" s="78"/>
      <c r="D2" s="83" t="s">
        <v>701</v>
      </c>
      <c r="E2" s="78"/>
      <c r="F2" s="78"/>
      <c r="G2" s="78"/>
      <c r="H2" s="78"/>
      <c r="I2" s="84"/>
      <c r="J2" s="84"/>
      <c r="K2" s="78"/>
      <c r="L2" s="80"/>
      <c r="M2" s="85"/>
      <c r="N2" s="80"/>
      <c r="O2" s="80"/>
      <c r="P2" s="78"/>
      <c r="Q2" s="78"/>
      <c r="R2" s="78"/>
      <c r="S2" s="78"/>
      <c r="T2" s="78"/>
      <c r="U2" s="81"/>
      <c r="V2" s="81"/>
      <c r="W2" s="81"/>
      <c r="X2" s="81"/>
      <c r="Y2" s="81"/>
    </row>
    <row r="3" customFormat="false" ht="12" hidden="false" customHeight="true" outlineLevel="0" collapsed="false">
      <c r="A3" s="86" t="s">
        <v>6</v>
      </c>
      <c r="B3" s="87" t="s">
        <v>702</v>
      </c>
      <c r="C3" s="87" t="s">
        <v>703</v>
      </c>
      <c r="D3" s="87" t="s">
        <v>704</v>
      </c>
      <c r="E3" s="87" t="s">
        <v>705</v>
      </c>
      <c r="F3" s="87" t="s">
        <v>706</v>
      </c>
      <c r="G3" s="87" t="s">
        <v>707</v>
      </c>
      <c r="H3" s="88" t="s">
        <v>708</v>
      </c>
      <c r="I3" s="89" t="s">
        <v>709</v>
      </c>
      <c r="J3" s="89" t="s">
        <v>710</v>
      </c>
      <c r="K3" s="89" t="s">
        <v>711</v>
      </c>
      <c r="L3" s="89" t="s">
        <v>165</v>
      </c>
      <c r="M3" s="86" t="s">
        <v>168</v>
      </c>
      <c r="N3" s="89" t="s">
        <v>170</v>
      </c>
      <c r="O3" s="89" t="s">
        <v>331</v>
      </c>
      <c r="P3" s="90" t="s">
        <v>712</v>
      </c>
      <c r="Q3" s="90" t="s">
        <v>713</v>
      </c>
      <c r="R3" s="90" t="s">
        <v>714</v>
      </c>
      <c r="S3" s="90" t="s">
        <v>715</v>
      </c>
      <c r="U3" s="91" t="s">
        <v>716</v>
      </c>
      <c r="V3" s="91"/>
      <c r="W3" s="91"/>
      <c r="X3" s="91"/>
      <c r="Y3" s="91"/>
    </row>
    <row r="4" customFormat="false" ht="408.75" hidden="false" customHeight="true" outlineLevel="0" collapsed="false">
      <c r="A4" s="92" t="n">
        <v>1</v>
      </c>
      <c r="B4" s="93" t="s">
        <v>717</v>
      </c>
      <c r="C4" s="93" t="s">
        <v>718</v>
      </c>
      <c r="D4" s="93" t="s">
        <v>719</v>
      </c>
      <c r="E4" s="93" t="s">
        <v>720</v>
      </c>
      <c r="F4" s="94" t="s">
        <v>721</v>
      </c>
      <c r="G4" s="95" t="s">
        <v>722</v>
      </c>
      <c r="H4" s="93" t="s">
        <v>723</v>
      </c>
      <c r="I4" s="94" t="n">
        <v>156000</v>
      </c>
      <c r="J4" s="94" t="n">
        <v>10000</v>
      </c>
      <c r="K4" s="93" t="s">
        <v>724</v>
      </c>
      <c r="L4" s="93" t="s">
        <v>725</v>
      </c>
      <c r="M4" s="93" t="s">
        <v>726</v>
      </c>
      <c r="N4" s="96" t="s">
        <v>727</v>
      </c>
      <c r="O4" s="97" t="s">
        <v>728</v>
      </c>
      <c r="P4" s="98" t="s">
        <v>729</v>
      </c>
      <c r="Q4" s="99" t="s">
        <v>730</v>
      </c>
      <c r="R4" s="99" t="s">
        <v>731</v>
      </c>
      <c r="S4" s="99" t="s">
        <v>732</v>
      </c>
      <c r="U4" s="81"/>
      <c r="V4" s="81"/>
      <c r="W4" s="81"/>
      <c r="X4" s="81"/>
      <c r="Y4" s="81"/>
    </row>
    <row r="5" customFormat="false" ht="408.75" hidden="false" customHeight="true" outlineLevel="0" collapsed="false">
      <c r="A5" s="92" t="n">
        <v>2</v>
      </c>
      <c r="B5" s="93" t="s">
        <v>733</v>
      </c>
      <c r="C5" s="93" t="s">
        <v>734</v>
      </c>
      <c r="D5" s="93" t="s">
        <v>735</v>
      </c>
      <c r="E5" s="93" t="s">
        <v>736</v>
      </c>
      <c r="F5" s="100" t="s">
        <v>737</v>
      </c>
      <c r="G5" s="101" t="s">
        <v>738</v>
      </c>
      <c r="H5" s="99" t="s">
        <v>739</v>
      </c>
      <c r="I5" s="93" t="n">
        <v>53300</v>
      </c>
      <c r="J5" s="93" t="n">
        <v>4300</v>
      </c>
      <c r="K5" s="93" t="s">
        <v>740</v>
      </c>
      <c r="L5" s="93" t="s">
        <v>741</v>
      </c>
      <c r="M5" s="93" t="s">
        <v>742</v>
      </c>
      <c r="N5" s="93" t="s">
        <v>743</v>
      </c>
      <c r="O5" s="97" t="s">
        <v>744</v>
      </c>
      <c r="P5" s="98" t="s">
        <v>745</v>
      </c>
      <c r="Q5" s="99" t="s">
        <v>730</v>
      </c>
      <c r="R5" s="99" t="s">
        <v>746</v>
      </c>
      <c r="S5" s="99" t="s">
        <v>747</v>
      </c>
      <c r="U5" s="102" t="s">
        <v>748</v>
      </c>
      <c r="V5" s="81"/>
      <c r="W5" s="81"/>
      <c r="X5" s="81"/>
      <c r="Y5" s="81"/>
    </row>
    <row r="6" customFormat="false" ht="408.75" hidden="false" customHeight="true" outlineLevel="0" collapsed="false">
      <c r="A6" s="92" t="n">
        <v>3</v>
      </c>
      <c r="B6" s="93" t="s">
        <v>749</v>
      </c>
      <c r="C6" s="93" t="s">
        <v>750</v>
      </c>
      <c r="D6" s="93" t="s">
        <v>751</v>
      </c>
      <c r="E6" s="93" t="s">
        <v>752</v>
      </c>
      <c r="F6" s="100" t="s">
        <v>753</v>
      </c>
      <c r="G6" s="101" t="s">
        <v>754</v>
      </c>
      <c r="H6" s="93" t="s">
        <v>755</v>
      </c>
      <c r="I6" s="93" t="n">
        <v>22200</v>
      </c>
      <c r="J6" s="93" t="n">
        <v>995</v>
      </c>
      <c r="K6" s="93" t="s">
        <v>756</v>
      </c>
      <c r="L6" s="93" t="s">
        <v>757</v>
      </c>
      <c r="M6" s="93" t="s">
        <v>758</v>
      </c>
      <c r="N6" s="93" t="s">
        <v>759</v>
      </c>
      <c r="O6" s="97" t="s">
        <v>760</v>
      </c>
      <c r="P6" s="98" t="s">
        <v>761</v>
      </c>
      <c r="Q6" s="99" t="s">
        <v>762</v>
      </c>
      <c r="R6" s="99" t="s">
        <v>763</v>
      </c>
      <c r="S6" s="99" t="s">
        <v>764</v>
      </c>
      <c r="U6" s="81"/>
      <c r="V6" s="81"/>
      <c r="W6" s="81"/>
      <c r="X6" s="81"/>
      <c r="Y6" s="81"/>
    </row>
    <row r="7" customFormat="false" ht="362.25" hidden="false" customHeight="true" outlineLevel="0" collapsed="false">
      <c r="A7" s="92" t="n">
        <v>4</v>
      </c>
      <c r="B7" s="93" t="s">
        <v>765</v>
      </c>
      <c r="C7" s="93" t="s">
        <v>766</v>
      </c>
      <c r="D7" s="100" t="s">
        <v>767</v>
      </c>
      <c r="E7" s="100" t="s">
        <v>768</v>
      </c>
      <c r="F7" s="100" t="s">
        <v>769</v>
      </c>
      <c r="G7" s="101" t="s">
        <v>770</v>
      </c>
      <c r="H7" s="93" t="s">
        <v>771</v>
      </c>
      <c r="I7" s="93" t="n">
        <v>60000</v>
      </c>
      <c r="J7" s="93" t="s">
        <v>772</v>
      </c>
      <c r="K7" s="93" t="s">
        <v>773</v>
      </c>
      <c r="L7" s="93" t="s">
        <v>774</v>
      </c>
      <c r="M7" s="93" t="s">
        <v>775</v>
      </c>
      <c r="N7" s="93" t="s">
        <v>776</v>
      </c>
      <c r="O7" s="97" t="s">
        <v>777</v>
      </c>
      <c r="P7" s="99"/>
      <c r="Q7" s="99" t="s">
        <v>730</v>
      </c>
      <c r="R7" s="99" t="s">
        <v>778</v>
      </c>
      <c r="S7" s="99" t="s">
        <v>732</v>
      </c>
      <c r="U7" s="81"/>
      <c r="V7" s="81"/>
      <c r="W7" s="81"/>
      <c r="X7" s="81"/>
      <c r="Y7" s="81"/>
    </row>
    <row r="8" customFormat="false" ht="408.75" hidden="false" customHeight="true" outlineLevel="0" collapsed="false">
      <c r="A8" s="92" t="n">
        <v>5</v>
      </c>
      <c r="B8" s="93" t="s">
        <v>779</v>
      </c>
      <c r="C8" s="93" t="s">
        <v>780</v>
      </c>
      <c r="D8" s="100" t="s">
        <v>781</v>
      </c>
      <c r="E8" s="100" t="s">
        <v>782</v>
      </c>
      <c r="F8" s="94" t="s">
        <v>783</v>
      </c>
      <c r="G8" s="95" t="s">
        <v>784</v>
      </c>
      <c r="H8" s="93" t="s">
        <v>785</v>
      </c>
      <c r="I8" s="94" t="n">
        <v>13000</v>
      </c>
      <c r="J8" s="93" t="s">
        <v>786</v>
      </c>
      <c r="K8" s="103" t="n">
        <v>41000</v>
      </c>
      <c r="L8" s="93" t="s">
        <v>787</v>
      </c>
      <c r="M8" s="93" t="s">
        <v>788</v>
      </c>
      <c r="N8" s="93" t="s">
        <v>789</v>
      </c>
      <c r="O8" s="97" t="s">
        <v>790</v>
      </c>
      <c r="P8" s="104" t="s">
        <v>791</v>
      </c>
      <c r="Q8" s="99" t="s">
        <v>730</v>
      </c>
      <c r="R8" s="105" t="s">
        <v>792</v>
      </c>
      <c r="S8" s="99" t="s">
        <v>732</v>
      </c>
      <c r="U8" s="81"/>
      <c r="V8" s="81"/>
      <c r="W8" s="81"/>
      <c r="X8" s="81"/>
      <c r="Y8" s="81"/>
    </row>
    <row r="9" customFormat="false" ht="408.75" hidden="false" customHeight="true" outlineLevel="0" collapsed="false">
      <c r="A9" s="92" t="n">
        <v>6</v>
      </c>
      <c r="B9" s="93" t="s">
        <v>793</v>
      </c>
      <c r="C9" s="93" t="s">
        <v>794</v>
      </c>
      <c r="D9" s="100" t="s">
        <v>795</v>
      </c>
      <c r="E9" s="100" t="s">
        <v>796</v>
      </c>
      <c r="F9" s="100" t="s">
        <v>797</v>
      </c>
      <c r="G9" s="101" t="s">
        <v>798</v>
      </c>
      <c r="H9" s="93" t="s">
        <v>799</v>
      </c>
      <c r="I9" s="99" t="s">
        <v>800</v>
      </c>
      <c r="J9" s="106" t="s">
        <v>801</v>
      </c>
      <c r="K9" s="107" t="s">
        <v>802</v>
      </c>
      <c r="L9" s="93" t="s">
        <v>803</v>
      </c>
      <c r="M9" s="93" t="s">
        <v>804</v>
      </c>
      <c r="N9" s="93" t="s">
        <v>805</v>
      </c>
      <c r="O9" s="97" t="s">
        <v>806</v>
      </c>
      <c r="P9" s="93" t="s">
        <v>807</v>
      </c>
      <c r="Q9" s="99" t="s">
        <v>808</v>
      </c>
      <c r="R9" s="99" t="s">
        <v>809</v>
      </c>
      <c r="S9" s="99" t="s">
        <v>810</v>
      </c>
      <c r="U9" s="102" t="s">
        <v>811</v>
      </c>
      <c r="V9" s="81"/>
      <c r="W9" s="81"/>
      <c r="X9" s="81"/>
      <c r="Y9" s="81"/>
    </row>
    <row r="10" customFormat="false" ht="324.75" hidden="false" customHeight="true" outlineLevel="0" collapsed="false">
      <c r="A10" s="92" t="n">
        <v>7</v>
      </c>
      <c r="B10" s="93" t="s">
        <v>812</v>
      </c>
      <c r="C10" s="93" t="s">
        <v>813</v>
      </c>
      <c r="D10" s="100" t="s">
        <v>814</v>
      </c>
      <c r="E10" s="100" t="s">
        <v>815</v>
      </c>
      <c r="F10" s="100" t="s">
        <v>816</v>
      </c>
      <c r="G10" s="101" t="s">
        <v>817</v>
      </c>
      <c r="H10" s="93" t="s">
        <v>818</v>
      </c>
      <c r="I10" s="93" t="s">
        <v>819</v>
      </c>
      <c r="J10" s="93" t="s">
        <v>820</v>
      </c>
      <c r="K10" s="93" t="s">
        <v>821</v>
      </c>
      <c r="L10" s="93" t="s">
        <v>822</v>
      </c>
      <c r="M10" s="93" t="s">
        <v>823</v>
      </c>
      <c r="N10" s="93" t="s">
        <v>824</v>
      </c>
      <c r="O10" s="97" t="s">
        <v>825</v>
      </c>
      <c r="P10" s="108" t="s">
        <v>826</v>
      </c>
      <c r="Q10" s="99" t="s">
        <v>827</v>
      </c>
      <c r="R10" s="99" t="s">
        <v>828</v>
      </c>
      <c r="S10" s="99" t="s">
        <v>829</v>
      </c>
      <c r="U10" s="81"/>
      <c r="V10" s="81"/>
      <c r="W10" s="81"/>
      <c r="X10" s="81"/>
      <c r="Y10" s="81"/>
    </row>
    <row r="11" customFormat="false" ht="362.25" hidden="false" customHeight="true" outlineLevel="0" collapsed="false">
      <c r="A11" s="92" t="n">
        <v>8</v>
      </c>
      <c r="B11" s="93" t="s">
        <v>830</v>
      </c>
      <c r="C11" s="93" t="s">
        <v>831</v>
      </c>
      <c r="D11" s="100" t="s">
        <v>832</v>
      </c>
      <c r="E11" s="100" t="s">
        <v>833</v>
      </c>
      <c r="F11" s="94" t="s">
        <v>834</v>
      </c>
      <c r="G11" s="95" t="s">
        <v>835</v>
      </c>
      <c r="H11" s="93" t="s">
        <v>836</v>
      </c>
      <c r="I11" s="94" t="n">
        <v>100000</v>
      </c>
      <c r="J11" s="93" t="n">
        <v>7868</v>
      </c>
      <c r="K11" s="93" t="s">
        <v>837</v>
      </c>
      <c r="L11" s="93" t="s">
        <v>838</v>
      </c>
      <c r="M11" s="93" t="s">
        <v>839</v>
      </c>
      <c r="N11" s="93" t="s">
        <v>840</v>
      </c>
      <c r="O11" s="97" t="s">
        <v>841</v>
      </c>
      <c r="P11" s="109" t="s">
        <v>842</v>
      </c>
      <c r="Q11" s="99" t="s">
        <v>730</v>
      </c>
      <c r="R11" s="93" t="s">
        <v>843</v>
      </c>
      <c r="S11" s="99" t="s">
        <v>732</v>
      </c>
      <c r="U11" s="102" t="s">
        <v>844</v>
      </c>
      <c r="V11" s="81"/>
      <c r="W11" s="81"/>
      <c r="X11" s="81"/>
      <c r="Y11" s="81"/>
    </row>
    <row r="12" customFormat="false" ht="408.75" hidden="false" customHeight="true" outlineLevel="0" collapsed="false">
      <c r="A12" s="92" t="n">
        <v>9</v>
      </c>
      <c r="B12" s="93" t="s">
        <v>845</v>
      </c>
      <c r="C12" s="93" t="s">
        <v>846</v>
      </c>
      <c r="D12" s="100" t="s">
        <v>847</v>
      </c>
      <c r="E12" s="100" t="s">
        <v>848</v>
      </c>
      <c r="F12" s="94" t="s">
        <v>849</v>
      </c>
      <c r="G12" s="95" t="s">
        <v>850</v>
      </c>
      <c r="H12" s="93" t="s">
        <v>851</v>
      </c>
      <c r="I12" s="110" t="s">
        <v>852</v>
      </c>
      <c r="J12" s="93" t="s">
        <v>853</v>
      </c>
      <c r="K12" s="93" t="s">
        <v>854</v>
      </c>
      <c r="L12" s="111" t="s">
        <v>855</v>
      </c>
      <c r="M12" s="93" t="s">
        <v>856</v>
      </c>
      <c r="N12" s="93" t="s">
        <v>857</v>
      </c>
      <c r="O12" s="97" t="s">
        <v>858</v>
      </c>
      <c r="P12" s="97" t="s">
        <v>859</v>
      </c>
      <c r="Q12" s="93" t="s">
        <v>860</v>
      </c>
      <c r="R12" s="99" t="s">
        <v>730</v>
      </c>
      <c r="S12" s="93" t="s">
        <v>861</v>
      </c>
      <c r="U12" s="102" t="s">
        <v>862</v>
      </c>
      <c r="V12" s="81"/>
      <c r="W12" s="81"/>
      <c r="X12" s="81"/>
      <c r="Y12" s="81"/>
    </row>
    <row r="13" customFormat="false" ht="300" hidden="false" customHeight="true" outlineLevel="0" collapsed="false">
      <c r="A13" s="92" t="n">
        <v>10</v>
      </c>
      <c r="B13" s="93" t="s">
        <v>863</v>
      </c>
      <c r="C13" s="93" t="s">
        <v>864</v>
      </c>
      <c r="D13" s="100" t="s">
        <v>865</v>
      </c>
      <c r="E13" s="100" t="s">
        <v>866</v>
      </c>
      <c r="F13" s="100" t="s">
        <v>867</v>
      </c>
      <c r="G13" s="101" t="s">
        <v>868</v>
      </c>
      <c r="H13" s="93" t="s">
        <v>869</v>
      </c>
      <c r="I13" s="93" t="n">
        <v>10000</v>
      </c>
      <c r="J13" s="93" t="n">
        <v>600</v>
      </c>
      <c r="K13" s="93" t="s">
        <v>756</v>
      </c>
      <c r="L13" s="93" t="s">
        <v>870</v>
      </c>
      <c r="M13" s="93" t="s">
        <v>17</v>
      </c>
      <c r="N13" s="93" t="s">
        <v>871</v>
      </c>
      <c r="O13" s="97" t="s">
        <v>872</v>
      </c>
      <c r="P13" s="99"/>
      <c r="Q13" s="99" t="s">
        <v>873</v>
      </c>
      <c r="R13" s="99" t="s">
        <v>874</v>
      </c>
      <c r="S13" s="99" t="s">
        <v>372</v>
      </c>
      <c r="U13" s="81"/>
      <c r="V13" s="81"/>
      <c r="W13" s="81"/>
      <c r="X13" s="81"/>
      <c r="Y13" s="81"/>
    </row>
    <row r="14" customFormat="false" ht="408.75" hidden="false" customHeight="true" outlineLevel="0" collapsed="false">
      <c r="A14" s="92" t="n">
        <v>11</v>
      </c>
      <c r="B14" s="93" t="s">
        <v>875</v>
      </c>
      <c r="C14" s="93" t="s">
        <v>876</v>
      </c>
      <c r="D14" s="93" t="s">
        <v>877</v>
      </c>
      <c r="E14" s="93" t="s">
        <v>878</v>
      </c>
      <c r="F14" s="100" t="s">
        <v>879</v>
      </c>
      <c r="G14" s="101" t="s">
        <v>880</v>
      </c>
      <c r="H14" s="99" t="s">
        <v>881</v>
      </c>
      <c r="I14" s="93" t="n">
        <v>6000</v>
      </c>
      <c r="J14" s="93" t="n">
        <v>7</v>
      </c>
      <c r="K14" s="93" t="s">
        <v>882</v>
      </c>
      <c r="L14" s="93" t="s">
        <v>883</v>
      </c>
      <c r="M14" s="93" t="s">
        <v>17</v>
      </c>
      <c r="N14" s="93" t="s">
        <v>884</v>
      </c>
      <c r="O14" s="97" t="s">
        <v>885</v>
      </c>
      <c r="P14" s="99"/>
      <c r="Q14" s="99" t="s">
        <v>730</v>
      </c>
      <c r="R14" s="99" t="s">
        <v>730</v>
      </c>
      <c r="S14" s="99" t="s">
        <v>732</v>
      </c>
      <c r="U14" s="102" t="s">
        <v>886</v>
      </c>
      <c r="V14" s="81"/>
      <c r="W14" s="81"/>
      <c r="X14" s="81"/>
      <c r="Y14" s="81"/>
    </row>
    <row r="15" customFormat="false" ht="408.75" hidden="false" customHeight="true" outlineLevel="0" collapsed="false">
      <c r="A15" s="92" t="n">
        <v>12</v>
      </c>
      <c r="B15" s="93" t="s">
        <v>887</v>
      </c>
      <c r="C15" s="93" t="s">
        <v>888</v>
      </c>
      <c r="D15" s="93" t="s">
        <v>889</v>
      </c>
      <c r="E15" s="93" t="s">
        <v>890</v>
      </c>
      <c r="F15" s="100" t="s">
        <v>891</v>
      </c>
      <c r="G15" s="101" t="s">
        <v>892</v>
      </c>
      <c r="H15" s="93" t="s">
        <v>893</v>
      </c>
      <c r="I15" s="93" t="n">
        <v>20000</v>
      </c>
      <c r="J15" s="93" t="n">
        <v>5000</v>
      </c>
      <c r="K15" s="112" t="n">
        <v>39825</v>
      </c>
      <c r="L15" s="93" t="s">
        <v>894</v>
      </c>
      <c r="M15" s="93" t="s">
        <v>17</v>
      </c>
      <c r="N15" s="93" t="s">
        <v>895</v>
      </c>
      <c r="O15" s="97" t="s">
        <v>896</v>
      </c>
      <c r="P15" s="99"/>
      <c r="Q15" s="99" t="s">
        <v>730</v>
      </c>
      <c r="R15" s="99" t="s">
        <v>897</v>
      </c>
      <c r="S15" s="99" t="s">
        <v>732</v>
      </c>
      <c r="U15" s="81" t="s">
        <v>898</v>
      </c>
      <c r="V15" s="81"/>
      <c r="W15" s="81"/>
      <c r="X15" s="81"/>
      <c r="Y15" s="81"/>
    </row>
    <row r="16" customFormat="false" ht="408.75" hidden="false" customHeight="true" outlineLevel="0" collapsed="false">
      <c r="A16" s="92" t="n">
        <v>13</v>
      </c>
      <c r="B16" s="93" t="s">
        <v>899</v>
      </c>
      <c r="C16" s="93" t="s">
        <v>900</v>
      </c>
      <c r="D16" s="93" t="s">
        <v>901</v>
      </c>
      <c r="E16" s="93" t="s">
        <v>902</v>
      </c>
      <c r="F16" s="100" t="s">
        <v>903</v>
      </c>
      <c r="G16" s="101" t="s">
        <v>904</v>
      </c>
      <c r="H16" s="93" t="s">
        <v>905</v>
      </c>
      <c r="I16" s="93" t="n">
        <v>56000</v>
      </c>
      <c r="J16" s="93" t="n">
        <v>10000</v>
      </c>
      <c r="K16" s="93" t="s">
        <v>906</v>
      </c>
      <c r="L16" s="93" t="s">
        <v>907</v>
      </c>
      <c r="M16" s="93" t="s">
        <v>17</v>
      </c>
      <c r="N16" s="93" t="s">
        <v>908</v>
      </c>
      <c r="O16" s="97" t="s">
        <v>909</v>
      </c>
      <c r="P16" s="99"/>
      <c r="Q16" s="113" t="s">
        <v>910</v>
      </c>
      <c r="R16" s="113" t="s">
        <v>911</v>
      </c>
      <c r="S16" s="99" t="s">
        <v>732</v>
      </c>
      <c r="U16" s="102" t="s">
        <v>912</v>
      </c>
      <c r="V16" s="81"/>
      <c r="W16" s="81"/>
      <c r="X16" s="81"/>
      <c r="Y16" s="81"/>
    </row>
    <row r="17" customFormat="false" ht="408.75" hidden="false" customHeight="true" outlineLevel="0" collapsed="false">
      <c r="A17" s="92" t="n">
        <v>14</v>
      </c>
      <c r="B17" s="93" t="s">
        <v>913</v>
      </c>
      <c r="C17" s="93" t="s">
        <v>914</v>
      </c>
      <c r="D17" s="93" t="s">
        <v>915</v>
      </c>
      <c r="E17" s="93" t="s">
        <v>916</v>
      </c>
      <c r="F17" s="100" t="s">
        <v>917</v>
      </c>
      <c r="G17" s="101" t="s">
        <v>918</v>
      </c>
      <c r="H17" s="93" t="s">
        <v>919</v>
      </c>
      <c r="I17" s="93" t="n">
        <v>3895</v>
      </c>
      <c r="J17" s="93" t="n">
        <v>37</v>
      </c>
      <c r="K17" s="93" t="s">
        <v>920</v>
      </c>
      <c r="L17" s="93" t="s">
        <v>919</v>
      </c>
      <c r="M17" s="93" t="s">
        <v>921</v>
      </c>
      <c r="N17" s="93" t="s">
        <v>922</v>
      </c>
      <c r="O17" s="97" t="s">
        <v>923</v>
      </c>
      <c r="P17" s="99"/>
      <c r="Q17" s="99" t="s">
        <v>730</v>
      </c>
      <c r="R17" s="114" t="s">
        <v>924</v>
      </c>
      <c r="S17" s="99" t="s">
        <v>732</v>
      </c>
      <c r="U17" s="81" t="s">
        <v>898</v>
      </c>
      <c r="V17" s="81"/>
      <c r="W17" s="81"/>
      <c r="X17" s="81"/>
      <c r="Y17" s="81"/>
    </row>
    <row r="18" customFormat="false" ht="408.75" hidden="false" customHeight="true" outlineLevel="0" collapsed="false">
      <c r="A18" s="92" t="n">
        <v>15</v>
      </c>
      <c r="B18" s="93" t="s">
        <v>130</v>
      </c>
      <c r="C18" s="93" t="s">
        <v>914</v>
      </c>
      <c r="D18" s="115" t="s">
        <v>925</v>
      </c>
      <c r="E18" s="93" t="s">
        <v>926</v>
      </c>
      <c r="F18" s="100" t="s">
        <v>927</v>
      </c>
      <c r="G18" s="101" t="s">
        <v>928</v>
      </c>
      <c r="H18" s="99" t="s">
        <v>929</v>
      </c>
      <c r="I18" s="93" t="n">
        <v>22000</v>
      </c>
      <c r="J18" s="93" t="n">
        <v>30</v>
      </c>
      <c r="K18" s="93" t="s">
        <v>930</v>
      </c>
      <c r="L18" s="93" t="s">
        <v>931</v>
      </c>
      <c r="M18" s="93" t="s">
        <v>932</v>
      </c>
      <c r="N18" s="93" t="s">
        <v>933</v>
      </c>
      <c r="O18" s="97" t="s">
        <v>934</v>
      </c>
      <c r="P18" s="99"/>
      <c r="Q18" s="99" t="s">
        <v>730</v>
      </c>
      <c r="R18" s="99" t="s">
        <v>730</v>
      </c>
      <c r="S18" s="99" t="s">
        <v>732</v>
      </c>
      <c r="U18" s="81"/>
      <c r="V18" s="81"/>
      <c r="W18" s="81"/>
      <c r="X18" s="81"/>
      <c r="Y18" s="81"/>
    </row>
    <row r="19" customFormat="false" ht="408.75" hidden="false" customHeight="true" outlineLevel="0" collapsed="false">
      <c r="A19" s="92" t="n">
        <v>16</v>
      </c>
      <c r="B19" s="93" t="s">
        <v>935</v>
      </c>
      <c r="C19" s="93" t="s">
        <v>936</v>
      </c>
      <c r="D19" s="115" t="s">
        <v>937</v>
      </c>
      <c r="E19" s="110" t="s">
        <v>938</v>
      </c>
      <c r="F19" s="100" t="s">
        <v>939</v>
      </c>
      <c r="G19" s="101" t="s">
        <v>940</v>
      </c>
      <c r="H19" s="93" t="s">
        <v>941</v>
      </c>
      <c r="I19" s="93" t="n">
        <v>85000</v>
      </c>
      <c r="J19" s="93" t="s">
        <v>942</v>
      </c>
      <c r="K19" s="93" t="s">
        <v>943</v>
      </c>
      <c r="L19" s="93" t="s">
        <v>944</v>
      </c>
      <c r="M19" s="93" t="s">
        <v>945</v>
      </c>
      <c r="N19" s="93" t="s">
        <v>946</v>
      </c>
      <c r="O19" s="97" t="s">
        <v>947</v>
      </c>
      <c r="P19" s="97" t="s">
        <v>948</v>
      </c>
      <c r="Q19" s="99" t="s">
        <v>730</v>
      </c>
      <c r="R19" s="99" t="s">
        <v>949</v>
      </c>
      <c r="S19" s="99" t="s">
        <v>732</v>
      </c>
      <c r="U19" s="102" t="s">
        <v>950</v>
      </c>
      <c r="V19" s="81"/>
      <c r="W19" s="81"/>
      <c r="X19" s="81"/>
      <c r="Y19" s="81"/>
    </row>
    <row r="20" customFormat="false" ht="387" hidden="false" customHeight="true" outlineLevel="0" collapsed="false">
      <c r="A20" s="92" t="n">
        <v>17</v>
      </c>
      <c r="B20" s="93" t="s">
        <v>951</v>
      </c>
      <c r="C20" s="93" t="s">
        <v>952</v>
      </c>
      <c r="D20" s="115" t="s">
        <v>953</v>
      </c>
      <c r="E20" s="93" t="s">
        <v>954</v>
      </c>
      <c r="F20" s="100" t="s">
        <v>955</v>
      </c>
      <c r="G20" s="101" t="s">
        <v>956</v>
      </c>
      <c r="H20" s="99" t="s">
        <v>957</v>
      </c>
      <c r="I20" s="93" t="n">
        <v>7000</v>
      </c>
      <c r="J20" s="93" t="s">
        <v>958</v>
      </c>
      <c r="K20" s="93" t="s">
        <v>959</v>
      </c>
      <c r="L20" s="93" t="s">
        <v>485</v>
      </c>
      <c r="M20" s="93" t="s">
        <v>17</v>
      </c>
      <c r="N20" s="93" t="s">
        <v>960</v>
      </c>
      <c r="O20" s="97" t="s">
        <v>961</v>
      </c>
      <c r="P20" s="97" t="s">
        <v>962</v>
      </c>
      <c r="Q20" s="99" t="s">
        <v>730</v>
      </c>
      <c r="R20" s="99" t="s">
        <v>963</v>
      </c>
      <c r="S20" s="99" t="s">
        <v>964</v>
      </c>
      <c r="U20" s="81" t="s">
        <v>898</v>
      </c>
      <c r="V20" s="81"/>
      <c r="W20" s="81"/>
      <c r="X20" s="81"/>
      <c r="Y20" s="81"/>
    </row>
    <row r="21" customFormat="false" ht="399.75" hidden="false" customHeight="true" outlineLevel="0" collapsed="false">
      <c r="A21" s="92" t="n">
        <v>18</v>
      </c>
      <c r="B21" s="93" t="s">
        <v>965</v>
      </c>
      <c r="C21" s="93" t="s">
        <v>966</v>
      </c>
      <c r="D21" s="115" t="s">
        <v>967</v>
      </c>
      <c r="E21" s="93" t="s">
        <v>968</v>
      </c>
      <c r="F21" s="100" t="s">
        <v>969</v>
      </c>
      <c r="G21" s="101" t="s">
        <v>970</v>
      </c>
      <c r="H21" s="116" t="s">
        <v>971</v>
      </c>
      <c r="I21" s="93" t="s">
        <v>972</v>
      </c>
      <c r="J21" s="93" t="n">
        <v>4000</v>
      </c>
      <c r="K21" s="93" t="s">
        <v>943</v>
      </c>
      <c r="L21" s="93" t="s">
        <v>973</v>
      </c>
      <c r="M21" s="93" t="s">
        <v>974</v>
      </c>
      <c r="N21" s="93" t="s">
        <v>975</v>
      </c>
      <c r="O21" s="97" t="s">
        <v>976</v>
      </c>
      <c r="P21" s="97" t="s">
        <v>977</v>
      </c>
      <c r="Q21" s="99" t="s">
        <v>730</v>
      </c>
      <c r="R21" s="99" t="s">
        <v>978</v>
      </c>
      <c r="S21" s="99" t="s">
        <v>979</v>
      </c>
      <c r="U21" s="81"/>
      <c r="V21" s="81"/>
      <c r="W21" s="81"/>
      <c r="X21" s="81"/>
      <c r="Y21" s="81"/>
    </row>
    <row r="22" customFormat="false" ht="362.25" hidden="false" customHeight="true" outlineLevel="0" collapsed="false">
      <c r="A22" s="92" t="n">
        <v>19</v>
      </c>
      <c r="B22" s="93" t="s">
        <v>980</v>
      </c>
      <c r="C22" s="93" t="s">
        <v>981</v>
      </c>
      <c r="D22" s="115" t="s">
        <v>982</v>
      </c>
      <c r="E22" s="93" t="s">
        <v>983</v>
      </c>
      <c r="F22" s="100" t="s">
        <v>984</v>
      </c>
      <c r="G22" s="101" t="s">
        <v>985</v>
      </c>
      <c r="H22" s="117" t="s">
        <v>986</v>
      </c>
      <c r="I22" s="93" t="n">
        <v>14000</v>
      </c>
      <c r="J22" s="93" t="n">
        <v>2374</v>
      </c>
      <c r="K22" s="93" t="s">
        <v>987</v>
      </c>
      <c r="L22" s="118" t="s">
        <v>988</v>
      </c>
      <c r="M22" s="93" t="s">
        <v>989</v>
      </c>
      <c r="N22" s="96" t="s">
        <v>990</v>
      </c>
      <c r="O22" s="97" t="s">
        <v>991</v>
      </c>
      <c r="P22" s="97" t="s">
        <v>992</v>
      </c>
      <c r="Q22" s="99" t="s">
        <v>993</v>
      </c>
      <c r="R22" s="99" t="s">
        <v>994</v>
      </c>
      <c r="S22" s="99" t="s">
        <v>995</v>
      </c>
      <c r="U22" s="102" t="s">
        <v>996</v>
      </c>
      <c r="V22" s="81"/>
      <c r="W22" s="81"/>
      <c r="X22" s="81"/>
      <c r="Y22" s="81"/>
    </row>
    <row r="23" customFormat="false" ht="408.75" hidden="false" customHeight="true" outlineLevel="0" collapsed="false">
      <c r="A23" s="92" t="n">
        <v>20</v>
      </c>
      <c r="B23" s="93" t="s">
        <v>997</v>
      </c>
      <c r="C23" s="93" t="s">
        <v>813</v>
      </c>
      <c r="D23" s="93" t="s">
        <v>998</v>
      </c>
      <c r="E23" s="93" t="s">
        <v>999</v>
      </c>
      <c r="F23" s="100" t="s">
        <v>1000</v>
      </c>
      <c r="G23" s="101" t="s">
        <v>1001</v>
      </c>
      <c r="H23" s="93" t="s">
        <v>1002</v>
      </c>
      <c r="I23" s="93" t="s">
        <v>1003</v>
      </c>
      <c r="J23" s="93" t="n">
        <v>175</v>
      </c>
      <c r="K23" s="93" t="s">
        <v>1004</v>
      </c>
      <c r="L23" s="93" t="s">
        <v>1005</v>
      </c>
      <c r="M23" s="93" t="s">
        <v>17</v>
      </c>
      <c r="N23" s="93" t="s">
        <v>1006</v>
      </c>
      <c r="O23" s="97" t="s">
        <v>1007</v>
      </c>
      <c r="P23" s="97" t="s">
        <v>1008</v>
      </c>
      <c r="Q23" s="99" t="s">
        <v>730</v>
      </c>
      <c r="R23" s="99" t="s">
        <v>730</v>
      </c>
      <c r="S23" s="93" t="s">
        <v>1009</v>
      </c>
      <c r="U23" s="81" t="s">
        <v>898</v>
      </c>
      <c r="V23" s="81"/>
      <c r="W23" s="81"/>
      <c r="X23" s="81"/>
      <c r="Y23" s="81"/>
    </row>
    <row r="24" customFormat="false" ht="324.75" hidden="false" customHeight="true" outlineLevel="0" collapsed="false">
      <c r="A24" s="92" t="n">
        <v>21</v>
      </c>
      <c r="B24" s="93" t="s">
        <v>1010</v>
      </c>
      <c r="C24" s="93" t="s">
        <v>1011</v>
      </c>
      <c r="D24" s="93" t="s">
        <v>1012</v>
      </c>
      <c r="E24" s="100" t="s">
        <v>1013</v>
      </c>
      <c r="F24" s="100" t="s">
        <v>1014</v>
      </c>
      <c r="G24" s="101" t="s">
        <v>1015</v>
      </c>
      <c r="H24" s="93" t="s">
        <v>1016</v>
      </c>
      <c r="I24" s="93" t="n">
        <v>6000</v>
      </c>
      <c r="J24" s="93" t="n">
        <v>1054</v>
      </c>
      <c r="K24" s="93" t="s">
        <v>724</v>
      </c>
      <c r="L24" s="93" t="s">
        <v>1017</v>
      </c>
      <c r="M24" s="93" t="s">
        <v>1018</v>
      </c>
      <c r="N24" s="93" t="s">
        <v>1019</v>
      </c>
      <c r="O24" s="97" t="s">
        <v>1020</v>
      </c>
      <c r="P24" s="97" t="s">
        <v>1021</v>
      </c>
      <c r="Q24" s="99" t="s">
        <v>730</v>
      </c>
      <c r="R24" s="99" t="s">
        <v>1022</v>
      </c>
      <c r="S24" s="99" t="s">
        <v>1023</v>
      </c>
      <c r="U24" s="81"/>
      <c r="V24" s="81"/>
      <c r="W24" s="81"/>
      <c r="X24" s="81"/>
      <c r="Y24" s="81"/>
    </row>
    <row r="25" customFormat="false" ht="362.25" hidden="false" customHeight="true" outlineLevel="0" collapsed="false">
      <c r="A25" s="92" t="n">
        <v>22</v>
      </c>
      <c r="B25" s="93" t="s">
        <v>1024</v>
      </c>
      <c r="C25" s="93" t="s">
        <v>1025</v>
      </c>
      <c r="D25" s="93" t="s">
        <v>1026</v>
      </c>
      <c r="E25" s="93" t="s">
        <v>1027</v>
      </c>
      <c r="F25" s="100" t="s">
        <v>1028</v>
      </c>
      <c r="G25" s="101" t="s">
        <v>1029</v>
      </c>
      <c r="H25" s="93" t="s">
        <v>1030</v>
      </c>
      <c r="I25" s="93" t="n">
        <v>40000</v>
      </c>
      <c r="J25" s="93" t="n">
        <v>2200</v>
      </c>
      <c r="K25" s="93" t="s">
        <v>1031</v>
      </c>
      <c r="L25" s="93" t="s">
        <v>465</v>
      </c>
      <c r="M25" s="93" t="s">
        <v>1018</v>
      </c>
      <c r="N25" s="93" t="s">
        <v>1032</v>
      </c>
      <c r="O25" s="97" t="s">
        <v>1033</v>
      </c>
      <c r="P25" s="97" t="s">
        <v>1034</v>
      </c>
      <c r="Q25" s="99" t="s">
        <v>1035</v>
      </c>
      <c r="R25" s="99" t="s">
        <v>1036</v>
      </c>
      <c r="S25" s="99" t="s">
        <v>1037</v>
      </c>
      <c r="U25" s="81"/>
      <c r="V25" s="81"/>
      <c r="W25" s="81"/>
      <c r="X25" s="81"/>
      <c r="Y25" s="81"/>
    </row>
    <row r="26" customFormat="false" ht="408.75" hidden="false" customHeight="true" outlineLevel="0" collapsed="false">
      <c r="A26" s="92" t="n">
        <v>23</v>
      </c>
      <c r="B26" s="93" t="s">
        <v>1038</v>
      </c>
      <c r="C26" s="93" t="s">
        <v>1039</v>
      </c>
      <c r="D26" s="93" t="s">
        <v>1040</v>
      </c>
      <c r="E26" s="93" t="s">
        <v>1041</v>
      </c>
      <c r="F26" s="100" t="s">
        <v>1042</v>
      </c>
      <c r="G26" s="101" t="s">
        <v>1043</v>
      </c>
      <c r="H26" s="93" t="s">
        <v>1044</v>
      </c>
      <c r="I26" s="93" t="n">
        <v>8000</v>
      </c>
      <c r="J26" s="93" t="n">
        <v>2500</v>
      </c>
      <c r="K26" s="93" t="n">
        <v>2015</v>
      </c>
      <c r="L26" s="93" t="s">
        <v>1045</v>
      </c>
      <c r="M26" s="93" t="s">
        <v>17</v>
      </c>
      <c r="N26" s="93" t="s">
        <v>1046</v>
      </c>
      <c r="O26" s="97" t="s">
        <v>1047</v>
      </c>
      <c r="P26" s="119" t="s">
        <v>1048</v>
      </c>
      <c r="Q26" s="99" t="s">
        <v>730</v>
      </c>
      <c r="R26" s="99" t="s">
        <v>1049</v>
      </c>
      <c r="S26" s="99" t="s">
        <v>1050</v>
      </c>
      <c r="U26" s="81" t="s">
        <v>898</v>
      </c>
      <c r="V26" s="81"/>
      <c r="W26" s="81"/>
      <c r="X26" s="81"/>
      <c r="Y26" s="81"/>
    </row>
    <row r="27" customFormat="false" ht="375" hidden="false" customHeight="true" outlineLevel="0" collapsed="false">
      <c r="A27" s="92" t="n">
        <v>24</v>
      </c>
      <c r="B27" s="93" t="s">
        <v>1051</v>
      </c>
      <c r="C27" s="93" t="s">
        <v>1052</v>
      </c>
      <c r="D27" s="93" t="s">
        <v>1053</v>
      </c>
      <c r="E27" s="93" t="s">
        <v>1054</v>
      </c>
      <c r="F27" s="100" t="s">
        <v>1055</v>
      </c>
      <c r="G27" s="101" t="s">
        <v>1056</v>
      </c>
      <c r="H27" s="93" t="s">
        <v>1057</v>
      </c>
      <c r="I27" s="93" t="n">
        <v>19000</v>
      </c>
      <c r="J27" s="93" t="n">
        <v>3500</v>
      </c>
      <c r="K27" s="93" t="s">
        <v>1058</v>
      </c>
      <c r="L27" s="93" t="s">
        <v>1059</v>
      </c>
      <c r="M27" s="93" t="s">
        <v>1060</v>
      </c>
      <c r="N27" s="93" t="s">
        <v>1061</v>
      </c>
      <c r="O27" s="97" t="s">
        <v>1062</v>
      </c>
      <c r="P27" s="119" t="s">
        <v>1063</v>
      </c>
      <c r="Q27" s="99" t="s">
        <v>827</v>
      </c>
      <c r="R27" s="99" t="s">
        <v>1064</v>
      </c>
      <c r="S27" s="99" t="s">
        <v>1065</v>
      </c>
      <c r="U27" s="81"/>
      <c r="V27" s="81"/>
      <c r="W27" s="81"/>
      <c r="X27" s="81"/>
      <c r="Y27" s="81"/>
    </row>
    <row r="28" customFormat="false" ht="337.5" hidden="false" customHeight="true" outlineLevel="0" collapsed="false">
      <c r="A28" s="92" t="n">
        <v>25</v>
      </c>
      <c r="B28" s="93" t="s">
        <v>1066</v>
      </c>
      <c r="C28" s="120" t="s">
        <v>1067</v>
      </c>
      <c r="D28" s="121" t="s">
        <v>1068</v>
      </c>
      <c r="E28" s="121" t="s">
        <v>1069</v>
      </c>
      <c r="F28" s="100" t="s">
        <v>1070</v>
      </c>
      <c r="G28" s="101" t="s">
        <v>1071</v>
      </c>
      <c r="H28" s="93" t="s">
        <v>1072</v>
      </c>
      <c r="I28" s="93" t="n">
        <v>66900</v>
      </c>
      <c r="J28" s="106" t="n">
        <v>3500</v>
      </c>
      <c r="K28" s="107" t="s">
        <v>1073</v>
      </c>
      <c r="L28" s="93" t="s">
        <v>1074</v>
      </c>
      <c r="M28" s="93" t="s">
        <v>17</v>
      </c>
      <c r="N28" s="93" t="s">
        <v>1075</v>
      </c>
      <c r="O28" s="97" t="s">
        <v>1076</v>
      </c>
      <c r="P28" s="99"/>
      <c r="Q28" s="99" t="s">
        <v>730</v>
      </c>
      <c r="R28" s="99" t="s">
        <v>730</v>
      </c>
      <c r="S28" s="99" t="s">
        <v>1077</v>
      </c>
      <c r="U28" s="81"/>
      <c r="V28" s="81"/>
      <c r="W28" s="81"/>
      <c r="X28" s="81"/>
      <c r="Y28" s="81"/>
    </row>
    <row r="29" customFormat="false" ht="375" hidden="false" customHeight="true" outlineLevel="0" collapsed="false">
      <c r="A29" s="92" t="n">
        <v>26</v>
      </c>
      <c r="B29" s="93" t="s">
        <v>1078</v>
      </c>
      <c r="C29" s="120" t="s">
        <v>1079</v>
      </c>
      <c r="D29" s="100" t="s">
        <v>1080</v>
      </c>
      <c r="E29" s="100" t="s">
        <v>1081</v>
      </c>
      <c r="F29" s="100" t="s">
        <v>1082</v>
      </c>
      <c r="G29" s="101" t="s">
        <v>1083</v>
      </c>
      <c r="H29" s="93" t="s">
        <v>1084</v>
      </c>
      <c r="I29" s="93" t="n">
        <v>400000</v>
      </c>
      <c r="J29" s="106" t="n">
        <v>40000</v>
      </c>
      <c r="K29" s="107" t="s">
        <v>1085</v>
      </c>
      <c r="L29" s="93" t="s">
        <v>1086</v>
      </c>
      <c r="M29" s="93" t="s">
        <v>17</v>
      </c>
      <c r="N29" s="93" t="s">
        <v>1087</v>
      </c>
      <c r="O29" s="97" t="s">
        <v>1088</v>
      </c>
      <c r="P29" s="119" t="s">
        <v>1089</v>
      </c>
      <c r="Q29" s="99" t="s">
        <v>730</v>
      </c>
      <c r="R29" s="99" t="s">
        <v>1090</v>
      </c>
      <c r="S29" s="99" t="s">
        <v>732</v>
      </c>
      <c r="U29" s="81" t="s">
        <v>898</v>
      </c>
      <c r="V29" s="81"/>
      <c r="W29" s="81"/>
      <c r="X29" s="81"/>
      <c r="Y29" s="81"/>
    </row>
    <row r="30" customFormat="false" ht="375" hidden="false" customHeight="true" outlineLevel="0" collapsed="false">
      <c r="A30" s="92" t="n">
        <v>27</v>
      </c>
      <c r="B30" s="93" t="s">
        <v>1091</v>
      </c>
      <c r="C30" s="120" t="s">
        <v>1092</v>
      </c>
      <c r="D30" s="122" t="s">
        <v>1093</v>
      </c>
      <c r="E30" s="122" t="s">
        <v>1094</v>
      </c>
      <c r="F30" s="100" t="s">
        <v>1095</v>
      </c>
      <c r="G30" s="101" t="s">
        <v>1096</v>
      </c>
      <c r="H30" s="97" t="s">
        <v>1097</v>
      </c>
      <c r="I30" s="93" t="n">
        <v>15000</v>
      </c>
      <c r="J30" s="93" t="s">
        <v>1098</v>
      </c>
      <c r="K30" s="93" t="s">
        <v>1099</v>
      </c>
      <c r="L30" s="93" t="s">
        <v>1100</v>
      </c>
      <c r="M30" s="93"/>
      <c r="N30" s="93" t="s">
        <v>1101</v>
      </c>
      <c r="O30" s="97" t="s">
        <v>1102</v>
      </c>
      <c r="P30" s="97" t="s">
        <v>1103</v>
      </c>
      <c r="Q30" s="99" t="s">
        <v>827</v>
      </c>
      <c r="R30" s="99" t="s">
        <v>730</v>
      </c>
      <c r="S30" s="99" t="s">
        <v>1077</v>
      </c>
      <c r="U30" s="81" t="s">
        <v>898</v>
      </c>
      <c r="V30" s="81"/>
      <c r="W30" s="81"/>
      <c r="X30" s="81"/>
      <c r="Y30" s="81"/>
    </row>
    <row r="31" customFormat="false" ht="312" hidden="false" customHeight="true" outlineLevel="0" collapsed="false">
      <c r="A31" s="92" t="n">
        <v>28</v>
      </c>
      <c r="B31" s="93" t="s">
        <v>1104</v>
      </c>
      <c r="C31" s="120" t="s">
        <v>1105</v>
      </c>
      <c r="D31" s="122" t="s">
        <v>1106</v>
      </c>
      <c r="E31" s="122" t="s">
        <v>1107</v>
      </c>
      <c r="F31" s="100" t="s">
        <v>1108</v>
      </c>
      <c r="G31" s="101" t="s">
        <v>1109</v>
      </c>
      <c r="H31" s="93" t="s">
        <v>1110</v>
      </c>
      <c r="I31" s="93" t="n">
        <v>19000</v>
      </c>
      <c r="J31" s="93" t="s">
        <v>732</v>
      </c>
      <c r="K31" s="93" t="s">
        <v>1073</v>
      </c>
      <c r="L31" s="93" t="s">
        <v>1111</v>
      </c>
      <c r="M31" s="123" t="s">
        <v>1112</v>
      </c>
      <c r="N31" s="93" t="s">
        <v>1113</v>
      </c>
      <c r="O31" s="97" t="s">
        <v>1114</v>
      </c>
      <c r="P31" s="119" t="s">
        <v>1115</v>
      </c>
      <c r="Q31" s="99" t="s">
        <v>827</v>
      </c>
      <c r="R31" s="99" t="s">
        <v>730</v>
      </c>
      <c r="S31" s="99" t="s">
        <v>1077</v>
      </c>
      <c r="U31" s="81" t="s">
        <v>898</v>
      </c>
      <c r="V31" s="81"/>
      <c r="W31" s="81"/>
      <c r="X31" s="81"/>
      <c r="Y31" s="81"/>
    </row>
    <row r="32" customFormat="false" ht="262.5" hidden="false" customHeight="true" outlineLevel="0" collapsed="false">
      <c r="A32" s="92" t="n">
        <v>29</v>
      </c>
      <c r="B32" s="124" t="s">
        <v>1116</v>
      </c>
      <c r="C32" s="120" t="s">
        <v>1117</v>
      </c>
      <c r="D32" s="125" t="s">
        <v>1118</v>
      </c>
      <c r="E32" s="106" t="s">
        <v>1119</v>
      </c>
      <c r="F32" s="100" t="s">
        <v>1120</v>
      </c>
      <c r="G32" s="101" t="s">
        <v>1121</v>
      </c>
      <c r="H32" s="93" t="s">
        <v>1122</v>
      </c>
      <c r="I32" s="93" t="s">
        <v>1123</v>
      </c>
      <c r="J32" s="106" t="s">
        <v>1124</v>
      </c>
      <c r="K32" s="107" t="s">
        <v>1125</v>
      </c>
      <c r="L32" s="93" t="s">
        <v>1126</v>
      </c>
      <c r="M32" s="99" t="s">
        <v>1127</v>
      </c>
      <c r="N32" s="93" t="s">
        <v>1128</v>
      </c>
      <c r="O32" s="97" t="s">
        <v>1129</v>
      </c>
      <c r="P32" s="99"/>
      <c r="Q32" s="99" t="s">
        <v>730</v>
      </c>
      <c r="R32" s="99" t="s">
        <v>1130</v>
      </c>
      <c r="S32" s="99" t="s">
        <v>732</v>
      </c>
      <c r="U32" s="81"/>
      <c r="V32" s="81"/>
      <c r="W32" s="81"/>
      <c r="X32" s="81"/>
      <c r="Y32" s="81"/>
    </row>
    <row r="33" customFormat="false" ht="300" hidden="false" customHeight="true" outlineLevel="0" collapsed="false">
      <c r="A33" s="92" t="n">
        <v>30</v>
      </c>
      <c r="B33" s="124" t="s">
        <v>1131</v>
      </c>
      <c r="C33" s="120" t="s">
        <v>1132</v>
      </c>
      <c r="D33" s="122" t="s">
        <v>1133</v>
      </c>
      <c r="E33" s="125" t="s">
        <v>1134</v>
      </c>
      <c r="F33" s="100" t="s">
        <v>1135</v>
      </c>
      <c r="G33" s="101" t="s">
        <v>1136</v>
      </c>
      <c r="H33" s="99" t="s">
        <v>1137</v>
      </c>
      <c r="I33" s="93" t="s">
        <v>1123</v>
      </c>
      <c r="J33" s="106" t="s">
        <v>1138</v>
      </c>
      <c r="K33" s="107" t="s">
        <v>882</v>
      </c>
      <c r="L33" s="93" t="s">
        <v>1139</v>
      </c>
      <c r="M33" s="99" t="s">
        <v>1127</v>
      </c>
      <c r="N33" s="93" t="s">
        <v>1140</v>
      </c>
      <c r="O33" s="97" t="s">
        <v>1141</v>
      </c>
      <c r="P33" s="93" t="s">
        <v>1142</v>
      </c>
      <c r="Q33" s="99" t="s">
        <v>730</v>
      </c>
      <c r="R33" s="93" t="s">
        <v>1143</v>
      </c>
      <c r="S33" s="99" t="s">
        <v>732</v>
      </c>
      <c r="U33" s="81"/>
      <c r="V33" s="81"/>
      <c r="W33" s="81"/>
      <c r="X33" s="81"/>
      <c r="Y33" s="81"/>
    </row>
    <row r="34" customFormat="false" ht="408.75" hidden="false" customHeight="true" outlineLevel="0" collapsed="false">
      <c r="A34" s="92" t="n">
        <v>31</v>
      </c>
      <c r="B34" s="124" t="s">
        <v>1144</v>
      </c>
      <c r="C34" s="126" t="s">
        <v>952</v>
      </c>
      <c r="D34" s="126" t="s">
        <v>1145</v>
      </c>
      <c r="E34" s="102" t="s">
        <v>1146</v>
      </c>
      <c r="F34" s="127" t="s">
        <v>1147</v>
      </c>
      <c r="G34" s="128" t="s">
        <v>1148</v>
      </c>
      <c r="H34" s="93" t="s">
        <v>1149</v>
      </c>
      <c r="I34" s="93" t="s">
        <v>1150</v>
      </c>
      <c r="J34" s="106" t="s">
        <v>772</v>
      </c>
      <c r="K34" s="107" t="s">
        <v>1151</v>
      </c>
      <c r="L34" s="93" t="s">
        <v>1152</v>
      </c>
      <c r="M34" s="93" t="s">
        <v>1153</v>
      </c>
      <c r="N34" s="93" t="s">
        <v>1154</v>
      </c>
      <c r="O34" s="97" t="s">
        <v>1155</v>
      </c>
      <c r="P34" s="99"/>
      <c r="Q34" s="99" t="s">
        <v>730</v>
      </c>
      <c r="R34" s="99" t="s">
        <v>1156</v>
      </c>
      <c r="S34" s="99" t="s">
        <v>730</v>
      </c>
      <c r="U34" s="81" t="s">
        <v>898</v>
      </c>
      <c r="V34" s="81"/>
      <c r="W34" s="81"/>
      <c r="X34" s="81"/>
      <c r="Y34" s="81"/>
    </row>
    <row r="35" customFormat="false" ht="362.25" hidden="false" customHeight="true" outlineLevel="0" collapsed="false">
      <c r="A35" s="129" t="n">
        <v>32</v>
      </c>
      <c r="B35" s="130" t="s">
        <v>1157</v>
      </c>
      <c r="C35" s="131" t="s">
        <v>952</v>
      </c>
      <c r="D35" s="131" t="s">
        <v>1158</v>
      </c>
      <c r="E35" s="106" t="s">
        <v>1159</v>
      </c>
      <c r="F35" s="132" t="s">
        <v>1160</v>
      </c>
      <c r="G35" s="133" t="s">
        <v>1161</v>
      </c>
      <c r="H35" s="134" t="s">
        <v>988</v>
      </c>
      <c r="I35" s="134" t="s">
        <v>1162</v>
      </c>
      <c r="J35" s="131" t="s">
        <v>732</v>
      </c>
      <c r="K35" s="135" t="s">
        <v>1163</v>
      </c>
      <c r="L35" s="134" t="s">
        <v>1164</v>
      </c>
      <c r="M35" s="136" t="s">
        <v>1127</v>
      </c>
      <c r="N35" s="134" t="s">
        <v>1165</v>
      </c>
      <c r="O35" s="137" t="s">
        <v>1166</v>
      </c>
      <c r="P35" s="138"/>
      <c r="Q35" s="136" t="s">
        <v>730</v>
      </c>
      <c r="R35" s="136" t="s">
        <v>730</v>
      </c>
      <c r="S35" s="136" t="s">
        <v>730</v>
      </c>
      <c r="U35" s="81"/>
      <c r="V35" s="81"/>
      <c r="W35" s="81"/>
      <c r="X35" s="81"/>
      <c r="Y35" s="81"/>
    </row>
    <row r="36" customFormat="false" ht="337.5" hidden="false" customHeight="true" outlineLevel="0" collapsed="false">
      <c r="A36" s="139" t="n">
        <v>33</v>
      </c>
      <c r="B36" s="140" t="s">
        <v>1167</v>
      </c>
      <c r="C36" s="141" t="s">
        <v>1168</v>
      </c>
      <c r="D36" s="141" t="s">
        <v>1169</v>
      </c>
      <c r="E36" s="131" t="s">
        <v>1170</v>
      </c>
      <c r="F36" s="142" t="s">
        <v>1171</v>
      </c>
      <c r="G36" s="143" t="s">
        <v>1172</v>
      </c>
      <c r="H36" s="144" t="s">
        <v>1173</v>
      </c>
      <c r="I36" s="144" t="s">
        <v>1174</v>
      </c>
      <c r="J36" s="144" t="s">
        <v>1175</v>
      </c>
      <c r="K36" s="144" t="s">
        <v>1176</v>
      </c>
      <c r="L36" s="144" t="s">
        <v>1177</v>
      </c>
      <c r="M36" s="144" t="s">
        <v>1178</v>
      </c>
      <c r="N36" s="144" t="s">
        <v>1179</v>
      </c>
      <c r="O36" s="144" t="s">
        <v>1180</v>
      </c>
      <c r="P36" s="144" t="s">
        <v>1181</v>
      </c>
      <c r="Q36" s="144" t="s">
        <v>732</v>
      </c>
      <c r="R36" s="144" t="s">
        <v>1182</v>
      </c>
      <c r="S36" s="144" t="s">
        <v>732</v>
      </c>
      <c r="U36" s="81"/>
      <c r="V36" s="81"/>
      <c r="W36" s="81"/>
      <c r="X36" s="81"/>
      <c r="Y36" s="81"/>
    </row>
    <row r="37" customFormat="false" ht="337.5" hidden="false" customHeight="true" outlineLevel="0" collapsed="false">
      <c r="A37" s="139" t="n">
        <v>34</v>
      </c>
      <c r="B37" s="145" t="s">
        <v>1183</v>
      </c>
      <c r="C37" s="146" t="s">
        <v>1184</v>
      </c>
      <c r="D37" s="121" t="s">
        <v>1185</v>
      </c>
      <c r="E37" s="121" t="s">
        <v>1186</v>
      </c>
      <c r="F37" s="100" t="s">
        <v>1187</v>
      </c>
      <c r="G37" s="101" t="s">
        <v>1188</v>
      </c>
      <c r="H37" s="147" t="s">
        <v>1189</v>
      </c>
      <c r="I37" s="147" t="s">
        <v>1190</v>
      </c>
      <c r="J37" s="148" t="s">
        <v>732</v>
      </c>
      <c r="K37" s="149" t="s">
        <v>1191</v>
      </c>
      <c r="L37" s="147" t="s">
        <v>1192</v>
      </c>
      <c r="M37" s="147" t="s">
        <v>1193</v>
      </c>
      <c r="N37" s="147" t="s">
        <v>1194</v>
      </c>
      <c r="O37" s="150" t="s">
        <v>1195</v>
      </c>
      <c r="P37" s="148" t="s">
        <v>1196</v>
      </c>
      <c r="Q37" s="148" t="s">
        <v>732</v>
      </c>
      <c r="R37" s="148" t="s">
        <v>1197</v>
      </c>
      <c r="S37" s="148" t="s">
        <v>732</v>
      </c>
      <c r="U37" s="81"/>
      <c r="V37" s="81"/>
      <c r="W37" s="81"/>
      <c r="X37" s="81"/>
      <c r="Y37" s="81"/>
    </row>
    <row r="38" customFormat="false" ht="237" hidden="false" customHeight="true" outlineLevel="0" collapsed="false">
      <c r="A38" s="139" t="n">
        <v>35</v>
      </c>
      <c r="B38" s="145" t="s">
        <v>1198</v>
      </c>
      <c r="C38" s="146" t="s">
        <v>1199</v>
      </c>
      <c r="D38" s="121" t="s">
        <v>1200</v>
      </c>
      <c r="E38" s="121" t="s">
        <v>1201</v>
      </c>
      <c r="F38" s="100" t="s">
        <v>1202</v>
      </c>
      <c r="G38" s="101" t="s">
        <v>1203</v>
      </c>
      <c r="H38" s="147" t="s">
        <v>1204</v>
      </c>
      <c r="I38" s="148" t="s">
        <v>732</v>
      </c>
      <c r="J38" s="148" t="s">
        <v>732</v>
      </c>
      <c r="K38" s="148" t="s">
        <v>732</v>
      </c>
      <c r="L38" s="147" t="s">
        <v>1205</v>
      </c>
      <c r="M38" s="148" t="s">
        <v>1127</v>
      </c>
      <c r="N38" s="147" t="s">
        <v>1206</v>
      </c>
      <c r="O38" s="150" t="s">
        <v>1207</v>
      </c>
      <c r="P38" s="148" t="s">
        <v>1208</v>
      </c>
      <c r="Q38" s="148" t="s">
        <v>732</v>
      </c>
      <c r="R38" s="148" t="s">
        <v>732</v>
      </c>
      <c r="S38" s="148" t="s">
        <v>732</v>
      </c>
      <c r="U38" s="81"/>
      <c r="V38" s="81"/>
      <c r="W38" s="81"/>
      <c r="X38" s="81"/>
      <c r="Y38" s="81"/>
    </row>
    <row r="39" customFormat="false" ht="399.75" hidden="false" customHeight="true" outlineLevel="0" collapsed="false">
      <c r="A39" s="139" t="n">
        <v>36</v>
      </c>
      <c r="B39" s="145" t="s">
        <v>1209</v>
      </c>
      <c r="C39" s="146" t="s">
        <v>1210</v>
      </c>
      <c r="D39" s="121" t="s">
        <v>1211</v>
      </c>
      <c r="E39" s="121" t="s">
        <v>1212</v>
      </c>
      <c r="F39" s="100" t="s">
        <v>1213</v>
      </c>
      <c r="G39" s="101" t="s">
        <v>1214</v>
      </c>
      <c r="H39" s="147" t="s">
        <v>1215</v>
      </c>
      <c r="I39" s="148" t="s">
        <v>732</v>
      </c>
      <c r="J39" s="148" t="s">
        <v>732</v>
      </c>
      <c r="K39" s="148" t="s">
        <v>732</v>
      </c>
      <c r="L39" s="147" t="s">
        <v>1216</v>
      </c>
      <c r="M39" s="147" t="s">
        <v>1217</v>
      </c>
      <c r="N39" s="147" t="s">
        <v>1218</v>
      </c>
      <c r="O39" s="150" t="s">
        <v>1219</v>
      </c>
      <c r="P39" s="148" t="s">
        <v>1220</v>
      </c>
      <c r="Q39" s="148" t="s">
        <v>732</v>
      </c>
      <c r="R39" s="148" t="s">
        <v>732</v>
      </c>
      <c r="S39" s="148" t="s">
        <v>732</v>
      </c>
      <c r="U39" s="81"/>
      <c r="V39" s="81"/>
      <c r="W39" s="81"/>
      <c r="X39" s="81"/>
      <c r="Y39" s="81"/>
    </row>
    <row r="40" customFormat="false" ht="408.75" hidden="false" customHeight="true" outlineLevel="0" collapsed="false">
      <c r="A40" s="151" t="n">
        <v>37</v>
      </c>
      <c r="B40" s="152" t="s">
        <v>1221</v>
      </c>
      <c r="C40" s="153" t="s">
        <v>952</v>
      </c>
      <c r="D40" s="121" t="s">
        <v>1222</v>
      </c>
      <c r="E40" s="121" t="s">
        <v>1223</v>
      </c>
      <c r="F40" s="121" t="s">
        <v>1224</v>
      </c>
      <c r="G40" s="154" t="s">
        <v>1225</v>
      </c>
      <c r="H40" s="155" t="s">
        <v>1226</v>
      </c>
      <c r="I40" s="153" t="s">
        <v>1227</v>
      </c>
      <c r="J40" s="153" t="s">
        <v>732</v>
      </c>
      <c r="K40" s="156" t="s">
        <v>1228</v>
      </c>
      <c r="L40" s="156" t="s">
        <v>492</v>
      </c>
      <c r="M40" s="157" t="s">
        <v>1229</v>
      </c>
      <c r="N40" s="155" t="s">
        <v>1230</v>
      </c>
      <c r="O40" s="158" t="s">
        <v>1231</v>
      </c>
      <c r="P40" s="157"/>
      <c r="Q40" s="156" t="s">
        <v>732</v>
      </c>
      <c r="R40" s="155" t="s">
        <v>1232</v>
      </c>
      <c r="S40" s="156" t="s">
        <v>732</v>
      </c>
      <c r="U40" s="81"/>
      <c r="V40" s="81"/>
      <c r="W40" s="81"/>
      <c r="X40" s="81"/>
      <c r="Y40" s="81"/>
    </row>
    <row r="41" customFormat="false" ht="408.75" hidden="false" customHeight="true" outlineLevel="0" collapsed="false">
      <c r="A41" s="151" t="n">
        <v>38</v>
      </c>
      <c r="B41" s="152" t="s">
        <v>1233</v>
      </c>
      <c r="C41" s="159" t="s">
        <v>1234</v>
      </c>
      <c r="D41" s="160" t="s">
        <v>1235</v>
      </c>
      <c r="E41" s="160" t="s">
        <v>1236</v>
      </c>
      <c r="F41" s="121" t="s">
        <v>1237</v>
      </c>
      <c r="G41" s="154" t="s">
        <v>1238</v>
      </c>
      <c r="H41" s="159" t="s">
        <v>1239</v>
      </c>
      <c r="I41" s="153" t="s">
        <v>1240</v>
      </c>
      <c r="J41" s="156" t="s">
        <v>1241</v>
      </c>
      <c r="K41" s="156" t="n">
        <v>2012</v>
      </c>
      <c r="L41" s="161" t="s">
        <v>1242</v>
      </c>
      <c r="M41" s="162" t="s">
        <v>1243</v>
      </c>
      <c r="N41" s="155" t="s">
        <v>1244</v>
      </c>
      <c r="O41" s="158" t="s">
        <v>1245</v>
      </c>
      <c r="P41" s="163" t="s">
        <v>1246</v>
      </c>
      <c r="Q41" s="156" t="s">
        <v>732</v>
      </c>
      <c r="R41" s="164" t="s">
        <v>1242</v>
      </c>
      <c r="S41" s="161" t="s">
        <v>1247</v>
      </c>
      <c r="U41" s="81"/>
      <c r="V41" s="81"/>
      <c r="W41" s="81"/>
      <c r="X41" s="81"/>
      <c r="Y41" s="81"/>
    </row>
    <row r="42" customFormat="false" ht="124.5" hidden="false" customHeight="true" outlineLevel="0" collapsed="false">
      <c r="A42" s="165" t="n">
        <v>39</v>
      </c>
      <c r="B42" s="166" t="s">
        <v>1248</v>
      </c>
      <c r="C42" s="167" t="s">
        <v>1249</v>
      </c>
      <c r="D42" s="167" t="s">
        <v>1250</v>
      </c>
      <c r="E42" s="167" t="s">
        <v>1251</v>
      </c>
      <c r="F42" s="154"/>
      <c r="G42" s="154"/>
      <c r="H42" s="167" t="s">
        <v>1252</v>
      </c>
      <c r="I42" s="154"/>
      <c r="J42" s="168"/>
      <c r="K42" s="168" t="s">
        <v>1253</v>
      </c>
      <c r="L42" s="169"/>
      <c r="M42" s="101"/>
      <c r="N42" s="101"/>
      <c r="O42" s="170" t="s">
        <v>1254</v>
      </c>
      <c r="P42" s="169"/>
      <c r="Q42" s="168"/>
      <c r="R42" s="169"/>
      <c r="S42" s="169"/>
      <c r="T42" s="171"/>
      <c r="U42" s="172" t="s">
        <v>1255</v>
      </c>
      <c r="V42" s="172"/>
      <c r="W42" s="172"/>
      <c r="X42" s="172"/>
      <c r="Y42" s="172"/>
    </row>
    <row r="43" customFormat="false" ht="212.25" hidden="false" customHeight="true" outlineLevel="0" collapsed="false">
      <c r="A43" s="165" t="n">
        <v>40</v>
      </c>
      <c r="B43" s="166" t="s">
        <v>1256</v>
      </c>
      <c r="C43" s="167" t="s">
        <v>1257</v>
      </c>
      <c r="D43" s="167" t="s">
        <v>1258</v>
      </c>
      <c r="E43" s="167" t="s">
        <v>1259</v>
      </c>
      <c r="F43" s="154"/>
      <c r="G43" s="154"/>
      <c r="H43" s="167" t="s">
        <v>1260</v>
      </c>
      <c r="I43" s="154"/>
      <c r="J43" s="168"/>
      <c r="K43" s="168" t="s">
        <v>1261</v>
      </c>
      <c r="L43" s="169"/>
      <c r="M43" s="101"/>
      <c r="N43" s="101"/>
      <c r="O43" s="170" t="s">
        <v>1262</v>
      </c>
      <c r="P43" s="169"/>
      <c r="Q43" s="168"/>
      <c r="R43" s="169"/>
      <c r="S43" s="169"/>
      <c r="T43" s="171"/>
      <c r="U43" s="172" t="s">
        <v>1263</v>
      </c>
      <c r="V43" s="172"/>
      <c r="W43" s="172"/>
      <c r="X43" s="172"/>
      <c r="Y43" s="172"/>
    </row>
    <row r="44" customFormat="false" ht="87" hidden="false" customHeight="true" outlineLevel="0" collapsed="false">
      <c r="A44" s="165" t="n">
        <v>41</v>
      </c>
      <c r="B44" s="166" t="s">
        <v>1264</v>
      </c>
      <c r="C44" s="167" t="s">
        <v>1265</v>
      </c>
      <c r="D44" s="167" t="s">
        <v>1266</v>
      </c>
      <c r="E44" s="167" t="s">
        <v>1267</v>
      </c>
      <c r="F44" s="154"/>
      <c r="G44" s="154"/>
      <c r="H44" s="167" t="s">
        <v>1268</v>
      </c>
      <c r="I44" s="154"/>
      <c r="J44" s="168"/>
      <c r="K44" s="168" t="s">
        <v>1269</v>
      </c>
      <c r="L44" s="169"/>
      <c r="M44" s="101"/>
      <c r="N44" s="101"/>
      <c r="O44" s="170" t="s">
        <v>1270</v>
      </c>
      <c r="P44" s="169"/>
      <c r="Q44" s="168"/>
      <c r="R44" s="169"/>
      <c r="S44" s="169"/>
      <c r="T44" s="171"/>
      <c r="U44" s="172" t="s">
        <v>1271</v>
      </c>
      <c r="V44" s="172"/>
      <c r="W44" s="172"/>
      <c r="X44" s="172"/>
      <c r="Y44" s="172"/>
    </row>
    <row r="45" customFormat="false" ht="137.25" hidden="false" customHeight="true" outlineLevel="0" collapsed="false">
      <c r="A45" s="165" t="n">
        <v>42</v>
      </c>
      <c r="B45" s="166" t="s">
        <v>1272</v>
      </c>
      <c r="C45" s="167" t="s">
        <v>750</v>
      </c>
      <c r="D45" s="167" t="s">
        <v>1273</v>
      </c>
      <c r="E45" s="167" t="s">
        <v>1274</v>
      </c>
      <c r="F45" s="154"/>
      <c r="G45" s="154"/>
      <c r="H45" s="167" t="s">
        <v>1275</v>
      </c>
      <c r="I45" s="154"/>
      <c r="J45" s="168"/>
      <c r="K45" s="168" t="s">
        <v>1276</v>
      </c>
      <c r="L45" s="169"/>
      <c r="M45" s="101"/>
      <c r="N45" s="101"/>
      <c r="O45" s="170" t="s">
        <v>1277</v>
      </c>
      <c r="P45" s="169"/>
      <c r="Q45" s="168"/>
      <c r="R45" s="169"/>
      <c r="S45" s="169"/>
      <c r="T45" s="171"/>
      <c r="U45" s="172" t="s">
        <v>1278</v>
      </c>
      <c r="V45" s="172"/>
      <c r="W45" s="172"/>
      <c r="X45" s="172"/>
      <c r="Y45" s="172"/>
    </row>
    <row r="46" customFormat="false" ht="12" hidden="false" customHeight="true" outlineLevel="0" collapsed="false">
      <c r="A46" s="173"/>
      <c r="B46" s="81"/>
      <c r="C46" s="81"/>
      <c r="D46" s="81"/>
      <c r="E46" s="81"/>
      <c r="F46" s="173"/>
      <c r="G46" s="173"/>
      <c r="H46" s="173"/>
      <c r="I46" s="173"/>
      <c r="J46" s="173"/>
      <c r="K46" s="173"/>
      <c r="L46" s="80"/>
      <c r="M46" s="81"/>
      <c r="N46" s="102"/>
      <c r="O46" s="102"/>
      <c r="P46" s="81"/>
      <c r="Q46" s="81"/>
      <c r="R46" s="81"/>
      <c r="S46" s="81"/>
      <c r="T46" s="81"/>
      <c r="U46" s="81"/>
      <c r="V46" s="81"/>
      <c r="W46" s="81"/>
      <c r="X46" s="81"/>
      <c r="Y46" s="81"/>
    </row>
    <row r="47" customFormat="false" ht="12" hidden="false" customHeight="true" outlineLevel="0" collapsed="false">
      <c r="A47" s="174" t="s">
        <v>1279</v>
      </c>
      <c r="B47" s="81"/>
      <c r="C47" s="81"/>
      <c r="D47" s="81"/>
      <c r="E47" s="81"/>
      <c r="F47" s="173"/>
      <c r="G47" s="173"/>
      <c r="H47" s="173"/>
      <c r="I47" s="173"/>
      <c r="J47" s="173"/>
      <c r="K47" s="173"/>
      <c r="L47" s="80"/>
      <c r="M47" s="81"/>
      <c r="N47" s="102"/>
      <c r="O47" s="102"/>
      <c r="P47" s="81"/>
      <c r="Q47" s="81"/>
      <c r="R47" s="81"/>
      <c r="S47" s="81"/>
      <c r="T47" s="81"/>
      <c r="U47" s="81"/>
      <c r="V47" s="81"/>
      <c r="W47" s="81"/>
      <c r="X47" s="81"/>
      <c r="Y47" s="81"/>
    </row>
    <row r="48" customFormat="false" ht="12" hidden="false" customHeight="true" outlineLevel="0" collapsed="false">
      <c r="A48" s="173"/>
      <c r="B48" s="175"/>
      <c r="C48" s="81"/>
      <c r="D48" s="81"/>
      <c r="E48" s="81"/>
      <c r="F48" s="173"/>
      <c r="G48" s="173"/>
      <c r="H48" s="173"/>
      <c r="I48" s="173"/>
      <c r="J48" s="173"/>
      <c r="K48" s="173"/>
      <c r="L48" s="80"/>
      <c r="M48" s="81"/>
      <c r="N48" s="102"/>
      <c r="O48" s="102"/>
      <c r="P48" s="81"/>
      <c r="Q48" s="81"/>
      <c r="R48" s="81"/>
      <c r="S48" s="81"/>
      <c r="T48" s="81"/>
      <c r="U48" s="81"/>
      <c r="V48" s="81"/>
      <c r="W48" s="81"/>
      <c r="X48" s="81"/>
      <c r="Y48" s="81"/>
    </row>
    <row r="49" customFormat="false" ht="24.75" hidden="false" customHeight="true" outlineLevel="0" collapsed="false">
      <c r="A49" s="176" t="s">
        <v>6</v>
      </c>
      <c r="B49" s="177" t="s">
        <v>1280</v>
      </c>
      <c r="C49" s="177" t="s">
        <v>1281</v>
      </c>
      <c r="D49" s="87" t="s">
        <v>704</v>
      </c>
      <c r="E49" s="87" t="s">
        <v>705</v>
      </c>
      <c r="F49" s="178"/>
      <c r="G49" s="178"/>
      <c r="H49" s="178"/>
      <c r="I49" s="178" t="s">
        <v>709</v>
      </c>
      <c r="J49" s="178" t="s">
        <v>710</v>
      </c>
      <c r="K49" s="178" t="s">
        <v>711</v>
      </c>
      <c r="L49" s="178" t="s">
        <v>165</v>
      </c>
      <c r="M49" s="176" t="s">
        <v>168</v>
      </c>
      <c r="N49" s="178" t="s">
        <v>170</v>
      </c>
      <c r="O49" s="178" t="s">
        <v>331</v>
      </c>
      <c r="P49" s="179" t="s">
        <v>712</v>
      </c>
      <c r="Q49" s="180" t="s">
        <v>713</v>
      </c>
      <c r="R49" s="180" t="s">
        <v>714</v>
      </c>
      <c r="S49" s="180" t="s">
        <v>715</v>
      </c>
      <c r="T49" s="180" t="s">
        <v>708</v>
      </c>
      <c r="U49" s="81"/>
      <c r="V49" s="81"/>
      <c r="W49" s="81"/>
      <c r="X49" s="81"/>
      <c r="Y49" s="81"/>
    </row>
    <row r="50" customFormat="false" ht="408.75" hidden="false" customHeight="true" outlineLevel="0" collapsed="false">
      <c r="A50" s="92" t="n">
        <v>1</v>
      </c>
      <c r="B50" s="93" t="s">
        <v>1282</v>
      </c>
      <c r="C50" s="93" t="s">
        <v>1283</v>
      </c>
      <c r="D50" s="122" t="s">
        <v>1284</v>
      </c>
      <c r="E50" s="93" t="s">
        <v>1285</v>
      </c>
      <c r="F50" s="94" t="s">
        <v>1286</v>
      </c>
      <c r="G50" s="95" t="s">
        <v>1287</v>
      </c>
      <c r="H50" s="94" t="s">
        <v>1288</v>
      </c>
      <c r="I50" s="110" t="n">
        <v>10656</v>
      </c>
      <c r="J50" s="93" t="n">
        <v>4000</v>
      </c>
      <c r="K50" s="93" t="s">
        <v>1289</v>
      </c>
      <c r="L50" s="93" t="s">
        <v>1290</v>
      </c>
      <c r="M50" s="93" t="s">
        <v>17</v>
      </c>
      <c r="N50" s="93" t="s">
        <v>1291</v>
      </c>
      <c r="O50" s="97" t="s">
        <v>1292</v>
      </c>
      <c r="P50" s="97" t="s">
        <v>1293</v>
      </c>
      <c r="Q50" s="99" t="s">
        <v>827</v>
      </c>
      <c r="R50" s="99" t="s">
        <v>1294</v>
      </c>
      <c r="S50" s="99" t="s">
        <v>1295</v>
      </c>
      <c r="T50" s="99" t="s">
        <v>1290</v>
      </c>
      <c r="U50" s="102" t="s">
        <v>1296</v>
      </c>
      <c r="V50" s="81"/>
      <c r="W50" s="81"/>
      <c r="X50" s="81"/>
      <c r="Y50" s="81"/>
    </row>
    <row r="51" customFormat="false" ht="362.25" hidden="false" customHeight="true" outlineLevel="0" collapsed="false">
      <c r="A51" s="92" t="n">
        <v>2</v>
      </c>
      <c r="B51" s="93" t="s">
        <v>1297</v>
      </c>
      <c r="C51" s="122" t="s">
        <v>750</v>
      </c>
      <c r="D51" s="122" t="s">
        <v>1298</v>
      </c>
      <c r="E51" s="122" t="s">
        <v>1299</v>
      </c>
      <c r="F51" s="100" t="s">
        <v>1300</v>
      </c>
      <c r="G51" s="101" t="s">
        <v>1301</v>
      </c>
      <c r="H51" s="100" t="s">
        <v>1302</v>
      </c>
      <c r="I51" s="93" t="n">
        <v>13000</v>
      </c>
      <c r="J51" s="93" t="n">
        <v>5000</v>
      </c>
      <c r="K51" s="93" t="s">
        <v>1303</v>
      </c>
      <c r="L51" s="93" t="s">
        <v>1304</v>
      </c>
      <c r="M51" s="93" t="s">
        <v>17</v>
      </c>
      <c r="N51" s="93" t="s">
        <v>1305</v>
      </c>
      <c r="O51" s="181" t="s">
        <v>1306</v>
      </c>
      <c r="P51" s="78"/>
      <c r="Q51" s="99" t="s">
        <v>1307</v>
      </c>
      <c r="R51" s="99" t="s">
        <v>1307</v>
      </c>
      <c r="S51" s="99" t="s">
        <v>1307</v>
      </c>
      <c r="T51" s="99" t="s">
        <v>1308</v>
      </c>
      <c r="U51" s="102" t="s">
        <v>1309</v>
      </c>
      <c r="V51" s="81"/>
      <c r="W51" s="81"/>
      <c r="X51" s="81"/>
      <c r="Y51" s="81"/>
    </row>
    <row r="52" customFormat="false" ht="408.75" hidden="false" customHeight="true" outlineLevel="0" collapsed="false">
      <c r="A52" s="92" t="n">
        <v>3</v>
      </c>
      <c r="B52" s="93" t="s">
        <v>1310</v>
      </c>
      <c r="C52" s="93" t="s">
        <v>914</v>
      </c>
      <c r="D52" s="100" t="s">
        <v>1311</v>
      </c>
      <c r="E52" s="100" t="s">
        <v>1312</v>
      </c>
      <c r="F52" s="100" t="s">
        <v>1313</v>
      </c>
      <c r="G52" s="101" t="s">
        <v>1314</v>
      </c>
      <c r="H52" s="100" t="s">
        <v>1315</v>
      </c>
      <c r="I52" s="93" t="n">
        <v>849</v>
      </c>
      <c r="J52" s="93" t="n">
        <v>19</v>
      </c>
      <c r="K52" s="93" t="s">
        <v>920</v>
      </c>
      <c r="L52" s="93" t="s">
        <v>1316</v>
      </c>
      <c r="M52" s="93" t="s">
        <v>1317</v>
      </c>
      <c r="N52" s="93" t="s">
        <v>1318</v>
      </c>
      <c r="O52" s="181" t="s">
        <v>1319</v>
      </c>
      <c r="P52" s="78"/>
      <c r="Q52" s="99" t="s">
        <v>732</v>
      </c>
      <c r="R52" s="99" t="s">
        <v>1320</v>
      </c>
      <c r="S52" s="99" t="s">
        <v>1307</v>
      </c>
      <c r="T52" s="99" t="s">
        <v>1321</v>
      </c>
      <c r="U52" s="102" t="s">
        <v>1322</v>
      </c>
      <c r="V52" s="81"/>
      <c r="W52" s="81"/>
      <c r="X52" s="81"/>
      <c r="Y52" s="81"/>
    </row>
    <row r="53" customFormat="false" ht="408.75" hidden="false" customHeight="true" outlineLevel="0" collapsed="false">
      <c r="A53" s="92" t="n">
        <v>4</v>
      </c>
      <c r="B53" s="93" t="s">
        <v>129</v>
      </c>
      <c r="C53" s="93" t="s">
        <v>914</v>
      </c>
      <c r="D53" s="100" t="s">
        <v>1323</v>
      </c>
      <c r="E53" s="100" t="s">
        <v>1324</v>
      </c>
      <c r="F53" s="100" t="s">
        <v>1325</v>
      </c>
      <c r="G53" s="101" t="s">
        <v>1326</v>
      </c>
      <c r="H53" s="100" t="s">
        <v>1327</v>
      </c>
      <c r="I53" s="93" t="n">
        <v>2000</v>
      </c>
      <c r="J53" s="93" t="s">
        <v>732</v>
      </c>
      <c r="K53" s="93" t="s">
        <v>920</v>
      </c>
      <c r="L53" s="93" t="s">
        <v>1328</v>
      </c>
      <c r="M53" s="93" t="s">
        <v>17</v>
      </c>
      <c r="N53" s="93" t="s">
        <v>1329</v>
      </c>
      <c r="O53" s="97" t="s">
        <v>1330</v>
      </c>
      <c r="P53" s="182" t="s">
        <v>1331</v>
      </c>
      <c r="Q53" s="99" t="s">
        <v>732</v>
      </c>
      <c r="R53" s="99" t="s">
        <v>1332</v>
      </c>
      <c r="S53" s="99" t="s">
        <v>1307</v>
      </c>
      <c r="T53" s="99" t="s">
        <v>1328</v>
      </c>
      <c r="U53" s="81"/>
      <c r="V53" s="81"/>
      <c r="W53" s="81"/>
      <c r="X53" s="81"/>
      <c r="Y53" s="81"/>
    </row>
    <row r="54" customFormat="false" ht="408.75" hidden="false" customHeight="true" outlineLevel="0" collapsed="false">
      <c r="A54" s="92" t="n">
        <v>5</v>
      </c>
      <c r="B54" s="93" t="s">
        <v>1333</v>
      </c>
      <c r="C54" s="93" t="s">
        <v>914</v>
      </c>
      <c r="D54" s="100" t="s">
        <v>1334</v>
      </c>
      <c r="E54" s="100" t="s">
        <v>1335</v>
      </c>
      <c r="F54" s="100" t="s">
        <v>1336</v>
      </c>
      <c r="G54" s="101" t="s">
        <v>1337</v>
      </c>
      <c r="H54" s="100" t="s">
        <v>1338</v>
      </c>
      <c r="I54" s="93" t="n">
        <v>45815</v>
      </c>
      <c r="J54" s="93" t="n">
        <v>144</v>
      </c>
      <c r="K54" s="93" t="s">
        <v>920</v>
      </c>
      <c r="L54" s="93" t="s">
        <v>1339</v>
      </c>
      <c r="M54" s="93" t="s">
        <v>1340</v>
      </c>
      <c r="N54" s="96" t="s">
        <v>1341</v>
      </c>
      <c r="O54" s="97" t="s">
        <v>1342</v>
      </c>
      <c r="P54" s="99"/>
      <c r="Q54" s="99" t="s">
        <v>1307</v>
      </c>
      <c r="R54" s="93" t="s">
        <v>1343</v>
      </c>
      <c r="S54" s="99" t="s">
        <v>1307</v>
      </c>
      <c r="T54" s="93" t="s">
        <v>1339</v>
      </c>
      <c r="U54" s="81"/>
      <c r="V54" s="81"/>
      <c r="W54" s="81"/>
      <c r="X54" s="81"/>
      <c r="Y54" s="81"/>
    </row>
    <row r="55" customFormat="false" ht="408.75" hidden="false" customHeight="true" outlineLevel="0" collapsed="false">
      <c r="A55" s="92" t="n">
        <v>6</v>
      </c>
      <c r="B55" s="93" t="s">
        <v>1344</v>
      </c>
      <c r="C55" s="93" t="s">
        <v>914</v>
      </c>
      <c r="D55" s="93" t="s">
        <v>1345</v>
      </c>
      <c r="E55" s="93" t="s">
        <v>1346</v>
      </c>
      <c r="F55" s="100" t="s">
        <v>1347</v>
      </c>
      <c r="G55" s="101" t="s">
        <v>1348</v>
      </c>
      <c r="H55" s="100" t="s">
        <v>1349</v>
      </c>
      <c r="I55" s="93" t="n">
        <v>4300</v>
      </c>
      <c r="J55" s="93" t="n">
        <v>49</v>
      </c>
      <c r="K55" s="93" t="s">
        <v>1125</v>
      </c>
      <c r="L55" s="93" t="s">
        <v>1350</v>
      </c>
      <c r="M55" s="93" t="s">
        <v>1351</v>
      </c>
      <c r="N55" s="96" t="s">
        <v>1352</v>
      </c>
      <c r="O55" s="97" t="s">
        <v>1353</v>
      </c>
      <c r="P55" s="97" t="s">
        <v>1354</v>
      </c>
      <c r="Q55" s="99" t="s">
        <v>1355</v>
      </c>
      <c r="R55" s="99" t="s">
        <v>1356</v>
      </c>
      <c r="S55" s="93" t="s">
        <v>1357</v>
      </c>
      <c r="T55" s="93" t="s">
        <v>1350</v>
      </c>
      <c r="U55" s="81"/>
      <c r="V55" s="81"/>
      <c r="W55" s="81"/>
      <c r="X55" s="81"/>
      <c r="Y55" s="81"/>
    </row>
    <row r="56" customFormat="false" ht="408.75" hidden="false" customHeight="true" outlineLevel="0" collapsed="false">
      <c r="A56" s="92" t="n">
        <v>7</v>
      </c>
      <c r="B56" s="93" t="s">
        <v>122</v>
      </c>
      <c r="C56" s="93" t="s">
        <v>914</v>
      </c>
      <c r="D56" s="93" t="s">
        <v>1358</v>
      </c>
      <c r="E56" s="93" t="s">
        <v>1359</v>
      </c>
      <c r="F56" s="100" t="s">
        <v>1360</v>
      </c>
      <c r="G56" s="101" t="s">
        <v>1361</v>
      </c>
      <c r="H56" s="100" t="s">
        <v>1362</v>
      </c>
      <c r="I56" s="93" t="s">
        <v>1363</v>
      </c>
      <c r="J56" s="93" t="s">
        <v>1364</v>
      </c>
      <c r="K56" s="93" t="s">
        <v>1058</v>
      </c>
      <c r="L56" s="93" t="s">
        <v>1365</v>
      </c>
      <c r="M56" s="93" t="s">
        <v>1366</v>
      </c>
      <c r="N56" s="93" t="s">
        <v>1367</v>
      </c>
      <c r="O56" s="97" t="s">
        <v>1368</v>
      </c>
      <c r="P56" s="99"/>
      <c r="Q56" s="99" t="s">
        <v>1355</v>
      </c>
      <c r="R56" s="99" t="s">
        <v>1369</v>
      </c>
      <c r="S56" s="99" t="s">
        <v>1307</v>
      </c>
      <c r="T56" s="99" t="s">
        <v>1365</v>
      </c>
      <c r="U56" s="81"/>
      <c r="V56" s="81"/>
      <c r="W56" s="81"/>
      <c r="X56" s="81"/>
      <c r="Y56" s="81"/>
    </row>
    <row r="57" customFormat="false" ht="408.75" hidden="false" customHeight="true" outlineLevel="0" collapsed="false">
      <c r="A57" s="92" t="n">
        <v>8</v>
      </c>
      <c r="B57" s="93" t="s">
        <v>1370</v>
      </c>
      <c r="C57" s="93" t="s">
        <v>1371</v>
      </c>
      <c r="D57" s="122" t="s">
        <v>1372</v>
      </c>
      <c r="E57" s="122" t="s">
        <v>1373</v>
      </c>
      <c r="F57" s="100" t="s">
        <v>1374</v>
      </c>
      <c r="G57" s="101" t="s">
        <v>1375</v>
      </c>
      <c r="H57" s="100" t="s">
        <v>1376</v>
      </c>
      <c r="I57" s="93" t="n">
        <v>15000</v>
      </c>
      <c r="J57" s="93" t="s">
        <v>1377</v>
      </c>
      <c r="K57" s="93" t="s">
        <v>1058</v>
      </c>
      <c r="L57" s="93" t="s">
        <v>1378</v>
      </c>
      <c r="M57" s="93" t="s">
        <v>989</v>
      </c>
      <c r="N57" s="93" t="s">
        <v>1379</v>
      </c>
      <c r="O57" s="183" t="s">
        <v>1380</v>
      </c>
      <c r="P57" s="97" t="s">
        <v>1381</v>
      </c>
      <c r="Q57" s="99" t="s">
        <v>1307</v>
      </c>
      <c r="R57" s="99" t="s">
        <v>994</v>
      </c>
      <c r="S57" s="99" t="s">
        <v>1307</v>
      </c>
      <c r="T57" s="93" t="s">
        <v>1378</v>
      </c>
      <c r="U57" s="81"/>
      <c r="V57" s="81"/>
      <c r="W57" s="81"/>
      <c r="X57" s="81"/>
      <c r="Y57" s="81"/>
    </row>
    <row r="58" customFormat="false" ht="408.75" hidden="false" customHeight="true" outlineLevel="0" collapsed="false">
      <c r="A58" s="92" t="n">
        <v>9</v>
      </c>
      <c r="B58" s="93" t="s">
        <v>1382</v>
      </c>
      <c r="C58" s="120" t="s">
        <v>1383</v>
      </c>
      <c r="D58" s="100" t="s">
        <v>1384</v>
      </c>
      <c r="E58" s="100" t="s">
        <v>1385</v>
      </c>
      <c r="F58" s="100" t="s">
        <v>1386</v>
      </c>
      <c r="G58" s="101" t="s">
        <v>1387</v>
      </c>
      <c r="H58" s="100" t="s">
        <v>1388</v>
      </c>
      <c r="I58" s="93" t="n">
        <v>500</v>
      </c>
      <c r="J58" s="93"/>
      <c r="K58" s="93" t="s">
        <v>1389</v>
      </c>
      <c r="L58" s="93" t="s">
        <v>1390</v>
      </c>
      <c r="M58" s="93" t="s">
        <v>1391</v>
      </c>
      <c r="N58" s="93" t="s">
        <v>1392</v>
      </c>
      <c r="O58" s="97" t="s">
        <v>1393</v>
      </c>
      <c r="P58" s="99"/>
      <c r="Q58" s="99" t="s">
        <v>730</v>
      </c>
      <c r="R58" s="99" t="s">
        <v>730</v>
      </c>
      <c r="S58" s="99" t="s">
        <v>1307</v>
      </c>
      <c r="T58" s="99" t="s">
        <v>730</v>
      </c>
      <c r="U58" s="81"/>
      <c r="V58" s="81"/>
      <c r="W58" s="81"/>
      <c r="X58" s="81"/>
      <c r="Y58" s="81"/>
    </row>
    <row r="59" customFormat="false" ht="408.75" hidden="false" customHeight="true" outlineLevel="0" collapsed="false">
      <c r="A59" s="92" t="n">
        <v>10</v>
      </c>
      <c r="B59" s="93" t="s">
        <v>125</v>
      </c>
      <c r="C59" s="120" t="s">
        <v>1394</v>
      </c>
      <c r="D59" s="100" t="s">
        <v>1395</v>
      </c>
      <c r="E59" s="100" t="s">
        <v>1396</v>
      </c>
      <c r="F59" s="100" t="s">
        <v>1397</v>
      </c>
      <c r="G59" s="101" t="s">
        <v>1398</v>
      </c>
      <c r="H59" s="100" t="s">
        <v>1399</v>
      </c>
      <c r="I59" s="93" t="n">
        <v>112354</v>
      </c>
      <c r="J59" s="93" t="n">
        <v>7</v>
      </c>
      <c r="K59" s="93" t="s">
        <v>920</v>
      </c>
      <c r="L59" s="93" t="s">
        <v>1290</v>
      </c>
      <c r="M59" s="93" t="s">
        <v>1400</v>
      </c>
      <c r="N59" s="93" t="s">
        <v>1401</v>
      </c>
      <c r="O59" s="97" t="s">
        <v>1402</v>
      </c>
      <c r="P59" s="99"/>
      <c r="Q59" s="99" t="s">
        <v>1307</v>
      </c>
      <c r="R59" s="99" t="s">
        <v>1403</v>
      </c>
      <c r="S59" s="99" t="s">
        <v>1077</v>
      </c>
      <c r="T59" s="99" t="s">
        <v>1290</v>
      </c>
      <c r="U59" s="102" t="s">
        <v>1296</v>
      </c>
      <c r="V59" s="81"/>
      <c r="W59" s="81"/>
      <c r="X59" s="81"/>
      <c r="Y59" s="81"/>
    </row>
    <row r="60" customFormat="false" ht="408.75" hidden="false" customHeight="true" outlineLevel="0" collapsed="false">
      <c r="A60" s="184" t="n">
        <v>11</v>
      </c>
      <c r="B60" s="185" t="s">
        <v>1404</v>
      </c>
      <c r="C60" s="185" t="s">
        <v>1405</v>
      </c>
      <c r="D60" s="186" t="s">
        <v>1406</v>
      </c>
      <c r="E60" s="186" t="s">
        <v>1407</v>
      </c>
      <c r="F60" s="132" t="s">
        <v>1408</v>
      </c>
      <c r="G60" s="133" t="s">
        <v>1409</v>
      </c>
      <c r="H60" s="132" t="s">
        <v>1410</v>
      </c>
      <c r="I60" s="185" t="n">
        <v>46900</v>
      </c>
      <c r="J60" s="186" t="n">
        <v>4700</v>
      </c>
      <c r="K60" s="187" t="s">
        <v>1058</v>
      </c>
      <c r="L60" s="186" t="s">
        <v>1411</v>
      </c>
      <c r="M60" s="185" t="s">
        <v>1018</v>
      </c>
      <c r="N60" s="185" t="s">
        <v>1412</v>
      </c>
      <c r="O60" s="188" t="s">
        <v>1413</v>
      </c>
      <c r="P60" s="188" t="s">
        <v>1414</v>
      </c>
      <c r="Q60" s="138" t="s">
        <v>827</v>
      </c>
      <c r="R60" s="185" t="s">
        <v>1415</v>
      </c>
      <c r="S60" s="138" t="s">
        <v>1077</v>
      </c>
      <c r="T60" s="185" t="s">
        <v>1416</v>
      </c>
      <c r="U60" s="81"/>
      <c r="V60" s="81"/>
      <c r="W60" s="81"/>
      <c r="X60" s="81"/>
      <c r="Y60" s="81"/>
    </row>
    <row r="61" customFormat="false" ht="408.75" hidden="false" customHeight="true" outlineLevel="0" collapsed="false">
      <c r="A61" s="92" t="n">
        <v>12</v>
      </c>
      <c r="B61" s="93" t="s">
        <v>1417</v>
      </c>
      <c r="C61" s="93" t="s">
        <v>1418</v>
      </c>
      <c r="D61" s="122" t="s">
        <v>1419</v>
      </c>
      <c r="E61" s="122" t="s">
        <v>1420</v>
      </c>
      <c r="F61" s="100" t="s">
        <v>1421</v>
      </c>
      <c r="G61" s="101" t="s">
        <v>1422</v>
      </c>
      <c r="H61" s="100" t="s">
        <v>1423</v>
      </c>
      <c r="I61" s="93" t="n">
        <v>13100</v>
      </c>
      <c r="J61" s="93" t="n">
        <v>300</v>
      </c>
      <c r="K61" s="93" t="s">
        <v>1424</v>
      </c>
      <c r="L61" s="93" t="s">
        <v>1425</v>
      </c>
      <c r="M61" s="93" t="s">
        <v>1426</v>
      </c>
      <c r="N61" s="93" t="s">
        <v>1427</v>
      </c>
      <c r="O61" s="189" t="s">
        <v>1428</v>
      </c>
      <c r="P61" s="97" t="s">
        <v>1429</v>
      </c>
      <c r="Q61" s="99" t="s">
        <v>1430</v>
      </c>
      <c r="R61" s="99" t="s">
        <v>1431</v>
      </c>
      <c r="S61" s="99" t="s">
        <v>1430</v>
      </c>
      <c r="T61" s="99" t="s">
        <v>1432</v>
      </c>
      <c r="U61" s="81"/>
      <c r="V61" s="81"/>
      <c r="W61" s="81"/>
      <c r="X61" s="81"/>
      <c r="Y61" s="81"/>
    </row>
    <row r="62" customFormat="false" ht="408.75" hidden="false" customHeight="true" outlineLevel="0" collapsed="false">
      <c r="A62" s="190" t="n">
        <v>13</v>
      </c>
      <c r="B62" s="191" t="s">
        <v>1433</v>
      </c>
      <c r="C62" s="192" t="s">
        <v>914</v>
      </c>
      <c r="D62" s="141" t="s">
        <v>1434</v>
      </c>
      <c r="E62" s="141" t="s">
        <v>1435</v>
      </c>
      <c r="F62" s="100" t="s">
        <v>1436</v>
      </c>
      <c r="G62" s="101" t="s">
        <v>1437</v>
      </c>
      <c r="H62" s="100" t="s">
        <v>1438</v>
      </c>
      <c r="I62" s="148" t="s">
        <v>1439</v>
      </c>
      <c r="J62" s="148" t="s">
        <v>732</v>
      </c>
      <c r="K62" s="147" t="s">
        <v>1440</v>
      </c>
      <c r="L62" s="147" t="s">
        <v>1441</v>
      </c>
      <c r="M62" s="92" t="s">
        <v>1127</v>
      </c>
      <c r="N62" s="144" t="s">
        <v>1442</v>
      </c>
      <c r="O62" s="144" t="s">
        <v>1443</v>
      </c>
      <c r="P62" s="144" t="s">
        <v>1444</v>
      </c>
      <c r="Q62" s="148" t="s">
        <v>732</v>
      </c>
      <c r="R62" s="148" t="s">
        <v>732</v>
      </c>
      <c r="S62" s="148" t="s">
        <v>732</v>
      </c>
      <c r="T62" s="148" t="s">
        <v>1445</v>
      </c>
      <c r="U62" s="105"/>
      <c r="V62" s="105"/>
      <c r="W62" s="81"/>
      <c r="X62" s="81"/>
      <c r="Y62" s="81"/>
    </row>
    <row r="63" customFormat="false" ht="162" hidden="false" customHeight="true" outlineLevel="0" collapsed="false">
      <c r="A63" s="165" t="n">
        <v>14</v>
      </c>
      <c r="B63" s="193" t="s">
        <v>1446</v>
      </c>
      <c r="C63" s="169" t="s">
        <v>1447</v>
      </c>
      <c r="D63" s="167" t="s">
        <v>1448</v>
      </c>
      <c r="E63" s="167" t="s">
        <v>1449</v>
      </c>
      <c r="F63" s="101"/>
      <c r="G63" s="101"/>
      <c r="H63" s="101" t="s">
        <v>1450</v>
      </c>
      <c r="I63" s="168"/>
      <c r="J63" s="168"/>
      <c r="K63" s="101" t="s">
        <v>1451</v>
      </c>
      <c r="L63" s="101"/>
      <c r="M63" s="165"/>
      <c r="N63" s="167"/>
      <c r="O63" s="167" t="s">
        <v>1452</v>
      </c>
      <c r="P63" s="167"/>
      <c r="Q63" s="168"/>
      <c r="R63" s="168"/>
      <c r="S63" s="168"/>
      <c r="T63" s="168"/>
      <c r="U63" s="172" t="s">
        <v>1453</v>
      </c>
      <c r="V63" s="172"/>
      <c r="W63" s="172"/>
      <c r="X63" s="172"/>
      <c r="Y63" s="172"/>
    </row>
    <row r="64" customFormat="false" ht="187.5" hidden="false" customHeight="true" outlineLevel="0" collapsed="false">
      <c r="A64" s="165" t="n">
        <v>15</v>
      </c>
      <c r="B64" s="193" t="s">
        <v>1454</v>
      </c>
      <c r="C64" s="169" t="s">
        <v>1447</v>
      </c>
      <c r="D64" s="167" t="s">
        <v>1455</v>
      </c>
      <c r="E64" s="167" t="s">
        <v>1449</v>
      </c>
      <c r="F64" s="101"/>
      <c r="G64" s="101"/>
      <c r="H64" s="101" t="s">
        <v>1456</v>
      </c>
      <c r="I64" s="168"/>
      <c r="J64" s="168"/>
      <c r="K64" s="101" t="s">
        <v>1457</v>
      </c>
      <c r="L64" s="101"/>
      <c r="M64" s="165"/>
      <c r="N64" s="167"/>
      <c r="O64" s="167" t="s">
        <v>1458</v>
      </c>
      <c r="P64" s="167"/>
      <c r="Q64" s="168"/>
      <c r="R64" s="168"/>
      <c r="S64" s="168"/>
      <c r="T64" s="168"/>
      <c r="U64" s="172" t="s">
        <v>1459</v>
      </c>
      <c r="V64" s="172"/>
      <c r="W64" s="172"/>
      <c r="X64" s="172"/>
      <c r="Y64" s="172"/>
    </row>
    <row r="65" customFormat="false" ht="174.75" hidden="false" customHeight="true" outlineLevel="0" collapsed="false">
      <c r="A65" s="165" t="n">
        <v>16</v>
      </c>
      <c r="B65" s="193" t="s">
        <v>1460</v>
      </c>
      <c r="C65" s="169" t="s">
        <v>1447</v>
      </c>
      <c r="D65" s="167" t="s">
        <v>1461</v>
      </c>
      <c r="E65" s="167" t="s">
        <v>1449</v>
      </c>
      <c r="F65" s="101"/>
      <c r="G65" s="101"/>
      <c r="H65" s="101" t="s">
        <v>1462</v>
      </c>
      <c r="I65" s="168"/>
      <c r="J65" s="168"/>
      <c r="K65" s="101" t="s">
        <v>1463</v>
      </c>
      <c r="L65" s="101"/>
      <c r="M65" s="165"/>
      <c r="N65" s="167"/>
      <c r="O65" s="167" t="s">
        <v>1464</v>
      </c>
      <c r="P65" s="167"/>
      <c r="Q65" s="168"/>
      <c r="R65" s="168"/>
      <c r="S65" s="168"/>
      <c r="T65" s="168"/>
      <c r="U65" s="172" t="s">
        <v>1465</v>
      </c>
      <c r="V65" s="172"/>
      <c r="W65" s="172"/>
      <c r="X65" s="172"/>
      <c r="Y65" s="172"/>
    </row>
    <row r="66" customFormat="false" ht="137.25" hidden="false" customHeight="true" outlineLevel="0" collapsed="false">
      <c r="A66" s="165" t="n">
        <v>17</v>
      </c>
      <c r="B66" s="193" t="s">
        <v>1466</v>
      </c>
      <c r="C66" s="169" t="s">
        <v>1447</v>
      </c>
      <c r="D66" s="167" t="s">
        <v>1467</v>
      </c>
      <c r="E66" s="167" t="s">
        <v>1449</v>
      </c>
      <c r="F66" s="101"/>
      <c r="G66" s="101"/>
      <c r="H66" s="101" t="s">
        <v>1468</v>
      </c>
      <c r="I66" s="168"/>
      <c r="J66" s="168"/>
      <c r="K66" s="101" t="s">
        <v>1469</v>
      </c>
      <c r="L66" s="101"/>
      <c r="M66" s="165"/>
      <c r="N66" s="167"/>
      <c r="O66" s="167" t="s">
        <v>1470</v>
      </c>
      <c r="P66" s="167"/>
      <c r="Q66" s="168"/>
      <c r="R66" s="168"/>
      <c r="S66" s="168"/>
      <c r="T66" s="168"/>
      <c r="U66" s="172" t="s">
        <v>1471</v>
      </c>
      <c r="V66" s="172"/>
      <c r="W66" s="172"/>
      <c r="X66" s="172"/>
      <c r="Y66" s="172"/>
    </row>
    <row r="67" customFormat="false" ht="187.5" hidden="false" customHeight="true" outlineLevel="0" collapsed="false">
      <c r="A67" s="165" t="n">
        <v>18</v>
      </c>
      <c r="B67" s="193" t="s">
        <v>1472</v>
      </c>
      <c r="C67" s="169" t="s">
        <v>1447</v>
      </c>
      <c r="D67" s="167" t="s">
        <v>1473</v>
      </c>
      <c r="E67" s="167" t="s">
        <v>1449</v>
      </c>
      <c r="F67" s="101"/>
      <c r="G67" s="101"/>
      <c r="H67" s="101" t="s">
        <v>1474</v>
      </c>
      <c r="I67" s="168"/>
      <c r="J67" s="168"/>
      <c r="K67" s="101" t="s">
        <v>1475</v>
      </c>
      <c r="L67" s="101"/>
      <c r="M67" s="165"/>
      <c r="N67" s="167"/>
      <c r="O67" s="167" t="s">
        <v>1476</v>
      </c>
      <c r="P67" s="167"/>
      <c r="Q67" s="168"/>
      <c r="R67" s="168"/>
      <c r="S67" s="168"/>
      <c r="T67" s="168"/>
      <c r="U67" s="172" t="s">
        <v>1477</v>
      </c>
      <c r="V67" s="172"/>
      <c r="W67" s="172"/>
      <c r="X67" s="172"/>
      <c r="Y67" s="172"/>
    </row>
    <row r="68" customFormat="false" ht="199.5" hidden="false" customHeight="true" outlineLevel="0" collapsed="false">
      <c r="A68" s="165" t="n">
        <v>19</v>
      </c>
      <c r="B68" s="193" t="s">
        <v>1478</v>
      </c>
      <c r="C68" s="169" t="s">
        <v>1447</v>
      </c>
      <c r="D68" s="167" t="s">
        <v>1479</v>
      </c>
      <c r="E68" s="167" t="s">
        <v>1480</v>
      </c>
      <c r="F68" s="101"/>
      <c r="G68" s="101"/>
      <c r="H68" s="101" t="s">
        <v>1450</v>
      </c>
      <c r="I68" s="168"/>
      <c r="J68" s="168"/>
      <c r="K68" s="101" t="s">
        <v>1481</v>
      </c>
      <c r="L68" s="101"/>
      <c r="M68" s="165"/>
      <c r="N68" s="167"/>
      <c r="O68" s="167" t="s">
        <v>1482</v>
      </c>
      <c r="P68" s="167"/>
      <c r="Q68" s="168"/>
      <c r="R68" s="168"/>
      <c r="S68" s="168"/>
      <c r="T68" s="168"/>
      <c r="U68" s="172" t="s">
        <v>1459</v>
      </c>
      <c r="V68" s="172"/>
      <c r="W68" s="172"/>
      <c r="X68" s="172"/>
      <c r="Y68" s="172"/>
    </row>
    <row r="69" customFormat="false" ht="124.5" hidden="false" customHeight="true" outlineLevel="0" collapsed="false">
      <c r="A69" s="165" t="n">
        <v>20</v>
      </c>
      <c r="B69" s="193" t="s">
        <v>1483</v>
      </c>
      <c r="C69" s="169" t="s">
        <v>1447</v>
      </c>
      <c r="D69" s="167" t="s">
        <v>1484</v>
      </c>
      <c r="E69" s="167" t="s">
        <v>1449</v>
      </c>
      <c r="F69" s="101"/>
      <c r="G69" s="101"/>
      <c r="H69" s="101" t="s">
        <v>1450</v>
      </c>
      <c r="I69" s="168"/>
      <c r="J69" s="168"/>
      <c r="K69" s="101" t="s">
        <v>1485</v>
      </c>
      <c r="L69" s="101"/>
      <c r="M69" s="165"/>
      <c r="N69" s="167"/>
      <c r="O69" s="167" t="s">
        <v>1486</v>
      </c>
      <c r="P69" s="167"/>
      <c r="Q69" s="168"/>
      <c r="R69" s="168"/>
      <c r="S69" s="168"/>
      <c r="T69" s="168"/>
      <c r="U69" s="172" t="s">
        <v>1459</v>
      </c>
      <c r="V69" s="172"/>
      <c r="W69" s="172"/>
      <c r="X69" s="172"/>
      <c r="Y69" s="172"/>
    </row>
    <row r="70" customFormat="false" ht="174.75" hidden="false" customHeight="true" outlineLevel="0" collapsed="false">
      <c r="A70" s="165" t="n">
        <v>21</v>
      </c>
      <c r="B70" s="193" t="s">
        <v>1487</v>
      </c>
      <c r="C70" s="169" t="s">
        <v>1447</v>
      </c>
      <c r="D70" s="167" t="s">
        <v>1488</v>
      </c>
      <c r="E70" s="167" t="s">
        <v>1449</v>
      </c>
      <c r="F70" s="101"/>
      <c r="G70" s="101"/>
      <c r="H70" s="101" t="s">
        <v>1489</v>
      </c>
      <c r="I70" s="168"/>
      <c r="J70" s="168"/>
      <c r="K70" s="101" t="s">
        <v>1490</v>
      </c>
      <c r="L70" s="101"/>
      <c r="M70" s="165"/>
      <c r="N70" s="167"/>
      <c r="O70" s="167" t="s">
        <v>1491</v>
      </c>
      <c r="P70" s="167"/>
      <c r="Q70" s="168"/>
      <c r="R70" s="168"/>
      <c r="S70" s="168"/>
      <c r="T70" s="168"/>
      <c r="U70" s="172" t="s">
        <v>1459</v>
      </c>
      <c r="V70" s="172"/>
      <c r="W70" s="172"/>
      <c r="X70" s="172"/>
      <c r="Y70" s="172"/>
    </row>
    <row r="71" customFormat="false" ht="137.25" hidden="false" customHeight="true" outlineLevel="0" collapsed="false">
      <c r="A71" s="165" t="n">
        <v>22</v>
      </c>
      <c r="B71" s="193" t="s">
        <v>1492</v>
      </c>
      <c r="C71" s="169" t="s">
        <v>1447</v>
      </c>
      <c r="D71" s="167" t="s">
        <v>1488</v>
      </c>
      <c r="E71" s="167" t="s">
        <v>1449</v>
      </c>
      <c r="F71" s="101"/>
      <c r="G71" s="101"/>
      <c r="H71" s="101" t="s">
        <v>1493</v>
      </c>
      <c r="I71" s="168"/>
      <c r="J71" s="168"/>
      <c r="K71" s="101" t="s">
        <v>1494</v>
      </c>
      <c r="L71" s="101"/>
      <c r="M71" s="165"/>
      <c r="N71" s="167"/>
      <c r="O71" s="167" t="s">
        <v>1495</v>
      </c>
      <c r="P71" s="167"/>
      <c r="Q71" s="168"/>
      <c r="R71" s="168"/>
      <c r="S71" s="168"/>
      <c r="T71" s="168"/>
      <c r="U71" s="172" t="s">
        <v>1496</v>
      </c>
      <c r="V71" s="172"/>
      <c r="W71" s="172"/>
      <c r="X71" s="172"/>
      <c r="Y71" s="172"/>
    </row>
    <row r="72" customFormat="false" ht="187.5" hidden="false" customHeight="true" outlineLevel="0" collapsed="false">
      <c r="A72" s="165" t="n">
        <v>23</v>
      </c>
      <c r="B72" s="193" t="s">
        <v>1497</v>
      </c>
      <c r="C72" s="169" t="s">
        <v>1498</v>
      </c>
      <c r="D72" s="167" t="s">
        <v>1499</v>
      </c>
      <c r="E72" s="167" t="s">
        <v>1449</v>
      </c>
      <c r="F72" s="101"/>
      <c r="G72" s="101"/>
      <c r="H72" s="101" t="s">
        <v>1500</v>
      </c>
      <c r="I72" s="168"/>
      <c r="J72" s="168"/>
      <c r="K72" s="101" t="s">
        <v>1501</v>
      </c>
      <c r="L72" s="101"/>
      <c r="M72" s="165"/>
      <c r="N72" s="167"/>
      <c r="O72" s="167" t="s">
        <v>1502</v>
      </c>
      <c r="P72" s="167"/>
      <c r="Q72" s="168"/>
      <c r="R72" s="168"/>
      <c r="S72" s="168"/>
      <c r="T72" s="168"/>
      <c r="U72" s="172" t="s">
        <v>1503</v>
      </c>
      <c r="V72" s="172"/>
      <c r="W72" s="172"/>
      <c r="X72" s="172"/>
      <c r="Y72" s="172"/>
    </row>
    <row r="73" customFormat="false" ht="12" hidden="false" customHeight="true" outlineLevel="0" collapsed="false">
      <c r="A73" s="91"/>
      <c r="B73" s="81"/>
      <c r="C73" s="81"/>
      <c r="D73" s="81"/>
      <c r="E73" s="81"/>
      <c r="F73" s="173"/>
      <c r="G73" s="173"/>
      <c r="H73" s="173"/>
      <c r="I73" s="173"/>
      <c r="J73" s="173"/>
      <c r="K73" s="173"/>
      <c r="L73" s="80"/>
      <c r="M73" s="81"/>
      <c r="N73" s="102"/>
      <c r="O73" s="102"/>
      <c r="P73" s="81"/>
      <c r="Q73" s="81"/>
      <c r="R73" s="81"/>
      <c r="S73" s="81"/>
      <c r="T73" s="81"/>
      <c r="U73" s="81"/>
      <c r="V73" s="81"/>
      <c r="W73" s="81"/>
      <c r="X73" s="81"/>
      <c r="Y73" s="81"/>
    </row>
    <row r="74" customFormat="false" ht="12" hidden="false" customHeight="true" outlineLevel="0" collapsed="false">
      <c r="A74" s="91"/>
      <c r="B74" s="81"/>
      <c r="C74" s="81"/>
      <c r="D74" s="81"/>
      <c r="E74" s="81"/>
      <c r="F74" s="173"/>
      <c r="G74" s="173"/>
      <c r="H74" s="173"/>
      <c r="I74" s="173"/>
      <c r="J74" s="173"/>
      <c r="K74" s="173"/>
      <c r="L74" s="80"/>
      <c r="M74" s="81"/>
      <c r="N74" s="102"/>
      <c r="O74" s="102"/>
      <c r="P74" s="81"/>
      <c r="Q74" s="81"/>
      <c r="R74" s="81"/>
      <c r="S74" s="81"/>
      <c r="T74" s="81"/>
      <c r="U74" s="81"/>
      <c r="V74" s="81"/>
      <c r="W74" s="81"/>
      <c r="X74" s="81"/>
      <c r="Y74" s="81"/>
    </row>
    <row r="75" customFormat="false" ht="12" hidden="false" customHeight="true" outlineLevel="0" collapsed="false">
      <c r="A75" s="91"/>
      <c r="B75" s="81"/>
      <c r="C75" s="81"/>
      <c r="D75" s="81"/>
      <c r="E75" s="81"/>
      <c r="F75" s="173"/>
      <c r="G75" s="173"/>
      <c r="H75" s="173"/>
      <c r="I75" s="173"/>
      <c r="J75" s="173"/>
      <c r="K75" s="173"/>
      <c r="L75" s="80"/>
      <c r="M75" s="81"/>
      <c r="N75" s="102"/>
      <c r="O75" s="102"/>
      <c r="P75" s="81"/>
      <c r="Q75" s="81"/>
      <c r="R75" s="81"/>
      <c r="S75" s="81"/>
      <c r="T75" s="81"/>
      <c r="U75" s="81"/>
      <c r="V75" s="81"/>
      <c r="W75" s="81"/>
      <c r="X75" s="81"/>
      <c r="Y75" s="81"/>
    </row>
    <row r="76" customFormat="false" ht="12" hidden="false" customHeight="true" outlineLevel="0" collapsed="false">
      <c r="A76" s="91"/>
      <c r="B76" s="81"/>
      <c r="C76" s="81"/>
      <c r="D76" s="81"/>
      <c r="E76" s="81"/>
      <c r="F76" s="173"/>
      <c r="G76" s="173"/>
      <c r="H76" s="173"/>
      <c r="I76" s="173"/>
      <c r="J76" s="173"/>
      <c r="K76" s="173"/>
      <c r="L76" s="80"/>
      <c r="M76" s="81"/>
      <c r="N76" s="102"/>
      <c r="O76" s="102"/>
      <c r="P76" s="81"/>
      <c r="Q76" s="81"/>
      <c r="R76" s="81"/>
      <c r="S76" s="81"/>
      <c r="T76" s="81"/>
      <c r="U76" s="81"/>
      <c r="V76" s="81"/>
      <c r="W76" s="81"/>
      <c r="X76" s="81"/>
      <c r="Y76" s="81"/>
    </row>
    <row r="77" customFormat="false" ht="12" hidden="false" customHeight="true" outlineLevel="0" collapsed="false">
      <c r="A77" s="91"/>
      <c r="B77" s="81"/>
      <c r="C77" s="81"/>
      <c r="D77" s="81"/>
      <c r="E77" s="81"/>
      <c r="F77" s="173"/>
      <c r="G77" s="173"/>
      <c r="H77" s="173"/>
      <c r="I77" s="173"/>
      <c r="J77" s="173"/>
      <c r="K77" s="173"/>
      <c r="L77" s="80"/>
      <c r="M77" s="81"/>
      <c r="N77" s="102"/>
      <c r="O77" s="102"/>
      <c r="P77" s="81"/>
      <c r="Q77" s="81"/>
      <c r="R77" s="81"/>
      <c r="S77" s="81"/>
      <c r="T77" s="81"/>
      <c r="U77" s="81"/>
      <c r="V77" s="81"/>
      <c r="W77" s="81"/>
      <c r="X77" s="81"/>
      <c r="Y77" s="81"/>
    </row>
    <row r="78" customFormat="false" ht="12" hidden="false" customHeight="true" outlineLevel="0" collapsed="false">
      <c r="A78" s="91"/>
      <c r="B78" s="81"/>
      <c r="C78" s="81"/>
      <c r="D78" s="81"/>
      <c r="E78" s="81"/>
      <c r="F78" s="173"/>
      <c r="G78" s="173"/>
      <c r="H78" s="173"/>
      <c r="I78" s="173"/>
      <c r="J78" s="173"/>
      <c r="K78" s="173"/>
      <c r="L78" s="80"/>
      <c r="M78" s="81"/>
      <c r="N78" s="102"/>
      <c r="O78" s="102"/>
      <c r="P78" s="81"/>
      <c r="Q78" s="81"/>
      <c r="R78" s="81"/>
      <c r="S78" s="81"/>
      <c r="T78" s="81"/>
      <c r="U78" s="81"/>
      <c r="V78" s="81"/>
      <c r="W78" s="81"/>
      <c r="X78" s="81"/>
      <c r="Y78" s="81"/>
    </row>
    <row r="79" customFormat="false" ht="12" hidden="false" customHeight="true" outlineLevel="0" collapsed="false">
      <c r="A79" s="91"/>
      <c r="B79" s="81"/>
      <c r="C79" s="81"/>
      <c r="D79" s="81"/>
      <c r="E79" s="81"/>
      <c r="F79" s="173"/>
      <c r="G79" s="173"/>
      <c r="H79" s="173"/>
      <c r="I79" s="173"/>
      <c r="J79" s="173"/>
      <c r="K79" s="173"/>
      <c r="L79" s="80"/>
      <c r="M79" s="81"/>
      <c r="N79" s="102"/>
      <c r="O79" s="102"/>
      <c r="P79" s="81"/>
      <c r="Q79" s="81"/>
      <c r="R79" s="81"/>
      <c r="S79" s="81"/>
      <c r="T79" s="81"/>
      <c r="U79" s="81"/>
      <c r="V79" s="81"/>
      <c r="W79" s="81"/>
      <c r="X79" s="81"/>
      <c r="Y79" s="81"/>
    </row>
    <row r="80" customFormat="false" ht="12" hidden="false" customHeight="true" outlineLevel="0" collapsed="false">
      <c r="A80" s="91"/>
      <c r="B80" s="81"/>
      <c r="C80" s="81"/>
      <c r="D80" s="81"/>
      <c r="E80" s="81"/>
      <c r="F80" s="173"/>
      <c r="G80" s="173"/>
      <c r="H80" s="173"/>
      <c r="I80" s="173"/>
      <c r="J80" s="173"/>
      <c r="K80" s="173"/>
      <c r="L80" s="80"/>
      <c r="M80" s="81"/>
      <c r="N80" s="102"/>
      <c r="O80" s="102"/>
      <c r="P80" s="81"/>
      <c r="Q80" s="81"/>
      <c r="R80" s="81"/>
      <c r="S80" s="81"/>
      <c r="T80" s="81"/>
      <c r="U80" s="81"/>
      <c r="V80" s="81"/>
      <c r="W80" s="81"/>
      <c r="X80" s="81"/>
      <c r="Y80" s="81"/>
    </row>
    <row r="81" customFormat="false" ht="12" hidden="false" customHeight="true" outlineLevel="0" collapsed="false">
      <c r="A81" s="91"/>
      <c r="B81" s="81"/>
      <c r="C81" s="81"/>
      <c r="D81" s="81"/>
      <c r="E81" s="81"/>
      <c r="F81" s="173"/>
      <c r="G81" s="173"/>
      <c r="H81" s="173"/>
      <c r="I81" s="173"/>
      <c r="J81" s="173"/>
      <c r="K81" s="173"/>
      <c r="L81" s="80"/>
      <c r="M81" s="81"/>
      <c r="N81" s="102"/>
      <c r="O81" s="102"/>
      <c r="P81" s="81"/>
      <c r="Q81" s="81"/>
      <c r="R81" s="81"/>
      <c r="S81" s="81"/>
      <c r="T81" s="81"/>
      <c r="U81" s="81"/>
      <c r="V81" s="81"/>
      <c r="W81" s="81"/>
      <c r="X81" s="81"/>
      <c r="Y81" s="81"/>
    </row>
    <row r="82" customFormat="false" ht="12" hidden="false" customHeight="true" outlineLevel="0" collapsed="false">
      <c r="A82" s="91"/>
      <c r="B82" s="81"/>
      <c r="C82" s="81"/>
      <c r="D82" s="81"/>
      <c r="E82" s="81"/>
      <c r="F82" s="173"/>
      <c r="G82" s="173"/>
      <c r="H82" s="173"/>
      <c r="I82" s="173"/>
      <c r="J82" s="173"/>
      <c r="K82" s="173"/>
      <c r="L82" s="80"/>
      <c r="M82" s="81"/>
      <c r="N82" s="102"/>
      <c r="O82" s="102"/>
      <c r="P82" s="81"/>
      <c r="Q82" s="81"/>
      <c r="R82" s="81"/>
      <c r="S82" s="81"/>
      <c r="T82" s="81"/>
      <c r="U82" s="81"/>
      <c r="V82" s="81"/>
      <c r="W82" s="81"/>
      <c r="X82" s="81"/>
      <c r="Y82" s="81"/>
    </row>
    <row r="83" customFormat="false" ht="12" hidden="false" customHeight="true" outlineLevel="0" collapsed="false">
      <c r="A83" s="91"/>
      <c r="B83" s="81"/>
      <c r="C83" s="81"/>
      <c r="D83" s="81"/>
      <c r="E83" s="81"/>
      <c r="F83" s="173"/>
      <c r="G83" s="173"/>
      <c r="H83" s="173"/>
      <c r="I83" s="173"/>
      <c r="J83" s="173"/>
      <c r="K83" s="173"/>
      <c r="L83" s="80"/>
      <c r="M83" s="81"/>
      <c r="N83" s="102"/>
      <c r="O83" s="102"/>
      <c r="P83" s="81"/>
      <c r="Q83" s="81"/>
      <c r="R83" s="81"/>
      <c r="S83" s="81"/>
      <c r="T83" s="81"/>
      <c r="U83" s="81"/>
      <c r="V83" s="81"/>
      <c r="W83" s="81"/>
      <c r="X83" s="81"/>
      <c r="Y83" s="81"/>
    </row>
    <row r="84" customFormat="false" ht="12" hidden="false" customHeight="true" outlineLevel="0" collapsed="false">
      <c r="A84" s="91"/>
      <c r="B84" s="81"/>
      <c r="C84" s="81"/>
      <c r="D84" s="81"/>
      <c r="E84" s="81"/>
      <c r="F84" s="173"/>
      <c r="G84" s="173"/>
      <c r="H84" s="173"/>
      <c r="I84" s="173"/>
      <c r="J84" s="173"/>
      <c r="K84" s="173"/>
      <c r="L84" s="80"/>
      <c r="M84" s="81"/>
      <c r="N84" s="102"/>
      <c r="O84" s="102"/>
      <c r="P84" s="81"/>
      <c r="Q84" s="81"/>
      <c r="R84" s="81"/>
      <c r="S84" s="81"/>
      <c r="T84" s="81"/>
      <c r="U84" s="81"/>
      <c r="V84" s="81"/>
      <c r="W84" s="81"/>
      <c r="X84" s="81"/>
      <c r="Y84" s="81"/>
    </row>
    <row r="85" customFormat="false" ht="12" hidden="false" customHeight="true" outlineLevel="0" collapsed="false">
      <c r="A85" s="91"/>
      <c r="B85" s="81"/>
      <c r="C85" s="81"/>
      <c r="D85" s="81"/>
      <c r="E85" s="81"/>
      <c r="F85" s="173"/>
      <c r="G85" s="173"/>
      <c r="H85" s="173"/>
      <c r="I85" s="173"/>
      <c r="J85" s="173"/>
      <c r="K85" s="173"/>
      <c r="L85" s="80"/>
      <c r="M85" s="81"/>
      <c r="N85" s="102"/>
      <c r="O85" s="102"/>
      <c r="P85" s="81"/>
      <c r="Q85" s="81"/>
      <c r="R85" s="81"/>
      <c r="S85" s="81"/>
      <c r="T85" s="81"/>
      <c r="U85" s="81"/>
      <c r="V85" s="81"/>
      <c r="W85" s="81"/>
      <c r="X85" s="81"/>
      <c r="Y85" s="81"/>
    </row>
    <row r="86" customFormat="false" ht="12" hidden="false" customHeight="true" outlineLevel="0" collapsed="false">
      <c r="A86" s="91"/>
      <c r="B86" s="81"/>
      <c r="C86" s="81"/>
      <c r="D86" s="81"/>
      <c r="E86" s="81"/>
      <c r="F86" s="173"/>
      <c r="G86" s="173"/>
      <c r="H86" s="173"/>
      <c r="I86" s="173"/>
      <c r="J86" s="173"/>
      <c r="K86" s="173"/>
      <c r="L86" s="80"/>
      <c r="M86" s="81"/>
      <c r="N86" s="102"/>
      <c r="O86" s="102"/>
      <c r="P86" s="81"/>
      <c r="Q86" s="81"/>
      <c r="R86" s="81"/>
      <c r="S86" s="81"/>
      <c r="T86" s="81"/>
      <c r="U86" s="81"/>
      <c r="V86" s="81"/>
      <c r="W86" s="81"/>
      <c r="X86" s="81"/>
      <c r="Y86" s="81"/>
    </row>
    <row r="87" customFormat="false" ht="12" hidden="false" customHeight="true" outlineLevel="0" collapsed="false">
      <c r="A87" s="91"/>
      <c r="B87" s="81"/>
      <c r="C87" s="81"/>
      <c r="D87" s="81"/>
      <c r="E87" s="81"/>
      <c r="F87" s="173"/>
      <c r="G87" s="173"/>
      <c r="H87" s="173"/>
      <c r="I87" s="173"/>
      <c r="J87" s="173"/>
      <c r="K87" s="173"/>
      <c r="L87" s="80"/>
      <c r="M87" s="81"/>
      <c r="N87" s="102"/>
      <c r="O87" s="102"/>
      <c r="P87" s="81"/>
      <c r="Q87" s="81"/>
      <c r="R87" s="81"/>
      <c r="S87" s="81"/>
      <c r="T87" s="81"/>
      <c r="U87" s="81"/>
      <c r="V87" s="81"/>
      <c r="W87" s="81"/>
      <c r="X87" s="81"/>
      <c r="Y87" s="81"/>
    </row>
    <row r="88" customFormat="false" ht="12" hidden="false" customHeight="true" outlineLevel="0" collapsed="false">
      <c r="A88" s="91"/>
      <c r="B88" s="81"/>
      <c r="C88" s="81"/>
      <c r="D88" s="81"/>
      <c r="E88" s="81"/>
      <c r="F88" s="173"/>
      <c r="G88" s="173"/>
      <c r="H88" s="173"/>
      <c r="I88" s="173"/>
      <c r="J88" s="173"/>
      <c r="K88" s="173"/>
      <c r="L88" s="80"/>
      <c r="M88" s="81"/>
      <c r="N88" s="102"/>
      <c r="O88" s="102"/>
      <c r="P88" s="81"/>
      <c r="Q88" s="81"/>
      <c r="R88" s="81"/>
      <c r="S88" s="81"/>
      <c r="T88" s="81"/>
      <c r="U88" s="81"/>
      <c r="V88" s="81"/>
      <c r="W88" s="81"/>
      <c r="X88" s="81"/>
      <c r="Y88" s="81"/>
    </row>
    <row r="89" customFormat="false" ht="12" hidden="false" customHeight="true" outlineLevel="0" collapsed="false">
      <c r="A89" s="91"/>
      <c r="B89" s="81"/>
      <c r="C89" s="81"/>
      <c r="D89" s="81"/>
      <c r="E89" s="81"/>
      <c r="F89" s="173"/>
      <c r="G89" s="173"/>
      <c r="H89" s="173"/>
      <c r="I89" s="173"/>
      <c r="J89" s="173"/>
      <c r="K89" s="173"/>
      <c r="L89" s="80"/>
      <c r="M89" s="81"/>
      <c r="N89" s="102"/>
      <c r="O89" s="102"/>
      <c r="P89" s="81"/>
      <c r="Q89" s="81"/>
      <c r="R89" s="81"/>
      <c r="S89" s="81"/>
      <c r="T89" s="81"/>
      <c r="U89" s="81"/>
      <c r="V89" s="81"/>
      <c r="W89" s="81"/>
      <c r="X89" s="81"/>
      <c r="Y89" s="81"/>
    </row>
    <row r="90" customFormat="false" ht="12" hidden="false" customHeight="true" outlineLevel="0" collapsed="false">
      <c r="A90" s="91"/>
      <c r="B90" s="81"/>
      <c r="C90" s="81"/>
      <c r="D90" s="81"/>
      <c r="E90" s="81"/>
      <c r="F90" s="173"/>
      <c r="G90" s="173"/>
      <c r="H90" s="173"/>
      <c r="I90" s="173"/>
      <c r="J90" s="173"/>
      <c r="K90" s="173"/>
      <c r="L90" s="80"/>
      <c r="M90" s="81"/>
      <c r="N90" s="102"/>
      <c r="O90" s="102"/>
      <c r="P90" s="81"/>
      <c r="Q90" s="81"/>
      <c r="R90" s="81"/>
      <c r="S90" s="81"/>
      <c r="T90" s="81"/>
      <c r="U90" s="81"/>
      <c r="V90" s="81"/>
      <c r="W90" s="81"/>
      <c r="X90" s="81"/>
      <c r="Y90" s="81"/>
    </row>
    <row r="91" customFormat="false" ht="12" hidden="false" customHeight="true" outlineLevel="0" collapsed="false">
      <c r="A91" s="91"/>
      <c r="B91" s="81"/>
      <c r="C91" s="81"/>
      <c r="D91" s="81"/>
      <c r="E91" s="81"/>
      <c r="F91" s="173"/>
      <c r="G91" s="173"/>
      <c r="H91" s="173"/>
      <c r="I91" s="173"/>
      <c r="J91" s="173"/>
      <c r="K91" s="173"/>
      <c r="L91" s="80"/>
      <c r="M91" s="81"/>
      <c r="N91" s="102"/>
      <c r="O91" s="102"/>
      <c r="P91" s="81"/>
      <c r="Q91" s="81"/>
      <c r="R91" s="81"/>
      <c r="S91" s="81"/>
      <c r="T91" s="81"/>
      <c r="U91" s="81"/>
      <c r="V91" s="81"/>
      <c r="W91" s="81"/>
      <c r="X91" s="81"/>
      <c r="Y91" s="81"/>
    </row>
    <row r="92" customFormat="false" ht="12" hidden="false" customHeight="true" outlineLevel="0" collapsed="false">
      <c r="A92" s="91"/>
      <c r="B92" s="81"/>
      <c r="C92" s="81"/>
      <c r="D92" s="81"/>
      <c r="E92" s="81"/>
      <c r="F92" s="173"/>
      <c r="G92" s="173"/>
      <c r="H92" s="173"/>
      <c r="I92" s="173"/>
      <c r="J92" s="173"/>
      <c r="K92" s="173"/>
      <c r="L92" s="80"/>
      <c r="M92" s="81"/>
      <c r="N92" s="102"/>
      <c r="O92" s="102"/>
      <c r="P92" s="81"/>
      <c r="Q92" s="81"/>
      <c r="R92" s="81"/>
      <c r="S92" s="81"/>
      <c r="T92" s="81"/>
      <c r="U92" s="81"/>
      <c r="V92" s="81"/>
      <c r="W92" s="81"/>
      <c r="X92" s="81"/>
      <c r="Y92" s="81"/>
    </row>
    <row r="93" customFormat="false" ht="12" hidden="false" customHeight="true" outlineLevel="0" collapsed="false">
      <c r="A93" s="91"/>
      <c r="B93" s="81"/>
      <c r="C93" s="81"/>
      <c r="D93" s="81"/>
      <c r="E93" s="81"/>
      <c r="F93" s="173"/>
      <c r="G93" s="173"/>
      <c r="H93" s="173"/>
      <c r="I93" s="173"/>
      <c r="J93" s="173"/>
      <c r="K93" s="173"/>
      <c r="L93" s="80"/>
      <c r="M93" s="81"/>
      <c r="N93" s="102"/>
      <c r="O93" s="102"/>
      <c r="P93" s="81"/>
      <c r="Q93" s="81"/>
      <c r="R93" s="81"/>
      <c r="S93" s="81"/>
      <c r="T93" s="81"/>
      <c r="U93" s="81"/>
      <c r="V93" s="81"/>
      <c r="W93" s="81"/>
      <c r="X93" s="81"/>
      <c r="Y93" s="81"/>
    </row>
    <row r="94" customFormat="false" ht="12" hidden="false" customHeight="true" outlineLevel="0" collapsed="false">
      <c r="A94" s="91"/>
      <c r="B94" s="81"/>
      <c r="C94" s="81"/>
      <c r="D94" s="81"/>
      <c r="E94" s="81"/>
      <c r="F94" s="173"/>
      <c r="G94" s="173"/>
      <c r="H94" s="173"/>
      <c r="I94" s="173"/>
      <c r="J94" s="173"/>
      <c r="K94" s="173"/>
      <c r="L94" s="80"/>
      <c r="M94" s="81"/>
      <c r="N94" s="102"/>
      <c r="O94" s="102"/>
      <c r="P94" s="81"/>
      <c r="Q94" s="81"/>
      <c r="R94" s="81"/>
      <c r="S94" s="81"/>
      <c r="T94" s="81"/>
      <c r="U94" s="81"/>
      <c r="V94" s="81"/>
      <c r="W94" s="81"/>
      <c r="X94" s="81"/>
      <c r="Y94" s="81"/>
    </row>
    <row r="95" customFormat="false" ht="12" hidden="false" customHeight="true" outlineLevel="0" collapsed="false">
      <c r="A95" s="91"/>
      <c r="B95" s="81"/>
      <c r="C95" s="81"/>
      <c r="D95" s="81"/>
      <c r="E95" s="81"/>
      <c r="F95" s="173"/>
      <c r="G95" s="173"/>
      <c r="H95" s="173"/>
      <c r="I95" s="173"/>
      <c r="J95" s="173"/>
      <c r="K95" s="173"/>
      <c r="L95" s="80"/>
      <c r="M95" s="81"/>
      <c r="N95" s="102"/>
      <c r="O95" s="102"/>
      <c r="P95" s="81"/>
      <c r="Q95" s="81"/>
      <c r="R95" s="81"/>
      <c r="S95" s="81"/>
      <c r="T95" s="81"/>
      <c r="U95" s="81"/>
      <c r="V95" s="81"/>
      <c r="W95" s="81"/>
      <c r="X95" s="81"/>
      <c r="Y95" s="81"/>
    </row>
    <row r="96" customFormat="false" ht="12" hidden="false" customHeight="true" outlineLevel="0" collapsed="false">
      <c r="A96" s="91"/>
      <c r="B96" s="81"/>
      <c r="C96" s="81"/>
      <c r="D96" s="81"/>
      <c r="E96" s="81"/>
      <c r="F96" s="173"/>
      <c r="G96" s="173"/>
      <c r="H96" s="173"/>
      <c r="I96" s="173"/>
      <c r="J96" s="173"/>
      <c r="K96" s="173"/>
      <c r="L96" s="80"/>
      <c r="M96" s="81"/>
      <c r="N96" s="102"/>
      <c r="O96" s="102"/>
      <c r="P96" s="81"/>
      <c r="Q96" s="81"/>
      <c r="R96" s="81"/>
      <c r="S96" s="81"/>
      <c r="T96" s="81"/>
      <c r="U96" s="81"/>
      <c r="V96" s="81"/>
      <c r="W96" s="81"/>
      <c r="X96" s="81"/>
      <c r="Y96" s="81"/>
    </row>
    <row r="97" customFormat="false" ht="12" hidden="false" customHeight="true" outlineLevel="0" collapsed="false">
      <c r="A97" s="91"/>
      <c r="B97" s="81"/>
      <c r="C97" s="81"/>
      <c r="D97" s="81"/>
      <c r="E97" s="81"/>
      <c r="F97" s="173"/>
      <c r="G97" s="173"/>
      <c r="H97" s="173"/>
      <c r="I97" s="173"/>
      <c r="J97" s="173"/>
      <c r="K97" s="173"/>
      <c r="L97" s="80"/>
      <c r="M97" s="81"/>
      <c r="N97" s="102"/>
      <c r="O97" s="102"/>
      <c r="P97" s="81"/>
      <c r="Q97" s="81"/>
      <c r="R97" s="81"/>
      <c r="S97" s="81"/>
      <c r="T97" s="81"/>
      <c r="U97" s="81"/>
      <c r="V97" s="81"/>
      <c r="W97" s="81"/>
      <c r="X97" s="81"/>
      <c r="Y97" s="81"/>
    </row>
    <row r="98" customFormat="false" ht="12" hidden="false" customHeight="true" outlineLevel="0" collapsed="false">
      <c r="A98" s="91"/>
      <c r="B98" s="81"/>
      <c r="C98" s="81"/>
      <c r="D98" s="81"/>
      <c r="E98" s="81"/>
      <c r="F98" s="173"/>
      <c r="G98" s="173"/>
      <c r="H98" s="173"/>
      <c r="I98" s="173"/>
      <c r="J98" s="173"/>
      <c r="K98" s="173"/>
      <c r="L98" s="80"/>
      <c r="M98" s="81"/>
      <c r="N98" s="102"/>
      <c r="O98" s="102"/>
      <c r="P98" s="81"/>
      <c r="Q98" s="81"/>
      <c r="R98" s="81"/>
      <c r="S98" s="81"/>
      <c r="T98" s="81"/>
      <c r="U98" s="81"/>
      <c r="V98" s="81"/>
      <c r="W98" s="81"/>
      <c r="X98" s="81"/>
      <c r="Y98" s="81"/>
    </row>
    <row r="99" customFormat="false" ht="12" hidden="false" customHeight="true" outlineLevel="0" collapsed="false">
      <c r="A99" s="91"/>
      <c r="B99" s="81"/>
      <c r="C99" s="81"/>
      <c r="D99" s="81"/>
      <c r="E99" s="81"/>
      <c r="F99" s="173"/>
      <c r="G99" s="173"/>
      <c r="H99" s="173"/>
      <c r="I99" s="173"/>
      <c r="J99" s="173"/>
      <c r="K99" s="173"/>
      <c r="L99" s="80"/>
      <c r="M99" s="81"/>
      <c r="N99" s="102"/>
      <c r="O99" s="102"/>
      <c r="P99" s="81"/>
      <c r="Q99" s="81"/>
      <c r="R99" s="81"/>
      <c r="S99" s="81"/>
      <c r="T99" s="81"/>
      <c r="U99" s="81"/>
      <c r="V99" s="81"/>
      <c r="W99" s="81"/>
      <c r="X99" s="81"/>
      <c r="Y99" s="81"/>
    </row>
    <row r="100" customFormat="false" ht="12" hidden="false" customHeight="true" outlineLevel="0" collapsed="false">
      <c r="A100" s="91"/>
      <c r="B100" s="81"/>
      <c r="C100" s="81"/>
      <c r="D100" s="81"/>
      <c r="E100" s="81"/>
      <c r="F100" s="173"/>
      <c r="G100" s="173"/>
      <c r="H100" s="173"/>
      <c r="I100" s="173"/>
      <c r="J100" s="173"/>
      <c r="K100" s="173"/>
      <c r="L100" s="80"/>
      <c r="M100" s="81"/>
      <c r="N100" s="102"/>
      <c r="O100" s="102"/>
      <c r="P100" s="81"/>
      <c r="Q100" s="81"/>
      <c r="R100" s="81"/>
      <c r="S100" s="81"/>
      <c r="T100" s="81"/>
      <c r="U100" s="81"/>
      <c r="V100" s="81"/>
      <c r="W100" s="81"/>
      <c r="X100" s="81"/>
      <c r="Y100" s="81"/>
    </row>
    <row r="101" customFormat="false" ht="12" hidden="false" customHeight="true" outlineLevel="0" collapsed="false">
      <c r="A101" s="91"/>
      <c r="B101" s="81"/>
      <c r="C101" s="81"/>
      <c r="D101" s="81"/>
      <c r="E101" s="81"/>
      <c r="F101" s="173"/>
      <c r="G101" s="173"/>
      <c r="H101" s="173"/>
      <c r="I101" s="173"/>
      <c r="J101" s="173"/>
      <c r="K101" s="173"/>
      <c r="L101" s="80"/>
      <c r="M101" s="81"/>
      <c r="N101" s="102"/>
      <c r="O101" s="102"/>
      <c r="P101" s="81"/>
      <c r="Q101" s="81"/>
      <c r="R101" s="81"/>
      <c r="S101" s="81"/>
      <c r="T101" s="81"/>
      <c r="U101" s="81"/>
      <c r="V101" s="81"/>
      <c r="W101" s="81"/>
      <c r="X101" s="81"/>
      <c r="Y101" s="81"/>
    </row>
    <row r="102" customFormat="false" ht="12" hidden="false" customHeight="true" outlineLevel="0" collapsed="false">
      <c r="A102" s="91"/>
      <c r="B102" s="81"/>
      <c r="C102" s="81"/>
      <c r="D102" s="81"/>
      <c r="E102" s="81"/>
      <c r="F102" s="173"/>
      <c r="G102" s="173"/>
      <c r="H102" s="173"/>
      <c r="I102" s="173"/>
      <c r="J102" s="173"/>
      <c r="K102" s="173"/>
      <c r="L102" s="80"/>
      <c r="M102" s="81"/>
      <c r="N102" s="102"/>
      <c r="O102" s="102"/>
      <c r="P102" s="81"/>
      <c r="Q102" s="81"/>
      <c r="R102" s="81"/>
      <c r="S102" s="81"/>
      <c r="T102" s="81"/>
      <c r="U102" s="81"/>
      <c r="V102" s="81"/>
      <c r="W102" s="81"/>
      <c r="X102" s="81"/>
      <c r="Y102" s="81"/>
    </row>
    <row r="103" customFormat="false" ht="12" hidden="false" customHeight="true" outlineLevel="0" collapsed="false">
      <c r="A103" s="91"/>
      <c r="B103" s="81"/>
      <c r="C103" s="81"/>
      <c r="D103" s="81"/>
      <c r="E103" s="81"/>
      <c r="F103" s="173"/>
      <c r="G103" s="173"/>
      <c r="H103" s="173"/>
      <c r="I103" s="173"/>
      <c r="J103" s="173"/>
      <c r="K103" s="173"/>
      <c r="L103" s="80"/>
      <c r="M103" s="81"/>
      <c r="N103" s="102"/>
      <c r="O103" s="102"/>
      <c r="P103" s="81"/>
      <c r="Q103" s="81"/>
      <c r="R103" s="81"/>
      <c r="S103" s="81"/>
      <c r="T103" s="81"/>
      <c r="U103" s="81"/>
      <c r="V103" s="81"/>
      <c r="W103" s="81"/>
      <c r="X103" s="81"/>
      <c r="Y103" s="81"/>
    </row>
    <row r="104" customFormat="false" ht="12" hidden="false" customHeight="true" outlineLevel="0" collapsed="false">
      <c r="A104" s="91"/>
      <c r="B104" s="81"/>
      <c r="C104" s="81"/>
      <c r="D104" s="81"/>
      <c r="E104" s="81"/>
      <c r="F104" s="173"/>
      <c r="G104" s="173"/>
      <c r="H104" s="173"/>
      <c r="I104" s="173"/>
      <c r="J104" s="173"/>
      <c r="K104" s="173"/>
      <c r="L104" s="80"/>
      <c r="M104" s="81"/>
      <c r="N104" s="102"/>
      <c r="O104" s="102"/>
      <c r="P104" s="81"/>
      <c r="Q104" s="81"/>
      <c r="R104" s="81"/>
      <c r="S104" s="81"/>
      <c r="T104" s="81"/>
      <c r="U104" s="81"/>
      <c r="V104" s="81"/>
      <c r="W104" s="81"/>
      <c r="X104" s="81"/>
      <c r="Y104" s="81"/>
    </row>
    <row r="105" customFormat="false" ht="12" hidden="false" customHeight="true" outlineLevel="0" collapsed="false">
      <c r="A105" s="91"/>
      <c r="B105" s="81"/>
      <c r="C105" s="81"/>
      <c r="D105" s="81"/>
      <c r="E105" s="81"/>
      <c r="F105" s="173"/>
      <c r="G105" s="173"/>
      <c r="H105" s="173"/>
      <c r="I105" s="173"/>
      <c r="J105" s="173"/>
      <c r="K105" s="173"/>
      <c r="L105" s="80"/>
      <c r="M105" s="81"/>
      <c r="N105" s="102"/>
      <c r="O105" s="102"/>
      <c r="P105" s="81"/>
      <c r="Q105" s="81"/>
      <c r="R105" s="81"/>
      <c r="S105" s="81"/>
      <c r="T105" s="81"/>
      <c r="U105" s="81"/>
      <c r="V105" s="81"/>
      <c r="W105" s="81"/>
      <c r="X105" s="81"/>
      <c r="Y105" s="81"/>
    </row>
    <row r="106" customFormat="false" ht="12" hidden="false" customHeight="true" outlineLevel="0" collapsed="false">
      <c r="A106" s="91"/>
      <c r="B106" s="81"/>
      <c r="C106" s="81"/>
      <c r="D106" s="81"/>
      <c r="E106" s="81"/>
      <c r="F106" s="173"/>
      <c r="G106" s="173"/>
      <c r="H106" s="173"/>
      <c r="I106" s="173"/>
      <c r="J106" s="173"/>
      <c r="K106" s="173"/>
      <c r="L106" s="80"/>
      <c r="M106" s="81"/>
      <c r="N106" s="102"/>
      <c r="O106" s="102"/>
      <c r="P106" s="81"/>
      <c r="Q106" s="81"/>
      <c r="R106" s="81"/>
      <c r="S106" s="81"/>
      <c r="T106" s="81"/>
      <c r="U106" s="81"/>
      <c r="V106" s="81"/>
      <c r="W106" s="81"/>
      <c r="X106" s="81"/>
      <c r="Y106" s="81"/>
    </row>
    <row r="107" customFormat="false" ht="12" hidden="false" customHeight="true" outlineLevel="0" collapsed="false">
      <c r="A107" s="91"/>
      <c r="B107" s="81"/>
      <c r="C107" s="81"/>
      <c r="D107" s="81"/>
      <c r="E107" s="81"/>
      <c r="F107" s="173"/>
      <c r="G107" s="173"/>
      <c r="H107" s="173"/>
      <c r="I107" s="173"/>
      <c r="J107" s="173"/>
      <c r="K107" s="173"/>
      <c r="L107" s="80"/>
      <c r="M107" s="81"/>
      <c r="N107" s="102"/>
      <c r="O107" s="102"/>
      <c r="P107" s="81"/>
      <c r="Q107" s="81"/>
      <c r="R107" s="81"/>
      <c r="S107" s="81"/>
      <c r="T107" s="81"/>
      <c r="U107" s="81"/>
      <c r="V107" s="81"/>
      <c r="W107" s="81"/>
      <c r="X107" s="81"/>
      <c r="Y107" s="81"/>
    </row>
    <row r="108" customFormat="false" ht="12" hidden="false" customHeight="true" outlineLevel="0" collapsed="false">
      <c r="A108" s="91"/>
      <c r="B108" s="81"/>
      <c r="C108" s="81"/>
      <c r="D108" s="81"/>
      <c r="E108" s="81"/>
      <c r="F108" s="173"/>
      <c r="G108" s="173"/>
      <c r="H108" s="173"/>
      <c r="I108" s="173"/>
      <c r="J108" s="173"/>
      <c r="K108" s="173"/>
      <c r="L108" s="80"/>
      <c r="M108" s="81"/>
      <c r="N108" s="102"/>
      <c r="O108" s="102"/>
      <c r="P108" s="81"/>
      <c r="Q108" s="81"/>
      <c r="R108" s="81"/>
      <c r="S108" s="81"/>
      <c r="T108" s="81"/>
      <c r="U108" s="81"/>
      <c r="V108" s="81"/>
      <c r="W108" s="81"/>
      <c r="X108" s="81"/>
      <c r="Y108" s="81"/>
    </row>
    <row r="109" customFormat="false" ht="12" hidden="false" customHeight="true" outlineLevel="0" collapsed="false">
      <c r="A109" s="91"/>
      <c r="B109" s="81"/>
      <c r="C109" s="81"/>
      <c r="D109" s="81"/>
      <c r="E109" s="81"/>
      <c r="F109" s="173"/>
      <c r="G109" s="173"/>
      <c r="H109" s="173"/>
      <c r="I109" s="173"/>
      <c r="J109" s="173"/>
      <c r="K109" s="173"/>
      <c r="L109" s="80"/>
      <c r="M109" s="81"/>
      <c r="N109" s="102"/>
      <c r="O109" s="102"/>
      <c r="P109" s="81"/>
      <c r="Q109" s="81"/>
      <c r="R109" s="81"/>
      <c r="S109" s="81"/>
      <c r="T109" s="81"/>
      <c r="U109" s="81"/>
      <c r="V109" s="81"/>
      <c r="W109" s="81"/>
      <c r="X109" s="81"/>
      <c r="Y109" s="81"/>
    </row>
    <row r="110" customFormat="false" ht="12" hidden="false" customHeight="true" outlineLevel="0" collapsed="false">
      <c r="A110" s="91"/>
      <c r="B110" s="81"/>
      <c r="C110" s="81"/>
      <c r="D110" s="81"/>
      <c r="E110" s="81"/>
      <c r="F110" s="173"/>
      <c r="G110" s="173"/>
      <c r="H110" s="173"/>
      <c r="I110" s="173"/>
      <c r="J110" s="173"/>
      <c r="K110" s="173"/>
      <c r="L110" s="80"/>
      <c r="M110" s="81"/>
      <c r="N110" s="102"/>
      <c r="O110" s="102"/>
      <c r="P110" s="81"/>
      <c r="Q110" s="81"/>
      <c r="R110" s="81"/>
      <c r="S110" s="81"/>
      <c r="T110" s="81"/>
      <c r="U110" s="81"/>
      <c r="V110" s="81"/>
      <c r="W110" s="81"/>
      <c r="X110" s="81"/>
      <c r="Y110" s="81"/>
    </row>
    <row r="111" customFormat="false" ht="12" hidden="false" customHeight="true" outlineLevel="0" collapsed="false">
      <c r="A111" s="91"/>
      <c r="B111" s="81"/>
      <c r="C111" s="81"/>
      <c r="D111" s="81"/>
      <c r="E111" s="81"/>
      <c r="F111" s="173"/>
      <c r="G111" s="173"/>
      <c r="H111" s="173"/>
      <c r="I111" s="173"/>
      <c r="J111" s="173"/>
      <c r="K111" s="173"/>
      <c r="L111" s="80"/>
      <c r="M111" s="81"/>
      <c r="N111" s="102"/>
      <c r="O111" s="102"/>
      <c r="P111" s="81"/>
      <c r="Q111" s="81"/>
      <c r="R111" s="81"/>
      <c r="S111" s="81"/>
      <c r="T111" s="81"/>
      <c r="U111" s="81"/>
      <c r="V111" s="81"/>
      <c r="W111" s="81"/>
      <c r="X111" s="81"/>
      <c r="Y111" s="81"/>
    </row>
    <row r="112" customFormat="false" ht="12" hidden="false" customHeight="true" outlineLevel="0" collapsed="false">
      <c r="A112" s="91"/>
      <c r="B112" s="81"/>
      <c r="C112" s="81"/>
      <c r="D112" s="81"/>
      <c r="E112" s="81"/>
      <c r="F112" s="173"/>
      <c r="G112" s="173"/>
      <c r="H112" s="173"/>
      <c r="I112" s="173"/>
      <c r="J112" s="173"/>
      <c r="K112" s="173"/>
      <c r="L112" s="80"/>
      <c r="M112" s="81"/>
      <c r="N112" s="102"/>
      <c r="O112" s="102"/>
      <c r="P112" s="81"/>
      <c r="Q112" s="81"/>
      <c r="R112" s="81"/>
      <c r="S112" s="81"/>
      <c r="T112" s="81"/>
      <c r="U112" s="81"/>
      <c r="V112" s="81"/>
      <c r="W112" s="81"/>
      <c r="X112" s="81"/>
      <c r="Y112" s="81"/>
    </row>
    <row r="113" customFormat="false" ht="12" hidden="false" customHeight="true" outlineLevel="0" collapsed="false">
      <c r="A113" s="91"/>
      <c r="B113" s="81"/>
      <c r="C113" s="81"/>
      <c r="D113" s="81"/>
      <c r="E113" s="81"/>
      <c r="F113" s="173"/>
      <c r="G113" s="173"/>
      <c r="H113" s="173"/>
      <c r="I113" s="173"/>
      <c r="J113" s="173"/>
      <c r="K113" s="173"/>
      <c r="L113" s="80"/>
      <c r="M113" s="81"/>
      <c r="N113" s="102"/>
      <c r="O113" s="102"/>
      <c r="P113" s="81"/>
      <c r="Q113" s="81"/>
      <c r="R113" s="81"/>
      <c r="S113" s="81"/>
      <c r="T113" s="81"/>
      <c r="U113" s="81"/>
      <c r="V113" s="81"/>
      <c r="W113" s="81"/>
      <c r="X113" s="81"/>
      <c r="Y113" s="81"/>
    </row>
    <row r="114" customFormat="false" ht="12" hidden="false" customHeight="true" outlineLevel="0" collapsed="false">
      <c r="A114" s="91"/>
      <c r="B114" s="81"/>
      <c r="C114" s="81"/>
      <c r="D114" s="81"/>
      <c r="E114" s="81"/>
      <c r="F114" s="173"/>
      <c r="G114" s="173"/>
      <c r="H114" s="173"/>
      <c r="I114" s="173"/>
      <c r="J114" s="173"/>
      <c r="K114" s="173"/>
      <c r="L114" s="80"/>
      <c r="M114" s="81"/>
      <c r="N114" s="102"/>
      <c r="O114" s="102"/>
      <c r="P114" s="81"/>
      <c r="Q114" s="81"/>
      <c r="R114" s="81"/>
      <c r="S114" s="81"/>
      <c r="T114" s="81"/>
      <c r="U114" s="81"/>
      <c r="V114" s="81"/>
      <c r="W114" s="81"/>
      <c r="X114" s="81"/>
      <c r="Y114" s="81"/>
    </row>
    <row r="115" customFormat="false" ht="12" hidden="false" customHeight="true" outlineLevel="0" collapsed="false">
      <c r="A115" s="91"/>
      <c r="B115" s="81"/>
      <c r="C115" s="81"/>
      <c r="D115" s="81"/>
      <c r="E115" s="81"/>
      <c r="F115" s="173"/>
      <c r="G115" s="173"/>
      <c r="H115" s="173"/>
      <c r="I115" s="173"/>
      <c r="J115" s="173"/>
      <c r="K115" s="173"/>
      <c r="L115" s="80"/>
      <c r="M115" s="81"/>
      <c r="N115" s="102"/>
      <c r="O115" s="102"/>
      <c r="P115" s="81"/>
      <c r="Q115" s="81"/>
      <c r="R115" s="81"/>
      <c r="S115" s="81"/>
      <c r="T115" s="81"/>
      <c r="U115" s="81"/>
      <c r="V115" s="81"/>
      <c r="W115" s="81"/>
      <c r="X115" s="81"/>
      <c r="Y115" s="81"/>
    </row>
    <row r="116" customFormat="false" ht="12" hidden="false" customHeight="true" outlineLevel="0" collapsed="false">
      <c r="A116" s="91"/>
      <c r="B116" s="81"/>
      <c r="C116" s="81"/>
      <c r="D116" s="81"/>
      <c r="E116" s="81"/>
      <c r="F116" s="173"/>
      <c r="G116" s="173"/>
      <c r="H116" s="173"/>
      <c r="I116" s="173"/>
      <c r="J116" s="173"/>
      <c r="K116" s="173"/>
      <c r="L116" s="80"/>
      <c r="M116" s="81"/>
      <c r="N116" s="102"/>
      <c r="O116" s="102"/>
      <c r="P116" s="81"/>
      <c r="Q116" s="81"/>
      <c r="R116" s="81"/>
      <c r="S116" s="81"/>
      <c r="T116" s="81"/>
      <c r="U116" s="81"/>
      <c r="V116" s="81"/>
      <c r="W116" s="81"/>
      <c r="X116" s="81"/>
      <c r="Y116" s="81"/>
    </row>
    <row r="117" customFormat="false" ht="12" hidden="false" customHeight="true" outlineLevel="0" collapsed="false">
      <c r="A117" s="91"/>
      <c r="B117" s="81"/>
      <c r="C117" s="81"/>
      <c r="D117" s="81"/>
      <c r="E117" s="81"/>
      <c r="F117" s="173"/>
      <c r="G117" s="173"/>
      <c r="H117" s="173"/>
      <c r="I117" s="173"/>
      <c r="J117" s="173"/>
      <c r="K117" s="173"/>
      <c r="L117" s="80"/>
      <c r="M117" s="81"/>
      <c r="N117" s="102"/>
      <c r="O117" s="102"/>
      <c r="P117" s="81"/>
      <c r="Q117" s="81"/>
      <c r="R117" s="81"/>
      <c r="S117" s="81"/>
      <c r="T117" s="81"/>
      <c r="U117" s="81"/>
      <c r="V117" s="81"/>
      <c r="W117" s="81"/>
      <c r="X117" s="81"/>
      <c r="Y117" s="81"/>
    </row>
    <row r="118" customFormat="false" ht="12" hidden="false" customHeight="true" outlineLevel="0" collapsed="false">
      <c r="A118" s="91"/>
      <c r="B118" s="81"/>
      <c r="C118" s="81"/>
      <c r="D118" s="81"/>
      <c r="E118" s="81"/>
      <c r="F118" s="173"/>
      <c r="G118" s="173"/>
      <c r="H118" s="173"/>
      <c r="I118" s="173"/>
      <c r="J118" s="173"/>
      <c r="K118" s="173"/>
      <c r="L118" s="80"/>
      <c r="M118" s="81"/>
      <c r="N118" s="102"/>
      <c r="O118" s="102"/>
      <c r="P118" s="81"/>
      <c r="Q118" s="81"/>
      <c r="R118" s="81"/>
      <c r="S118" s="81"/>
      <c r="T118" s="81"/>
      <c r="U118" s="81"/>
      <c r="V118" s="81"/>
      <c r="W118" s="81"/>
      <c r="X118" s="81"/>
      <c r="Y118" s="81"/>
    </row>
    <row r="119" customFormat="false" ht="12" hidden="false" customHeight="true" outlineLevel="0" collapsed="false">
      <c r="A119" s="91"/>
      <c r="B119" s="81"/>
      <c r="C119" s="81"/>
      <c r="D119" s="81"/>
      <c r="E119" s="81"/>
      <c r="F119" s="173"/>
      <c r="G119" s="173"/>
      <c r="H119" s="173"/>
      <c r="I119" s="173"/>
      <c r="J119" s="173"/>
      <c r="K119" s="173"/>
      <c r="L119" s="80"/>
      <c r="M119" s="81"/>
      <c r="N119" s="102"/>
      <c r="O119" s="102"/>
      <c r="P119" s="81"/>
      <c r="Q119" s="81"/>
      <c r="R119" s="81"/>
      <c r="S119" s="81"/>
      <c r="T119" s="81"/>
      <c r="U119" s="81"/>
      <c r="V119" s="81"/>
      <c r="W119" s="81"/>
      <c r="X119" s="81"/>
      <c r="Y119" s="81"/>
    </row>
    <row r="120" customFormat="false" ht="12" hidden="false" customHeight="true" outlineLevel="0" collapsed="false">
      <c r="A120" s="91"/>
      <c r="B120" s="81"/>
      <c r="C120" s="81"/>
      <c r="D120" s="81"/>
      <c r="E120" s="81"/>
      <c r="F120" s="173"/>
      <c r="G120" s="173"/>
      <c r="H120" s="173"/>
      <c r="I120" s="173"/>
      <c r="J120" s="173"/>
      <c r="K120" s="173"/>
      <c r="L120" s="80"/>
      <c r="M120" s="81"/>
      <c r="N120" s="102"/>
      <c r="O120" s="102"/>
      <c r="P120" s="81"/>
      <c r="Q120" s="81"/>
      <c r="R120" s="81"/>
      <c r="S120" s="81"/>
      <c r="T120" s="81"/>
      <c r="U120" s="81"/>
      <c r="V120" s="81"/>
      <c r="W120" s="81"/>
      <c r="X120" s="81"/>
      <c r="Y120" s="81"/>
    </row>
    <row r="121" customFormat="false" ht="12" hidden="false" customHeight="true" outlineLevel="0" collapsed="false">
      <c r="A121" s="91"/>
      <c r="B121" s="81"/>
      <c r="C121" s="81"/>
      <c r="D121" s="81"/>
      <c r="E121" s="81"/>
      <c r="F121" s="173"/>
      <c r="G121" s="173"/>
      <c r="H121" s="173"/>
      <c r="I121" s="173"/>
      <c r="J121" s="173"/>
      <c r="K121" s="173"/>
      <c r="L121" s="80"/>
      <c r="M121" s="81"/>
      <c r="N121" s="102"/>
      <c r="O121" s="102"/>
      <c r="P121" s="81"/>
      <c r="Q121" s="81"/>
      <c r="R121" s="81"/>
      <c r="S121" s="81"/>
      <c r="T121" s="81"/>
      <c r="U121" s="81"/>
      <c r="V121" s="81"/>
      <c r="W121" s="81"/>
      <c r="X121" s="81"/>
      <c r="Y121" s="81"/>
    </row>
    <row r="122" customFormat="false" ht="12" hidden="false" customHeight="true" outlineLevel="0" collapsed="false">
      <c r="A122" s="91"/>
      <c r="B122" s="81"/>
      <c r="C122" s="81"/>
      <c r="D122" s="81"/>
      <c r="E122" s="81"/>
      <c r="F122" s="173"/>
      <c r="G122" s="173"/>
      <c r="H122" s="173"/>
      <c r="I122" s="173"/>
      <c r="J122" s="173"/>
      <c r="K122" s="173"/>
      <c r="L122" s="80"/>
      <c r="M122" s="81"/>
      <c r="N122" s="102"/>
      <c r="O122" s="102"/>
      <c r="P122" s="81"/>
      <c r="Q122" s="81"/>
      <c r="R122" s="81"/>
      <c r="S122" s="81"/>
      <c r="T122" s="81"/>
      <c r="U122" s="81"/>
      <c r="V122" s="81"/>
      <c r="W122" s="81"/>
      <c r="X122" s="81"/>
      <c r="Y122" s="81"/>
    </row>
    <row r="123" customFormat="false" ht="12" hidden="false" customHeight="true" outlineLevel="0" collapsed="false">
      <c r="A123" s="91"/>
      <c r="B123" s="81"/>
      <c r="C123" s="81"/>
      <c r="D123" s="81"/>
      <c r="E123" s="81"/>
      <c r="F123" s="173"/>
      <c r="G123" s="173"/>
      <c r="H123" s="173"/>
      <c r="I123" s="173"/>
      <c r="J123" s="173"/>
      <c r="K123" s="173"/>
      <c r="L123" s="80"/>
      <c r="M123" s="81"/>
      <c r="N123" s="102"/>
      <c r="O123" s="102"/>
      <c r="P123" s="81"/>
      <c r="Q123" s="81"/>
      <c r="R123" s="81"/>
      <c r="S123" s="81"/>
      <c r="T123" s="81"/>
      <c r="U123" s="81"/>
      <c r="V123" s="81"/>
      <c r="W123" s="81"/>
      <c r="X123" s="81"/>
      <c r="Y123" s="81"/>
    </row>
    <row r="124" customFormat="false" ht="12" hidden="false" customHeight="true" outlineLevel="0" collapsed="false">
      <c r="A124" s="91"/>
      <c r="B124" s="81"/>
      <c r="C124" s="81"/>
      <c r="D124" s="81"/>
      <c r="E124" s="81"/>
      <c r="F124" s="173"/>
      <c r="G124" s="173"/>
      <c r="H124" s="173"/>
      <c r="I124" s="173"/>
      <c r="J124" s="173"/>
      <c r="K124" s="173"/>
      <c r="L124" s="80"/>
      <c r="M124" s="81"/>
      <c r="N124" s="102"/>
      <c r="O124" s="102"/>
      <c r="P124" s="81"/>
      <c r="Q124" s="81"/>
      <c r="R124" s="81"/>
      <c r="S124" s="81"/>
      <c r="T124" s="81"/>
      <c r="U124" s="81"/>
      <c r="V124" s="81"/>
      <c r="W124" s="81"/>
      <c r="X124" s="81"/>
      <c r="Y124" s="81"/>
    </row>
    <row r="125" customFormat="false" ht="12" hidden="false" customHeight="true" outlineLevel="0" collapsed="false">
      <c r="A125" s="91"/>
      <c r="B125" s="81"/>
      <c r="C125" s="81"/>
      <c r="D125" s="81"/>
      <c r="E125" s="81"/>
      <c r="F125" s="173"/>
      <c r="G125" s="173"/>
      <c r="H125" s="173"/>
      <c r="I125" s="173"/>
      <c r="J125" s="173"/>
      <c r="K125" s="173"/>
      <c r="L125" s="80"/>
      <c r="M125" s="81"/>
      <c r="N125" s="102"/>
      <c r="O125" s="102"/>
      <c r="P125" s="81"/>
      <c r="Q125" s="81"/>
      <c r="R125" s="81"/>
      <c r="S125" s="81"/>
      <c r="T125" s="81"/>
      <c r="U125" s="81"/>
      <c r="V125" s="81"/>
      <c r="W125" s="81"/>
      <c r="X125" s="81"/>
      <c r="Y125" s="81"/>
    </row>
    <row r="126" customFormat="false" ht="12" hidden="false" customHeight="true" outlineLevel="0" collapsed="false">
      <c r="A126" s="91"/>
      <c r="B126" s="81"/>
      <c r="C126" s="81"/>
      <c r="D126" s="81"/>
      <c r="E126" s="81"/>
      <c r="F126" s="173"/>
      <c r="G126" s="173"/>
      <c r="H126" s="173"/>
      <c r="I126" s="173"/>
      <c r="J126" s="173"/>
      <c r="K126" s="173"/>
      <c r="L126" s="80"/>
      <c r="M126" s="81"/>
      <c r="N126" s="102"/>
      <c r="O126" s="102"/>
      <c r="P126" s="81"/>
      <c r="Q126" s="81"/>
      <c r="R126" s="81"/>
      <c r="S126" s="81"/>
      <c r="T126" s="81"/>
      <c r="U126" s="81"/>
      <c r="V126" s="81"/>
      <c r="W126" s="81"/>
      <c r="X126" s="81"/>
      <c r="Y126" s="81"/>
    </row>
    <row r="127" customFormat="false" ht="12" hidden="false" customHeight="true" outlineLevel="0" collapsed="false">
      <c r="A127" s="91"/>
      <c r="B127" s="81"/>
      <c r="C127" s="81"/>
      <c r="D127" s="81"/>
      <c r="E127" s="81"/>
      <c r="F127" s="173"/>
      <c r="G127" s="173"/>
      <c r="H127" s="173"/>
      <c r="I127" s="173"/>
      <c r="J127" s="173"/>
      <c r="K127" s="173"/>
      <c r="L127" s="80"/>
      <c r="M127" s="81"/>
      <c r="N127" s="102"/>
      <c r="O127" s="102"/>
      <c r="P127" s="81"/>
      <c r="Q127" s="81"/>
      <c r="R127" s="81"/>
      <c r="S127" s="81"/>
      <c r="T127" s="81"/>
      <c r="U127" s="81"/>
      <c r="V127" s="81"/>
      <c r="W127" s="81"/>
      <c r="X127" s="81"/>
      <c r="Y127" s="81"/>
    </row>
    <row r="128" customFormat="false" ht="12" hidden="false" customHeight="true" outlineLevel="0" collapsed="false">
      <c r="A128" s="91"/>
      <c r="B128" s="81"/>
      <c r="C128" s="81"/>
      <c r="D128" s="81"/>
      <c r="E128" s="81"/>
      <c r="F128" s="173"/>
      <c r="G128" s="173"/>
      <c r="H128" s="173"/>
      <c r="I128" s="173"/>
      <c r="J128" s="173"/>
      <c r="K128" s="173"/>
      <c r="L128" s="80"/>
      <c r="M128" s="81"/>
      <c r="N128" s="102"/>
      <c r="O128" s="102"/>
      <c r="P128" s="81"/>
      <c r="Q128" s="81"/>
      <c r="R128" s="81"/>
      <c r="S128" s="81"/>
      <c r="T128" s="81"/>
      <c r="U128" s="81"/>
      <c r="V128" s="81"/>
      <c r="W128" s="81"/>
      <c r="X128" s="81"/>
      <c r="Y128" s="81"/>
    </row>
    <row r="129" customFormat="false" ht="12" hidden="false" customHeight="true" outlineLevel="0" collapsed="false">
      <c r="A129" s="91"/>
      <c r="B129" s="81"/>
      <c r="C129" s="81"/>
      <c r="D129" s="81"/>
      <c r="E129" s="81"/>
      <c r="F129" s="173"/>
      <c r="G129" s="173"/>
      <c r="H129" s="173"/>
      <c r="I129" s="173"/>
      <c r="J129" s="173"/>
      <c r="K129" s="173"/>
      <c r="L129" s="80"/>
      <c r="M129" s="81"/>
      <c r="N129" s="102"/>
      <c r="O129" s="102"/>
      <c r="P129" s="81"/>
      <c r="Q129" s="81"/>
      <c r="R129" s="81"/>
      <c r="S129" s="81"/>
      <c r="T129" s="81"/>
      <c r="U129" s="81"/>
      <c r="V129" s="81"/>
      <c r="W129" s="81"/>
      <c r="X129" s="81"/>
      <c r="Y129" s="81"/>
    </row>
    <row r="130" customFormat="false" ht="12" hidden="false" customHeight="true" outlineLevel="0" collapsed="false">
      <c r="A130" s="91"/>
      <c r="B130" s="81"/>
      <c r="C130" s="81"/>
      <c r="D130" s="81"/>
      <c r="E130" s="81"/>
      <c r="F130" s="173"/>
      <c r="G130" s="173"/>
      <c r="H130" s="173"/>
      <c r="I130" s="173"/>
      <c r="J130" s="173"/>
      <c r="K130" s="173"/>
      <c r="L130" s="80"/>
      <c r="M130" s="81"/>
      <c r="N130" s="102"/>
      <c r="O130" s="102"/>
      <c r="P130" s="81"/>
      <c r="Q130" s="81"/>
      <c r="R130" s="81"/>
      <c r="S130" s="81"/>
      <c r="T130" s="81"/>
      <c r="U130" s="81"/>
      <c r="V130" s="81"/>
      <c r="W130" s="81"/>
      <c r="X130" s="81"/>
      <c r="Y130" s="81"/>
    </row>
    <row r="131" customFormat="false" ht="12" hidden="false" customHeight="true" outlineLevel="0" collapsed="false">
      <c r="A131" s="91"/>
      <c r="B131" s="81"/>
      <c r="C131" s="81"/>
      <c r="D131" s="81"/>
      <c r="E131" s="81"/>
      <c r="F131" s="173"/>
      <c r="G131" s="173"/>
      <c r="H131" s="173"/>
      <c r="I131" s="173"/>
      <c r="J131" s="173"/>
      <c r="K131" s="173"/>
      <c r="L131" s="80"/>
      <c r="M131" s="81"/>
      <c r="N131" s="102"/>
      <c r="O131" s="102"/>
      <c r="P131" s="81"/>
      <c r="Q131" s="81"/>
      <c r="R131" s="81"/>
      <c r="S131" s="81"/>
      <c r="T131" s="81"/>
      <c r="U131" s="81"/>
      <c r="V131" s="81"/>
      <c r="W131" s="81"/>
      <c r="X131" s="81"/>
      <c r="Y131" s="81"/>
    </row>
    <row r="132" customFormat="false" ht="12" hidden="false" customHeight="true" outlineLevel="0" collapsed="false">
      <c r="A132" s="91"/>
      <c r="B132" s="81"/>
      <c r="C132" s="81"/>
      <c r="D132" s="81"/>
      <c r="E132" s="81"/>
      <c r="F132" s="173"/>
      <c r="G132" s="173"/>
      <c r="H132" s="173"/>
      <c r="I132" s="173"/>
      <c r="J132" s="173"/>
      <c r="K132" s="173"/>
      <c r="L132" s="80"/>
      <c r="M132" s="81"/>
      <c r="N132" s="102"/>
      <c r="O132" s="102"/>
      <c r="P132" s="81"/>
      <c r="Q132" s="81"/>
      <c r="R132" s="81"/>
      <c r="S132" s="81"/>
      <c r="T132" s="81"/>
      <c r="U132" s="81"/>
      <c r="V132" s="81"/>
      <c r="W132" s="81"/>
      <c r="X132" s="81"/>
      <c r="Y132" s="81"/>
    </row>
    <row r="133" customFormat="false" ht="12" hidden="false" customHeight="true" outlineLevel="0" collapsed="false">
      <c r="A133" s="91"/>
      <c r="B133" s="81"/>
      <c r="C133" s="81"/>
      <c r="D133" s="81"/>
      <c r="E133" s="81"/>
      <c r="F133" s="173"/>
      <c r="G133" s="173"/>
      <c r="H133" s="173"/>
      <c r="I133" s="173"/>
      <c r="J133" s="173"/>
      <c r="K133" s="173"/>
      <c r="L133" s="80"/>
      <c r="M133" s="81"/>
      <c r="N133" s="102"/>
      <c r="O133" s="102"/>
      <c r="P133" s="81"/>
      <c r="Q133" s="81"/>
      <c r="R133" s="81"/>
      <c r="S133" s="81"/>
      <c r="T133" s="81"/>
      <c r="U133" s="81"/>
      <c r="V133" s="81"/>
      <c r="W133" s="81"/>
      <c r="X133" s="81"/>
      <c r="Y133" s="81"/>
    </row>
    <row r="134" customFormat="false" ht="12" hidden="false" customHeight="true" outlineLevel="0" collapsed="false">
      <c r="A134" s="91"/>
      <c r="B134" s="81"/>
      <c r="C134" s="81"/>
      <c r="D134" s="81"/>
      <c r="E134" s="81"/>
      <c r="F134" s="173"/>
      <c r="G134" s="173"/>
      <c r="H134" s="173"/>
      <c r="I134" s="173"/>
      <c r="J134" s="173"/>
      <c r="K134" s="173"/>
      <c r="L134" s="80"/>
      <c r="M134" s="81"/>
      <c r="N134" s="102"/>
      <c r="O134" s="102"/>
      <c r="P134" s="81"/>
      <c r="Q134" s="81"/>
      <c r="R134" s="81"/>
      <c r="S134" s="81"/>
      <c r="T134" s="81"/>
      <c r="U134" s="81"/>
      <c r="V134" s="81"/>
      <c r="W134" s="81"/>
      <c r="X134" s="81"/>
      <c r="Y134" s="81"/>
    </row>
    <row r="135" customFormat="false" ht="12" hidden="false" customHeight="true" outlineLevel="0" collapsed="false">
      <c r="A135" s="91"/>
      <c r="B135" s="81"/>
      <c r="C135" s="81"/>
      <c r="D135" s="81"/>
      <c r="E135" s="81"/>
      <c r="F135" s="173"/>
      <c r="G135" s="173"/>
      <c r="H135" s="173"/>
      <c r="I135" s="173"/>
      <c r="J135" s="173"/>
      <c r="K135" s="173"/>
      <c r="L135" s="80"/>
      <c r="M135" s="81"/>
      <c r="N135" s="102"/>
      <c r="O135" s="102"/>
      <c r="P135" s="81"/>
      <c r="Q135" s="81"/>
      <c r="R135" s="81"/>
      <c r="S135" s="81"/>
      <c r="T135" s="81"/>
      <c r="U135" s="81"/>
      <c r="V135" s="81"/>
      <c r="W135" s="81"/>
      <c r="X135" s="81"/>
      <c r="Y135" s="81"/>
    </row>
    <row r="136" customFormat="false" ht="12" hidden="false" customHeight="true" outlineLevel="0" collapsed="false">
      <c r="A136" s="91"/>
      <c r="B136" s="81"/>
      <c r="C136" s="81"/>
      <c r="D136" s="81"/>
      <c r="E136" s="81"/>
      <c r="F136" s="173"/>
      <c r="G136" s="173"/>
      <c r="H136" s="173"/>
      <c r="I136" s="173"/>
      <c r="J136" s="173"/>
      <c r="K136" s="173"/>
      <c r="L136" s="80"/>
      <c r="M136" s="81"/>
      <c r="N136" s="102"/>
      <c r="O136" s="102"/>
      <c r="P136" s="81"/>
      <c r="Q136" s="81"/>
      <c r="R136" s="81"/>
      <c r="S136" s="81"/>
      <c r="T136" s="81"/>
      <c r="U136" s="81"/>
      <c r="V136" s="81"/>
      <c r="W136" s="81"/>
      <c r="X136" s="81"/>
      <c r="Y136" s="81"/>
    </row>
    <row r="137" customFormat="false" ht="12" hidden="false" customHeight="true" outlineLevel="0" collapsed="false">
      <c r="A137" s="91"/>
      <c r="B137" s="81"/>
      <c r="C137" s="81"/>
      <c r="D137" s="81"/>
      <c r="E137" s="81"/>
      <c r="F137" s="173"/>
      <c r="G137" s="173"/>
      <c r="H137" s="173"/>
      <c r="I137" s="173"/>
      <c r="J137" s="173"/>
      <c r="K137" s="173"/>
      <c r="L137" s="80"/>
      <c r="M137" s="81"/>
      <c r="N137" s="102"/>
      <c r="O137" s="102"/>
      <c r="P137" s="81"/>
      <c r="Q137" s="81"/>
      <c r="R137" s="81"/>
      <c r="S137" s="81"/>
      <c r="T137" s="81"/>
      <c r="U137" s="81"/>
      <c r="V137" s="81"/>
      <c r="W137" s="81"/>
      <c r="X137" s="81"/>
      <c r="Y137" s="81"/>
    </row>
    <row r="138" customFormat="false" ht="12" hidden="false" customHeight="true" outlineLevel="0" collapsed="false">
      <c r="A138" s="91"/>
      <c r="B138" s="81"/>
      <c r="C138" s="81"/>
      <c r="D138" s="81"/>
      <c r="E138" s="81"/>
      <c r="F138" s="173"/>
      <c r="G138" s="173"/>
      <c r="H138" s="173"/>
      <c r="I138" s="173"/>
      <c r="J138" s="173"/>
      <c r="K138" s="173"/>
      <c r="L138" s="80"/>
      <c r="M138" s="81"/>
      <c r="N138" s="102"/>
      <c r="O138" s="102"/>
      <c r="P138" s="81"/>
      <c r="Q138" s="81"/>
      <c r="R138" s="81"/>
      <c r="S138" s="81"/>
      <c r="T138" s="81"/>
      <c r="U138" s="81"/>
      <c r="V138" s="81"/>
      <c r="W138" s="81"/>
      <c r="X138" s="81"/>
      <c r="Y138" s="81"/>
    </row>
    <row r="139" customFormat="false" ht="12" hidden="false" customHeight="true" outlineLevel="0" collapsed="false">
      <c r="A139" s="91"/>
      <c r="B139" s="81"/>
      <c r="C139" s="81"/>
      <c r="D139" s="81"/>
      <c r="E139" s="81"/>
      <c r="F139" s="173"/>
      <c r="G139" s="173"/>
      <c r="H139" s="173"/>
      <c r="I139" s="173"/>
      <c r="J139" s="173"/>
      <c r="K139" s="173"/>
      <c r="L139" s="80"/>
      <c r="M139" s="81"/>
      <c r="N139" s="102"/>
      <c r="O139" s="102"/>
      <c r="P139" s="81"/>
      <c r="Q139" s="81"/>
      <c r="R139" s="81"/>
      <c r="S139" s="81"/>
      <c r="T139" s="81"/>
      <c r="U139" s="81"/>
      <c r="V139" s="81"/>
      <c r="W139" s="81"/>
      <c r="X139" s="81"/>
      <c r="Y139" s="81"/>
    </row>
    <row r="140" customFormat="false" ht="12" hidden="false" customHeight="true" outlineLevel="0" collapsed="false">
      <c r="A140" s="91"/>
      <c r="B140" s="81"/>
      <c r="C140" s="81"/>
      <c r="D140" s="81"/>
      <c r="E140" s="81"/>
      <c r="F140" s="173"/>
      <c r="G140" s="173"/>
      <c r="H140" s="173"/>
      <c r="I140" s="173"/>
      <c r="J140" s="173"/>
      <c r="K140" s="173"/>
      <c r="L140" s="80"/>
      <c r="M140" s="81"/>
      <c r="N140" s="102"/>
      <c r="O140" s="102"/>
      <c r="P140" s="81"/>
      <c r="Q140" s="81"/>
      <c r="R140" s="81"/>
      <c r="S140" s="81"/>
      <c r="T140" s="81"/>
      <c r="U140" s="81"/>
      <c r="V140" s="81"/>
      <c r="W140" s="81"/>
      <c r="X140" s="81"/>
      <c r="Y140" s="81"/>
    </row>
    <row r="141" customFormat="false" ht="12" hidden="false" customHeight="true" outlineLevel="0" collapsed="false">
      <c r="A141" s="91"/>
      <c r="B141" s="81"/>
      <c r="C141" s="81"/>
      <c r="D141" s="81"/>
      <c r="E141" s="81"/>
      <c r="F141" s="173"/>
      <c r="G141" s="173"/>
      <c r="H141" s="173"/>
      <c r="I141" s="173"/>
      <c r="J141" s="173"/>
      <c r="K141" s="173"/>
      <c r="L141" s="80"/>
      <c r="M141" s="81"/>
      <c r="N141" s="102"/>
      <c r="O141" s="102"/>
      <c r="P141" s="81"/>
      <c r="Q141" s="81"/>
      <c r="R141" s="81"/>
      <c r="S141" s="81"/>
      <c r="T141" s="81"/>
      <c r="U141" s="81"/>
      <c r="V141" s="81"/>
      <c r="W141" s="81"/>
      <c r="X141" s="81"/>
      <c r="Y141" s="81"/>
    </row>
    <row r="142" customFormat="false" ht="12" hidden="false" customHeight="true" outlineLevel="0" collapsed="false">
      <c r="A142" s="91"/>
      <c r="B142" s="81"/>
      <c r="C142" s="81"/>
      <c r="D142" s="81"/>
      <c r="E142" s="81"/>
      <c r="F142" s="173"/>
      <c r="G142" s="173"/>
      <c r="H142" s="173"/>
      <c r="I142" s="173"/>
      <c r="J142" s="173"/>
      <c r="K142" s="173"/>
      <c r="L142" s="80"/>
      <c r="M142" s="81"/>
      <c r="N142" s="102"/>
      <c r="O142" s="102"/>
      <c r="P142" s="81"/>
      <c r="Q142" s="81"/>
      <c r="R142" s="81"/>
      <c r="S142" s="81"/>
      <c r="T142" s="81"/>
      <c r="U142" s="81"/>
      <c r="V142" s="81"/>
      <c r="W142" s="81"/>
      <c r="X142" s="81"/>
      <c r="Y142" s="81"/>
    </row>
    <row r="143" customFormat="false" ht="12" hidden="false" customHeight="true" outlineLevel="0" collapsed="false">
      <c r="A143" s="91"/>
      <c r="B143" s="81"/>
      <c r="C143" s="81"/>
      <c r="D143" s="81"/>
      <c r="E143" s="81"/>
      <c r="F143" s="173"/>
      <c r="G143" s="173"/>
      <c r="H143" s="173"/>
      <c r="I143" s="173"/>
      <c r="J143" s="173"/>
      <c r="K143" s="173"/>
      <c r="L143" s="80"/>
      <c r="M143" s="81"/>
      <c r="N143" s="102"/>
      <c r="O143" s="102"/>
      <c r="P143" s="81"/>
      <c r="Q143" s="81"/>
      <c r="R143" s="81"/>
      <c r="S143" s="81"/>
      <c r="T143" s="81"/>
      <c r="U143" s="81"/>
      <c r="V143" s="81"/>
      <c r="W143" s="81"/>
      <c r="X143" s="81"/>
      <c r="Y143" s="81"/>
    </row>
    <row r="144" customFormat="false" ht="12" hidden="false" customHeight="true" outlineLevel="0" collapsed="false">
      <c r="A144" s="91"/>
      <c r="B144" s="81"/>
      <c r="C144" s="81"/>
      <c r="D144" s="81"/>
      <c r="E144" s="81"/>
      <c r="F144" s="173"/>
      <c r="G144" s="173"/>
      <c r="H144" s="173"/>
      <c r="I144" s="173"/>
      <c r="J144" s="173"/>
      <c r="K144" s="173"/>
      <c r="L144" s="80"/>
      <c r="M144" s="81"/>
      <c r="N144" s="102"/>
      <c r="O144" s="102"/>
      <c r="P144" s="81"/>
      <c r="Q144" s="81"/>
      <c r="R144" s="81"/>
      <c r="S144" s="81"/>
      <c r="T144" s="81"/>
      <c r="U144" s="81"/>
      <c r="V144" s="81"/>
      <c r="W144" s="81"/>
      <c r="X144" s="81"/>
      <c r="Y144" s="81"/>
    </row>
    <row r="145" customFormat="false" ht="12" hidden="false" customHeight="true" outlineLevel="0" collapsed="false">
      <c r="A145" s="91"/>
      <c r="B145" s="81"/>
      <c r="C145" s="81"/>
      <c r="D145" s="81"/>
      <c r="E145" s="81"/>
      <c r="F145" s="173"/>
      <c r="G145" s="173"/>
      <c r="H145" s="173"/>
      <c r="I145" s="173"/>
      <c r="J145" s="173"/>
      <c r="K145" s="173"/>
      <c r="L145" s="80"/>
      <c r="M145" s="81"/>
      <c r="N145" s="102"/>
      <c r="O145" s="102"/>
      <c r="P145" s="81"/>
      <c r="Q145" s="81"/>
      <c r="R145" s="81"/>
      <c r="S145" s="81"/>
      <c r="T145" s="81"/>
      <c r="U145" s="81"/>
      <c r="V145" s="81"/>
      <c r="W145" s="81"/>
      <c r="X145" s="81"/>
      <c r="Y145" s="81"/>
    </row>
    <row r="146" customFormat="false" ht="12" hidden="false" customHeight="true" outlineLevel="0" collapsed="false">
      <c r="A146" s="91"/>
      <c r="B146" s="81"/>
      <c r="C146" s="81"/>
      <c r="D146" s="81"/>
      <c r="E146" s="81"/>
      <c r="F146" s="173"/>
      <c r="G146" s="173"/>
      <c r="H146" s="173"/>
      <c r="I146" s="173"/>
      <c r="J146" s="173"/>
      <c r="K146" s="173"/>
      <c r="L146" s="80"/>
      <c r="M146" s="81"/>
      <c r="N146" s="102"/>
      <c r="O146" s="102"/>
      <c r="P146" s="81"/>
      <c r="Q146" s="81"/>
      <c r="R146" s="81"/>
      <c r="S146" s="81"/>
      <c r="T146" s="81"/>
      <c r="U146" s="81"/>
      <c r="V146" s="81"/>
      <c r="W146" s="81"/>
      <c r="X146" s="81"/>
      <c r="Y146" s="81"/>
    </row>
    <row r="147" customFormat="false" ht="12" hidden="false" customHeight="true" outlineLevel="0" collapsed="false">
      <c r="A147" s="91"/>
      <c r="B147" s="81"/>
      <c r="C147" s="81"/>
      <c r="D147" s="81"/>
      <c r="E147" s="81"/>
      <c r="F147" s="173"/>
      <c r="G147" s="173"/>
      <c r="H147" s="173"/>
      <c r="I147" s="173"/>
      <c r="J147" s="173"/>
      <c r="K147" s="173"/>
      <c r="L147" s="80"/>
      <c r="M147" s="81"/>
      <c r="N147" s="102"/>
      <c r="O147" s="102"/>
      <c r="P147" s="81"/>
      <c r="Q147" s="81"/>
      <c r="R147" s="81"/>
      <c r="S147" s="81"/>
      <c r="T147" s="81"/>
      <c r="U147" s="81"/>
      <c r="V147" s="81"/>
      <c r="W147" s="81"/>
      <c r="X147" s="81"/>
      <c r="Y147" s="81"/>
    </row>
    <row r="148" customFormat="false" ht="12" hidden="false" customHeight="true" outlineLevel="0" collapsed="false">
      <c r="A148" s="91"/>
      <c r="B148" s="81"/>
      <c r="C148" s="81"/>
      <c r="D148" s="81"/>
      <c r="E148" s="81"/>
      <c r="F148" s="173"/>
      <c r="G148" s="173"/>
      <c r="H148" s="173"/>
      <c r="I148" s="173"/>
      <c r="J148" s="173"/>
      <c r="K148" s="173"/>
      <c r="L148" s="80"/>
      <c r="M148" s="81"/>
      <c r="N148" s="102"/>
      <c r="O148" s="102"/>
      <c r="P148" s="81"/>
      <c r="Q148" s="81"/>
      <c r="R148" s="81"/>
      <c r="S148" s="81"/>
      <c r="T148" s="81"/>
      <c r="U148" s="81"/>
      <c r="V148" s="81"/>
      <c r="W148" s="81"/>
      <c r="X148" s="81"/>
      <c r="Y148" s="81"/>
    </row>
    <row r="149" customFormat="false" ht="12" hidden="false" customHeight="true" outlineLevel="0" collapsed="false">
      <c r="A149" s="91"/>
      <c r="B149" s="81"/>
      <c r="C149" s="81"/>
      <c r="D149" s="81"/>
      <c r="E149" s="81"/>
      <c r="F149" s="173"/>
      <c r="G149" s="173"/>
      <c r="H149" s="173"/>
      <c r="I149" s="173"/>
      <c r="J149" s="173"/>
      <c r="K149" s="173"/>
      <c r="L149" s="80"/>
      <c r="M149" s="81"/>
      <c r="N149" s="102"/>
      <c r="O149" s="102"/>
      <c r="P149" s="81"/>
      <c r="Q149" s="81"/>
      <c r="R149" s="81"/>
      <c r="S149" s="81"/>
      <c r="T149" s="81"/>
      <c r="U149" s="81"/>
      <c r="V149" s="81"/>
      <c r="W149" s="81"/>
      <c r="X149" s="81"/>
      <c r="Y149" s="81"/>
    </row>
    <row r="150" customFormat="false" ht="12" hidden="false" customHeight="true" outlineLevel="0" collapsed="false">
      <c r="A150" s="91"/>
      <c r="B150" s="81"/>
      <c r="C150" s="81"/>
      <c r="D150" s="81"/>
      <c r="E150" s="81"/>
      <c r="F150" s="173"/>
      <c r="G150" s="173"/>
      <c r="H150" s="173"/>
      <c r="I150" s="173"/>
      <c r="J150" s="173"/>
      <c r="K150" s="173"/>
      <c r="L150" s="80"/>
      <c r="M150" s="81"/>
      <c r="N150" s="102"/>
      <c r="O150" s="102"/>
      <c r="P150" s="81"/>
      <c r="Q150" s="81"/>
      <c r="R150" s="81"/>
      <c r="S150" s="81"/>
      <c r="T150" s="81"/>
      <c r="U150" s="81"/>
      <c r="V150" s="81"/>
      <c r="W150" s="81"/>
      <c r="X150" s="81"/>
      <c r="Y150" s="81"/>
    </row>
    <row r="151" customFormat="false" ht="12" hidden="false" customHeight="true" outlineLevel="0" collapsed="false">
      <c r="A151" s="91"/>
      <c r="B151" s="81"/>
      <c r="C151" s="81"/>
      <c r="D151" s="81"/>
      <c r="E151" s="81"/>
      <c r="F151" s="173"/>
      <c r="G151" s="173"/>
      <c r="H151" s="173"/>
      <c r="I151" s="173"/>
      <c r="J151" s="173"/>
      <c r="K151" s="173"/>
      <c r="L151" s="80"/>
      <c r="M151" s="81"/>
      <c r="N151" s="102"/>
      <c r="O151" s="102"/>
      <c r="P151" s="81"/>
      <c r="Q151" s="81"/>
      <c r="R151" s="81"/>
      <c r="S151" s="81"/>
      <c r="T151" s="81"/>
      <c r="U151" s="81"/>
      <c r="V151" s="81"/>
      <c r="W151" s="81"/>
      <c r="X151" s="81"/>
      <c r="Y151" s="81"/>
    </row>
    <row r="152" customFormat="false" ht="12" hidden="false" customHeight="true" outlineLevel="0" collapsed="false">
      <c r="A152" s="91"/>
      <c r="B152" s="81"/>
      <c r="C152" s="81"/>
      <c r="D152" s="81"/>
      <c r="E152" s="81"/>
      <c r="F152" s="173"/>
      <c r="G152" s="173"/>
      <c r="H152" s="173"/>
      <c r="I152" s="173"/>
      <c r="J152" s="173"/>
      <c r="K152" s="173"/>
      <c r="L152" s="80"/>
      <c r="M152" s="81"/>
      <c r="N152" s="102"/>
      <c r="O152" s="102"/>
      <c r="P152" s="81"/>
      <c r="Q152" s="81"/>
      <c r="R152" s="81"/>
      <c r="S152" s="81"/>
      <c r="T152" s="81"/>
      <c r="U152" s="81"/>
      <c r="V152" s="81"/>
      <c r="W152" s="81"/>
      <c r="X152" s="81"/>
      <c r="Y152" s="81"/>
    </row>
    <row r="153" customFormat="false" ht="12" hidden="false" customHeight="true" outlineLevel="0" collapsed="false">
      <c r="A153" s="91"/>
      <c r="B153" s="81"/>
      <c r="C153" s="81"/>
      <c r="D153" s="81"/>
      <c r="E153" s="81"/>
      <c r="F153" s="173"/>
      <c r="G153" s="173"/>
      <c r="H153" s="173"/>
      <c r="I153" s="173"/>
      <c r="J153" s="173"/>
      <c r="K153" s="173"/>
      <c r="L153" s="80"/>
      <c r="M153" s="81"/>
      <c r="N153" s="102"/>
      <c r="O153" s="102"/>
      <c r="P153" s="81"/>
      <c r="Q153" s="81"/>
      <c r="R153" s="81"/>
      <c r="S153" s="81"/>
      <c r="T153" s="81"/>
      <c r="U153" s="81"/>
      <c r="V153" s="81"/>
      <c r="W153" s="81"/>
      <c r="X153" s="81"/>
      <c r="Y153" s="81"/>
    </row>
    <row r="154" customFormat="false" ht="12" hidden="false" customHeight="true" outlineLevel="0" collapsed="false">
      <c r="A154" s="91"/>
      <c r="B154" s="81"/>
      <c r="C154" s="81"/>
      <c r="D154" s="81"/>
      <c r="E154" s="81"/>
      <c r="F154" s="173"/>
      <c r="G154" s="173"/>
      <c r="H154" s="173"/>
      <c r="I154" s="173"/>
      <c r="J154" s="173"/>
      <c r="K154" s="173"/>
      <c r="L154" s="80"/>
      <c r="M154" s="81"/>
      <c r="N154" s="102"/>
      <c r="O154" s="102"/>
      <c r="P154" s="81"/>
      <c r="Q154" s="81"/>
      <c r="R154" s="81"/>
      <c r="S154" s="81"/>
      <c r="T154" s="81"/>
      <c r="U154" s="81"/>
      <c r="V154" s="81"/>
      <c r="W154" s="81"/>
      <c r="X154" s="81"/>
      <c r="Y154" s="81"/>
    </row>
    <row r="155" customFormat="false" ht="12" hidden="false" customHeight="true" outlineLevel="0" collapsed="false">
      <c r="A155" s="91"/>
      <c r="B155" s="81"/>
      <c r="C155" s="81"/>
      <c r="D155" s="81"/>
      <c r="E155" s="81"/>
      <c r="F155" s="173"/>
      <c r="G155" s="173"/>
      <c r="H155" s="173"/>
      <c r="I155" s="173"/>
      <c r="J155" s="173"/>
      <c r="K155" s="173"/>
      <c r="L155" s="80"/>
      <c r="M155" s="81"/>
      <c r="N155" s="102"/>
      <c r="O155" s="102"/>
      <c r="P155" s="81"/>
      <c r="Q155" s="81"/>
      <c r="R155" s="81"/>
      <c r="S155" s="81"/>
      <c r="T155" s="81"/>
      <c r="U155" s="81"/>
      <c r="V155" s="81"/>
      <c r="W155" s="81"/>
      <c r="X155" s="81"/>
      <c r="Y155" s="81"/>
    </row>
    <row r="156" customFormat="false" ht="12" hidden="false" customHeight="true" outlineLevel="0" collapsed="false">
      <c r="A156" s="91"/>
      <c r="B156" s="81"/>
      <c r="C156" s="81"/>
      <c r="D156" s="81"/>
      <c r="E156" s="81"/>
      <c r="F156" s="173"/>
      <c r="G156" s="173"/>
      <c r="H156" s="173"/>
      <c r="I156" s="173"/>
      <c r="J156" s="173"/>
      <c r="K156" s="173"/>
      <c r="L156" s="80"/>
      <c r="M156" s="81"/>
      <c r="N156" s="102"/>
      <c r="O156" s="102"/>
      <c r="P156" s="81"/>
      <c r="Q156" s="81"/>
      <c r="R156" s="81"/>
      <c r="S156" s="81"/>
      <c r="T156" s="81"/>
      <c r="U156" s="81"/>
      <c r="V156" s="81"/>
      <c r="W156" s="81"/>
      <c r="X156" s="81"/>
      <c r="Y156" s="81"/>
    </row>
    <row r="157" customFormat="false" ht="12" hidden="false" customHeight="true" outlineLevel="0" collapsed="false">
      <c r="A157" s="91"/>
      <c r="B157" s="81"/>
      <c r="C157" s="81"/>
      <c r="D157" s="81"/>
      <c r="E157" s="81"/>
      <c r="F157" s="173"/>
      <c r="G157" s="173"/>
      <c r="H157" s="173"/>
      <c r="I157" s="173"/>
      <c r="J157" s="173"/>
      <c r="K157" s="173"/>
      <c r="L157" s="80"/>
      <c r="M157" s="81"/>
      <c r="N157" s="102"/>
      <c r="O157" s="102"/>
      <c r="P157" s="81"/>
      <c r="Q157" s="81"/>
      <c r="R157" s="81"/>
      <c r="S157" s="81"/>
      <c r="T157" s="81"/>
      <c r="U157" s="81"/>
      <c r="V157" s="81"/>
      <c r="W157" s="81"/>
      <c r="X157" s="81"/>
      <c r="Y157" s="81"/>
    </row>
    <row r="158" customFormat="false" ht="12" hidden="false" customHeight="true" outlineLevel="0" collapsed="false">
      <c r="A158" s="91"/>
      <c r="B158" s="81"/>
      <c r="C158" s="81"/>
      <c r="D158" s="81"/>
      <c r="E158" s="81"/>
      <c r="F158" s="173"/>
      <c r="G158" s="173"/>
      <c r="H158" s="173"/>
      <c r="I158" s="173"/>
      <c r="J158" s="173"/>
      <c r="K158" s="173"/>
      <c r="L158" s="80"/>
      <c r="M158" s="81"/>
      <c r="N158" s="102"/>
      <c r="O158" s="102"/>
      <c r="P158" s="81"/>
      <c r="Q158" s="81"/>
      <c r="R158" s="81"/>
      <c r="S158" s="81"/>
      <c r="T158" s="81"/>
      <c r="U158" s="81"/>
      <c r="V158" s="81"/>
      <c r="W158" s="81"/>
      <c r="X158" s="81"/>
      <c r="Y158" s="81"/>
    </row>
    <row r="159" customFormat="false" ht="12" hidden="false" customHeight="true" outlineLevel="0" collapsed="false">
      <c r="A159" s="91"/>
      <c r="B159" s="81"/>
      <c r="C159" s="81"/>
      <c r="D159" s="81"/>
      <c r="E159" s="81"/>
      <c r="F159" s="173"/>
      <c r="G159" s="173"/>
      <c r="H159" s="173"/>
      <c r="I159" s="173"/>
      <c r="J159" s="173"/>
      <c r="K159" s="173"/>
      <c r="L159" s="80"/>
      <c r="M159" s="81"/>
      <c r="N159" s="102"/>
      <c r="O159" s="102"/>
      <c r="P159" s="81"/>
      <c r="Q159" s="81"/>
      <c r="R159" s="81"/>
      <c r="S159" s="81"/>
      <c r="T159" s="81"/>
      <c r="U159" s="81"/>
      <c r="V159" s="81"/>
      <c r="W159" s="81"/>
      <c r="X159" s="81"/>
      <c r="Y159" s="81"/>
    </row>
    <row r="160" customFormat="false" ht="12" hidden="false" customHeight="true" outlineLevel="0" collapsed="false">
      <c r="A160" s="91"/>
      <c r="B160" s="81"/>
      <c r="C160" s="81"/>
      <c r="D160" s="81"/>
      <c r="E160" s="81"/>
      <c r="F160" s="173"/>
      <c r="G160" s="173"/>
      <c r="H160" s="173"/>
      <c r="I160" s="173"/>
      <c r="J160" s="173"/>
      <c r="K160" s="173"/>
      <c r="L160" s="80"/>
      <c r="M160" s="81"/>
      <c r="N160" s="102"/>
      <c r="O160" s="102"/>
      <c r="P160" s="81"/>
      <c r="Q160" s="81"/>
      <c r="R160" s="81"/>
      <c r="S160" s="81"/>
      <c r="T160" s="81"/>
      <c r="U160" s="81"/>
      <c r="V160" s="81"/>
      <c r="W160" s="81"/>
      <c r="X160" s="81"/>
      <c r="Y160" s="81"/>
    </row>
    <row r="161" customFormat="false" ht="12" hidden="false" customHeight="true" outlineLevel="0" collapsed="false">
      <c r="A161" s="91"/>
      <c r="B161" s="81"/>
      <c r="C161" s="81"/>
      <c r="D161" s="81"/>
      <c r="E161" s="81"/>
      <c r="F161" s="173"/>
      <c r="G161" s="173"/>
      <c r="H161" s="173"/>
      <c r="I161" s="173"/>
      <c r="J161" s="173"/>
      <c r="K161" s="173"/>
      <c r="L161" s="80"/>
      <c r="M161" s="81"/>
      <c r="N161" s="102"/>
      <c r="O161" s="102"/>
      <c r="P161" s="81"/>
      <c r="Q161" s="81"/>
      <c r="R161" s="81"/>
      <c r="S161" s="81"/>
      <c r="T161" s="81"/>
      <c r="U161" s="81"/>
      <c r="V161" s="81"/>
      <c r="W161" s="81"/>
      <c r="X161" s="81"/>
      <c r="Y161" s="81"/>
    </row>
    <row r="162" customFormat="false" ht="12" hidden="false" customHeight="true" outlineLevel="0" collapsed="false">
      <c r="A162" s="91"/>
      <c r="B162" s="81"/>
      <c r="C162" s="81"/>
      <c r="D162" s="81"/>
      <c r="E162" s="81"/>
      <c r="F162" s="173"/>
      <c r="G162" s="173"/>
      <c r="H162" s="173"/>
      <c r="I162" s="173"/>
      <c r="J162" s="173"/>
      <c r="K162" s="173"/>
      <c r="L162" s="80"/>
      <c r="M162" s="81"/>
      <c r="N162" s="102"/>
      <c r="O162" s="102"/>
      <c r="P162" s="81"/>
      <c r="Q162" s="81"/>
      <c r="R162" s="81"/>
      <c r="S162" s="81"/>
      <c r="T162" s="81"/>
      <c r="U162" s="81"/>
      <c r="V162" s="81"/>
      <c r="W162" s="81"/>
      <c r="X162" s="81"/>
      <c r="Y162" s="81"/>
    </row>
    <row r="163" customFormat="false" ht="12" hidden="false" customHeight="true" outlineLevel="0" collapsed="false">
      <c r="A163" s="91"/>
      <c r="B163" s="81"/>
      <c r="C163" s="81"/>
      <c r="D163" s="81"/>
      <c r="E163" s="81"/>
      <c r="F163" s="173"/>
      <c r="G163" s="173"/>
      <c r="H163" s="173"/>
      <c r="I163" s="173"/>
      <c r="J163" s="173"/>
      <c r="K163" s="173"/>
      <c r="L163" s="80"/>
      <c r="M163" s="81"/>
      <c r="N163" s="102"/>
      <c r="O163" s="102"/>
      <c r="P163" s="81"/>
      <c r="Q163" s="81"/>
      <c r="R163" s="81"/>
      <c r="S163" s="81"/>
      <c r="T163" s="81"/>
      <c r="U163" s="81"/>
      <c r="V163" s="81"/>
      <c r="W163" s="81"/>
      <c r="X163" s="81"/>
      <c r="Y163" s="81"/>
    </row>
    <row r="164" customFormat="false" ht="12" hidden="false" customHeight="true" outlineLevel="0" collapsed="false">
      <c r="A164" s="91"/>
      <c r="B164" s="81"/>
      <c r="C164" s="81"/>
      <c r="D164" s="81"/>
      <c r="E164" s="81"/>
      <c r="F164" s="173"/>
      <c r="G164" s="173"/>
      <c r="H164" s="173"/>
      <c r="I164" s="173"/>
      <c r="J164" s="173"/>
      <c r="K164" s="173"/>
      <c r="L164" s="80"/>
      <c r="M164" s="81"/>
      <c r="N164" s="102"/>
      <c r="O164" s="102"/>
      <c r="P164" s="81"/>
      <c r="Q164" s="81"/>
      <c r="R164" s="81"/>
      <c r="S164" s="81"/>
      <c r="T164" s="81"/>
      <c r="U164" s="81"/>
      <c r="V164" s="81"/>
      <c r="W164" s="81"/>
      <c r="X164" s="81"/>
      <c r="Y164" s="81"/>
    </row>
    <row r="165" customFormat="false" ht="12" hidden="false" customHeight="true" outlineLevel="0" collapsed="false">
      <c r="A165" s="91"/>
      <c r="B165" s="81"/>
      <c r="C165" s="81"/>
      <c r="D165" s="81"/>
      <c r="E165" s="81"/>
      <c r="F165" s="173"/>
      <c r="G165" s="173"/>
      <c r="H165" s="173"/>
      <c r="I165" s="173"/>
      <c r="J165" s="173"/>
      <c r="K165" s="173"/>
      <c r="L165" s="80"/>
      <c r="M165" s="81"/>
      <c r="N165" s="102"/>
      <c r="O165" s="102"/>
      <c r="P165" s="81"/>
      <c r="Q165" s="81"/>
      <c r="R165" s="81"/>
      <c r="S165" s="81"/>
      <c r="T165" s="81"/>
      <c r="U165" s="81"/>
      <c r="V165" s="81"/>
      <c r="W165" s="81"/>
      <c r="X165" s="81"/>
      <c r="Y165" s="81"/>
    </row>
    <row r="166" customFormat="false" ht="12" hidden="false" customHeight="true" outlineLevel="0" collapsed="false">
      <c r="A166" s="91"/>
      <c r="B166" s="81"/>
      <c r="C166" s="81"/>
      <c r="D166" s="81"/>
      <c r="E166" s="81"/>
      <c r="F166" s="173"/>
      <c r="G166" s="173"/>
      <c r="H166" s="173"/>
      <c r="I166" s="173"/>
      <c r="J166" s="173"/>
      <c r="K166" s="173"/>
      <c r="L166" s="80"/>
      <c r="M166" s="81"/>
      <c r="N166" s="102"/>
      <c r="O166" s="102"/>
      <c r="P166" s="81"/>
      <c r="Q166" s="81"/>
      <c r="R166" s="81"/>
      <c r="S166" s="81"/>
      <c r="T166" s="81"/>
      <c r="U166" s="81"/>
      <c r="V166" s="81"/>
      <c r="W166" s="81"/>
      <c r="X166" s="81"/>
      <c r="Y166" s="81"/>
    </row>
    <row r="167" customFormat="false" ht="12" hidden="false" customHeight="true" outlineLevel="0" collapsed="false">
      <c r="A167" s="91"/>
      <c r="B167" s="81"/>
      <c r="C167" s="81"/>
      <c r="D167" s="81"/>
      <c r="E167" s="81"/>
      <c r="F167" s="173"/>
      <c r="G167" s="173"/>
      <c r="H167" s="173"/>
      <c r="I167" s="173"/>
      <c r="J167" s="173"/>
      <c r="K167" s="173"/>
      <c r="L167" s="80"/>
      <c r="M167" s="81"/>
      <c r="N167" s="102"/>
      <c r="O167" s="102"/>
      <c r="P167" s="81"/>
      <c r="Q167" s="81"/>
      <c r="R167" s="81"/>
      <c r="S167" s="81"/>
      <c r="T167" s="81"/>
      <c r="U167" s="81"/>
      <c r="V167" s="81"/>
      <c r="W167" s="81"/>
      <c r="X167" s="81"/>
      <c r="Y167" s="81"/>
    </row>
    <row r="168" customFormat="false" ht="12" hidden="false" customHeight="true" outlineLevel="0" collapsed="false">
      <c r="A168" s="91"/>
      <c r="B168" s="81"/>
      <c r="C168" s="81"/>
      <c r="D168" s="81"/>
      <c r="E168" s="81"/>
      <c r="F168" s="173"/>
      <c r="G168" s="173"/>
      <c r="H168" s="173"/>
      <c r="I168" s="173"/>
      <c r="J168" s="173"/>
      <c r="K168" s="173"/>
      <c r="L168" s="80"/>
      <c r="M168" s="81"/>
      <c r="N168" s="102"/>
      <c r="O168" s="102"/>
      <c r="P168" s="81"/>
      <c r="Q168" s="81"/>
      <c r="R168" s="81"/>
      <c r="S168" s="81"/>
      <c r="T168" s="81"/>
      <c r="U168" s="81"/>
      <c r="V168" s="81"/>
      <c r="W168" s="81"/>
      <c r="X168" s="81"/>
      <c r="Y168" s="81"/>
    </row>
    <row r="169" customFormat="false" ht="12" hidden="false" customHeight="true" outlineLevel="0" collapsed="false">
      <c r="A169" s="91"/>
      <c r="B169" s="81"/>
      <c r="C169" s="81"/>
      <c r="D169" s="81"/>
      <c r="E169" s="81"/>
      <c r="F169" s="173"/>
      <c r="G169" s="173"/>
      <c r="H169" s="173"/>
      <c r="I169" s="173"/>
      <c r="J169" s="173"/>
      <c r="K169" s="173"/>
      <c r="L169" s="80"/>
      <c r="M169" s="81"/>
      <c r="N169" s="102"/>
      <c r="O169" s="102"/>
      <c r="P169" s="81"/>
      <c r="Q169" s="81"/>
      <c r="R169" s="81"/>
      <c r="S169" s="81"/>
      <c r="T169" s="81"/>
      <c r="U169" s="81"/>
      <c r="V169" s="81"/>
      <c r="W169" s="81"/>
      <c r="X169" s="81"/>
      <c r="Y169" s="81"/>
    </row>
    <row r="170" customFormat="false" ht="12" hidden="false" customHeight="true" outlineLevel="0" collapsed="false">
      <c r="A170" s="91"/>
      <c r="B170" s="81"/>
      <c r="C170" s="81"/>
      <c r="D170" s="81"/>
      <c r="E170" s="81"/>
      <c r="F170" s="173"/>
      <c r="G170" s="173"/>
      <c r="H170" s="173"/>
      <c r="I170" s="173"/>
      <c r="J170" s="173"/>
      <c r="K170" s="173"/>
      <c r="L170" s="80"/>
      <c r="M170" s="81"/>
      <c r="N170" s="102"/>
      <c r="O170" s="102"/>
      <c r="P170" s="81"/>
      <c r="Q170" s="81"/>
      <c r="R170" s="81"/>
      <c r="S170" s="81"/>
      <c r="T170" s="81"/>
      <c r="U170" s="81"/>
      <c r="V170" s="81"/>
      <c r="W170" s="81"/>
      <c r="X170" s="81"/>
      <c r="Y170" s="81"/>
    </row>
    <row r="171" customFormat="false" ht="12" hidden="false" customHeight="true" outlineLevel="0" collapsed="false">
      <c r="A171" s="91"/>
      <c r="B171" s="81"/>
      <c r="C171" s="81"/>
      <c r="D171" s="81"/>
      <c r="E171" s="81"/>
      <c r="F171" s="173"/>
      <c r="G171" s="173"/>
      <c r="H171" s="173"/>
      <c r="I171" s="173"/>
      <c r="J171" s="173"/>
      <c r="K171" s="173"/>
      <c r="L171" s="80"/>
      <c r="M171" s="81"/>
      <c r="N171" s="102"/>
      <c r="O171" s="102"/>
      <c r="P171" s="81"/>
      <c r="Q171" s="81"/>
      <c r="R171" s="81"/>
      <c r="S171" s="81"/>
      <c r="T171" s="81"/>
      <c r="U171" s="81"/>
      <c r="V171" s="81"/>
      <c r="W171" s="81"/>
      <c r="X171" s="81"/>
      <c r="Y171" s="81"/>
    </row>
    <row r="172" customFormat="false" ht="12" hidden="false" customHeight="true" outlineLevel="0" collapsed="false">
      <c r="A172" s="91"/>
      <c r="B172" s="81"/>
      <c r="C172" s="81"/>
      <c r="D172" s="81"/>
      <c r="E172" s="81"/>
      <c r="F172" s="173"/>
      <c r="G172" s="173"/>
      <c r="H172" s="173"/>
      <c r="I172" s="173"/>
      <c r="J172" s="173"/>
      <c r="K172" s="173"/>
      <c r="L172" s="80"/>
      <c r="M172" s="81"/>
      <c r="N172" s="102"/>
      <c r="O172" s="102"/>
      <c r="P172" s="81"/>
      <c r="Q172" s="81"/>
      <c r="R172" s="81"/>
      <c r="S172" s="81"/>
      <c r="T172" s="81"/>
      <c r="U172" s="81"/>
      <c r="V172" s="81"/>
      <c r="W172" s="81"/>
      <c r="X172" s="81"/>
      <c r="Y172" s="81"/>
    </row>
    <row r="173" customFormat="false" ht="12" hidden="false" customHeight="true" outlineLevel="0" collapsed="false">
      <c r="A173" s="91"/>
      <c r="B173" s="81"/>
      <c r="C173" s="81"/>
      <c r="D173" s="81"/>
      <c r="E173" s="81"/>
      <c r="F173" s="173"/>
      <c r="G173" s="173"/>
      <c r="H173" s="173"/>
      <c r="I173" s="173"/>
      <c r="J173" s="173"/>
      <c r="K173" s="173"/>
      <c r="L173" s="80"/>
      <c r="M173" s="81"/>
      <c r="N173" s="102"/>
      <c r="O173" s="102"/>
      <c r="P173" s="81"/>
      <c r="Q173" s="81"/>
      <c r="R173" s="81"/>
      <c r="S173" s="81"/>
      <c r="T173" s="81"/>
      <c r="U173" s="81"/>
      <c r="V173" s="81"/>
      <c r="W173" s="81"/>
      <c r="X173" s="81"/>
      <c r="Y173" s="81"/>
    </row>
    <row r="174" customFormat="false" ht="12" hidden="false" customHeight="true" outlineLevel="0" collapsed="false">
      <c r="A174" s="91"/>
      <c r="B174" s="81"/>
      <c r="C174" s="81"/>
      <c r="D174" s="81"/>
      <c r="E174" s="81"/>
      <c r="F174" s="173"/>
      <c r="G174" s="173"/>
      <c r="H174" s="173"/>
      <c r="I174" s="173"/>
      <c r="J174" s="173"/>
      <c r="K174" s="173"/>
      <c r="L174" s="80"/>
      <c r="M174" s="81"/>
      <c r="N174" s="102"/>
      <c r="O174" s="102"/>
      <c r="P174" s="81"/>
      <c r="Q174" s="81"/>
      <c r="R174" s="81"/>
      <c r="S174" s="81"/>
      <c r="T174" s="81"/>
      <c r="U174" s="81"/>
      <c r="V174" s="81"/>
      <c r="W174" s="81"/>
      <c r="X174" s="81"/>
      <c r="Y174" s="81"/>
    </row>
    <row r="175" customFormat="false" ht="12" hidden="false" customHeight="true" outlineLevel="0" collapsed="false">
      <c r="A175" s="91"/>
      <c r="B175" s="81"/>
      <c r="C175" s="81"/>
      <c r="D175" s="81"/>
      <c r="E175" s="81"/>
      <c r="F175" s="173"/>
      <c r="G175" s="173"/>
      <c r="H175" s="173"/>
      <c r="I175" s="173"/>
      <c r="J175" s="173"/>
      <c r="K175" s="173"/>
      <c r="L175" s="80"/>
      <c r="M175" s="81"/>
      <c r="N175" s="102"/>
      <c r="O175" s="102"/>
      <c r="P175" s="81"/>
      <c r="Q175" s="81"/>
      <c r="R175" s="81"/>
      <c r="S175" s="81"/>
      <c r="T175" s="81"/>
      <c r="U175" s="81"/>
      <c r="V175" s="81"/>
      <c r="W175" s="81"/>
      <c r="X175" s="81"/>
      <c r="Y175" s="81"/>
    </row>
    <row r="176" customFormat="false" ht="12" hidden="false" customHeight="true" outlineLevel="0" collapsed="false">
      <c r="A176" s="91"/>
      <c r="B176" s="81"/>
      <c r="C176" s="81"/>
      <c r="D176" s="81"/>
      <c r="E176" s="81"/>
      <c r="F176" s="173"/>
      <c r="G176" s="173"/>
      <c r="H176" s="173"/>
      <c r="I176" s="173"/>
      <c r="J176" s="173"/>
      <c r="K176" s="173"/>
      <c r="L176" s="80"/>
      <c r="M176" s="81"/>
      <c r="N176" s="102"/>
      <c r="O176" s="102"/>
      <c r="P176" s="81"/>
      <c r="Q176" s="81"/>
      <c r="R176" s="81"/>
      <c r="S176" s="81"/>
      <c r="T176" s="81"/>
      <c r="U176" s="81"/>
      <c r="V176" s="81"/>
      <c r="W176" s="81"/>
      <c r="X176" s="81"/>
      <c r="Y176" s="81"/>
    </row>
    <row r="177" customFormat="false" ht="12" hidden="false" customHeight="true" outlineLevel="0" collapsed="false">
      <c r="A177" s="91"/>
      <c r="B177" s="81"/>
      <c r="C177" s="81"/>
      <c r="D177" s="81"/>
      <c r="E177" s="81"/>
      <c r="F177" s="173"/>
      <c r="G177" s="173"/>
      <c r="H177" s="173"/>
      <c r="I177" s="173"/>
      <c r="J177" s="173"/>
      <c r="K177" s="173"/>
      <c r="L177" s="80"/>
      <c r="M177" s="81"/>
      <c r="N177" s="102"/>
      <c r="O177" s="102"/>
      <c r="P177" s="81"/>
      <c r="Q177" s="81"/>
      <c r="R177" s="81"/>
      <c r="S177" s="81"/>
      <c r="T177" s="81"/>
      <c r="U177" s="81"/>
      <c r="V177" s="81"/>
      <c r="W177" s="81"/>
      <c r="X177" s="81"/>
      <c r="Y177" s="81"/>
    </row>
    <row r="178" customFormat="false" ht="12" hidden="false" customHeight="true" outlineLevel="0" collapsed="false">
      <c r="A178" s="91"/>
      <c r="B178" s="81"/>
      <c r="C178" s="81"/>
      <c r="D178" s="81"/>
      <c r="E178" s="81"/>
      <c r="F178" s="173"/>
      <c r="G178" s="173"/>
      <c r="H178" s="173"/>
      <c r="I178" s="173"/>
      <c r="J178" s="173"/>
      <c r="K178" s="173"/>
      <c r="L178" s="80"/>
      <c r="M178" s="81"/>
      <c r="N178" s="102"/>
      <c r="O178" s="102"/>
      <c r="P178" s="81"/>
      <c r="Q178" s="81"/>
      <c r="R178" s="81"/>
      <c r="S178" s="81"/>
      <c r="T178" s="81"/>
      <c r="U178" s="81"/>
      <c r="V178" s="81"/>
      <c r="W178" s="81"/>
      <c r="X178" s="81"/>
      <c r="Y178" s="81"/>
    </row>
    <row r="179" customFormat="false" ht="12" hidden="false" customHeight="true" outlineLevel="0" collapsed="false">
      <c r="A179" s="91"/>
      <c r="B179" s="81"/>
      <c r="C179" s="81"/>
      <c r="D179" s="81"/>
      <c r="E179" s="81"/>
      <c r="F179" s="173"/>
      <c r="G179" s="173"/>
      <c r="H179" s="173"/>
      <c r="I179" s="173"/>
      <c r="J179" s="173"/>
      <c r="K179" s="173"/>
      <c r="L179" s="80"/>
      <c r="M179" s="81"/>
      <c r="N179" s="102"/>
      <c r="O179" s="102"/>
      <c r="P179" s="81"/>
      <c r="Q179" s="81"/>
      <c r="R179" s="81"/>
      <c r="S179" s="81"/>
      <c r="T179" s="81"/>
      <c r="U179" s="81"/>
      <c r="V179" s="81"/>
      <c r="W179" s="81"/>
      <c r="X179" s="81"/>
      <c r="Y179" s="81"/>
    </row>
    <row r="180" customFormat="false" ht="12" hidden="false" customHeight="true" outlineLevel="0" collapsed="false">
      <c r="A180" s="91"/>
      <c r="B180" s="81"/>
      <c r="C180" s="81"/>
      <c r="D180" s="81"/>
      <c r="E180" s="81"/>
      <c r="F180" s="173"/>
      <c r="G180" s="173"/>
      <c r="H180" s="173"/>
      <c r="I180" s="173"/>
      <c r="J180" s="173"/>
      <c r="K180" s="173"/>
      <c r="L180" s="80"/>
      <c r="M180" s="81"/>
      <c r="N180" s="102"/>
      <c r="O180" s="102"/>
      <c r="P180" s="81"/>
      <c r="Q180" s="81"/>
      <c r="R180" s="81"/>
      <c r="S180" s="81"/>
      <c r="T180" s="81"/>
      <c r="U180" s="81"/>
      <c r="V180" s="81"/>
      <c r="W180" s="81"/>
      <c r="X180" s="81"/>
      <c r="Y180" s="81"/>
    </row>
    <row r="181" customFormat="false" ht="12" hidden="false" customHeight="true" outlineLevel="0" collapsed="false">
      <c r="A181" s="91"/>
      <c r="B181" s="81"/>
      <c r="C181" s="81"/>
      <c r="D181" s="81"/>
      <c r="E181" s="81"/>
      <c r="F181" s="173"/>
      <c r="G181" s="173"/>
      <c r="H181" s="173"/>
      <c r="I181" s="173"/>
      <c r="J181" s="173"/>
      <c r="K181" s="173"/>
      <c r="L181" s="80"/>
      <c r="M181" s="81"/>
      <c r="N181" s="102"/>
      <c r="O181" s="102"/>
      <c r="P181" s="81"/>
      <c r="Q181" s="81"/>
      <c r="R181" s="81"/>
      <c r="S181" s="81"/>
      <c r="T181" s="81"/>
      <c r="U181" s="81"/>
      <c r="V181" s="81"/>
      <c r="W181" s="81"/>
      <c r="X181" s="81"/>
      <c r="Y181" s="81"/>
    </row>
    <row r="182" customFormat="false" ht="12" hidden="false" customHeight="true" outlineLevel="0" collapsed="false">
      <c r="A182" s="91"/>
      <c r="B182" s="81"/>
      <c r="C182" s="81"/>
      <c r="D182" s="81"/>
      <c r="E182" s="81"/>
      <c r="F182" s="173"/>
      <c r="G182" s="173"/>
      <c r="H182" s="173"/>
      <c r="I182" s="173"/>
      <c r="J182" s="173"/>
      <c r="K182" s="173"/>
      <c r="L182" s="80"/>
      <c r="M182" s="81"/>
      <c r="N182" s="102"/>
      <c r="O182" s="102"/>
      <c r="P182" s="81"/>
      <c r="Q182" s="81"/>
      <c r="R182" s="81"/>
      <c r="S182" s="81"/>
      <c r="T182" s="81"/>
      <c r="U182" s="81"/>
      <c r="V182" s="81"/>
      <c r="W182" s="81"/>
      <c r="X182" s="81"/>
      <c r="Y182" s="81"/>
    </row>
    <row r="183" customFormat="false" ht="12" hidden="false" customHeight="true" outlineLevel="0" collapsed="false">
      <c r="A183" s="91"/>
      <c r="B183" s="81"/>
      <c r="C183" s="81"/>
      <c r="D183" s="81"/>
      <c r="E183" s="81"/>
      <c r="F183" s="173"/>
      <c r="G183" s="173"/>
      <c r="H183" s="173"/>
      <c r="I183" s="173"/>
      <c r="J183" s="173"/>
      <c r="K183" s="173"/>
      <c r="L183" s="80"/>
      <c r="M183" s="81"/>
      <c r="N183" s="102"/>
      <c r="O183" s="102"/>
      <c r="P183" s="81"/>
      <c r="Q183" s="81"/>
      <c r="R183" s="81"/>
      <c r="S183" s="81"/>
      <c r="T183" s="81"/>
      <c r="U183" s="81"/>
      <c r="V183" s="81"/>
      <c r="W183" s="81"/>
      <c r="X183" s="81"/>
      <c r="Y183" s="81"/>
    </row>
    <row r="184" customFormat="false" ht="12" hidden="false" customHeight="true" outlineLevel="0" collapsed="false">
      <c r="A184" s="91"/>
      <c r="B184" s="81"/>
      <c r="C184" s="81"/>
      <c r="D184" s="81"/>
      <c r="E184" s="81"/>
      <c r="F184" s="173"/>
      <c r="G184" s="173"/>
      <c r="H184" s="173"/>
      <c r="I184" s="173"/>
      <c r="J184" s="173"/>
      <c r="K184" s="173"/>
      <c r="L184" s="80"/>
      <c r="M184" s="81"/>
      <c r="N184" s="102"/>
      <c r="O184" s="102"/>
      <c r="P184" s="81"/>
      <c r="Q184" s="81"/>
      <c r="R184" s="81"/>
      <c r="S184" s="81"/>
      <c r="T184" s="81"/>
      <c r="U184" s="81"/>
      <c r="V184" s="81"/>
      <c r="W184" s="81"/>
      <c r="X184" s="81"/>
      <c r="Y184" s="81"/>
    </row>
    <row r="185" customFormat="false" ht="12" hidden="false" customHeight="true" outlineLevel="0" collapsed="false">
      <c r="A185" s="91"/>
      <c r="B185" s="81"/>
      <c r="C185" s="81"/>
      <c r="D185" s="81"/>
      <c r="E185" s="81"/>
      <c r="F185" s="173"/>
      <c r="G185" s="173"/>
      <c r="H185" s="173"/>
      <c r="I185" s="173"/>
      <c r="J185" s="173"/>
      <c r="K185" s="173"/>
      <c r="L185" s="80"/>
      <c r="M185" s="81"/>
      <c r="N185" s="102"/>
      <c r="O185" s="102"/>
      <c r="P185" s="81"/>
      <c r="Q185" s="81"/>
      <c r="R185" s="81"/>
      <c r="S185" s="81"/>
      <c r="T185" s="81"/>
      <c r="U185" s="81"/>
      <c r="V185" s="81"/>
      <c r="W185" s="81"/>
      <c r="X185" s="81"/>
      <c r="Y185" s="81"/>
    </row>
    <row r="186" customFormat="false" ht="12" hidden="false" customHeight="true" outlineLevel="0" collapsed="false">
      <c r="A186" s="91"/>
      <c r="B186" s="81"/>
      <c r="C186" s="81"/>
      <c r="D186" s="81"/>
      <c r="E186" s="81"/>
      <c r="F186" s="173"/>
      <c r="G186" s="173"/>
      <c r="H186" s="173"/>
      <c r="I186" s="173"/>
      <c r="J186" s="173"/>
      <c r="K186" s="173"/>
      <c r="L186" s="80"/>
      <c r="M186" s="81"/>
      <c r="N186" s="102"/>
      <c r="O186" s="102"/>
      <c r="P186" s="81"/>
      <c r="Q186" s="81"/>
      <c r="R186" s="81"/>
      <c r="S186" s="81"/>
      <c r="T186" s="81"/>
      <c r="U186" s="81"/>
      <c r="V186" s="81"/>
      <c r="W186" s="81"/>
      <c r="X186" s="81"/>
      <c r="Y186" s="81"/>
    </row>
    <row r="187" customFormat="false" ht="12" hidden="false" customHeight="true" outlineLevel="0" collapsed="false">
      <c r="A187" s="91"/>
      <c r="B187" s="81"/>
      <c r="C187" s="81"/>
      <c r="D187" s="81"/>
      <c r="E187" s="81"/>
      <c r="F187" s="173"/>
      <c r="G187" s="173"/>
      <c r="H187" s="173"/>
      <c r="I187" s="173"/>
      <c r="J187" s="173"/>
      <c r="K187" s="173"/>
      <c r="L187" s="80"/>
      <c r="M187" s="81"/>
      <c r="N187" s="102"/>
      <c r="O187" s="102"/>
      <c r="P187" s="81"/>
      <c r="Q187" s="81"/>
      <c r="R187" s="81"/>
      <c r="S187" s="81"/>
      <c r="T187" s="81"/>
      <c r="U187" s="81"/>
      <c r="V187" s="81"/>
      <c r="W187" s="81"/>
      <c r="X187" s="81"/>
      <c r="Y187" s="81"/>
    </row>
    <row r="188" customFormat="false" ht="12" hidden="false" customHeight="true" outlineLevel="0" collapsed="false">
      <c r="A188" s="91"/>
      <c r="B188" s="81"/>
      <c r="C188" s="81"/>
      <c r="D188" s="81"/>
      <c r="E188" s="81"/>
      <c r="F188" s="173"/>
      <c r="G188" s="173"/>
      <c r="H188" s="173"/>
      <c r="I188" s="173"/>
      <c r="J188" s="173"/>
      <c r="K188" s="173"/>
      <c r="L188" s="80"/>
      <c r="M188" s="81"/>
      <c r="N188" s="102"/>
      <c r="O188" s="102"/>
      <c r="P188" s="81"/>
      <c r="Q188" s="81"/>
      <c r="R188" s="81"/>
      <c r="S188" s="81"/>
      <c r="T188" s="81"/>
      <c r="U188" s="81"/>
      <c r="V188" s="81"/>
      <c r="W188" s="81"/>
      <c r="X188" s="81"/>
      <c r="Y188" s="81"/>
    </row>
    <row r="189" customFormat="false" ht="12" hidden="false" customHeight="true" outlineLevel="0" collapsed="false">
      <c r="A189" s="91"/>
      <c r="B189" s="81"/>
      <c r="C189" s="81"/>
      <c r="D189" s="81"/>
      <c r="E189" s="81"/>
      <c r="F189" s="173"/>
      <c r="G189" s="173"/>
      <c r="H189" s="173"/>
      <c r="I189" s="173"/>
      <c r="J189" s="173"/>
      <c r="K189" s="173"/>
      <c r="L189" s="80"/>
      <c r="M189" s="81"/>
      <c r="N189" s="102"/>
      <c r="O189" s="102"/>
      <c r="P189" s="81"/>
      <c r="Q189" s="81"/>
      <c r="R189" s="81"/>
      <c r="S189" s="81"/>
      <c r="T189" s="81"/>
      <c r="U189" s="81"/>
      <c r="V189" s="81"/>
      <c r="W189" s="81"/>
      <c r="X189" s="81"/>
      <c r="Y189" s="81"/>
    </row>
    <row r="190" customFormat="false" ht="12" hidden="false" customHeight="true" outlineLevel="0" collapsed="false">
      <c r="A190" s="91"/>
      <c r="B190" s="81"/>
      <c r="C190" s="81"/>
      <c r="D190" s="81"/>
      <c r="E190" s="81"/>
      <c r="F190" s="173"/>
      <c r="G190" s="173"/>
      <c r="H190" s="173"/>
      <c r="I190" s="173"/>
      <c r="J190" s="173"/>
      <c r="K190" s="173"/>
      <c r="L190" s="80"/>
      <c r="M190" s="81"/>
      <c r="N190" s="102"/>
      <c r="O190" s="102"/>
      <c r="P190" s="81"/>
      <c r="Q190" s="81"/>
      <c r="R190" s="81"/>
      <c r="S190" s="81"/>
      <c r="T190" s="81"/>
      <c r="U190" s="81"/>
      <c r="V190" s="81"/>
      <c r="W190" s="81"/>
      <c r="X190" s="81"/>
      <c r="Y190" s="81"/>
    </row>
    <row r="191" customFormat="false" ht="12" hidden="false" customHeight="true" outlineLevel="0" collapsed="false">
      <c r="A191" s="91"/>
      <c r="B191" s="81"/>
      <c r="C191" s="81"/>
      <c r="D191" s="81"/>
      <c r="E191" s="81"/>
      <c r="F191" s="173"/>
      <c r="G191" s="173"/>
      <c r="H191" s="173"/>
      <c r="I191" s="173"/>
      <c r="J191" s="173"/>
      <c r="K191" s="173"/>
      <c r="L191" s="80"/>
      <c r="M191" s="81"/>
      <c r="N191" s="102"/>
      <c r="O191" s="102"/>
      <c r="P191" s="81"/>
      <c r="Q191" s="81"/>
      <c r="R191" s="81"/>
      <c r="S191" s="81"/>
      <c r="T191" s="81"/>
      <c r="U191" s="81"/>
      <c r="V191" s="81"/>
      <c r="W191" s="81"/>
      <c r="X191" s="81"/>
      <c r="Y191" s="81"/>
    </row>
    <row r="192" customFormat="false" ht="12" hidden="false" customHeight="true" outlineLevel="0" collapsed="false">
      <c r="A192" s="91"/>
      <c r="B192" s="81"/>
      <c r="C192" s="81"/>
      <c r="D192" s="81"/>
      <c r="E192" s="81"/>
      <c r="F192" s="173"/>
      <c r="G192" s="173"/>
      <c r="H192" s="173"/>
      <c r="I192" s="173"/>
      <c r="J192" s="173"/>
      <c r="K192" s="173"/>
      <c r="L192" s="80"/>
      <c r="M192" s="81"/>
      <c r="N192" s="102"/>
      <c r="O192" s="102"/>
      <c r="P192" s="81"/>
      <c r="Q192" s="81"/>
      <c r="R192" s="81"/>
      <c r="S192" s="81"/>
      <c r="T192" s="81"/>
      <c r="U192" s="81"/>
      <c r="V192" s="81"/>
      <c r="W192" s="81"/>
      <c r="X192" s="81"/>
      <c r="Y192" s="81"/>
    </row>
    <row r="193" customFormat="false" ht="12" hidden="false" customHeight="true" outlineLevel="0" collapsed="false">
      <c r="A193" s="91"/>
      <c r="B193" s="81"/>
      <c r="C193" s="81"/>
      <c r="D193" s="81"/>
      <c r="E193" s="81"/>
      <c r="F193" s="173"/>
      <c r="G193" s="173"/>
      <c r="H193" s="173"/>
      <c r="I193" s="173"/>
      <c r="J193" s="173"/>
      <c r="K193" s="173"/>
      <c r="L193" s="80"/>
      <c r="M193" s="81"/>
      <c r="N193" s="102"/>
      <c r="O193" s="102"/>
      <c r="P193" s="81"/>
      <c r="Q193" s="81"/>
      <c r="R193" s="81"/>
      <c r="S193" s="81"/>
      <c r="T193" s="81"/>
      <c r="U193" s="81"/>
      <c r="V193" s="81"/>
      <c r="W193" s="81"/>
      <c r="X193" s="81"/>
      <c r="Y193" s="81"/>
    </row>
    <row r="194" customFormat="false" ht="12" hidden="false" customHeight="true" outlineLevel="0" collapsed="false">
      <c r="A194" s="91"/>
      <c r="B194" s="81"/>
      <c r="C194" s="81"/>
      <c r="D194" s="81"/>
      <c r="E194" s="81"/>
      <c r="F194" s="173"/>
      <c r="G194" s="173"/>
      <c r="H194" s="173"/>
      <c r="I194" s="173"/>
      <c r="J194" s="173"/>
      <c r="K194" s="173"/>
      <c r="L194" s="80"/>
      <c r="M194" s="81"/>
      <c r="N194" s="102"/>
      <c r="O194" s="102"/>
      <c r="P194" s="81"/>
      <c r="Q194" s="81"/>
      <c r="R194" s="81"/>
      <c r="S194" s="81"/>
      <c r="T194" s="81"/>
      <c r="U194" s="81"/>
      <c r="V194" s="81"/>
      <c r="W194" s="81"/>
      <c r="X194" s="81"/>
      <c r="Y194" s="81"/>
    </row>
    <row r="195" customFormat="false" ht="12" hidden="false" customHeight="true" outlineLevel="0" collapsed="false">
      <c r="A195" s="91"/>
      <c r="B195" s="81"/>
      <c r="C195" s="81"/>
      <c r="D195" s="81"/>
      <c r="E195" s="81"/>
      <c r="F195" s="173"/>
      <c r="G195" s="173"/>
      <c r="H195" s="173"/>
      <c r="I195" s="173"/>
      <c r="J195" s="173"/>
      <c r="K195" s="173"/>
      <c r="L195" s="80"/>
      <c r="M195" s="81"/>
      <c r="N195" s="102"/>
      <c r="O195" s="102"/>
      <c r="P195" s="81"/>
      <c r="Q195" s="81"/>
      <c r="R195" s="81"/>
      <c r="S195" s="81"/>
      <c r="T195" s="81"/>
      <c r="U195" s="81"/>
      <c r="V195" s="81"/>
      <c r="W195" s="81"/>
      <c r="X195" s="81"/>
      <c r="Y195" s="81"/>
    </row>
    <row r="196" customFormat="false" ht="12" hidden="false" customHeight="true" outlineLevel="0" collapsed="false">
      <c r="A196" s="91"/>
      <c r="B196" s="81"/>
      <c r="C196" s="81"/>
      <c r="D196" s="81"/>
      <c r="E196" s="81"/>
      <c r="F196" s="173"/>
      <c r="G196" s="173"/>
      <c r="H196" s="173"/>
      <c r="I196" s="173"/>
      <c r="J196" s="173"/>
      <c r="K196" s="173"/>
      <c r="L196" s="80"/>
      <c r="M196" s="81"/>
      <c r="N196" s="102"/>
      <c r="O196" s="102"/>
      <c r="P196" s="81"/>
      <c r="Q196" s="81"/>
      <c r="R196" s="81"/>
      <c r="S196" s="81"/>
      <c r="T196" s="81"/>
      <c r="U196" s="81"/>
      <c r="V196" s="81"/>
      <c r="W196" s="81"/>
      <c r="X196" s="81"/>
      <c r="Y196" s="81"/>
    </row>
    <row r="197" customFormat="false" ht="12" hidden="false" customHeight="true" outlineLevel="0" collapsed="false">
      <c r="A197" s="91"/>
      <c r="B197" s="81"/>
      <c r="C197" s="81"/>
      <c r="D197" s="81"/>
      <c r="E197" s="81"/>
      <c r="F197" s="173"/>
      <c r="G197" s="173"/>
      <c r="H197" s="173"/>
      <c r="I197" s="173"/>
      <c r="J197" s="173"/>
      <c r="K197" s="173"/>
      <c r="L197" s="80"/>
      <c r="M197" s="81"/>
      <c r="N197" s="102"/>
      <c r="O197" s="102"/>
      <c r="P197" s="81"/>
      <c r="Q197" s="81"/>
      <c r="R197" s="81"/>
      <c r="S197" s="81"/>
      <c r="T197" s="81"/>
      <c r="U197" s="81"/>
      <c r="V197" s="81"/>
      <c r="W197" s="81"/>
      <c r="X197" s="81"/>
      <c r="Y197" s="81"/>
    </row>
    <row r="198" customFormat="false" ht="12" hidden="false" customHeight="true" outlineLevel="0" collapsed="false">
      <c r="A198" s="91"/>
      <c r="B198" s="81"/>
      <c r="C198" s="81"/>
      <c r="D198" s="81"/>
      <c r="E198" s="81"/>
      <c r="F198" s="173"/>
      <c r="G198" s="173"/>
      <c r="H198" s="173"/>
      <c r="I198" s="173"/>
      <c r="J198" s="173"/>
      <c r="K198" s="173"/>
      <c r="L198" s="80"/>
      <c r="M198" s="81"/>
      <c r="N198" s="102"/>
      <c r="O198" s="102"/>
      <c r="P198" s="81"/>
      <c r="Q198" s="81"/>
      <c r="R198" s="81"/>
      <c r="S198" s="81"/>
      <c r="T198" s="81"/>
      <c r="U198" s="81"/>
      <c r="V198" s="81"/>
      <c r="W198" s="81"/>
      <c r="X198" s="81"/>
      <c r="Y198" s="81"/>
    </row>
    <row r="199" customFormat="false" ht="12" hidden="false" customHeight="true" outlineLevel="0" collapsed="false">
      <c r="A199" s="91"/>
      <c r="B199" s="81"/>
      <c r="C199" s="81"/>
      <c r="D199" s="81"/>
      <c r="E199" s="81"/>
      <c r="F199" s="173"/>
      <c r="G199" s="173"/>
      <c r="H199" s="173"/>
      <c r="I199" s="173"/>
      <c r="J199" s="173"/>
      <c r="K199" s="173"/>
      <c r="L199" s="80"/>
      <c r="M199" s="81"/>
      <c r="N199" s="102"/>
      <c r="O199" s="102"/>
      <c r="P199" s="81"/>
      <c r="Q199" s="81"/>
      <c r="R199" s="81"/>
      <c r="S199" s="81"/>
      <c r="T199" s="81"/>
      <c r="U199" s="81"/>
      <c r="V199" s="81"/>
      <c r="W199" s="81"/>
      <c r="X199" s="81"/>
      <c r="Y199" s="81"/>
    </row>
    <row r="200" customFormat="false" ht="12" hidden="false" customHeight="true" outlineLevel="0" collapsed="false">
      <c r="A200" s="91"/>
      <c r="B200" s="81"/>
      <c r="C200" s="81"/>
      <c r="D200" s="81"/>
      <c r="E200" s="81"/>
      <c r="F200" s="173"/>
      <c r="G200" s="173"/>
      <c r="H200" s="173"/>
      <c r="I200" s="173"/>
      <c r="J200" s="173"/>
      <c r="K200" s="173"/>
      <c r="L200" s="80"/>
      <c r="M200" s="81"/>
      <c r="N200" s="102"/>
      <c r="O200" s="102"/>
      <c r="P200" s="81"/>
      <c r="Q200" s="81"/>
      <c r="R200" s="81"/>
      <c r="S200" s="81"/>
      <c r="T200" s="81"/>
      <c r="U200" s="81"/>
      <c r="V200" s="81"/>
      <c r="W200" s="81"/>
      <c r="X200" s="81"/>
      <c r="Y200" s="81"/>
    </row>
    <row r="201" customFormat="false" ht="12" hidden="false" customHeight="true" outlineLevel="0" collapsed="false">
      <c r="A201" s="91"/>
      <c r="B201" s="81"/>
      <c r="C201" s="81"/>
      <c r="D201" s="81"/>
      <c r="E201" s="81"/>
      <c r="F201" s="173"/>
      <c r="G201" s="173"/>
      <c r="H201" s="173"/>
      <c r="I201" s="173"/>
      <c r="J201" s="173"/>
      <c r="K201" s="173"/>
      <c r="L201" s="80"/>
      <c r="M201" s="81"/>
      <c r="N201" s="102"/>
      <c r="O201" s="102"/>
      <c r="P201" s="81"/>
      <c r="Q201" s="81"/>
      <c r="R201" s="81"/>
      <c r="S201" s="81"/>
      <c r="T201" s="81"/>
      <c r="U201" s="81"/>
      <c r="V201" s="81"/>
      <c r="W201" s="81"/>
      <c r="X201" s="81"/>
      <c r="Y201" s="81"/>
    </row>
    <row r="202" customFormat="false" ht="12" hidden="false" customHeight="true" outlineLevel="0" collapsed="false">
      <c r="A202" s="91"/>
      <c r="B202" s="81"/>
      <c r="C202" s="81"/>
      <c r="D202" s="81"/>
      <c r="E202" s="81"/>
      <c r="F202" s="173"/>
      <c r="G202" s="173"/>
      <c r="H202" s="173"/>
      <c r="I202" s="173"/>
      <c r="J202" s="173"/>
      <c r="K202" s="173"/>
      <c r="L202" s="80"/>
      <c r="M202" s="81"/>
      <c r="N202" s="102"/>
      <c r="O202" s="102"/>
      <c r="P202" s="81"/>
      <c r="Q202" s="81"/>
      <c r="R202" s="81"/>
      <c r="S202" s="81"/>
      <c r="T202" s="81"/>
      <c r="U202" s="81"/>
      <c r="V202" s="81"/>
      <c r="W202" s="81"/>
      <c r="X202" s="81"/>
      <c r="Y202" s="81"/>
    </row>
    <row r="203" customFormat="false" ht="12" hidden="false" customHeight="true" outlineLevel="0" collapsed="false">
      <c r="A203" s="91"/>
      <c r="B203" s="81"/>
      <c r="C203" s="81"/>
      <c r="D203" s="81"/>
      <c r="E203" s="81"/>
      <c r="F203" s="173"/>
      <c r="G203" s="173"/>
      <c r="H203" s="173"/>
      <c r="I203" s="173"/>
      <c r="J203" s="173"/>
      <c r="K203" s="173"/>
      <c r="L203" s="80"/>
      <c r="M203" s="81"/>
      <c r="N203" s="102"/>
      <c r="O203" s="102"/>
      <c r="P203" s="81"/>
      <c r="Q203" s="81"/>
      <c r="R203" s="81"/>
      <c r="S203" s="81"/>
      <c r="T203" s="81"/>
      <c r="U203" s="81"/>
      <c r="V203" s="81"/>
      <c r="W203" s="81"/>
      <c r="X203" s="81"/>
      <c r="Y203" s="81"/>
    </row>
    <row r="204" customFormat="false" ht="12" hidden="false" customHeight="true" outlineLevel="0" collapsed="false">
      <c r="A204" s="91"/>
      <c r="B204" s="81"/>
      <c r="C204" s="81"/>
      <c r="D204" s="81"/>
      <c r="E204" s="81"/>
      <c r="F204" s="173"/>
      <c r="G204" s="173"/>
      <c r="H204" s="173"/>
      <c r="I204" s="173"/>
      <c r="J204" s="173"/>
      <c r="K204" s="173"/>
      <c r="L204" s="80"/>
      <c r="M204" s="81"/>
      <c r="N204" s="102"/>
      <c r="O204" s="102"/>
      <c r="P204" s="81"/>
      <c r="Q204" s="81"/>
      <c r="R204" s="81"/>
      <c r="S204" s="81"/>
      <c r="T204" s="81"/>
      <c r="U204" s="81"/>
      <c r="V204" s="81"/>
      <c r="W204" s="81"/>
      <c r="X204" s="81"/>
      <c r="Y204" s="81"/>
    </row>
    <row r="205" customFormat="false" ht="12" hidden="false" customHeight="true" outlineLevel="0" collapsed="false">
      <c r="A205" s="91"/>
      <c r="B205" s="81"/>
      <c r="C205" s="81"/>
      <c r="D205" s="81"/>
      <c r="E205" s="81"/>
      <c r="F205" s="173"/>
      <c r="G205" s="173"/>
      <c r="H205" s="173"/>
      <c r="I205" s="173"/>
      <c r="J205" s="173"/>
      <c r="K205" s="173"/>
      <c r="L205" s="80"/>
      <c r="M205" s="81"/>
      <c r="N205" s="102"/>
      <c r="O205" s="102"/>
      <c r="P205" s="81"/>
      <c r="Q205" s="81"/>
      <c r="R205" s="81"/>
      <c r="S205" s="81"/>
      <c r="T205" s="81"/>
      <c r="U205" s="81"/>
      <c r="V205" s="81"/>
      <c r="W205" s="81"/>
      <c r="X205" s="81"/>
      <c r="Y205" s="81"/>
    </row>
    <row r="206" customFormat="false" ht="12" hidden="false" customHeight="true" outlineLevel="0" collapsed="false">
      <c r="A206" s="91"/>
      <c r="B206" s="81"/>
      <c r="C206" s="81"/>
      <c r="D206" s="81"/>
      <c r="E206" s="81"/>
      <c r="F206" s="173"/>
      <c r="G206" s="173"/>
      <c r="H206" s="173"/>
      <c r="I206" s="173"/>
      <c r="J206" s="173"/>
      <c r="K206" s="173"/>
      <c r="L206" s="80"/>
      <c r="M206" s="81"/>
      <c r="N206" s="102"/>
      <c r="O206" s="102"/>
      <c r="P206" s="81"/>
      <c r="Q206" s="81"/>
      <c r="R206" s="81"/>
      <c r="S206" s="81"/>
      <c r="T206" s="81"/>
      <c r="U206" s="81"/>
      <c r="V206" s="81"/>
      <c r="W206" s="81"/>
      <c r="X206" s="81"/>
      <c r="Y206" s="81"/>
    </row>
    <row r="207" customFormat="false" ht="12" hidden="false" customHeight="true" outlineLevel="0" collapsed="false">
      <c r="A207" s="91"/>
      <c r="B207" s="81"/>
      <c r="C207" s="81"/>
      <c r="D207" s="81"/>
      <c r="E207" s="81"/>
      <c r="F207" s="173"/>
      <c r="G207" s="173"/>
      <c r="H207" s="173"/>
      <c r="I207" s="173"/>
      <c r="J207" s="173"/>
      <c r="K207" s="173"/>
      <c r="L207" s="80"/>
      <c r="M207" s="81"/>
      <c r="N207" s="102"/>
      <c r="O207" s="102"/>
      <c r="P207" s="81"/>
      <c r="Q207" s="81"/>
      <c r="R207" s="81"/>
      <c r="S207" s="81"/>
      <c r="T207" s="81"/>
      <c r="U207" s="81"/>
      <c r="V207" s="81"/>
      <c r="W207" s="81"/>
      <c r="X207" s="81"/>
      <c r="Y207" s="81"/>
    </row>
    <row r="208" customFormat="false" ht="12" hidden="false" customHeight="true" outlineLevel="0" collapsed="false">
      <c r="A208" s="91"/>
      <c r="B208" s="81"/>
      <c r="C208" s="81"/>
      <c r="D208" s="81"/>
      <c r="E208" s="81"/>
      <c r="F208" s="173"/>
      <c r="G208" s="173"/>
      <c r="H208" s="173"/>
      <c r="I208" s="173"/>
      <c r="J208" s="173"/>
      <c r="K208" s="173"/>
      <c r="L208" s="80"/>
      <c r="M208" s="81"/>
      <c r="N208" s="102"/>
      <c r="O208" s="102"/>
      <c r="P208" s="81"/>
      <c r="Q208" s="81"/>
      <c r="R208" s="81"/>
      <c r="S208" s="81"/>
      <c r="T208" s="81"/>
      <c r="U208" s="81"/>
      <c r="V208" s="81"/>
      <c r="W208" s="81"/>
      <c r="X208" s="81"/>
      <c r="Y208" s="81"/>
    </row>
    <row r="209" customFormat="false" ht="12" hidden="false" customHeight="true" outlineLevel="0" collapsed="false">
      <c r="A209" s="91"/>
      <c r="B209" s="81"/>
      <c r="C209" s="81"/>
      <c r="D209" s="81"/>
      <c r="E209" s="81"/>
      <c r="F209" s="173"/>
      <c r="G209" s="173"/>
      <c r="H209" s="173"/>
      <c r="I209" s="173"/>
      <c r="J209" s="173"/>
      <c r="K209" s="173"/>
      <c r="L209" s="80"/>
      <c r="M209" s="81"/>
      <c r="N209" s="102"/>
      <c r="O209" s="102"/>
      <c r="P209" s="81"/>
      <c r="Q209" s="81"/>
      <c r="R209" s="81"/>
      <c r="S209" s="81"/>
      <c r="T209" s="81"/>
      <c r="U209" s="81"/>
      <c r="V209" s="81"/>
      <c r="W209" s="81"/>
      <c r="X209" s="81"/>
      <c r="Y209" s="81"/>
    </row>
    <row r="210" customFormat="false" ht="12" hidden="false" customHeight="true" outlineLevel="0" collapsed="false">
      <c r="A210" s="91"/>
      <c r="B210" s="81"/>
      <c r="C210" s="81"/>
      <c r="D210" s="81"/>
      <c r="E210" s="81"/>
      <c r="F210" s="173"/>
      <c r="G210" s="173"/>
      <c r="H210" s="173"/>
      <c r="I210" s="173"/>
      <c r="J210" s="173"/>
      <c r="K210" s="173"/>
      <c r="L210" s="80"/>
      <c r="M210" s="81"/>
      <c r="N210" s="102"/>
      <c r="O210" s="102"/>
      <c r="P210" s="81"/>
      <c r="Q210" s="81"/>
      <c r="R210" s="81"/>
      <c r="S210" s="81"/>
      <c r="T210" s="81"/>
      <c r="U210" s="81"/>
      <c r="V210" s="81"/>
      <c r="W210" s="81"/>
      <c r="X210" s="81"/>
      <c r="Y210" s="81"/>
    </row>
    <row r="211" customFormat="false" ht="12" hidden="false" customHeight="true" outlineLevel="0" collapsed="false">
      <c r="A211" s="91"/>
      <c r="B211" s="81"/>
      <c r="C211" s="81"/>
      <c r="D211" s="81"/>
      <c r="E211" s="81"/>
      <c r="F211" s="173"/>
      <c r="G211" s="173"/>
      <c r="H211" s="173"/>
      <c r="I211" s="173"/>
      <c r="J211" s="173"/>
      <c r="K211" s="173"/>
      <c r="L211" s="80"/>
      <c r="M211" s="81"/>
      <c r="N211" s="102"/>
      <c r="O211" s="102"/>
      <c r="P211" s="81"/>
      <c r="Q211" s="81"/>
      <c r="R211" s="81"/>
      <c r="S211" s="81"/>
      <c r="T211" s="81"/>
      <c r="U211" s="81"/>
      <c r="V211" s="81"/>
      <c r="W211" s="81"/>
      <c r="X211" s="81"/>
      <c r="Y211" s="81"/>
    </row>
    <row r="212" customFormat="false" ht="12" hidden="false" customHeight="true" outlineLevel="0" collapsed="false">
      <c r="A212" s="91"/>
      <c r="B212" s="81"/>
      <c r="C212" s="81"/>
      <c r="D212" s="81"/>
      <c r="E212" s="81"/>
      <c r="F212" s="173"/>
      <c r="G212" s="173"/>
      <c r="H212" s="173"/>
      <c r="I212" s="173"/>
      <c r="J212" s="173"/>
      <c r="K212" s="173"/>
      <c r="L212" s="80"/>
      <c r="M212" s="81"/>
      <c r="N212" s="102"/>
      <c r="O212" s="102"/>
      <c r="P212" s="81"/>
      <c r="Q212" s="81"/>
      <c r="R212" s="81"/>
      <c r="S212" s="81"/>
      <c r="T212" s="81"/>
      <c r="U212" s="81"/>
      <c r="V212" s="81"/>
      <c r="W212" s="81"/>
      <c r="X212" s="81"/>
      <c r="Y212" s="81"/>
    </row>
    <row r="213" customFormat="false" ht="12" hidden="false" customHeight="true" outlineLevel="0" collapsed="false">
      <c r="A213" s="91"/>
      <c r="B213" s="81"/>
      <c r="C213" s="81"/>
      <c r="D213" s="81"/>
      <c r="E213" s="81"/>
      <c r="F213" s="173"/>
      <c r="G213" s="173"/>
      <c r="H213" s="173"/>
      <c r="I213" s="173"/>
      <c r="J213" s="173"/>
      <c r="K213" s="173"/>
      <c r="L213" s="80"/>
      <c r="M213" s="81"/>
      <c r="N213" s="102"/>
      <c r="O213" s="102"/>
      <c r="P213" s="81"/>
      <c r="Q213" s="81"/>
      <c r="R213" s="81"/>
      <c r="S213" s="81"/>
      <c r="T213" s="81"/>
      <c r="U213" s="81"/>
      <c r="V213" s="81"/>
      <c r="W213" s="81"/>
      <c r="X213" s="81"/>
      <c r="Y213" s="81"/>
    </row>
    <row r="214" customFormat="false" ht="12" hidden="false" customHeight="true" outlineLevel="0" collapsed="false">
      <c r="A214" s="91"/>
      <c r="B214" s="81"/>
      <c r="C214" s="81"/>
      <c r="D214" s="81"/>
      <c r="E214" s="81"/>
      <c r="F214" s="173"/>
      <c r="G214" s="173"/>
      <c r="H214" s="173"/>
      <c r="I214" s="173"/>
      <c r="J214" s="173"/>
      <c r="K214" s="173"/>
      <c r="L214" s="80"/>
      <c r="M214" s="81"/>
      <c r="N214" s="102"/>
      <c r="O214" s="102"/>
      <c r="P214" s="81"/>
      <c r="Q214" s="81"/>
      <c r="R214" s="81"/>
      <c r="S214" s="81"/>
      <c r="T214" s="81"/>
      <c r="U214" s="81"/>
      <c r="V214" s="81"/>
      <c r="W214" s="81"/>
      <c r="X214" s="81"/>
      <c r="Y214" s="81"/>
    </row>
    <row r="215" customFormat="false" ht="12" hidden="false" customHeight="true" outlineLevel="0" collapsed="false">
      <c r="A215" s="91"/>
      <c r="B215" s="81"/>
      <c r="C215" s="81"/>
      <c r="D215" s="81"/>
      <c r="E215" s="81"/>
      <c r="F215" s="173"/>
      <c r="G215" s="173"/>
      <c r="H215" s="173"/>
      <c r="I215" s="173"/>
      <c r="J215" s="173"/>
      <c r="K215" s="173"/>
      <c r="L215" s="80"/>
      <c r="M215" s="81"/>
      <c r="N215" s="102"/>
      <c r="O215" s="102"/>
      <c r="P215" s="81"/>
      <c r="Q215" s="81"/>
      <c r="R215" s="81"/>
      <c r="S215" s="81"/>
      <c r="T215" s="81"/>
      <c r="U215" s="81"/>
      <c r="V215" s="81"/>
      <c r="W215" s="81"/>
      <c r="X215" s="81"/>
      <c r="Y215" s="81"/>
    </row>
    <row r="216" customFormat="false" ht="12" hidden="false" customHeight="true" outlineLevel="0" collapsed="false">
      <c r="A216" s="91"/>
      <c r="B216" s="81"/>
      <c r="C216" s="81"/>
      <c r="D216" s="81"/>
      <c r="E216" s="81"/>
      <c r="F216" s="173"/>
      <c r="G216" s="173"/>
      <c r="H216" s="173"/>
      <c r="I216" s="173"/>
      <c r="J216" s="173"/>
      <c r="K216" s="173"/>
      <c r="L216" s="80"/>
      <c r="M216" s="81"/>
      <c r="N216" s="102"/>
      <c r="O216" s="102"/>
      <c r="P216" s="81"/>
      <c r="Q216" s="81"/>
      <c r="R216" s="81"/>
      <c r="S216" s="81"/>
      <c r="T216" s="81"/>
      <c r="U216" s="81"/>
      <c r="V216" s="81"/>
      <c r="W216" s="81"/>
      <c r="X216" s="81"/>
      <c r="Y216" s="81"/>
    </row>
    <row r="217" customFormat="false" ht="12" hidden="false" customHeight="true" outlineLevel="0" collapsed="false">
      <c r="A217" s="91"/>
      <c r="B217" s="81"/>
      <c r="C217" s="81"/>
      <c r="D217" s="81"/>
      <c r="E217" s="81"/>
      <c r="F217" s="173"/>
      <c r="G217" s="173"/>
      <c r="H217" s="173"/>
      <c r="I217" s="173"/>
      <c r="J217" s="173"/>
      <c r="K217" s="173"/>
      <c r="L217" s="80"/>
      <c r="M217" s="81"/>
      <c r="N217" s="102"/>
      <c r="O217" s="102"/>
      <c r="P217" s="81"/>
      <c r="Q217" s="81"/>
      <c r="R217" s="81"/>
      <c r="S217" s="81"/>
      <c r="T217" s="81"/>
      <c r="U217" s="81"/>
      <c r="V217" s="81"/>
      <c r="W217" s="81"/>
      <c r="X217" s="81"/>
      <c r="Y217" s="81"/>
    </row>
    <row r="218" customFormat="false" ht="12" hidden="false" customHeight="true" outlineLevel="0" collapsed="false">
      <c r="A218" s="91"/>
      <c r="B218" s="81"/>
      <c r="C218" s="81"/>
      <c r="D218" s="81"/>
      <c r="E218" s="81"/>
      <c r="F218" s="173"/>
      <c r="G218" s="173"/>
      <c r="H218" s="173"/>
      <c r="I218" s="173"/>
      <c r="J218" s="173"/>
      <c r="K218" s="173"/>
      <c r="L218" s="80"/>
      <c r="M218" s="81"/>
      <c r="N218" s="102"/>
      <c r="O218" s="102"/>
      <c r="P218" s="81"/>
      <c r="Q218" s="81"/>
      <c r="R218" s="81"/>
      <c r="S218" s="81"/>
      <c r="T218" s="81"/>
      <c r="U218" s="81"/>
      <c r="V218" s="81"/>
      <c r="W218" s="81"/>
      <c r="X218" s="81"/>
      <c r="Y218" s="81"/>
    </row>
    <row r="219" customFormat="false" ht="12" hidden="false" customHeight="true" outlineLevel="0" collapsed="false">
      <c r="A219" s="91"/>
      <c r="B219" s="81"/>
      <c r="C219" s="81"/>
      <c r="D219" s="81"/>
      <c r="E219" s="81"/>
      <c r="F219" s="173"/>
      <c r="G219" s="173"/>
      <c r="H219" s="173"/>
      <c r="I219" s="173"/>
      <c r="J219" s="173"/>
      <c r="K219" s="173"/>
      <c r="L219" s="80"/>
      <c r="M219" s="81"/>
      <c r="N219" s="102"/>
      <c r="O219" s="102"/>
      <c r="P219" s="81"/>
      <c r="Q219" s="81"/>
      <c r="R219" s="81"/>
      <c r="S219" s="81"/>
      <c r="T219" s="81"/>
      <c r="U219" s="81"/>
      <c r="V219" s="81"/>
      <c r="W219" s="81"/>
      <c r="X219" s="81"/>
      <c r="Y219" s="81"/>
    </row>
    <row r="220" customFormat="false" ht="12" hidden="false" customHeight="true" outlineLevel="0" collapsed="false">
      <c r="A220" s="91"/>
      <c r="B220" s="81"/>
      <c r="C220" s="81"/>
      <c r="D220" s="81"/>
      <c r="E220" s="81"/>
      <c r="F220" s="173"/>
      <c r="G220" s="173"/>
      <c r="H220" s="173"/>
      <c r="I220" s="173"/>
      <c r="J220" s="173"/>
      <c r="K220" s="173"/>
      <c r="L220" s="80"/>
      <c r="M220" s="81"/>
      <c r="N220" s="102"/>
      <c r="O220" s="102"/>
      <c r="P220" s="81"/>
      <c r="Q220" s="81"/>
      <c r="R220" s="81"/>
      <c r="S220" s="81"/>
      <c r="T220" s="81"/>
      <c r="U220" s="81"/>
      <c r="V220" s="81"/>
      <c r="W220" s="81"/>
      <c r="X220" s="81"/>
      <c r="Y220" s="81"/>
    </row>
    <row r="221" customFormat="false" ht="12" hidden="false" customHeight="true" outlineLevel="0" collapsed="false">
      <c r="A221" s="91"/>
      <c r="B221" s="81"/>
      <c r="C221" s="81"/>
      <c r="D221" s="81"/>
      <c r="E221" s="81"/>
      <c r="F221" s="173"/>
      <c r="G221" s="173"/>
      <c r="H221" s="173"/>
      <c r="I221" s="173"/>
      <c r="J221" s="173"/>
      <c r="K221" s="173"/>
      <c r="L221" s="80"/>
      <c r="M221" s="81"/>
      <c r="N221" s="102"/>
      <c r="O221" s="102"/>
      <c r="P221" s="81"/>
      <c r="Q221" s="81"/>
      <c r="R221" s="81"/>
      <c r="S221" s="81"/>
      <c r="T221" s="81"/>
      <c r="U221" s="81"/>
      <c r="V221" s="81"/>
      <c r="W221" s="81"/>
      <c r="X221" s="81"/>
      <c r="Y221" s="81"/>
    </row>
    <row r="222" customFormat="false" ht="12" hidden="false" customHeight="true" outlineLevel="0" collapsed="false">
      <c r="A222" s="91"/>
      <c r="B222" s="81"/>
      <c r="C222" s="81"/>
      <c r="D222" s="81"/>
      <c r="E222" s="81"/>
      <c r="F222" s="173"/>
      <c r="G222" s="173"/>
      <c r="H222" s="173"/>
      <c r="I222" s="173"/>
      <c r="J222" s="173"/>
      <c r="K222" s="173"/>
      <c r="L222" s="80"/>
      <c r="M222" s="81"/>
      <c r="N222" s="102"/>
      <c r="O222" s="102"/>
      <c r="P222" s="81"/>
      <c r="Q222" s="81"/>
      <c r="R222" s="81"/>
      <c r="S222" s="81"/>
      <c r="T222" s="81"/>
      <c r="U222" s="81"/>
      <c r="V222" s="81"/>
      <c r="W222" s="81"/>
      <c r="X222" s="81"/>
      <c r="Y222" s="81"/>
    </row>
    <row r="223" customFormat="false" ht="12" hidden="false" customHeight="true" outlineLevel="0" collapsed="false">
      <c r="A223" s="91"/>
      <c r="B223" s="81"/>
      <c r="C223" s="81"/>
      <c r="D223" s="81"/>
      <c r="E223" s="81"/>
      <c r="F223" s="173"/>
      <c r="G223" s="173"/>
      <c r="H223" s="173"/>
      <c r="I223" s="173"/>
      <c r="J223" s="173"/>
      <c r="K223" s="173"/>
      <c r="L223" s="80"/>
      <c r="M223" s="81"/>
      <c r="N223" s="102"/>
      <c r="O223" s="102"/>
      <c r="P223" s="81"/>
      <c r="Q223" s="81"/>
      <c r="R223" s="81"/>
      <c r="S223" s="81"/>
      <c r="T223" s="81"/>
      <c r="U223" s="81"/>
      <c r="V223" s="81"/>
      <c r="W223" s="81"/>
      <c r="X223" s="81"/>
      <c r="Y223" s="81"/>
    </row>
    <row r="224" customFormat="false" ht="12" hidden="false" customHeight="true" outlineLevel="0" collapsed="false">
      <c r="A224" s="91"/>
      <c r="B224" s="81"/>
      <c r="C224" s="81"/>
      <c r="D224" s="81"/>
      <c r="E224" s="81"/>
      <c r="F224" s="173"/>
      <c r="G224" s="173"/>
      <c r="H224" s="173"/>
      <c r="I224" s="173"/>
      <c r="J224" s="173"/>
      <c r="K224" s="173"/>
      <c r="L224" s="80"/>
      <c r="M224" s="81"/>
      <c r="N224" s="102"/>
      <c r="O224" s="102"/>
      <c r="P224" s="81"/>
      <c r="Q224" s="81"/>
      <c r="R224" s="81"/>
      <c r="S224" s="81"/>
      <c r="T224" s="81"/>
      <c r="U224" s="81"/>
      <c r="V224" s="81"/>
      <c r="W224" s="81"/>
      <c r="X224" s="81"/>
      <c r="Y224" s="81"/>
    </row>
    <row r="225" customFormat="false" ht="12" hidden="false" customHeight="true" outlineLevel="0" collapsed="false">
      <c r="A225" s="91"/>
      <c r="B225" s="81"/>
      <c r="C225" s="81"/>
      <c r="D225" s="81"/>
      <c r="E225" s="81"/>
      <c r="F225" s="173"/>
      <c r="G225" s="173"/>
      <c r="H225" s="173"/>
      <c r="I225" s="173"/>
      <c r="J225" s="173"/>
      <c r="K225" s="173"/>
      <c r="L225" s="80"/>
      <c r="M225" s="81"/>
      <c r="N225" s="102"/>
      <c r="O225" s="102"/>
      <c r="P225" s="81"/>
      <c r="Q225" s="81"/>
      <c r="R225" s="81"/>
      <c r="S225" s="81"/>
      <c r="T225" s="81"/>
      <c r="U225" s="81"/>
      <c r="V225" s="81"/>
      <c r="W225" s="81"/>
      <c r="X225" s="81"/>
      <c r="Y225" s="81"/>
    </row>
    <row r="226" customFormat="false" ht="12" hidden="false" customHeight="true" outlineLevel="0" collapsed="false">
      <c r="A226" s="91"/>
      <c r="B226" s="81"/>
      <c r="C226" s="81"/>
      <c r="D226" s="81"/>
      <c r="E226" s="81"/>
      <c r="F226" s="173"/>
      <c r="G226" s="173"/>
      <c r="H226" s="173"/>
      <c r="I226" s="173"/>
      <c r="J226" s="173"/>
      <c r="K226" s="173"/>
      <c r="L226" s="80"/>
      <c r="M226" s="81"/>
      <c r="N226" s="102"/>
      <c r="O226" s="102"/>
      <c r="P226" s="81"/>
      <c r="Q226" s="81"/>
      <c r="R226" s="81"/>
      <c r="S226" s="81"/>
      <c r="T226" s="81"/>
      <c r="U226" s="81"/>
      <c r="V226" s="81"/>
      <c r="W226" s="81"/>
      <c r="X226" s="81"/>
      <c r="Y226" s="81"/>
    </row>
    <row r="227" customFormat="false" ht="12" hidden="false" customHeight="true" outlineLevel="0" collapsed="false">
      <c r="A227" s="91"/>
      <c r="B227" s="81"/>
      <c r="C227" s="81"/>
      <c r="D227" s="81"/>
      <c r="E227" s="81"/>
      <c r="F227" s="173"/>
      <c r="G227" s="173"/>
      <c r="H227" s="173"/>
      <c r="I227" s="173"/>
      <c r="J227" s="173"/>
      <c r="K227" s="173"/>
      <c r="L227" s="80"/>
      <c r="M227" s="81"/>
      <c r="N227" s="102"/>
      <c r="O227" s="102"/>
      <c r="P227" s="81"/>
      <c r="Q227" s="81"/>
      <c r="R227" s="81"/>
      <c r="S227" s="81"/>
      <c r="T227" s="81"/>
      <c r="U227" s="81"/>
      <c r="V227" s="81"/>
      <c r="W227" s="81"/>
      <c r="X227" s="81"/>
      <c r="Y227" s="81"/>
    </row>
    <row r="228" customFormat="false" ht="12" hidden="false" customHeight="true" outlineLevel="0" collapsed="false">
      <c r="A228" s="91"/>
      <c r="B228" s="81"/>
      <c r="C228" s="81"/>
      <c r="D228" s="81"/>
      <c r="E228" s="81"/>
      <c r="F228" s="173"/>
      <c r="G228" s="173"/>
      <c r="H228" s="173"/>
      <c r="I228" s="173"/>
      <c r="J228" s="173"/>
      <c r="K228" s="173"/>
      <c r="L228" s="80"/>
      <c r="M228" s="81"/>
      <c r="N228" s="102"/>
      <c r="O228" s="102"/>
      <c r="P228" s="81"/>
      <c r="Q228" s="81"/>
      <c r="R228" s="81"/>
      <c r="S228" s="81"/>
      <c r="T228" s="81"/>
      <c r="U228" s="81"/>
      <c r="V228" s="81"/>
      <c r="W228" s="81"/>
      <c r="X228" s="81"/>
      <c r="Y228" s="81"/>
    </row>
    <row r="229" customFormat="false" ht="12" hidden="false" customHeight="true" outlineLevel="0" collapsed="false">
      <c r="A229" s="91"/>
      <c r="B229" s="81"/>
      <c r="C229" s="81"/>
      <c r="D229" s="81"/>
      <c r="E229" s="81"/>
      <c r="F229" s="173"/>
      <c r="G229" s="173"/>
      <c r="H229" s="173"/>
      <c r="I229" s="173"/>
      <c r="J229" s="173"/>
      <c r="K229" s="173"/>
      <c r="L229" s="80"/>
      <c r="M229" s="81"/>
      <c r="N229" s="102"/>
      <c r="O229" s="102"/>
      <c r="P229" s="81"/>
      <c r="Q229" s="81"/>
      <c r="R229" s="81"/>
      <c r="S229" s="81"/>
      <c r="T229" s="81"/>
      <c r="U229" s="81"/>
      <c r="V229" s="81"/>
      <c r="W229" s="81"/>
      <c r="X229" s="81"/>
      <c r="Y229" s="81"/>
    </row>
    <row r="230" customFormat="false" ht="12" hidden="false" customHeight="true" outlineLevel="0" collapsed="false">
      <c r="A230" s="91"/>
      <c r="B230" s="81"/>
      <c r="C230" s="81"/>
      <c r="D230" s="81"/>
      <c r="E230" s="81"/>
      <c r="F230" s="173"/>
      <c r="G230" s="173"/>
      <c r="H230" s="173"/>
      <c r="I230" s="173"/>
      <c r="J230" s="173"/>
      <c r="K230" s="173"/>
      <c r="L230" s="80"/>
      <c r="M230" s="81"/>
      <c r="N230" s="102"/>
      <c r="O230" s="102"/>
      <c r="P230" s="81"/>
      <c r="Q230" s="81"/>
      <c r="R230" s="81"/>
      <c r="S230" s="81"/>
      <c r="T230" s="81"/>
      <c r="U230" s="81"/>
      <c r="V230" s="81"/>
      <c r="W230" s="81"/>
      <c r="X230" s="81"/>
      <c r="Y230" s="81"/>
    </row>
    <row r="231" customFormat="false" ht="12" hidden="false" customHeight="true" outlineLevel="0" collapsed="false">
      <c r="A231" s="91"/>
      <c r="B231" s="81"/>
      <c r="C231" s="81"/>
      <c r="D231" s="81"/>
      <c r="E231" s="81"/>
      <c r="F231" s="173"/>
      <c r="G231" s="173"/>
      <c r="H231" s="173"/>
      <c r="I231" s="173"/>
      <c r="J231" s="173"/>
      <c r="K231" s="173"/>
      <c r="L231" s="80"/>
      <c r="M231" s="81"/>
      <c r="N231" s="102"/>
      <c r="O231" s="102"/>
      <c r="P231" s="81"/>
      <c r="Q231" s="81"/>
      <c r="R231" s="81"/>
      <c r="S231" s="81"/>
      <c r="T231" s="81"/>
      <c r="U231" s="81"/>
      <c r="V231" s="81"/>
      <c r="W231" s="81"/>
      <c r="X231" s="81"/>
      <c r="Y231" s="81"/>
    </row>
    <row r="232" customFormat="false" ht="12" hidden="false" customHeight="true" outlineLevel="0" collapsed="false">
      <c r="A232" s="91"/>
      <c r="B232" s="81"/>
      <c r="C232" s="81"/>
      <c r="D232" s="81"/>
      <c r="E232" s="81"/>
      <c r="F232" s="173"/>
      <c r="G232" s="173"/>
      <c r="H232" s="173"/>
      <c r="I232" s="173"/>
      <c r="J232" s="173"/>
      <c r="K232" s="173"/>
      <c r="L232" s="80"/>
      <c r="M232" s="81"/>
      <c r="N232" s="102"/>
      <c r="O232" s="102"/>
      <c r="P232" s="81"/>
      <c r="Q232" s="81"/>
      <c r="R232" s="81"/>
      <c r="S232" s="81"/>
      <c r="T232" s="81"/>
      <c r="U232" s="81"/>
      <c r="V232" s="81"/>
      <c r="W232" s="81"/>
      <c r="X232" s="81"/>
      <c r="Y232" s="81"/>
    </row>
    <row r="233" customFormat="false" ht="12" hidden="false" customHeight="true" outlineLevel="0" collapsed="false">
      <c r="A233" s="91"/>
      <c r="B233" s="81"/>
      <c r="C233" s="81"/>
      <c r="D233" s="81"/>
      <c r="E233" s="81"/>
      <c r="F233" s="173"/>
      <c r="G233" s="173"/>
      <c r="H233" s="173"/>
      <c r="I233" s="173"/>
      <c r="J233" s="173"/>
      <c r="K233" s="173"/>
      <c r="L233" s="80"/>
      <c r="M233" s="81"/>
      <c r="N233" s="102"/>
      <c r="O233" s="102"/>
      <c r="P233" s="81"/>
      <c r="Q233" s="81"/>
      <c r="R233" s="81"/>
      <c r="S233" s="81"/>
      <c r="T233" s="81"/>
      <c r="U233" s="81"/>
      <c r="V233" s="81"/>
      <c r="W233" s="81"/>
      <c r="X233" s="81"/>
      <c r="Y233" s="81"/>
    </row>
    <row r="234" customFormat="false" ht="12" hidden="false" customHeight="true" outlineLevel="0" collapsed="false">
      <c r="A234" s="91"/>
      <c r="B234" s="81"/>
      <c r="C234" s="81"/>
      <c r="D234" s="81"/>
      <c r="E234" s="81"/>
      <c r="F234" s="173"/>
      <c r="G234" s="173"/>
      <c r="H234" s="173"/>
      <c r="I234" s="173"/>
      <c r="J234" s="173"/>
      <c r="K234" s="173"/>
      <c r="L234" s="80"/>
      <c r="M234" s="81"/>
      <c r="N234" s="102"/>
      <c r="O234" s="102"/>
      <c r="P234" s="81"/>
      <c r="Q234" s="81"/>
      <c r="R234" s="81"/>
      <c r="S234" s="81"/>
      <c r="T234" s="81"/>
      <c r="U234" s="81"/>
      <c r="V234" s="81"/>
      <c r="W234" s="81"/>
      <c r="X234" s="81"/>
      <c r="Y234" s="81"/>
    </row>
    <row r="235" customFormat="false" ht="12" hidden="false" customHeight="true" outlineLevel="0" collapsed="false">
      <c r="A235" s="91"/>
      <c r="B235" s="81"/>
      <c r="C235" s="81"/>
      <c r="D235" s="81"/>
      <c r="E235" s="81"/>
      <c r="F235" s="173"/>
      <c r="G235" s="173"/>
      <c r="H235" s="173"/>
      <c r="I235" s="173"/>
      <c r="J235" s="173"/>
      <c r="K235" s="173"/>
      <c r="L235" s="80"/>
      <c r="M235" s="81"/>
      <c r="N235" s="102"/>
      <c r="O235" s="102"/>
      <c r="P235" s="81"/>
      <c r="Q235" s="81"/>
      <c r="R235" s="81"/>
      <c r="S235" s="81"/>
      <c r="T235" s="81"/>
      <c r="U235" s="81"/>
      <c r="V235" s="81"/>
      <c r="W235" s="81"/>
      <c r="X235" s="81"/>
      <c r="Y235" s="81"/>
    </row>
    <row r="236" customFormat="false" ht="12" hidden="false" customHeight="true" outlineLevel="0" collapsed="false">
      <c r="A236" s="91"/>
      <c r="B236" s="81"/>
      <c r="C236" s="81"/>
      <c r="D236" s="81"/>
      <c r="E236" s="81"/>
      <c r="F236" s="173"/>
      <c r="G236" s="173"/>
      <c r="H236" s="173"/>
      <c r="I236" s="173"/>
      <c r="J236" s="173"/>
      <c r="K236" s="173"/>
      <c r="L236" s="80"/>
      <c r="M236" s="81"/>
      <c r="N236" s="102"/>
      <c r="O236" s="102"/>
      <c r="P236" s="81"/>
      <c r="Q236" s="81"/>
      <c r="R236" s="81"/>
      <c r="S236" s="81"/>
      <c r="T236" s="81"/>
      <c r="U236" s="81"/>
      <c r="V236" s="81"/>
      <c r="W236" s="81"/>
      <c r="X236" s="81"/>
      <c r="Y236" s="81"/>
    </row>
    <row r="237" customFormat="false" ht="12" hidden="false" customHeight="true" outlineLevel="0" collapsed="false">
      <c r="A237" s="91"/>
      <c r="B237" s="81"/>
      <c r="C237" s="81"/>
      <c r="D237" s="81"/>
      <c r="E237" s="81"/>
      <c r="F237" s="173"/>
      <c r="G237" s="173"/>
      <c r="H237" s="173"/>
      <c r="I237" s="173"/>
      <c r="J237" s="173"/>
      <c r="K237" s="173"/>
      <c r="L237" s="80"/>
      <c r="M237" s="81"/>
      <c r="N237" s="102"/>
      <c r="O237" s="102"/>
      <c r="P237" s="81"/>
      <c r="Q237" s="81"/>
      <c r="R237" s="81"/>
      <c r="S237" s="81"/>
      <c r="T237" s="81"/>
      <c r="U237" s="81"/>
      <c r="V237" s="81"/>
      <c r="W237" s="81"/>
      <c r="X237" s="81"/>
      <c r="Y237" s="81"/>
    </row>
    <row r="238" customFormat="false" ht="12" hidden="false" customHeight="true" outlineLevel="0" collapsed="false">
      <c r="A238" s="91"/>
      <c r="B238" s="81"/>
      <c r="C238" s="81"/>
      <c r="D238" s="81"/>
      <c r="E238" s="81"/>
      <c r="F238" s="173"/>
      <c r="G238" s="173"/>
      <c r="H238" s="173"/>
      <c r="I238" s="173"/>
      <c r="J238" s="173"/>
      <c r="K238" s="173"/>
      <c r="L238" s="80"/>
      <c r="M238" s="81"/>
      <c r="N238" s="102"/>
      <c r="O238" s="102"/>
      <c r="P238" s="81"/>
      <c r="Q238" s="81"/>
      <c r="R238" s="81"/>
      <c r="S238" s="81"/>
      <c r="T238" s="81"/>
      <c r="U238" s="81"/>
      <c r="V238" s="81"/>
      <c r="W238" s="81"/>
      <c r="X238" s="81"/>
      <c r="Y238" s="81"/>
    </row>
    <row r="239" customFormat="false" ht="12" hidden="false" customHeight="true" outlineLevel="0" collapsed="false">
      <c r="A239" s="91"/>
      <c r="B239" s="81"/>
      <c r="C239" s="81"/>
      <c r="D239" s="81"/>
      <c r="E239" s="81"/>
      <c r="F239" s="173"/>
      <c r="G239" s="173"/>
      <c r="H239" s="173"/>
      <c r="I239" s="173"/>
      <c r="J239" s="173"/>
      <c r="K239" s="173"/>
      <c r="L239" s="80"/>
      <c r="M239" s="81"/>
      <c r="N239" s="102"/>
      <c r="O239" s="102"/>
      <c r="P239" s="81"/>
      <c r="Q239" s="81"/>
      <c r="R239" s="81"/>
      <c r="S239" s="81"/>
      <c r="T239" s="81"/>
      <c r="U239" s="81"/>
      <c r="V239" s="81"/>
      <c r="W239" s="81"/>
      <c r="X239" s="81"/>
      <c r="Y239" s="81"/>
    </row>
    <row r="240" customFormat="false" ht="12" hidden="false" customHeight="true" outlineLevel="0" collapsed="false">
      <c r="A240" s="91"/>
      <c r="B240" s="81"/>
      <c r="C240" s="81"/>
      <c r="D240" s="81"/>
      <c r="E240" s="81"/>
      <c r="F240" s="173"/>
      <c r="G240" s="173"/>
      <c r="H240" s="173"/>
      <c r="I240" s="173"/>
      <c r="J240" s="173"/>
      <c r="K240" s="173"/>
      <c r="L240" s="80"/>
      <c r="M240" s="81"/>
      <c r="N240" s="102"/>
      <c r="O240" s="102"/>
      <c r="P240" s="81"/>
      <c r="Q240" s="81"/>
      <c r="R240" s="81"/>
      <c r="S240" s="81"/>
      <c r="T240" s="81"/>
      <c r="U240" s="81"/>
      <c r="V240" s="81"/>
      <c r="W240" s="81"/>
      <c r="X240" s="81"/>
      <c r="Y240" s="81"/>
    </row>
    <row r="241" customFormat="false" ht="12" hidden="false" customHeight="true" outlineLevel="0" collapsed="false">
      <c r="A241" s="91"/>
      <c r="B241" s="81"/>
      <c r="C241" s="81"/>
      <c r="D241" s="81"/>
      <c r="E241" s="81"/>
      <c r="F241" s="173"/>
      <c r="G241" s="173"/>
      <c r="H241" s="173"/>
      <c r="I241" s="173"/>
      <c r="J241" s="173"/>
      <c r="K241" s="173"/>
      <c r="L241" s="80"/>
      <c r="M241" s="81"/>
      <c r="N241" s="102"/>
      <c r="O241" s="102"/>
      <c r="P241" s="81"/>
      <c r="Q241" s="81"/>
      <c r="R241" s="81"/>
      <c r="S241" s="81"/>
      <c r="T241" s="81"/>
      <c r="U241" s="81"/>
      <c r="V241" s="81"/>
      <c r="W241" s="81"/>
      <c r="X241" s="81"/>
      <c r="Y241" s="81"/>
    </row>
    <row r="242" customFormat="false" ht="12" hidden="false" customHeight="true" outlineLevel="0" collapsed="false">
      <c r="A242" s="91"/>
      <c r="B242" s="81"/>
      <c r="C242" s="81"/>
      <c r="D242" s="81"/>
      <c r="E242" s="81"/>
      <c r="F242" s="173"/>
      <c r="G242" s="173"/>
      <c r="H242" s="173"/>
      <c r="I242" s="173"/>
      <c r="J242" s="173"/>
      <c r="K242" s="173"/>
      <c r="L242" s="80"/>
      <c r="M242" s="81"/>
      <c r="N242" s="102"/>
      <c r="O242" s="102"/>
      <c r="P242" s="81"/>
      <c r="Q242" s="81"/>
      <c r="R242" s="81"/>
      <c r="S242" s="81"/>
      <c r="T242" s="81"/>
      <c r="U242" s="81"/>
      <c r="V242" s="81"/>
      <c r="W242" s="81"/>
      <c r="X242" s="81"/>
      <c r="Y242" s="81"/>
    </row>
    <row r="243" customFormat="false" ht="12" hidden="false" customHeight="true" outlineLevel="0" collapsed="false">
      <c r="A243" s="91"/>
      <c r="B243" s="81"/>
      <c r="C243" s="81"/>
      <c r="D243" s="81"/>
      <c r="E243" s="81"/>
      <c r="F243" s="173"/>
      <c r="G243" s="173"/>
      <c r="H243" s="173"/>
      <c r="I243" s="173"/>
      <c r="J243" s="173"/>
      <c r="K243" s="173"/>
      <c r="L243" s="80"/>
      <c r="M243" s="81"/>
      <c r="N243" s="102"/>
      <c r="O243" s="102"/>
      <c r="P243" s="81"/>
      <c r="Q243" s="81"/>
      <c r="R243" s="81"/>
      <c r="S243" s="81"/>
      <c r="T243" s="81"/>
      <c r="U243" s="81"/>
      <c r="V243" s="81"/>
      <c r="W243" s="81"/>
      <c r="X243" s="81"/>
      <c r="Y243" s="81"/>
    </row>
    <row r="244" customFormat="false" ht="12" hidden="false" customHeight="true" outlineLevel="0" collapsed="false">
      <c r="A244" s="91"/>
      <c r="B244" s="81"/>
      <c r="C244" s="81"/>
      <c r="D244" s="81"/>
      <c r="E244" s="81"/>
      <c r="F244" s="173"/>
      <c r="G244" s="173"/>
      <c r="H244" s="173"/>
      <c r="I244" s="173"/>
      <c r="J244" s="173"/>
      <c r="K244" s="173"/>
      <c r="L244" s="80"/>
      <c r="M244" s="81"/>
      <c r="N244" s="102"/>
      <c r="O244" s="102"/>
      <c r="P244" s="81"/>
      <c r="Q244" s="81"/>
      <c r="R244" s="81"/>
      <c r="S244" s="81"/>
      <c r="T244" s="81"/>
      <c r="U244" s="81"/>
      <c r="V244" s="81"/>
      <c r="W244" s="81"/>
      <c r="X244" s="81"/>
      <c r="Y244" s="81"/>
    </row>
    <row r="245" customFormat="false" ht="12" hidden="false" customHeight="true" outlineLevel="0" collapsed="false">
      <c r="A245" s="91"/>
      <c r="B245" s="81"/>
      <c r="C245" s="81"/>
      <c r="D245" s="81"/>
      <c r="E245" s="81"/>
      <c r="F245" s="173"/>
      <c r="G245" s="173"/>
      <c r="H245" s="173"/>
      <c r="I245" s="173"/>
      <c r="J245" s="173"/>
      <c r="K245" s="173"/>
      <c r="L245" s="80"/>
      <c r="M245" s="81"/>
      <c r="N245" s="102"/>
      <c r="O245" s="102"/>
      <c r="P245" s="81"/>
      <c r="Q245" s="81"/>
      <c r="R245" s="81"/>
      <c r="S245" s="81"/>
      <c r="T245" s="81"/>
      <c r="U245" s="81"/>
      <c r="V245" s="81"/>
      <c r="W245" s="81"/>
      <c r="X245" s="81"/>
      <c r="Y245" s="81"/>
    </row>
    <row r="246" customFormat="false" ht="12" hidden="false" customHeight="true" outlineLevel="0" collapsed="false">
      <c r="A246" s="91"/>
      <c r="B246" s="81"/>
      <c r="C246" s="81"/>
      <c r="D246" s="81"/>
      <c r="E246" s="81"/>
      <c r="F246" s="173"/>
      <c r="G246" s="173"/>
      <c r="H246" s="173"/>
      <c r="I246" s="173"/>
      <c r="J246" s="173"/>
      <c r="K246" s="173"/>
      <c r="L246" s="80"/>
      <c r="M246" s="81"/>
      <c r="N246" s="102"/>
      <c r="O246" s="102"/>
      <c r="P246" s="81"/>
      <c r="Q246" s="81"/>
      <c r="R246" s="81"/>
      <c r="S246" s="81"/>
      <c r="T246" s="81"/>
      <c r="U246" s="81"/>
      <c r="V246" s="81"/>
      <c r="W246" s="81"/>
      <c r="X246" s="81"/>
      <c r="Y246" s="81"/>
    </row>
    <row r="247" customFormat="false" ht="12" hidden="false" customHeight="true" outlineLevel="0" collapsed="false">
      <c r="A247" s="91"/>
      <c r="B247" s="81"/>
      <c r="C247" s="81"/>
      <c r="D247" s="81"/>
      <c r="E247" s="81"/>
      <c r="F247" s="173"/>
      <c r="G247" s="173"/>
      <c r="H247" s="173"/>
      <c r="I247" s="173"/>
      <c r="J247" s="173"/>
      <c r="K247" s="173"/>
      <c r="L247" s="80"/>
      <c r="M247" s="81"/>
      <c r="N247" s="102"/>
      <c r="O247" s="102"/>
      <c r="P247" s="81"/>
      <c r="Q247" s="81"/>
      <c r="R247" s="81"/>
      <c r="S247" s="81"/>
      <c r="T247" s="81"/>
      <c r="U247" s="81"/>
      <c r="V247" s="81"/>
      <c r="W247" s="81"/>
      <c r="X247" s="81"/>
      <c r="Y247" s="81"/>
    </row>
    <row r="248" customFormat="false" ht="12" hidden="false" customHeight="true" outlineLevel="0" collapsed="false">
      <c r="A248" s="91"/>
      <c r="B248" s="81"/>
      <c r="C248" s="81"/>
      <c r="D248" s="81"/>
      <c r="E248" s="81"/>
      <c r="F248" s="173"/>
      <c r="G248" s="173"/>
      <c r="H248" s="173"/>
      <c r="I248" s="173"/>
      <c r="J248" s="173"/>
      <c r="K248" s="173"/>
      <c r="L248" s="80"/>
      <c r="M248" s="81"/>
      <c r="N248" s="102"/>
      <c r="O248" s="102"/>
      <c r="P248" s="81"/>
      <c r="Q248" s="81"/>
      <c r="R248" s="81"/>
      <c r="S248" s="81"/>
      <c r="T248" s="81"/>
      <c r="U248" s="81"/>
      <c r="V248" s="81"/>
      <c r="W248" s="81"/>
      <c r="X248" s="81"/>
      <c r="Y248" s="81"/>
    </row>
    <row r="249" customFormat="false" ht="12" hidden="false" customHeight="true" outlineLevel="0" collapsed="false">
      <c r="A249" s="91"/>
      <c r="B249" s="81"/>
      <c r="C249" s="81"/>
      <c r="D249" s="81"/>
      <c r="E249" s="81"/>
      <c r="F249" s="173"/>
      <c r="G249" s="173"/>
      <c r="H249" s="173"/>
      <c r="I249" s="173"/>
      <c r="J249" s="173"/>
      <c r="K249" s="173"/>
      <c r="L249" s="80"/>
      <c r="M249" s="81"/>
      <c r="N249" s="102"/>
      <c r="O249" s="102"/>
      <c r="P249" s="81"/>
      <c r="Q249" s="81"/>
      <c r="R249" s="81"/>
      <c r="S249" s="81"/>
      <c r="T249" s="81"/>
      <c r="U249" s="81"/>
      <c r="V249" s="81"/>
      <c r="W249" s="81"/>
      <c r="X249" s="81"/>
      <c r="Y249" s="81"/>
    </row>
    <row r="250" customFormat="false" ht="12" hidden="false" customHeight="true" outlineLevel="0" collapsed="false">
      <c r="A250" s="91"/>
      <c r="B250" s="81"/>
      <c r="C250" s="81"/>
      <c r="D250" s="81"/>
      <c r="E250" s="81"/>
      <c r="F250" s="173"/>
      <c r="G250" s="173"/>
      <c r="H250" s="173"/>
      <c r="I250" s="173"/>
      <c r="J250" s="173"/>
      <c r="K250" s="173"/>
      <c r="L250" s="80"/>
      <c r="M250" s="81"/>
      <c r="N250" s="102"/>
      <c r="O250" s="102"/>
      <c r="P250" s="81"/>
      <c r="Q250" s="81"/>
      <c r="R250" s="81"/>
      <c r="S250" s="81"/>
      <c r="T250" s="81"/>
      <c r="U250" s="81"/>
      <c r="V250" s="81"/>
      <c r="W250" s="81"/>
      <c r="X250" s="81"/>
      <c r="Y250" s="81"/>
    </row>
    <row r="251" customFormat="false" ht="12" hidden="false" customHeight="true" outlineLevel="0" collapsed="false">
      <c r="A251" s="91"/>
      <c r="B251" s="81"/>
      <c r="C251" s="81"/>
      <c r="D251" s="81"/>
      <c r="E251" s="81"/>
      <c r="F251" s="173"/>
      <c r="G251" s="173"/>
      <c r="H251" s="173"/>
      <c r="I251" s="173"/>
      <c r="J251" s="173"/>
      <c r="K251" s="173"/>
      <c r="L251" s="80"/>
      <c r="M251" s="81"/>
      <c r="N251" s="102"/>
      <c r="O251" s="102"/>
      <c r="P251" s="81"/>
      <c r="Q251" s="81"/>
      <c r="R251" s="81"/>
      <c r="S251" s="81"/>
      <c r="T251" s="81"/>
      <c r="U251" s="81"/>
      <c r="V251" s="81"/>
      <c r="W251" s="81"/>
      <c r="X251" s="81"/>
      <c r="Y251" s="81"/>
    </row>
    <row r="252" customFormat="false" ht="12" hidden="false" customHeight="true" outlineLevel="0" collapsed="false">
      <c r="A252" s="91"/>
      <c r="B252" s="81"/>
      <c r="C252" s="81"/>
      <c r="D252" s="81"/>
      <c r="E252" s="81"/>
      <c r="F252" s="173"/>
      <c r="G252" s="173"/>
      <c r="H252" s="173"/>
      <c r="I252" s="173"/>
      <c r="J252" s="173"/>
      <c r="K252" s="173"/>
      <c r="L252" s="80"/>
      <c r="M252" s="81"/>
      <c r="N252" s="102"/>
      <c r="O252" s="102"/>
      <c r="P252" s="81"/>
      <c r="Q252" s="81"/>
      <c r="R252" s="81"/>
      <c r="S252" s="81"/>
      <c r="T252" s="81"/>
      <c r="U252" s="81"/>
      <c r="V252" s="81"/>
      <c r="W252" s="81"/>
      <c r="X252" s="81"/>
      <c r="Y252" s="81"/>
    </row>
    <row r="253" customFormat="false" ht="12" hidden="false" customHeight="true" outlineLevel="0" collapsed="false">
      <c r="A253" s="91"/>
      <c r="B253" s="81"/>
      <c r="C253" s="81"/>
      <c r="D253" s="81"/>
      <c r="E253" s="81"/>
      <c r="F253" s="173"/>
      <c r="G253" s="173"/>
      <c r="H253" s="173"/>
      <c r="I253" s="173"/>
      <c r="J253" s="173"/>
      <c r="K253" s="173"/>
      <c r="L253" s="80"/>
      <c r="M253" s="81"/>
      <c r="N253" s="102"/>
      <c r="O253" s="102"/>
      <c r="P253" s="81"/>
      <c r="Q253" s="81"/>
      <c r="R253" s="81"/>
      <c r="S253" s="81"/>
      <c r="T253" s="81"/>
      <c r="U253" s="81"/>
      <c r="V253" s="81"/>
      <c r="W253" s="81"/>
      <c r="X253" s="81"/>
      <c r="Y253" s="81"/>
    </row>
    <row r="254" customFormat="false" ht="12" hidden="false" customHeight="true" outlineLevel="0" collapsed="false">
      <c r="A254" s="91"/>
      <c r="B254" s="81"/>
      <c r="C254" s="81"/>
      <c r="D254" s="81"/>
      <c r="E254" s="81"/>
      <c r="F254" s="173"/>
      <c r="G254" s="173"/>
      <c r="H254" s="173"/>
      <c r="I254" s="173"/>
      <c r="J254" s="173"/>
      <c r="K254" s="173"/>
      <c r="L254" s="80"/>
      <c r="M254" s="81"/>
      <c r="N254" s="102"/>
      <c r="O254" s="102"/>
      <c r="P254" s="81"/>
      <c r="Q254" s="81"/>
      <c r="R254" s="81"/>
      <c r="S254" s="81"/>
      <c r="T254" s="81"/>
      <c r="U254" s="81"/>
      <c r="V254" s="81"/>
      <c r="W254" s="81"/>
      <c r="X254" s="81"/>
      <c r="Y254" s="81"/>
    </row>
    <row r="255" customFormat="false" ht="12" hidden="false" customHeight="true" outlineLevel="0" collapsed="false">
      <c r="A255" s="91"/>
      <c r="B255" s="81"/>
      <c r="C255" s="81"/>
      <c r="D255" s="81"/>
      <c r="E255" s="81"/>
      <c r="F255" s="173"/>
      <c r="G255" s="173"/>
      <c r="H255" s="173"/>
      <c r="I255" s="173"/>
      <c r="J255" s="173"/>
      <c r="K255" s="173"/>
      <c r="L255" s="80"/>
      <c r="M255" s="81"/>
      <c r="N255" s="102"/>
      <c r="O255" s="102"/>
      <c r="P255" s="81"/>
      <c r="Q255" s="81"/>
      <c r="R255" s="81"/>
      <c r="S255" s="81"/>
      <c r="T255" s="81"/>
      <c r="U255" s="81"/>
      <c r="V255" s="81"/>
      <c r="W255" s="81"/>
      <c r="X255" s="81"/>
      <c r="Y255" s="81"/>
    </row>
    <row r="256" customFormat="false" ht="12" hidden="false" customHeight="true" outlineLevel="0" collapsed="false">
      <c r="A256" s="91"/>
      <c r="B256" s="81"/>
      <c r="C256" s="81"/>
      <c r="D256" s="81"/>
      <c r="E256" s="81"/>
      <c r="F256" s="173"/>
      <c r="G256" s="173"/>
      <c r="H256" s="173"/>
      <c r="I256" s="173"/>
      <c r="J256" s="173"/>
      <c r="K256" s="173"/>
      <c r="L256" s="80"/>
      <c r="M256" s="81"/>
      <c r="N256" s="102"/>
      <c r="O256" s="102"/>
      <c r="P256" s="81"/>
      <c r="Q256" s="81"/>
      <c r="R256" s="81"/>
      <c r="S256" s="81"/>
      <c r="T256" s="81"/>
      <c r="U256" s="81"/>
      <c r="V256" s="81"/>
      <c r="W256" s="81"/>
      <c r="X256" s="81"/>
      <c r="Y256" s="81"/>
    </row>
    <row r="257" customFormat="false" ht="12" hidden="false" customHeight="true" outlineLevel="0" collapsed="false">
      <c r="A257" s="91"/>
      <c r="B257" s="81"/>
      <c r="C257" s="81"/>
      <c r="D257" s="81"/>
      <c r="E257" s="81"/>
      <c r="F257" s="173"/>
      <c r="G257" s="173"/>
      <c r="H257" s="173"/>
      <c r="I257" s="173"/>
      <c r="J257" s="173"/>
      <c r="K257" s="173"/>
      <c r="L257" s="80"/>
      <c r="M257" s="81"/>
      <c r="N257" s="102"/>
      <c r="O257" s="102"/>
      <c r="P257" s="81"/>
      <c r="Q257" s="81"/>
      <c r="R257" s="81"/>
      <c r="S257" s="81"/>
      <c r="T257" s="81"/>
      <c r="U257" s="81"/>
      <c r="V257" s="81"/>
      <c r="W257" s="81"/>
      <c r="X257" s="81"/>
      <c r="Y257" s="81"/>
    </row>
    <row r="258" customFormat="false" ht="12" hidden="false" customHeight="true" outlineLevel="0" collapsed="false">
      <c r="A258" s="91"/>
      <c r="B258" s="81"/>
      <c r="C258" s="81"/>
      <c r="D258" s="81"/>
      <c r="E258" s="81"/>
      <c r="F258" s="173"/>
      <c r="G258" s="173"/>
      <c r="H258" s="173"/>
      <c r="I258" s="173"/>
      <c r="J258" s="173"/>
      <c r="K258" s="173"/>
      <c r="L258" s="80"/>
      <c r="M258" s="81"/>
      <c r="N258" s="102"/>
      <c r="O258" s="102"/>
      <c r="P258" s="81"/>
      <c r="Q258" s="81"/>
      <c r="R258" s="81"/>
      <c r="S258" s="81"/>
      <c r="T258" s="81"/>
      <c r="U258" s="81"/>
      <c r="V258" s="81"/>
      <c r="W258" s="81"/>
      <c r="X258" s="81"/>
      <c r="Y258" s="81"/>
    </row>
    <row r="259" customFormat="false" ht="12" hidden="false" customHeight="true" outlineLevel="0" collapsed="false">
      <c r="A259" s="91"/>
      <c r="B259" s="81"/>
      <c r="C259" s="81"/>
      <c r="D259" s="81"/>
      <c r="E259" s="81"/>
      <c r="F259" s="173"/>
      <c r="G259" s="173"/>
      <c r="H259" s="173"/>
      <c r="I259" s="173"/>
      <c r="J259" s="173"/>
      <c r="K259" s="173"/>
      <c r="L259" s="80"/>
      <c r="M259" s="81"/>
      <c r="N259" s="102"/>
      <c r="O259" s="102"/>
      <c r="P259" s="81"/>
      <c r="Q259" s="81"/>
      <c r="R259" s="81"/>
      <c r="S259" s="81"/>
      <c r="T259" s="81"/>
      <c r="U259" s="81"/>
      <c r="V259" s="81"/>
      <c r="W259" s="81"/>
      <c r="X259" s="81"/>
      <c r="Y259" s="81"/>
    </row>
    <row r="260" customFormat="false" ht="12" hidden="false" customHeight="true" outlineLevel="0" collapsed="false">
      <c r="A260" s="91"/>
      <c r="B260" s="81"/>
      <c r="C260" s="81"/>
      <c r="D260" s="81"/>
      <c r="E260" s="81"/>
      <c r="F260" s="173"/>
      <c r="G260" s="173"/>
      <c r="H260" s="173"/>
      <c r="I260" s="173"/>
      <c r="J260" s="173"/>
      <c r="K260" s="173"/>
      <c r="L260" s="80"/>
      <c r="M260" s="81"/>
      <c r="N260" s="102"/>
      <c r="O260" s="102"/>
      <c r="P260" s="81"/>
      <c r="Q260" s="81"/>
      <c r="R260" s="81"/>
      <c r="S260" s="81"/>
      <c r="T260" s="81"/>
      <c r="U260" s="81"/>
      <c r="V260" s="81"/>
      <c r="W260" s="81"/>
      <c r="X260" s="81"/>
      <c r="Y260" s="81"/>
    </row>
    <row r="261" customFormat="false" ht="12" hidden="false" customHeight="true" outlineLevel="0" collapsed="false">
      <c r="A261" s="91"/>
      <c r="B261" s="81"/>
      <c r="C261" s="81"/>
      <c r="D261" s="81"/>
      <c r="E261" s="81"/>
      <c r="F261" s="173"/>
      <c r="G261" s="173"/>
      <c r="H261" s="173"/>
      <c r="I261" s="173"/>
      <c r="J261" s="173"/>
      <c r="K261" s="173"/>
      <c r="L261" s="80"/>
      <c r="M261" s="81"/>
      <c r="N261" s="102"/>
      <c r="O261" s="102"/>
      <c r="P261" s="81"/>
      <c r="Q261" s="81"/>
      <c r="R261" s="81"/>
      <c r="S261" s="81"/>
      <c r="T261" s="81"/>
      <c r="U261" s="81"/>
      <c r="V261" s="81"/>
      <c r="W261" s="81"/>
      <c r="X261" s="81"/>
      <c r="Y261" s="81"/>
    </row>
    <row r="262" customFormat="false" ht="12" hidden="false" customHeight="true" outlineLevel="0" collapsed="false">
      <c r="A262" s="91"/>
      <c r="B262" s="81"/>
      <c r="C262" s="81"/>
      <c r="D262" s="81"/>
      <c r="E262" s="81"/>
      <c r="F262" s="173"/>
      <c r="G262" s="173"/>
      <c r="H262" s="173"/>
      <c r="I262" s="173"/>
      <c r="J262" s="173"/>
      <c r="K262" s="173"/>
      <c r="L262" s="80"/>
      <c r="M262" s="81"/>
      <c r="N262" s="102"/>
      <c r="O262" s="102"/>
      <c r="P262" s="81"/>
      <c r="Q262" s="81"/>
      <c r="R262" s="81"/>
      <c r="S262" s="81"/>
      <c r="T262" s="81"/>
      <c r="U262" s="81"/>
      <c r="V262" s="81"/>
      <c r="W262" s="81"/>
      <c r="X262" s="81"/>
      <c r="Y262" s="81"/>
    </row>
    <row r="263" customFormat="false" ht="12" hidden="false" customHeight="true" outlineLevel="0" collapsed="false">
      <c r="A263" s="91"/>
      <c r="B263" s="81"/>
      <c r="C263" s="81"/>
      <c r="D263" s="81"/>
      <c r="E263" s="81"/>
      <c r="F263" s="173"/>
      <c r="G263" s="173"/>
      <c r="H263" s="173"/>
      <c r="I263" s="173"/>
      <c r="J263" s="173"/>
      <c r="K263" s="173"/>
      <c r="L263" s="80"/>
      <c r="M263" s="81"/>
      <c r="N263" s="102"/>
      <c r="O263" s="102"/>
      <c r="P263" s="81"/>
      <c r="Q263" s="81"/>
      <c r="R263" s="81"/>
      <c r="S263" s="81"/>
      <c r="T263" s="81"/>
      <c r="U263" s="81"/>
      <c r="V263" s="81"/>
      <c r="W263" s="81"/>
      <c r="X263" s="81"/>
      <c r="Y263" s="81"/>
    </row>
    <row r="264" customFormat="false" ht="12" hidden="false" customHeight="true" outlineLevel="0" collapsed="false">
      <c r="A264" s="91"/>
      <c r="B264" s="81"/>
      <c r="C264" s="81"/>
      <c r="D264" s="81"/>
      <c r="E264" s="81"/>
      <c r="F264" s="173"/>
      <c r="G264" s="173"/>
      <c r="H264" s="173"/>
      <c r="I264" s="173"/>
      <c r="J264" s="173"/>
      <c r="K264" s="173"/>
      <c r="L264" s="80"/>
      <c r="M264" s="81"/>
      <c r="N264" s="102"/>
      <c r="O264" s="102"/>
      <c r="P264" s="81"/>
      <c r="Q264" s="81"/>
      <c r="R264" s="81"/>
      <c r="S264" s="81"/>
      <c r="T264" s="81"/>
      <c r="U264" s="81"/>
      <c r="V264" s="81"/>
      <c r="W264" s="81"/>
      <c r="X264" s="81"/>
      <c r="Y264" s="81"/>
    </row>
    <row r="265" customFormat="false" ht="12" hidden="false" customHeight="true" outlineLevel="0" collapsed="false">
      <c r="A265" s="91"/>
      <c r="B265" s="81"/>
      <c r="C265" s="81"/>
      <c r="D265" s="81"/>
      <c r="E265" s="81"/>
      <c r="F265" s="173"/>
      <c r="G265" s="173"/>
      <c r="H265" s="173"/>
      <c r="I265" s="173"/>
      <c r="J265" s="173"/>
      <c r="K265" s="173"/>
      <c r="L265" s="80"/>
      <c r="M265" s="81"/>
      <c r="N265" s="102"/>
      <c r="O265" s="102"/>
      <c r="P265" s="81"/>
      <c r="Q265" s="81"/>
      <c r="R265" s="81"/>
      <c r="S265" s="81"/>
      <c r="T265" s="81"/>
      <c r="U265" s="81"/>
      <c r="V265" s="81"/>
      <c r="W265" s="81"/>
      <c r="X265" s="81"/>
      <c r="Y265" s="81"/>
    </row>
    <row r="266" customFormat="false" ht="12" hidden="false" customHeight="true" outlineLevel="0" collapsed="false">
      <c r="A266" s="91"/>
      <c r="B266" s="81"/>
      <c r="C266" s="81"/>
      <c r="D266" s="81"/>
      <c r="E266" s="81"/>
      <c r="F266" s="173"/>
      <c r="G266" s="173"/>
      <c r="H266" s="173"/>
      <c r="I266" s="173"/>
      <c r="J266" s="173"/>
      <c r="K266" s="173"/>
      <c r="L266" s="80"/>
      <c r="M266" s="81"/>
      <c r="N266" s="102"/>
      <c r="O266" s="102"/>
      <c r="P266" s="81"/>
      <c r="Q266" s="81"/>
      <c r="R266" s="81"/>
      <c r="S266" s="81"/>
      <c r="T266" s="81"/>
      <c r="U266" s="81"/>
      <c r="V266" s="81"/>
      <c r="W266" s="81"/>
      <c r="X266" s="81"/>
      <c r="Y266" s="81"/>
    </row>
    <row r="267" customFormat="false" ht="12" hidden="false" customHeight="true" outlineLevel="0" collapsed="false">
      <c r="A267" s="91"/>
      <c r="B267" s="81"/>
      <c r="C267" s="81"/>
      <c r="D267" s="81"/>
      <c r="E267" s="81"/>
      <c r="F267" s="173"/>
      <c r="G267" s="173"/>
      <c r="H267" s="173"/>
      <c r="I267" s="173"/>
      <c r="J267" s="173"/>
      <c r="K267" s="173"/>
      <c r="L267" s="80"/>
      <c r="M267" s="81"/>
      <c r="N267" s="102"/>
      <c r="O267" s="102"/>
      <c r="P267" s="81"/>
      <c r="Q267" s="81"/>
      <c r="R267" s="81"/>
      <c r="S267" s="81"/>
      <c r="T267" s="81"/>
      <c r="U267" s="81"/>
      <c r="V267" s="81"/>
      <c r="W267" s="81"/>
      <c r="X267" s="81"/>
      <c r="Y267" s="81"/>
    </row>
    <row r="268" customFormat="false" ht="12" hidden="false" customHeight="true" outlineLevel="0" collapsed="false">
      <c r="A268" s="91"/>
      <c r="B268" s="81"/>
      <c r="C268" s="81"/>
      <c r="D268" s="81"/>
      <c r="E268" s="81"/>
      <c r="F268" s="173"/>
      <c r="G268" s="173"/>
      <c r="H268" s="173"/>
      <c r="I268" s="173"/>
      <c r="J268" s="173"/>
      <c r="K268" s="173"/>
      <c r="L268" s="80"/>
      <c r="M268" s="81"/>
      <c r="N268" s="102"/>
      <c r="O268" s="102"/>
      <c r="P268" s="81"/>
      <c r="Q268" s="81"/>
      <c r="R268" s="81"/>
      <c r="S268" s="81"/>
      <c r="T268" s="81"/>
      <c r="U268" s="81"/>
      <c r="V268" s="81"/>
      <c r="W268" s="81"/>
      <c r="X268" s="81"/>
      <c r="Y268" s="81"/>
    </row>
    <row r="269" customFormat="false" ht="12" hidden="false" customHeight="true" outlineLevel="0" collapsed="false">
      <c r="A269" s="91"/>
      <c r="B269" s="81"/>
      <c r="C269" s="81"/>
      <c r="D269" s="81"/>
      <c r="E269" s="81"/>
      <c r="F269" s="173"/>
      <c r="G269" s="173"/>
      <c r="H269" s="173"/>
      <c r="I269" s="173"/>
      <c r="J269" s="173"/>
      <c r="K269" s="173"/>
      <c r="L269" s="80"/>
      <c r="M269" s="81"/>
      <c r="N269" s="102"/>
      <c r="O269" s="102"/>
      <c r="P269" s="81"/>
      <c r="Q269" s="81"/>
      <c r="R269" s="81"/>
      <c r="S269" s="81"/>
      <c r="T269" s="81"/>
      <c r="U269" s="81"/>
      <c r="V269" s="81"/>
      <c r="W269" s="81"/>
      <c r="X269" s="81"/>
      <c r="Y269" s="81"/>
    </row>
    <row r="270" customFormat="false" ht="12" hidden="false" customHeight="true" outlineLevel="0" collapsed="false">
      <c r="A270" s="91"/>
      <c r="B270" s="81"/>
      <c r="C270" s="81"/>
      <c r="D270" s="81"/>
      <c r="E270" s="81"/>
      <c r="F270" s="173"/>
      <c r="G270" s="173"/>
      <c r="H270" s="173"/>
      <c r="I270" s="173"/>
      <c r="J270" s="173"/>
      <c r="K270" s="173"/>
      <c r="L270" s="80"/>
      <c r="M270" s="81"/>
      <c r="N270" s="102"/>
      <c r="O270" s="102"/>
      <c r="P270" s="81"/>
      <c r="Q270" s="81"/>
      <c r="R270" s="81"/>
      <c r="S270" s="81"/>
      <c r="T270" s="81"/>
      <c r="U270" s="81"/>
      <c r="V270" s="81"/>
      <c r="W270" s="81"/>
      <c r="X270" s="81"/>
      <c r="Y270" s="81"/>
    </row>
    <row r="271" customFormat="false" ht="12" hidden="false" customHeight="true" outlineLevel="0" collapsed="false">
      <c r="A271" s="91"/>
      <c r="B271" s="81"/>
      <c r="C271" s="81"/>
      <c r="D271" s="81"/>
      <c r="E271" s="81"/>
      <c r="F271" s="173"/>
      <c r="G271" s="173"/>
      <c r="H271" s="173"/>
      <c r="I271" s="173"/>
      <c r="J271" s="173"/>
      <c r="K271" s="173"/>
      <c r="L271" s="80"/>
      <c r="M271" s="81"/>
      <c r="N271" s="102"/>
      <c r="O271" s="102"/>
      <c r="P271" s="81"/>
      <c r="Q271" s="81"/>
      <c r="R271" s="81"/>
      <c r="S271" s="81"/>
      <c r="T271" s="81"/>
      <c r="U271" s="81"/>
      <c r="V271" s="81"/>
      <c r="W271" s="81"/>
      <c r="X271" s="81"/>
      <c r="Y271" s="81"/>
    </row>
    <row r="272" customFormat="false" ht="12" hidden="false" customHeight="true" outlineLevel="0" collapsed="false">
      <c r="A272" s="91"/>
      <c r="B272" s="81"/>
      <c r="C272" s="81"/>
      <c r="D272" s="81"/>
      <c r="E272" s="81"/>
      <c r="F272" s="173"/>
      <c r="G272" s="173"/>
      <c r="H272" s="173"/>
      <c r="I272" s="173"/>
      <c r="J272" s="173"/>
      <c r="K272" s="173"/>
      <c r="L272" s="80"/>
      <c r="M272" s="81"/>
      <c r="N272" s="102"/>
      <c r="O272" s="102"/>
      <c r="P272" s="81"/>
      <c r="Q272" s="81"/>
      <c r="R272" s="81"/>
      <c r="S272" s="81"/>
      <c r="T272" s="81"/>
      <c r="U272" s="81"/>
      <c r="V272" s="81"/>
      <c r="W272" s="81"/>
      <c r="X272" s="81"/>
      <c r="Y272" s="81"/>
    </row>
    <row r="273" customFormat="false" ht="12" hidden="false" customHeight="true" outlineLevel="0" collapsed="false">
      <c r="A273" s="91"/>
      <c r="B273" s="81"/>
      <c r="C273" s="81"/>
      <c r="D273" s="81"/>
      <c r="E273" s="81"/>
      <c r="F273" s="173"/>
      <c r="G273" s="173"/>
      <c r="H273" s="173"/>
      <c r="I273" s="173"/>
      <c r="J273" s="173"/>
      <c r="K273" s="173"/>
      <c r="L273" s="80"/>
      <c r="M273" s="81"/>
      <c r="N273" s="102"/>
      <c r="O273" s="102"/>
      <c r="P273" s="81"/>
      <c r="Q273" s="81"/>
      <c r="R273" s="81"/>
      <c r="S273" s="81"/>
      <c r="T273" s="81"/>
      <c r="U273" s="81"/>
      <c r="V273" s="81"/>
      <c r="W273" s="81"/>
      <c r="X273" s="81"/>
      <c r="Y273" s="81"/>
    </row>
    <row r="274" customFormat="false" ht="12" hidden="false" customHeight="true" outlineLevel="0" collapsed="false">
      <c r="A274" s="91"/>
      <c r="B274" s="81"/>
      <c r="C274" s="81"/>
      <c r="D274" s="81"/>
      <c r="E274" s="81"/>
      <c r="F274" s="173"/>
      <c r="G274" s="173"/>
      <c r="H274" s="173"/>
      <c r="I274" s="173"/>
      <c r="J274" s="173"/>
      <c r="K274" s="173"/>
      <c r="L274" s="80"/>
      <c r="M274" s="81"/>
      <c r="N274" s="102"/>
      <c r="O274" s="102"/>
      <c r="P274" s="81"/>
      <c r="Q274" s="81"/>
      <c r="R274" s="81"/>
      <c r="S274" s="81"/>
      <c r="T274" s="81"/>
      <c r="U274" s="81"/>
      <c r="V274" s="81"/>
      <c r="W274" s="81"/>
      <c r="X274" s="81"/>
      <c r="Y274" s="81"/>
    </row>
    <row r="275" customFormat="false" ht="12" hidden="false" customHeight="true" outlineLevel="0" collapsed="false">
      <c r="A275" s="91"/>
      <c r="B275" s="81"/>
      <c r="C275" s="81"/>
      <c r="D275" s="81"/>
      <c r="E275" s="81"/>
      <c r="F275" s="173"/>
      <c r="G275" s="173"/>
      <c r="H275" s="173"/>
      <c r="I275" s="173"/>
      <c r="J275" s="173"/>
      <c r="K275" s="173"/>
      <c r="L275" s="80"/>
      <c r="M275" s="81"/>
      <c r="N275" s="102"/>
      <c r="O275" s="102"/>
      <c r="P275" s="81"/>
      <c r="Q275" s="81"/>
      <c r="R275" s="81"/>
      <c r="S275" s="81"/>
      <c r="T275" s="81"/>
      <c r="U275" s="81"/>
      <c r="V275" s="81"/>
      <c r="W275" s="81"/>
      <c r="X275" s="81"/>
      <c r="Y275" s="81"/>
    </row>
    <row r="276" customFormat="false" ht="12" hidden="false" customHeight="true" outlineLevel="0" collapsed="false">
      <c r="A276" s="91"/>
      <c r="B276" s="81"/>
      <c r="C276" s="81"/>
      <c r="D276" s="81"/>
      <c r="E276" s="81"/>
      <c r="F276" s="173"/>
      <c r="G276" s="173"/>
      <c r="H276" s="173"/>
      <c r="I276" s="173"/>
      <c r="J276" s="173"/>
      <c r="K276" s="173"/>
      <c r="L276" s="80"/>
      <c r="M276" s="81"/>
      <c r="N276" s="102"/>
      <c r="O276" s="102"/>
      <c r="P276" s="81"/>
      <c r="Q276" s="81"/>
      <c r="R276" s="81"/>
      <c r="S276" s="81"/>
      <c r="T276" s="81"/>
      <c r="U276" s="81"/>
      <c r="V276" s="81"/>
      <c r="W276" s="81"/>
      <c r="X276" s="81"/>
      <c r="Y276" s="81"/>
    </row>
    <row r="277" customFormat="false" ht="12" hidden="false" customHeight="true" outlineLevel="0" collapsed="false">
      <c r="A277" s="91"/>
      <c r="B277" s="81"/>
      <c r="C277" s="81"/>
      <c r="D277" s="81"/>
      <c r="E277" s="81"/>
      <c r="F277" s="173"/>
      <c r="G277" s="173"/>
      <c r="H277" s="173"/>
      <c r="I277" s="173"/>
      <c r="J277" s="173"/>
      <c r="K277" s="173"/>
      <c r="L277" s="80"/>
      <c r="M277" s="81"/>
      <c r="N277" s="102"/>
      <c r="O277" s="102"/>
      <c r="P277" s="81"/>
      <c r="Q277" s="81"/>
      <c r="R277" s="81"/>
      <c r="S277" s="81"/>
      <c r="T277" s="81"/>
      <c r="U277" s="81"/>
      <c r="V277" s="81"/>
      <c r="W277" s="81"/>
      <c r="X277" s="81"/>
      <c r="Y277" s="81"/>
    </row>
    <row r="278" customFormat="false" ht="12" hidden="false" customHeight="true" outlineLevel="0" collapsed="false">
      <c r="A278" s="91"/>
      <c r="B278" s="81"/>
      <c r="C278" s="81"/>
      <c r="D278" s="81"/>
      <c r="E278" s="81"/>
      <c r="F278" s="173"/>
      <c r="G278" s="173"/>
      <c r="H278" s="173"/>
      <c r="I278" s="173"/>
      <c r="J278" s="173"/>
      <c r="K278" s="173"/>
      <c r="L278" s="80"/>
      <c r="M278" s="81"/>
      <c r="N278" s="102"/>
      <c r="O278" s="102"/>
      <c r="P278" s="81"/>
      <c r="Q278" s="81"/>
      <c r="R278" s="81"/>
      <c r="S278" s="81"/>
      <c r="T278" s="81"/>
      <c r="U278" s="81"/>
      <c r="V278" s="81"/>
      <c r="W278" s="81"/>
      <c r="X278" s="81"/>
      <c r="Y278" s="81"/>
    </row>
    <row r="279" customFormat="false" ht="12" hidden="false" customHeight="true" outlineLevel="0" collapsed="false">
      <c r="A279" s="91"/>
      <c r="B279" s="81"/>
      <c r="C279" s="81"/>
      <c r="D279" s="81"/>
      <c r="E279" s="81"/>
      <c r="F279" s="173"/>
      <c r="G279" s="173"/>
      <c r="H279" s="173"/>
      <c r="I279" s="173"/>
      <c r="J279" s="173"/>
      <c r="K279" s="173"/>
      <c r="L279" s="80"/>
      <c r="M279" s="81"/>
      <c r="N279" s="102"/>
      <c r="O279" s="102"/>
      <c r="P279" s="81"/>
      <c r="Q279" s="81"/>
      <c r="R279" s="81"/>
      <c r="S279" s="81"/>
      <c r="T279" s="81"/>
      <c r="U279" s="81"/>
      <c r="V279" s="81"/>
      <c r="W279" s="81"/>
      <c r="X279" s="81"/>
      <c r="Y279" s="81"/>
    </row>
    <row r="280" customFormat="false" ht="12" hidden="false" customHeight="true" outlineLevel="0" collapsed="false">
      <c r="A280" s="91"/>
      <c r="B280" s="81"/>
      <c r="C280" s="81"/>
      <c r="D280" s="81"/>
      <c r="E280" s="81"/>
      <c r="F280" s="173"/>
      <c r="G280" s="173"/>
      <c r="H280" s="173"/>
      <c r="I280" s="173"/>
      <c r="J280" s="173"/>
      <c r="K280" s="173"/>
      <c r="L280" s="80"/>
      <c r="M280" s="81"/>
      <c r="N280" s="102"/>
      <c r="O280" s="102"/>
      <c r="P280" s="81"/>
      <c r="Q280" s="81"/>
      <c r="R280" s="81"/>
      <c r="S280" s="81"/>
      <c r="T280" s="81"/>
      <c r="U280" s="81"/>
      <c r="V280" s="81"/>
      <c r="W280" s="81"/>
      <c r="X280" s="81"/>
      <c r="Y280" s="81"/>
    </row>
    <row r="281" customFormat="false" ht="12" hidden="false" customHeight="true" outlineLevel="0" collapsed="false">
      <c r="A281" s="91"/>
      <c r="B281" s="81"/>
      <c r="C281" s="81"/>
      <c r="D281" s="81"/>
      <c r="E281" s="81"/>
      <c r="F281" s="173"/>
      <c r="G281" s="173"/>
      <c r="H281" s="173"/>
      <c r="I281" s="173"/>
      <c r="J281" s="173"/>
      <c r="K281" s="173"/>
      <c r="L281" s="80"/>
      <c r="M281" s="81"/>
      <c r="N281" s="102"/>
      <c r="O281" s="102"/>
      <c r="P281" s="81"/>
      <c r="Q281" s="81"/>
      <c r="R281" s="81"/>
      <c r="S281" s="81"/>
      <c r="T281" s="81"/>
      <c r="U281" s="81"/>
      <c r="V281" s="81"/>
      <c r="W281" s="81"/>
      <c r="X281" s="81"/>
      <c r="Y281" s="81"/>
    </row>
    <row r="282" customFormat="false" ht="12" hidden="false" customHeight="true" outlineLevel="0" collapsed="false">
      <c r="A282" s="91"/>
      <c r="B282" s="81"/>
      <c r="C282" s="81"/>
      <c r="D282" s="81"/>
      <c r="E282" s="81"/>
      <c r="F282" s="173"/>
      <c r="G282" s="173"/>
      <c r="H282" s="173"/>
      <c r="I282" s="173"/>
      <c r="J282" s="173"/>
      <c r="K282" s="173"/>
      <c r="L282" s="80"/>
      <c r="M282" s="81"/>
      <c r="N282" s="102"/>
      <c r="O282" s="102"/>
      <c r="P282" s="81"/>
      <c r="Q282" s="81"/>
      <c r="R282" s="81"/>
      <c r="S282" s="81"/>
      <c r="T282" s="81"/>
      <c r="U282" s="81"/>
      <c r="V282" s="81"/>
      <c r="W282" s="81"/>
      <c r="X282" s="81"/>
      <c r="Y282" s="81"/>
    </row>
    <row r="283" customFormat="false" ht="12" hidden="false" customHeight="true" outlineLevel="0" collapsed="false">
      <c r="A283" s="91"/>
      <c r="B283" s="81"/>
      <c r="C283" s="81"/>
      <c r="D283" s="81"/>
      <c r="E283" s="81"/>
      <c r="F283" s="173"/>
      <c r="G283" s="173"/>
      <c r="H283" s="173"/>
      <c r="I283" s="173"/>
      <c r="J283" s="173"/>
      <c r="K283" s="173"/>
      <c r="L283" s="80"/>
      <c r="M283" s="81"/>
      <c r="N283" s="102"/>
      <c r="O283" s="102"/>
      <c r="P283" s="81"/>
      <c r="Q283" s="81"/>
      <c r="R283" s="81"/>
      <c r="S283" s="81"/>
      <c r="T283" s="81"/>
      <c r="U283" s="81"/>
      <c r="V283" s="81"/>
      <c r="W283" s="81"/>
      <c r="X283" s="81"/>
      <c r="Y283" s="81"/>
    </row>
    <row r="284" customFormat="false" ht="12" hidden="false" customHeight="true" outlineLevel="0" collapsed="false">
      <c r="A284" s="91"/>
      <c r="B284" s="81"/>
      <c r="C284" s="81"/>
      <c r="D284" s="81"/>
      <c r="E284" s="81"/>
      <c r="F284" s="173"/>
      <c r="G284" s="173"/>
      <c r="H284" s="173"/>
      <c r="I284" s="173"/>
      <c r="J284" s="173"/>
      <c r="K284" s="173"/>
      <c r="L284" s="80"/>
      <c r="M284" s="81"/>
      <c r="N284" s="102"/>
      <c r="O284" s="102"/>
      <c r="P284" s="81"/>
      <c r="Q284" s="81"/>
      <c r="R284" s="81"/>
      <c r="S284" s="81"/>
      <c r="T284" s="81"/>
      <c r="U284" s="81"/>
      <c r="V284" s="81"/>
      <c r="W284" s="81"/>
      <c r="X284" s="81"/>
      <c r="Y284" s="81"/>
    </row>
    <row r="285" customFormat="false" ht="12" hidden="false" customHeight="true" outlineLevel="0" collapsed="false">
      <c r="A285" s="91"/>
      <c r="B285" s="81"/>
      <c r="C285" s="81"/>
      <c r="D285" s="81"/>
      <c r="E285" s="81"/>
      <c r="F285" s="173"/>
      <c r="G285" s="173"/>
      <c r="H285" s="173"/>
      <c r="I285" s="173"/>
      <c r="J285" s="173"/>
      <c r="K285" s="173"/>
      <c r="L285" s="80"/>
      <c r="M285" s="81"/>
      <c r="N285" s="102"/>
      <c r="O285" s="102"/>
      <c r="P285" s="81"/>
      <c r="Q285" s="81"/>
      <c r="R285" s="81"/>
      <c r="S285" s="81"/>
      <c r="T285" s="81"/>
      <c r="U285" s="81"/>
      <c r="V285" s="81"/>
      <c r="W285" s="81"/>
      <c r="X285" s="81"/>
      <c r="Y285" s="81"/>
    </row>
    <row r="286" customFormat="false" ht="12" hidden="false" customHeight="true" outlineLevel="0" collapsed="false">
      <c r="A286" s="91"/>
      <c r="B286" s="81"/>
      <c r="C286" s="81"/>
      <c r="D286" s="81"/>
      <c r="E286" s="81"/>
      <c r="F286" s="173"/>
      <c r="G286" s="173"/>
      <c r="H286" s="173"/>
      <c r="I286" s="173"/>
      <c r="J286" s="173"/>
      <c r="K286" s="173"/>
      <c r="L286" s="80"/>
      <c r="M286" s="81"/>
      <c r="N286" s="102"/>
      <c r="O286" s="102"/>
      <c r="P286" s="81"/>
      <c r="Q286" s="81"/>
      <c r="R286" s="81"/>
      <c r="S286" s="81"/>
      <c r="T286" s="81"/>
      <c r="U286" s="81"/>
      <c r="V286" s="81"/>
      <c r="W286" s="81"/>
      <c r="X286" s="81"/>
      <c r="Y286" s="81"/>
    </row>
    <row r="287" customFormat="false" ht="12" hidden="false" customHeight="true" outlineLevel="0" collapsed="false">
      <c r="A287" s="91"/>
      <c r="B287" s="81"/>
      <c r="C287" s="81"/>
      <c r="D287" s="81"/>
      <c r="E287" s="81"/>
      <c r="F287" s="173"/>
      <c r="G287" s="173"/>
      <c r="H287" s="173"/>
      <c r="I287" s="173"/>
      <c r="J287" s="173"/>
      <c r="K287" s="173"/>
      <c r="L287" s="80"/>
      <c r="M287" s="81"/>
      <c r="N287" s="102"/>
      <c r="O287" s="102"/>
      <c r="P287" s="81"/>
      <c r="Q287" s="81"/>
      <c r="R287" s="81"/>
      <c r="S287" s="81"/>
      <c r="T287" s="81"/>
      <c r="U287" s="81"/>
      <c r="V287" s="81"/>
      <c r="W287" s="81"/>
      <c r="X287" s="81"/>
      <c r="Y287" s="81"/>
    </row>
    <row r="288" customFormat="false" ht="12" hidden="false" customHeight="true" outlineLevel="0" collapsed="false">
      <c r="A288" s="91"/>
      <c r="B288" s="81"/>
      <c r="C288" s="81"/>
      <c r="D288" s="81"/>
      <c r="E288" s="81"/>
      <c r="F288" s="173"/>
      <c r="G288" s="173"/>
      <c r="H288" s="173"/>
      <c r="I288" s="173"/>
      <c r="J288" s="173"/>
      <c r="K288" s="173"/>
      <c r="L288" s="80"/>
      <c r="M288" s="81"/>
      <c r="N288" s="102"/>
      <c r="O288" s="102"/>
      <c r="P288" s="81"/>
      <c r="Q288" s="81"/>
      <c r="R288" s="81"/>
      <c r="S288" s="81"/>
      <c r="T288" s="81"/>
      <c r="U288" s="81"/>
      <c r="V288" s="81"/>
      <c r="W288" s="81"/>
      <c r="X288" s="81"/>
      <c r="Y288" s="81"/>
    </row>
    <row r="289" customFormat="false" ht="12" hidden="false" customHeight="true" outlineLevel="0" collapsed="false">
      <c r="A289" s="91"/>
      <c r="B289" s="81"/>
      <c r="C289" s="81"/>
      <c r="D289" s="81"/>
      <c r="E289" s="81"/>
      <c r="F289" s="173"/>
      <c r="G289" s="173"/>
      <c r="H289" s="173"/>
      <c r="I289" s="173"/>
      <c r="J289" s="173"/>
      <c r="K289" s="173"/>
      <c r="L289" s="80"/>
      <c r="M289" s="81"/>
      <c r="N289" s="102"/>
      <c r="O289" s="102"/>
      <c r="P289" s="81"/>
      <c r="Q289" s="81"/>
      <c r="R289" s="81"/>
      <c r="S289" s="81"/>
      <c r="T289" s="81"/>
      <c r="U289" s="81"/>
      <c r="V289" s="81"/>
      <c r="W289" s="81"/>
      <c r="X289" s="81"/>
      <c r="Y289" s="81"/>
    </row>
    <row r="290" customFormat="false" ht="12" hidden="false" customHeight="true" outlineLevel="0" collapsed="false">
      <c r="A290" s="91"/>
      <c r="B290" s="81"/>
      <c r="C290" s="81"/>
      <c r="D290" s="81"/>
      <c r="E290" s="81"/>
      <c r="F290" s="173"/>
      <c r="G290" s="173"/>
      <c r="H290" s="173"/>
      <c r="I290" s="173"/>
      <c r="J290" s="173"/>
      <c r="K290" s="173"/>
      <c r="L290" s="80"/>
      <c r="M290" s="81"/>
      <c r="N290" s="102"/>
      <c r="O290" s="102"/>
      <c r="P290" s="81"/>
      <c r="Q290" s="81"/>
      <c r="R290" s="81"/>
      <c r="S290" s="81"/>
      <c r="T290" s="81"/>
      <c r="U290" s="81"/>
      <c r="V290" s="81"/>
      <c r="W290" s="81"/>
      <c r="X290" s="81"/>
      <c r="Y290" s="81"/>
    </row>
    <row r="291" customFormat="false" ht="12" hidden="false" customHeight="true" outlineLevel="0" collapsed="false">
      <c r="A291" s="91"/>
      <c r="B291" s="81"/>
      <c r="C291" s="81"/>
      <c r="D291" s="81"/>
      <c r="E291" s="81"/>
      <c r="F291" s="173"/>
      <c r="G291" s="173"/>
      <c r="H291" s="173"/>
      <c r="I291" s="173"/>
      <c r="J291" s="173"/>
      <c r="K291" s="173"/>
      <c r="L291" s="80"/>
      <c r="M291" s="81"/>
      <c r="N291" s="102"/>
      <c r="O291" s="102"/>
      <c r="P291" s="81"/>
      <c r="Q291" s="81"/>
      <c r="R291" s="81"/>
      <c r="S291" s="81"/>
      <c r="T291" s="81"/>
      <c r="U291" s="81"/>
      <c r="V291" s="81"/>
      <c r="W291" s="81"/>
      <c r="X291" s="81"/>
      <c r="Y291" s="81"/>
    </row>
    <row r="292" customFormat="false" ht="12" hidden="false" customHeight="true" outlineLevel="0" collapsed="false">
      <c r="A292" s="91"/>
      <c r="B292" s="81"/>
      <c r="C292" s="81"/>
      <c r="D292" s="81"/>
      <c r="E292" s="81"/>
      <c r="F292" s="173"/>
      <c r="G292" s="173"/>
      <c r="H292" s="173"/>
      <c r="I292" s="173"/>
      <c r="J292" s="173"/>
      <c r="K292" s="173"/>
      <c r="L292" s="80"/>
      <c r="M292" s="81"/>
      <c r="N292" s="102"/>
      <c r="O292" s="102"/>
      <c r="P292" s="81"/>
      <c r="Q292" s="81"/>
      <c r="R292" s="81"/>
      <c r="S292" s="81"/>
      <c r="T292" s="81"/>
      <c r="U292" s="81"/>
      <c r="V292" s="81"/>
      <c r="W292" s="81"/>
      <c r="X292" s="81"/>
      <c r="Y292" s="81"/>
    </row>
    <row r="293" customFormat="false" ht="12" hidden="false" customHeight="true" outlineLevel="0" collapsed="false">
      <c r="A293" s="91"/>
      <c r="B293" s="81"/>
      <c r="C293" s="81"/>
      <c r="D293" s="81"/>
      <c r="E293" s="81"/>
      <c r="F293" s="173"/>
      <c r="G293" s="173"/>
      <c r="H293" s="173"/>
      <c r="I293" s="173"/>
      <c r="J293" s="173"/>
      <c r="K293" s="173"/>
      <c r="L293" s="80"/>
      <c r="M293" s="81"/>
      <c r="N293" s="102"/>
      <c r="O293" s="102"/>
      <c r="P293" s="81"/>
      <c r="Q293" s="81"/>
      <c r="R293" s="81"/>
      <c r="S293" s="81"/>
      <c r="T293" s="81"/>
      <c r="U293" s="81"/>
      <c r="V293" s="81"/>
      <c r="W293" s="81"/>
      <c r="X293" s="81"/>
      <c r="Y293" s="81"/>
    </row>
    <row r="294" customFormat="false" ht="12" hidden="false" customHeight="true" outlineLevel="0" collapsed="false">
      <c r="A294" s="91"/>
      <c r="B294" s="81"/>
      <c r="C294" s="81"/>
      <c r="D294" s="81"/>
      <c r="E294" s="81"/>
      <c r="F294" s="173"/>
      <c r="G294" s="173"/>
      <c r="H294" s="173"/>
      <c r="I294" s="173"/>
      <c r="J294" s="173"/>
      <c r="K294" s="173"/>
      <c r="L294" s="80"/>
      <c r="M294" s="81"/>
      <c r="N294" s="102"/>
      <c r="O294" s="102"/>
      <c r="P294" s="81"/>
      <c r="Q294" s="81"/>
      <c r="R294" s="81"/>
      <c r="S294" s="81"/>
      <c r="T294" s="81"/>
      <c r="U294" s="81"/>
      <c r="V294" s="81"/>
      <c r="W294" s="81"/>
      <c r="X294" s="81"/>
      <c r="Y294" s="81"/>
    </row>
    <row r="295" customFormat="false" ht="12" hidden="false" customHeight="true" outlineLevel="0" collapsed="false">
      <c r="A295" s="91"/>
      <c r="B295" s="81"/>
      <c r="C295" s="81"/>
      <c r="D295" s="81"/>
      <c r="E295" s="81"/>
      <c r="F295" s="173"/>
      <c r="G295" s="173"/>
      <c r="H295" s="173"/>
      <c r="I295" s="173"/>
      <c r="J295" s="173"/>
      <c r="K295" s="173"/>
      <c r="L295" s="80"/>
      <c r="M295" s="81"/>
      <c r="N295" s="102"/>
      <c r="O295" s="102"/>
      <c r="P295" s="81"/>
      <c r="Q295" s="81"/>
      <c r="R295" s="81"/>
      <c r="S295" s="81"/>
      <c r="T295" s="81"/>
      <c r="U295" s="81"/>
      <c r="V295" s="81"/>
      <c r="W295" s="81"/>
      <c r="X295" s="81"/>
      <c r="Y295" s="81"/>
    </row>
    <row r="296" customFormat="false" ht="12" hidden="false" customHeight="true" outlineLevel="0" collapsed="false">
      <c r="A296" s="91"/>
      <c r="B296" s="81"/>
      <c r="C296" s="81"/>
      <c r="D296" s="81"/>
      <c r="E296" s="81"/>
      <c r="F296" s="173"/>
      <c r="G296" s="173"/>
      <c r="H296" s="173"/>
      <c r="I296" s="173"/>
      <c r="J296" s="173"/>
      <c r="K296" s="173"/>
      <c r="L296" s="80"/>
      <c r="M296" s="81"/>
      <c r="N296" s="102"/>
      <c r="O296" s="102"/>
      <c r="P296" s="81"/>
      <c r="Q296" s="81"/>
      <c r="R296" s="81"/>
      <c r="S296" s="81"/>
      <c r="T296" s="81"/>
      <c r="U296" s="81"/>
      <c r="V296" s="81"/>
      <c r="W296" s="81"/>
      <c r="X296" s="81"/>
      <c r="Y296" s="81"/>
    </row>
    <row r="297" customFormat="false" ht="12" hidden="false" customHeight="true" outlineLevel="0" collapsed="false">
      <c r="A297" s="91"/>
      <c r="B297" s="81"/>
      <c r="C297" s="81"/>
      <c r="D297" s="81"/>
      <c r="E297" s="81"/>
      <c r="F297" s="173"/>
      <c r="G297" s="173"/>
      <c r="H297" s="173"/>
      <c r="I297" s="173"/>
      <c r="J297" s="173"/>
      <c r="K297" s="173"/>
      <c r="L297" s="80"/>
      <c r="M297" s="81"/>
      <c r="N297" s="102"/>
      <c r="O297" s="102"/>
      <c r="P297" s="81"/>
      <c r="Q297" s="81"/>
      <c r="R297" s="81"/>
      <c r="S297" s="81"/>
      <c r="T297" s="81"/>
      <c r="U297" s="81"/>
      <c r="V297" s="81"/>
      <c r="W297" s="81"/>
      <c r="X297" s="81"/>
      <c r="Y297" s="81"/>
    </row>
    <row r="298" customFormat="false" ht="12" hidden="false" customHeight="true" outlineLevel="0" collapsed="false">
      <c r="A298" s="91"/>
      <c r="B298" s="81"/>
      <c r="C298" s="81"/>
      <c r="D298" s="81"/>
      <c r="E298" s="81"/>
      <c r="F298" s="173"/>
      <c r="G298" s="173"/>
      <c r="H298" s="173"/>
      <c r="I298" s="173"/>
      <c r="J298" s="173"/>
      <c r="K298" s="173"/>
      <c r="L298" s="80"/>
      <c r="M298" s="81"/>
      <c r="N298" s="102"/>
      <c r="O298" s="102"/>
      <c r="P298" s="81"/>
      <c r="Q298" s="81"/>
      <c r="R298" s="81"/>
      <c r="S298" s="81"/>
      <c r="T298" s="81"/>
      <c r="U298" s="81"/>
      <c r="V298" s="81"/>
      <c r="W298" s="81"/>
      <c r="X298" s="81"/>
      <c r="Y298" s="81"/>
    </row>
    <row r="299" customFormat="false" ht="12" hidden="false" customHeight="true" outlineLevel="0" collapsed="false">
      <c r="A299" s="91"/>
      <c r="B299" s="81"/>
      <c r="C299" s="81"/>
      <c r="D299" s="81"/>
      <c r="E299" s="81"/>
      <c r="F299" s="173"/>
      <c r="G299" s="173"/>
      <c r="H299" s="173"/>
      <c r="I299" s="173"/>
      <c r="J299" s="173"/>
      <c r="K299" s="173"/>
      <c r="L299" s="80"/>
      <c r="M299" s="81"/>
      <c r="N299" s="102"/>
      <c r="O299" s="102"/>
      <c r="P299" s="81"/>
      <c r="Q299" s="81"/>
      <c r="R299" s="81"/>
      <c r="S299" s="81"/>
      <c r="T299" s="81"/>
      <c r="U299" s="81"/>
      <c r="V299" s="81"/>
      <c r="W299" s="81"/>
      <c r="X299" s="81"/>
      <c r="Y299" s="81"/>
    </row>
    <row r="300" customFormat="false" ht="12" hidden="false" customHeight="true" outlineLevel="0" collapsed="false">
      <c r="A300" s="91"/>
      <c r="B300" s="81"/>
      <c r="C300" s="81"/>
      <c r="D300" s="81"/>
      <c r="E300" s="81"/>
      <c r="F300" s="173"/>
      <c r="G300" s="173"/>
      <c r="H300" s="173"/>
      <c r="I300" s="173"/>
      <c r="J300" s="173"/>
      <c r="K300" s="173"/>
      <c r="L300" s="80"/>
      <c r="M300" s="81"/>
      <c r="N300" s="102"/>
      <c r="O300" s="102"/>
      <c r="P300" s="81"/>
      <c r="Q300" s="81"/>
      <c r="R300" s="81"/>
      <c r="S300" s="81"/>
      <c r="T300" s="81"/>
      <c r="U300" s="81"/>
      <c r="V300" s="81"/>
      <c r="W300" s="81"/>
      <c r="X300" s="81"/>
      <c r="Y300" s="81"/>
    </row>
    <row r="301" customFormat="false" ht="12" hidden="false" customHeight="true" outlineLevel="0" collapsed="false">
      <c r="A301" s="91"/>
      <c r="B301" s="81"/>
      <c r="C301" s="81"/>
      <c r="D301" s="81"/>
      <c r="E301" s="81"/>
      <c r="F301" s="173"/>
      <c r="G301" s="173"/>
      <c r="H301" s="173"/>
      <c r="I301" s="173"/>
      <c r="J301" s="173"/>
      <c r="K301" s="173"/>
      <c r="L301" s="80"/>
      <c r="M301" s="81"/>
      <c r="N301" s="102"/>
      <c r="O301" s="102"/>
      <c r="P301" s="81"/>
      <c r="Q301" s="81"/>
      <c r="R301" s="81"/>
      <c r="S301" s="81"/>
      <c r="T301" s="81"/>
      <c r="U301" s="81"/>
      <c r="V301" s="81"/>
      <c r="W301" s="81"/>
      <c r="X301" s="81"/>
      <c r="Y301" s="81"/>
    </row>
    <row r="302" customFormat="false" ht="12" hidden="false" customHeight="true" outlineLevel="0" collapsed="false">
      <c r="A302" s="91"/>
      <c r="B302" s="81"/>
      <c r="C302" s="81"/>
      <c r="D302" s="81"/>
      <c r="E302" s="81"/>
      <c r="F302" s="173"/>
      <c r="G302" s="173"/>
      <c r="H302" s="173"/>
      <c r="I302" s="173"/>
      <c r="J302" s="173"/>
      <c r="K302" s="173"/>
      <c r="L302" s="80"/>
      <c r="M302" s="81"/>
      <c r="N302" s="102"/>
      <c r="O302" s="102"/>
      <c r="P302" s="81"/>
      <c r="Q302" s="81"/>
      <c r="R302" s="81"/>
      <c r="S302" s="81"/>
      <c r="T302" s="81"/>
      <c r="U302" s="81"/>
      <c r="V302" s="81"/>
      <c r="W302" s="81"/>
      <c r="X302" s="81"/>
      <c r="Y302" s="81"/>
    </row>
    <row r="303" customFormat="false" ht="12" hidden="false" customHeight="true" outlineLevel="0" collapsed="false">
      <c r="A303" s="91"/>
      <c r="B303" s="81"/>
      <c r="C303" s="81"/>
      <c r="D303" s="81"/>
      <c r="E303" s="81"/>
      <c r="F303" s="173"/>
      <c r="G303" s="173"/>
      <c r="H303" s="173"/>
      <c r="I303" s="173"/>
      <c r="J303" s="173"/>
      <c r="K303" s="173"/>
      <c r="L303" s="80"/>
      <c r="M303" s="81"/>
      <c r="N303" s="102"/>
      <c r="O303" s="102"/>
      <c r="P303" s="81"/>
      <c r="Q303" s="81"/>
      <c r="R303" s="81"/>
      <c r="S303" s="81"/>
      <c r="T303" s="81"/>
      <c r="U303" s="81"/>
      <c r="V303" s="81"/>
      <c r="W303" s="81"/>
      <c r="X303" s="81"/>
      <c r="Y303" s="81"/>
    </row>
    <row r="304" customFormat="false" ht="12" hidden="false" customHeight="true" outlineLevel="0" collapsed="false">
      <c r="A304" s="91"/>
      <c r="B304" s="81"/>
      <c r="C304" s="81"/>
      <c r="D304" s="81"/>
      <c r="E304" s="81"/>
      <c r="F304" s="173"/>
      <c r="G304" s="173"/>
      <c r="H304" s="173"/>
      <c r="I304" s="173"/>
      <c r="J304" s="173"/>
      <c r="K304" s="173"/>
      <c r="L304" s="80"/>
      <c r="M304" s="81"/>
      <c r="N304" s="102"/>
      <c r="O304" s="102"/>
      <c r="P304" s="81"/>
      <c r="Q304" s="81"/>
      <c r="R304" s="81"/>
      <c r="S304" s="81"/>
      <c r="T304" s="81"/>
      <c r="U304" s="81"/>
      <c r="V304" s="81"/>
      <c r="W304" s="81"/>
      <c r="X304" s="81"/>
      <c r="Y304" s="81"/>
    </row>
    <row r="305" customFormat="false" ht="12" hidden="false" customHeight="true" outlineLevel="0" collapsed="false">
      <c r="A305" s="91"/>
      <c r="B305" s="81"/>
      <c r="C305" s="81"/>
      <c r="D305" s="81"/>
      <c r="E305" s="81"/>
      <c r="F305" s="173"/>
      <c r="G305" s="173"/>
      <c r="H305" s="173"/>
      <c r="I305" s="173"/>
      <c r="J305" s="173"/>
      <c r="K305" s="173"/>
      <c r="L305" s="80"/>
      <c r="M305" s="81"/>
      <c r="N305" s="102"/>
      <c r="O305" s="102"/>
      <c r="P305" s="81"/>
      <c r="Q305" s="81"/>
      <c r="R305" s="81"/>
      <c r="S305" s="81"/>
      <c r="T305" s="81"/>
      <c r="U305" s="81"/>
      <c r="V305" s="81"/>
      <c r="W305" s="81"/>
      <c r="X305" s="81"/>
      <c r="Y305" s="81"/>
    </row>
    <row r="306" customFormat="false" ht="12" hidden="false" customHeight="true" outlineLevel="0" collapsed="false">
      <c r="A306" s="91"/>
      <c r="B306" s="81"/>
      <c r="C306" s="81"/>
      <c r="D306" s="81"/>
      <c r="E306" s="81"/>
      <c r="F306" s="173"/>
      <c r="G306" s="173"/>
      <c r="H306" s="173"/>
      <c r="I306" s="173"/>
      <c r="J306" s="173"/>
      <c r="K306" s="173"/>
      <c r="L306" s="80"/>
      <c r="M306" s="81"/>
      <c r="N306" s="102"/>
      <c r="O306" s="102"/>
      <c r="P306" s="81"/>
      <c r="Q306" s="81"/>
      <c r="R306" s="81"/>
      <c r="S306" s="81"/>
      <c r="T306" s="81"/>
      <c r="U306" s="81"/>
      <c r="V306" s="81"/>
      <c r="W306" s="81"/>
      <c r="X306" s="81"/>
      <c r="Y306" s="81"/>
    </row>
    <row r="307" customFormat="false" ht="12" hidden="false" customHeight="true" outlineLevel="0" collapsed="false">
      <c r="A307" s="91"/>
      <c r="B307" s="81"/>
      <c r="C307" s="81"/>
      <c r="D307" s="81"/>
      <c r="E307" s="81"/>
      <c r="F307" s="173"/>
      <c r="G307" s="173"/>
      <c r="H307" s="173"/>
      <c r="I307" s="173"/>
      <c r="J307" s="173"/>
      <c r="K307" s="173"/>
      <c r="L307" s="80"/>
      <c r="M307" s="81"/>
      <c r="N307" s="102"/>
      <c r="O307" s="102"/>
      <c r="P307" s="81"/>
      <c r="Q307" s="81"/>
      <c r="R307" s="81"/>
      <c r="S307" s="81"/>
      <c r="T307" s="81"/>
      <c r="U307" s="81"/>
      <c r="V307" s="81"/>
      <c r="W307" s="81"/>
      <c r="X307" s="81"/>
      <c r="Y307" s="81"/>
    </row>
    <row r="308" customFormat="false" ht="12" hidden="false" customHeight="true" outlineLevel="0" collapsed="false">
      <c r="A308" s="91"/>
      <c r="B308" s="81"/>
      <c r="C308" s="81"/>
      <c r="D308" s="81"/>
      <c r="E308" s="81"/>
      <c r="F308" s="173"/>
      <c r="G308" s="173"/>
      <c r="H308" s="173"/>
      <c r="I308" s="173"/>
      <c r="J308" s="173"/>
      <c r="K308" s="173"/>
      <c r="L308" s="80"/>
      <c r="M308" s="81"/>
      <c r="N308" s="102"/>
      <c r="O308" s="102"/>
      <c r="P308" s="81"/>
      <c r="Q308" s="81"/>
      <c r="R308" s="81"/>
      <c r="S308" s="81"/>
      <c r="T308" s="81"/>
      <c r="U308" s="81"/>
      <c r="V308" s="81"/>
      <c r="W308" s="81"/>
      <c r="X308" s="81"/>
      <c r="Y308" s="81"/>
    </row>
    <row r="309" customFormat="false" ht="12" hidden="false" customHeight="true" outlineLevel="0" collapsed="false">
      <c r="A309" s="91"/>
      <c r="B309" s="81"/>
      <c r="C309" s="81"/>
      <c r="D309" s="81"/>
      <c r="E309" s="81"/>
      <c r="F309" s="173"/>
      <c r="G309" s="173"/>
      <c r="H309" s="173"/>
      <c r="I309" s="173"/>
      <c r="J309" s="173"/>
      <c r="K309" s="173"/>
      <c r="L309" s="80"/>
      <c r="M309" s="81"/>
      <c r="N309" s="102"/>
      <c r="O309" s="102"/>
      <c r="P309" s="81"/>
      <c r="Q309" s="81"/>
      <c r="R309" s="81"/>
      <c r="S309" s="81"/>
      <c r="T309" s="81"/>
      <c r="U309" s="81"/>
      <c r="V309" s="81"/>
      <c r="W309" s="81"/>
      <c r="X309" s="81"/>
      <c r="Y309" s="81"/>
    </row>
    <row r="310" customFormat="false" ht="12" hidden="false" customHeight="true" outlineLevel="0" collapsed="false">
      <c r="A310" s="91"/>
      <c r="B310" s="81"/>
      <c r="C310" s="81"/>
      <c r="D310" s="81"/>
      <c r="E310" s="81"/>
      <c r="F310" s="173"/>
      <c r="G310" s="173"/>
      <c r="H310" s="173"/>
      <c r="I310" s="173"/>
      <c r="J310" s="173"/>
      <c r="K310" s="173"/>
      <c r="L310" s="80"/>
      <c r="M310" s="81"/>
      <c r="N310" s="102"/>
      <c r="O310" s="102"/>
      <c r="P310" s="81"/>
      <c r="Q310" s="81"/>
      <c r="R310" s="81"/>
      <c r="S310" s="81"/>
      <c r="T310" s="81"/>
      <c r="U310" s="81"/>
      <c r="V310" s="81"/>
      <c r="W310" s="81"/>
      <c r="X310" s="81"/>
      <c r="Y310" s="81"/>
    </row>
    <row r="311" customFormat="false" ht="12" hidden="false" customHeight="true" outlineLevel="0" collapsed="false">
      <c r="A311" s="91"/>
      <c r="B311" s="81"/>
      <c r="C311" s="81"/>
      <c r="D311" s="81"/>
      <c r="E311" s="81"/>
      <c r="F311" s="173"/>
      <c r="G311" s="173"/>
      <c r="H311" s="173"/>
      <c r="I311" s="173"/>
      <c r="J311" s="173"/>
      <c r="K311" s="173"/>
      <c r="L311" s="80"/>
      <c r="M311" s="81"/>
      <c r="N311" s="102"/>
      <c r="O311" s="102"/>
      <c r="P311" s="81"/>
      <c r="Q311" s="81"/>
      <c r="R311" s="81"/>
      <c r="S311" s="81"/>
      <c r="T311" s="81"/>
      <c r="U311" s="81"/>
      <c r="V311" s="81"/>
      <c r="W311" s="81"/>
      <c r="X311" s="81"/>
      <c r="Y311" s="81"/>
    </row>
    <row r="312" customFormat="false" ht="12" hidden="false" customHeight="true" outlineLevel="0" collapsed="false">
      <c r="A312" s="91"/>
      <c r="B312" s="81"/>
      <c r="C312" s="81"/>
      <c r="D312" s="81"/>
      <c r="E312" s="81"/>
      <c r="F312" s="173"/>
      <c r="G312" s="173"/>
      <c r="H312" s="173"/>
      <c r="I312" s="173"/>
      <c r="J312" s="173"/>
      <c r="K312" s="173"/>
      <c r="L312" s="80"/>
      <c r="M312" s="81"/>
      <c r="N312" s="102"/>
      <c r="O312" s="102"/>
      <c r="P312" s="81"/>
      <c r="Q312" s="81"/>
      <c r="R312" s="81"/>
      <c r="S312" s="81"/>
      <c r="T312" s="81"/>
      <c r="U312" s="81"/>
      <c r="V312" s="81"/>
      <c r="W312" s="81"/>
      <c r="X312" s="81"/>
      <c r="Y312" s="81"/>
    </row>
    <row r="313" customFormat="false" ht="12" hidden="false" customHeight="true" outlineLevel="0" collapsed="false">
      <c r="A313" s="91"/>
      <c r="B313" s="81"/>
      <c r="C313" s="81"/>
      <c r="D313" s="81"/>
      <c r="E313" s="81"/>
      <c r="F313" s="173"/>
      <c r="G313" s="173"/>
      <c r="H313" s="173"/>
      <c r="I313" s="173"/>
      <c r="J313" s="173"/>
      <c r="K313" s="173"/>
      <c r="L313" s="80"/>
      <c r="M313" s="81"/>
      <c r="N313" s="102"/>
      <c r="O313" s="102"/>
      <c r="P313" s="81"/>
      <c r="Q313" s="81"/>
      <c r="R313" s="81"/>
      <c r="S313" s="81"/>
      <c r="T313" s="81"/>
      <c r="U313" s="81"/>
      <c r="V313" s="81"/>
      <c r="W313" s="81"/>
      <c r="X313" s="81"/>
      <c r="Y313" s="81"/>
    </row>
    <row r="314" customFormat="false" ht="12" hidden="false" customHeight="true" outlineLevel="0" collapsed="false">
      <c r="A314" s="91"/>
      <c r="B314" s="81"/>
      <c r="C314" s="81"/>
      <c r="D314" s="81"/>
      <c r="E314" s="81"/>
      <c r="F314" s="173"/>
      <c r="G314" s="173"/>
      <c r="H314" s="173"/>
      <c r="I314" s="173"/>
      <c r="J314" s="173"/>
      <c r="K314" s="173"/>
      <c r="L314" s="80"/>
      <c r="M314" s="81"/>
      <c r="N314" s="102"/>
      <c r="O314" s="102"/>
      <c r="P314" s="81"/>
      <c r="Q314" s="81"/>
      <c r="R314" s="81"/>
      <c r="S314" s="81"/>
      <c r="T314" s="81"/>
      <c r="U314" s="81"/>
      <c r="V314" s="81"/>
      <c r="W314" s="81"/>
      <c r="X314" s="81"/>
      <c r="Y314" s="81"/>
    </row>
    <row r="315" customFormat="false" ht="12" hidden="false" customHeight="true" outlineLevel="0" collapsed="false">
      <c r="A315" s="91"/>
      <c r="B315" s="81"/>
      <c r="C315" s="81"/>
      <c r="D315" s="81"/>
      <c r="E315" s="81"/>
      <c r="F315" s="173"/>
      <c r="G315" s="173"/>
      <c r="H315" s="173"/>
      <c r="I315" s="173"/>
      <c r="J315" s="173"/>
      <c r="K315" s="173"/>
      <c r="L315" s="80"/>
      <c r="M315" s="81"/>
      <c r="N315" s="102"/>
      <c r="O315" s="102"/>
      <c r="P315" s="81"/>
      <c r="Q315" s="81"/>
      <c r="R315" s="81"/>
      <c r="S315" s="81"/>
      <c r="T315" s="81"/>
      <c r="U315" s="81"/>
      <c r="V315" s="81"/>
      <c r="W315" s="81"/>
      <c r="X315" s="81"/>
      <c r="Y315" s="81"/>
    </row>
    <row r="316" customFormat="false" ht="12" hidden="false" customHeight="true" outlineLevel="0" collapsed="false">
      <c r="A316" s="91"/>
      <c r="B316" s="81"/>
      <c r="C316" s="81"/>
      <c r="D316" s="81"/>
      <c r="E316" s="81"/>
      <c r="F316" s="173"/>
      <c r="G316" s="173"/>
      <c r="H316" s="173"/>
      <c r="I316" s="173"/>
      <c r="J316" s="173"/>
      <c r="K316" s="173"/>
      <c r="L316" s="80"/>
      <c r="M316" s="81"/>
      <c r="N316" s="102"/>
      <c r="O316" s="102"/>
      <c r="P316" s="81"/>
      <c r="Q316" s="81"/>
      <c r="R316" s="81"/>
      <c r="S316" s="81"/>
      <c r="T316" s="81"/>
      <c r="U316" s="81"/>
      <c r="V316" s="81"/>
      <c r="W316" s="81"/>
      <c r="X316" s="81"/>
      <c r="Y316" s="81"/>
    </row>
    <row r="317" customFormat="false" ht="12" hidden="false" customHeight="true" outlineLevel="0" collapsed="false">
      <c r="A317" s="91"/>
      <c r="B317" s="81"/>
      <c r="C317" s="81"/>
      <c r="D317" s="81"/>
      <c r="E317" s="81"/>
      <c r="F317" s="173"/>
      <c r="G317" s="173"/>
      <c r="H317" s="173"/>
      <c r="I317" s="173"/>
      <c r="J317" s="173"/>
      <c r="K317" s="173"/>
      <c r="L317" s="80"/>
      <c r="M317" s="81"/>
      <c r="N317" s="102"/>
      <c r="O317" s="102"/>
      <c r="P317" s="81"/>
      <c r="Q317" s="81"/>
      <c r="R317" s="81"/>
      <c r="S317" s="81"/>
      <c r="T317" s="81"/>
      <c r="U317" s="81"/>
      <c r="V317" s="81"/>
      <c r="W317" s="81"/>
      <c r="X317" s="81"/>
      <c r="Y317" s="81"/>
    </row>
    <row r="318" customFormat="false" ht="12" hidden="false" customHeight="true" outlineLevel="0" collapsed="false">
      <c r="A318" s="91"/>
      <c r="B318" s="81"/>
      <c r="C318" s="81"/>
      <c r="D318" s="81"/>
      <c r="E318" s="81"/>
      <c r="F318" s="173"/>
      <c r="G318" s="173"/>
      <c r="H318" s="173"/>
      <c r="I318" s="173"/>
      <c r="J318" s="173"/>
      <c r="K318" s="173"/>
      <c r="L318" s="80"/>
      <c r="M318" s="81"/>
      <c r="N318" s="102"/>
      <c r="O318" s="102"/>
      <c r="P318" s="81"/>
      <c r="Q318" s="81"/>
      <c r="R318" s="81"/>
      <c r="S318" s="81"/>
      <c r="T318" s="81"/>
      <c r="U318" s="81"/>
      <c r="V318" s="81"/>
      <c r="W318" s="81"/>
      <c r="X318" s="81"/>
      <c r="Y318" s="81"/>
    </row>
    <row r="319" customFormat="false" ht="12" hidden="false" customHeight="true" outlineLevel="0" collapsed="false">
      <c r="A319" s="91"/>
      <c r="B319" s="81"/>
      <c r="C319" s="81"/>
      <c r="D319" s="81"/>
      <c r="E319" s="81"/>
      <c r="F319" s="173"/>
      <c r="G319" s="173"/>
      <c r="H319" s="173"/>
      <c r="I319" s="173"/>
      <c r="J319" s="173"/>
      <c r="K319" s="173"/>
      <c r="L319" s="80"/>
      <c r="M319" s="81"/>
      <c r="N319" s="102"/>
      <c r="O319" s="102"/>
      <c r="P319" s="81"/>
      <c r="Q319" s="81"/>
      <c r="R319" s="81"/>
      <c r="S319" s="81"/>
      <c r="T319" s="81"/>
      <c r="U319" s="81"/>
      <c r="V319" s="81"/>
      <c r="W319" s="81"/>
      <c r="X319" s="81"/>
      <c r="Y319" s="81"/>
    </row>
    <row r="320" customFormat="false" ht="12" hidden="false" customHeight="true" outlineLevel="0" collapsed="false">
      <c r="A320" s="91"/>
      <c r="B320" s="81"/>
      <c r="C320" s="81"/>
      <c r="D320" s="81"/>
      <c r="E320" s="81"/>
      <c r="F320" s="173"/>
      <c r="G320" s="173"/>
      <c r="H320" s="173"/>
      <c r="I320" s="173"/>
      <c r="J320" s="173"/>
      <c r="K320" s="173"/>
      <c r="L320" s="80"/>
      <c r="M320" s="81"/>
      <c r="N320" s="102"/>
      <c r="O320" s="102"/>
      <c r="P320" s="81"/>
      <c r="Q320" s="81"/>
      <c r="R320" s="81"/>
      <c r="S320" s="81"/>
      <c r="T320" s="81"/>
      <c r="U320" s="81"/>
      <c r="V320" s="81"/>
      <c r="W320" s="81"/>
      <c r="X320" s="81"/>
      <c r="Y320" s="81"/>
    </row>
    <row r="321" customFormat="false" ht="12" hidden="false" customHeight="true" outlineLevel="0" collapsed="false">
      <c r="A321" s="91"/>
      <c r="B321" s="81"/>
      <c r="C321" s="81"/>
      <c r="D321" s="81"/>
      <c r="E321" s="81"/>
      <c r="F321" s="173"/>
      <c r="G321" s="173"/>
      <c r="H321" s="173"/>
      <c r="I321" s="173"/>
      <c r="J321" s="173"/>
      <c r="K321" s="173"/>
      <c r="L321" s="80"/>
      <c r="M321" s="81"/>
      <c r="N321" s="102"/>
      <c r="O321" s="102"/>
      <c r="P321" s="81"/>
      <c r="Q321" s="81"/>
      <c r="R321" s="81"/>
      <c r="S321" s="81"/>
      <c r="T321" s="81"/>
      <c r="U321" s="81"/>
      <c r="V321" s="81"/>
      <c r="W321" s="81"/>
      <c r="X321" s="81"/>
      <c r="Y321" s="81"/>
    </row>
    <row r="322" customFormat="false" ht="12" hidden="false" customHeight="true" outlineLevel="0" collapsed="false">
      <c r="A322" s="91"/>
      <c r="B322" s="81"/>
      <c r="C322" s="81"/>
      <c r="D322" s="81"/>
      <c r="E322" s="81"/>
      <c r="F322" s="173"/>
      <c r="G322" s="173"/>
      <c r="H322" s="173"/>
      <c r="I322" s="173"/>
      <c r="J322" s="173"/>
      <c r="K322" s="173"/>
      <c r="L322" s="80"/>
      <c r="M322" s="81"/>
      <c r="N322" s="102"/>
      <c r="O322" s="102"/>
      <c r="P322" s="81"/>
      <c r="Q322" s="81"/>
      <c r="R322" s="81"/>
      <c r="S322" s="81"/>
      <c r="T322" s="81"/>
      <c r="U322" s="81"/>
      <c r="V322" s="81"/>
      <c r="W322" s="81"/>
      <c r="X322" s="81"/>
      <c r="Y322" s="81"/>
    </row>
    <row r="323" customFormat="false" ht="12" hidden="false" customHeight="true" outlineLevel="0" collapsed="false">
      <c r="A323" s="91"/>
      <c r="B323" s="81"/>
      <c r="C323" s="81"/>
      <c r="D323" s="81"/>
      <c r="E323" s="81"/>
      <c r="F323" s="173"/>
      <c r="G323" s="173"/>
      <c r="H323" s="173"/>
      <c r="I323" s="173"/>
      <c r="J323" s="173"/>
      <c r="K323" s="173"/>
      <c r="L323" s="80"/>
      <c r="M323" s="81"/>
      <c r="N323" s="102"/>
      <c r="O323" s="102"/>
      <c r="P323" s="81"/>
      <c r="Q323" s="81"/>
      <c r="R323" s="81"/>
      <c r="S323" s="81"/>
      <c r="T323" s="81"/>
      <c r="U323" s="81"/>
      <c r="V323" s="81"/>
      <c r="W323" s="81"/>
      <c r="X323" s="81"/>
      <c r="Y323" s="81"/>
    </row>
    <row r="324" customFormat="false" ht="12" hidden="false" customHeight="true" outlineLevel="0" collapsed="false">
      <c r="A324" s="91"/>
      <c r="B324" s="81"/>
      <c r="C324" s="81"/>
      <c r="D324" s="81"/>
      <c r="E324" s="81"/>
      <c r="F324" s="173"/>
      <c r="G324" s="173"/>
      <c r="H324" s="173"/>
      <c r="I324" s="173"/>
      <c r="J324" s="173"/>
      <c r="K324" s="173"/>
      <c r="L324" s="80"/>
      <c r="M324" s="81"/>
      <c r="N324" s="102"/>
      <c r="O324" s="102"/>
      <c r="P324" s="81"/>
      <c r="Q324" s="81"/>
      <c r="R324" s="81"/>
      <c r="S324" s="81"/>
      <c r="T324" s="81"/>
      <c r="U324" s="81"/>
      <c r="V324" s="81"/>
      <c r="W324" s="81"/>
      <c r="X324" s="81"/>
      <c r="Y324" s="81"/>
    </row>
    <row r="325" customFormat="false" ht="12" hidden="false" customHeight="true" outlineLevel="0" collapsed="false">
      <c r="A325" s="91"/>
      <c r="B325" s="81"/>
      <c r="C325" s="81"/>
      <c r="D325" s="81"/>
      <c r="E325" s="81"/>
      <c r="F325" s="173"/>
      <c r="G325" s="173"/>
      <c r="H325" s="173"/>
      <c r="I325" s="173"/>
      <c r="J325" s="173"/>
      <c r="K325" s="173"/>
      <c r="L325" s="80"/>
      <c r="M325" s="81"/>
      <c r="N325" s="102"/>
      <c r="O325" s="102"/>
      <c r="P325" s="81"/>
      <c r="Q325" s="81"/>
      <c r="R325" s="81"/>
      <c r="S325" s="81"/>
      <c r="T325" s="81"/>
      <c r="U325" s="81"/>
      <c r="V325" s="81"/>
      <c r="W325" s="81"/>
      <c r="X325" s="81"/>
      <c r="Y325" s="81"/>
    </row>
    <row r="326" customFormat="false" ht="12" hidden="false" customHeight="true" outlineLevel="0" collapsed="false">
      <c r="A326" s="91"/>
      <c r="B326" s="81"/>
      <c r="C326" s="81"/>
      <c r="D326" s="81"/>
      <c r="E326" s="81"/>
      <c r="F326" s="173"/>
      <c r="G326" s="173"/>
      <c r="H326" s="173"/>
      <c r="I326" s="173"/>
      <c r="J326" s="173"/>
      <c r="K326" s="173"/>
      <c r="L326" s="80"/>
      <c r="M326" s="81"/>
      <c r="N326" s="102"/>
      <c r="O326" s="102"/>
      <c r="P326" s="81"/>
      <c r="Q326" s="81"/>
      <c r="R326" s="81"/>
      <c r="S326" s="81"/>
      <c r="T326" s="81"/>
      <c r="U326" s="81"/>
      <c r="V326" s="81"/>
      <c r="W326" s="81"/>
      <c r="X326" s="81"/>
      <c r="Y326" s="81"/>
    </row>
    <row r="327" customFormat="false" ht="12" hidden="false" customHeight="true" outlineLevel="0" collapsed="false">
      <c r="A327" s="91"/>
      <c r="B327" s="81"/>
      <c r="C327" s="81"/>
      <c r="D327" s="81"/>
      <c r="E327" s="81"/>
      <c r="F327" s="173"/>
      <c r="G327" s="173"/>
      <c r="H327" s="173"/>
      <c r="I327" s="173"/>
      <c r="J327" s="173"/>
      <c r="K327" s="173"/>
      <c r="L327" s="80"/>
      <c r="M327" s="81"/>
      <c r="N327" s="102"/>
      <c r="O327" s="102"/>
      <c r="P327" s="81"/>
      <c r="Q327" s="81"/>
      <c r="R327" s="81"/>
      <c r="S327" s="81"/>
      <c r="T327" s="81"/>
      <c r="U327" s="81"/>
      <c r="V327" s="81"/>
      <c r="W327" s="81"/>
      <c r="X327" s="81"/>
      <c r="Y327" s="81"/>
    </row>
    <row r="328" customFormat="false" ht="12" hidden="false" customHeight="true" outlineLevel="0" collapsed="false">
      <c r="A328" s="91"/>
      <c r="B328" s="81"/>
      <c r="C328" s="81"/>
      <c r="D328" s="81"/>
      <c r="E328" s="81"/>
      <c r="F328" s="173"/>
      <c r="G328" s="173"/>
      <c r="H328" s="173"/>
      <c r="I328" s="173"/>
      <c r="J328" s="173"/>
      <c r="K328" s="173"/>
      <c r="L328" s="80"/>
      <c r="M328" s="81"/>
      <c r="N328" s="102"/>
      <c r="O328" s="102"/>
      <c r="P328" s="81"/>
      <c r="Q328" s="81"/>
      <c r="R328" s="81"/>
      <c r="S328" s="81"/>
      <c r="T328" s="81"/>
      <c r="U328" s="81"/>
      <c r="V328" s="81"/>
      <c r="W328" s="81"/>
      <c r="X328" s="81"/>
      <c r="Y328" s="81"/>
    </row>
    <row r="329" customFormat="false" ht="12" hidden="false" customHeight="true" outlineLevel="0" collapsed="false">
      <c r="A329" s="91"/>
      <c r="B329" s="81"/>
      <c r="C329" s="81"/>
      <c r="D329" s="81"/>
      <c r="E329" s="81"/>
      <c r="F329" s="173"/>
      <c r="G329" s="173"/>
      <c r="H329" s="173"/>
      <c r="I329" s="173"/>
      <c r="J329" s="173"/>
      <c r="K329" s="173"/>
      <c r="L329" s="80"/>
      <c r="M329" s="81"/>
      <c r="N329" s="102"/>
      <c r="O329" s="102"/>
      <c r="P329" s="81"/>
      <c r="Q329" s="81"/>
      <c r="R329" s="81"/>
      <c r="S329" s="81"/>
      <c r="T329" s="81"/>
      <c r="U329" s="81"/>
      <c r="V329" s="81"/>
      <c r="W329" s="81"/>
      <c r="X329" s="81"/>
      <c r="Y329" s="81"/>
    </row>
    <row r="330" customFormat="false" ht="12" hidden="false" customHeight="true" outlineLevel="0" collapsed="false">
      <c r="A330" s="91"/>
      <c r="B330" s="81"/>
      <c r="C330" s="81"/>
      <c r="D330" s="81"/>
      <c r="E330" s="81"/>
      <c r="F330" s="173"/>
      <c r="G330" s="173"/>
      <c r="H330" s="173"/>
      <c r="I330" s="173"/>
      <c r="J330" s="173"/>
      <c r="K330" s="173"/>
      <c r="L330" s="80"/>
      <c r="M330" s="81"/>
      <c r="N330" s="102"/>
      <c r="O330" s="102"/>
      <c r="P330" s="81"/>
      <c r="Q330" s="81"/>
      <c r="R330" s="81"/>
      <c r="S330" s="81"/>
      <c r="T330" s="81"/>
      <c r="U330" s="81"/>
      <c r="V330" s="81"/>
      <c r="W330" s="81"/>
      <c r="X330" s="81"/>
      <c r="Y330" s="81"/>
    </row>
    <row r="331" customFormat="false" ht="12" hidden="false" customHeight="true" outlineLevel="0" collapsed="false">
      <c r="A331" s="91"/>
      <c r="B331" s="81"/>
      <c r="C331" s="81"/>
      <c r="D331" s="81"/>
      <c r="E331" s="81"/>
      <c r="F331" s="173"/>
      <c r="G331" s="173"/>
      <c r="H331" s="173"/>
      <c r="I331" s="173"/>
      <c r="J331" s="173"/>
      <c r="K331" s="173"/>
      <c r="L331" s="80"/>
      <c r="M331" s="81"/>
      <c r="N331" s="102"/>
      <c r="O331" s="102"/>
      <c r="P331" s="81"/>
      <c r="Q331" s="81"/>
      <c r="R331" s="81"/>
      <c r="S331" s="81"/>
      <c r="T331" s="81"/>
      <c r="U331" s="81"/>
      <c r="V331" s="81"/>
      <c r="W331" s="81"/>
      <c r="X331" s="81"/>
      <c r="Y331" s="81"/>
    </row>
    <row r="332" customFormat="false" ht="12" hidden="false" customHeight="true" outlineLevel="0" collapsed="false">
      <c r="A332" s="91"/>
      <c r="B332" s="81"/>
      <c r="C332" s="81"/>
      <c r="D332" s="81"/>
      <c r="E332" s="81"/>
      <c r="F332" s="173"/>
      <c r="G332" s="173"/>
      <c r="H332" s="173"/>
      <c r="I332" s="173"/>
      <c r="J332" s="173"/>
      <c r="K332" s="173"/>
      <c r="L332" s="80"/>
      <c r="M332" s="81"/>
      <c r="N332" s="102"/>
      <c r="O332" s="102"/>
      <c r="P332" s="81"/>
      <c r="Q332" s="81"/>
      <c r="R332" s="81"/>
      <c r="S332" s="81"/>
      <c r="T332" s="81"/>
      <c r="U332" s="81"/>
      <c r="V332" s="81"/>
      <c r="W332" s="81"/>
      <c r="X332" s="81"/>
      <c r="Y332" s="81"/>
    </row>
    <row r="333" customFormat="false" ht="12" hidden="false" customHeight="true" outlineLevel="0" collapsed="false">
      <c r="A333" s="91"/>
      <c r="B333" s="81"/>
      <c r="C333" s="81"/>
      <c r="D333" s="81"/>
      <c r="E333" s="81"/>
      <c r="F333" s="173"/>
      <c r="G333" s="173"/>
      <c r="H333" s="173"/>
      <c r="I333" s="173"/>
      <c r="J333" s="173"/>
      <c r="K333" s="173"/>
      <c r="L333" s="80"/>
      <c r="M333" s="81"/>
      <c r="N333" s="102"/>
      <c r="O333" s="102"/>
      <c r="P333" s="81"/>
      <c r="Q333" s="81"/>
      <c r="R333" s="81"/>
      <c r="S333" s="81"/>
      <c r="T333" s="81"/>
      <c r="U333" s="81"/>
      <c r="V333" s="81"/>
      <c r="W333" s="81"/>
      <c r="X333" s="81"/>
      <c r="Y333" s="81"/>
    </row>
    <row r="334" customFormat="false" ht="12" hidden="false" customHeight="true" outlineLevel="0" collapsed="false">
      <c r="A334" s="91"/>
      <c r="B334" s="81"/>
      <c r="C334" s="81"/>
      <c r="D334" s="81"/>
      <c r="E334" s="81"/>
      <c r="F334" s="173"/>
      <c r="G334" s="173"/>
      <c r="H334" s="173"/>
      <c r="I334" s="173"/>
      <c r="J334" s="173"/>
      <c r="K334" s="173"/>
      <c r="L334" s="80"/>
      <c r="M334" s="81"/>
      <c r="N334" s="102"/>
      <c r="O334" s="102"/>
      <c r="P334" s="81"/>
      <c r="Q334" s="81"/>
      <c r="R334" s="81"/>
      <c r="S334" s="81"/>
      <c r="T334" s="81"/>
      <c r="U334" s="81"/>
      <c r="V334" s="81"/>
      <c r="W334" s="81"/>
      <c r="X334" s="81"/>
      <c r="Y334" s="81"/>
    </row>
    <row r="335" customFormat="false" ht="12" hidden="false" customHeight="true" outlineLevel="0" collapsed="false">
      <c r="A335" s="91"/>
      <c r="B335" s="81"/>
      <c r="C335" s="81"/>
      <c r="D335" s="81"/>
      <c r="E335" s="81"/>
      <c r="F335" s="173"/>
      <c r="G335" s="173"/>
      <c r="H335" s="173"/>
      <c r="I335" s="173"/>
      <c r="J335" s="173"/>
      <c r="K335" s="173"/>
      <c r="L335" s="80"/>
      <c r="M335" s="81"/>
      <c r="N335" s="102"/>
      <c r="O335" s="102"/>
      <c r="P335" s="81"/>
      <c r="Q335" s="81"/>
      <c r="R335" s="81"/>
      <c r="S335" s="81"/>
      <c r="T335" s="81"/>
      <c r="U335" s="81"/>
      <c r="V335" s="81"/>
      <c r="W335" s="81"/>
      <c r="X335" s="81"/>
      <c r="Y335" s="81"/>
    </row>
    <row r="336" customFormat="false" ht="12" hidden="false" customHeight="true" outlineLevel="0" collapsed="false">
      <c r="A336" s="91"/>
      <c r="B336" s="81"/>
      <c r="C336" s="81"/>
      <c r="D336" s="81"/>
      <c r="E336" s="81"/>
      <c r="F336" s="173"/>
      <c r="G336" s="173"/>
      <c r="H336" s="173"/>
      <c r="I336" s="173"/>
      <c r="J336" s="173"/>
      <c r="K336" s="173"/>
      <c r="L336" s="80"/>
      <c r="M336" s="81"/>
      <c r="N336" s="102"/>
      <c r="O336" s="102"/>
      <c r="P336" s="81"/>
      <c r="Q336" s="81"/>
      <c r="R336" s="81"/>
      <c r="S336" s="81"/>
      <c r="T336" s="81"/>
      <c r="U336" s="81"/>
      <c r="V336" s="81"/>
      <c r="W336" s="81"/>
      <c r="X336" s="81"/>
      <c r="Y336" s="81"/>
    </row>
    <row r="337" customFormat="false" ht="12" hidden="false" customHeight="true" outlineLevel="0" collapsed="false">
      <c r="A337" s="91"/>
      <c r="B337" s="81"/>
      <c r="C337" s="81"/>
      <c r="D337" s="81"/>
      <c r="E337" s="81"/>
      <c r="F337" s="173"/>
      <c r="G337" s="173"/>
      <c r="H337" s="173"/>
      <c r="I337" s="173"/>
      <c r="J337" s="173"/>
      <c r="K337" s="173"/>
      <c r="L337" s="80"/>
      <c r="M337" s="81"/>
      <c r="N337" s="102"/>
      <c r="O337" s="102"/>
      <c r="P337" s="81"/>
      <c r="Q337" s="81"/>
      <c r="R337" s="81"/>
      <c r="S337" s="81"/>
      <c r="T337" s="81"/>
      <c r="U337" s="81"/>
      <c r="V337" s="81"/>
      <c r="W337" s="81"/>
      <c r="X337" s="81"/>
      <c r="Y337" s="81"/>
    </row>
    <row r="338" customFormat="false" ht="12" hidden="false" customHeight="true" outlineLevel="0" collapsed="false">
      <c r="A338" s="91"/>
      <c r="B338" s="81"/>
      <c r="C338" s="81"/>
      <c r="D338" s="81"/>
      <c r="E338" s="81"/>
      <c r="F338" s="173"/>
      <c r="G338" s="173"/>
      <c r="H338" s="173"/>
      <c r="I338" s="173"/>
      <c r="J338" s="173"/>
      <c r="K338" s="173"/>
      <c r="L338" s="80"/>
      <c r="M338" s="81"/>
      <c r="N338" s="102"/>
      <c r="O338" s="102"/>
      <c r="P338" s="81"/>
      <c r="Q338" s="81"/>
      <c r="R338" s="81"/>
      <c r="S338" s="81"/>
      <c r="T338" s="81"/>
      <c r="U338" s="81"/>
      <c r="V338" s="81"/>
      <c r="W338" s="81"/>
      <c r="X338" s="81"/>
      <c r="Y338" s="81"/>
    </row>
    <row r="339" customFormat="false" ht="12" hidden="false" customHeight="true" outlineLevel="0" collapsed="false">
      <c r="A339" s="91"/>
      <c r="B339" s="81"/>
      <c r="C339" s="81"/>
      <c r="D339" s="81"/>
      <c r="E339" s="81"/>
      <c r="F339" s="173"/>
      <c r="G339" s="173"/>
      <c r="H339" s="173"/>
      <c r="I339" s="173"/>
      <c r="J339" s="173"/>
      <c r="K339" s="173"/>
      <c r="L339" s="80"/>
      <c r="M339" s="81"/>
      <c r="N339" s="102"/>
      <c r="O339" s="102"/>
      <c r="P339" s="81"/>
      <c r="Q339" s="81"/>
      <c r="R339" s="81"/>
      <c r="S339" s="81"/>
      <c r="T339" s="81"/>
      <c r="U339" s="81"/>
      <c r="V339" s="81"/>
      <c r="W339" s="81"/>
      <c r="X339" s="81"/>
      <c r="Y339" s="81"/>
    </row>
    <row r="340" customFormat="false" ht="12" hidden="false" customHeight="true" outlineLevel="0" collapsed="false">
      <c r="A340" s="91"/>
      <c r="B340" s="81"/>
      <c r="C340" s="81"/>
      <c r="D340" s="81"/>
      <c r="E340" s="81"/>
      <c r="F340" s="173"/>
      <c r="G340" s="173"/>
      <c r="H340" s="173"/>
      <c r="I340" s="173"/>
      <c r="J340" s="173"/>
      <c r="K340" s="173"/>
      <c r="L340" s="80"/>
      <c r="M340" s="81"/>
      <c r="N340" s="102"/>
      <c r="O340" s="102"/>
      <c r="P340" s="81"/>
      <c r="Q340" s="81"/>
      <c r="R340" s="81"/>
      <c r="S340" s="81"/>
      <c r="T340" s="81"/>
      <c r="U340" s="81"/>
      <c r="V340" s="81"/>
      <c r="W340" s="81"/>
      <c r="X340" s="81"/>
      <c r="Y340" s="81"/>
    </row>
    <row r="341" customFormat="false" ht="12" hidden="false" customHeight="true" outlineLevel="0" collapsed="false">
      <c r="A341" s="91"/>
      <c r="B341" s="81"/>
      <c r="C341" s="81"/>
      <c r="D341" s="81"/>
      <c r="E341" s="81"/>
      <c r="F341" s="173"/>
      <c r="G341" s="173"/>
      <c r="H341" s="173"/>
      <c r="I341" s="173"/>
      <c r="J341" s="173"/>
      <c r="K341" s="173"/>
      <c r="L341" s="80"/>
      <c r="M341" s="81"/>
      <c r="N341" s="102"/>
      <c r="O341" s="102"/>
      <c r="P341" s="81"/>
      <c r="Q341" s="81"/>
      <c r="R341" s="81"/>
      <c r="S341" s="81"/>
      <c r="T341" s="81"/>
      <c r="U341" s="81"/>
      <c r="V341" s="81"/>
      <c r="W341" s="81"/>
      <c r="X341" s="81"/>
      <c r="Y341" s="81"/>
    </row>
    <row r="342" customFormat="false" ht="12" hidden="false" customHeight="true" outlineLevel="0" collapsed="false">
      <c r="A342" s="91"/>
      <c r="B342" s="81"/>
      <c r="C342" s="81"/>
      <c r="D342" s="81"/>
      <c r="E342" s="81"/>
      <c r="F342" s="173"/>
      <c r="G342" s="173"/>
      <c r="H342" s="173"/>
      <c r="I342" s="173"/>
      <c r="J342" s="173"/>
      <c r="K342" s="173"/>
      <c r="L342" s="80"/>
      <c r="M342" s="81"/>
      <c r="N342" s="102"/>
      <c r="O342" s="102"/>
      <c r="P342" s="81"/>
      <c r="Q342" s="81"/>
      <c r="R342" s="81"/>
      <c r="S342" s="81"/>
      <c r="T342" s="81"/>
      <c r="U342" s="81"/>
      <c r="V342" s="81"/>
      <c r="W342" s="81"/>
      <c r="X342" s="81"/>
      <c r="Y342" s="81"/>
    </row>
    <row r="343" customFormat="false" ht="12" hidden="false" customHeight="true" outlineLevel="0" collapsed="false">
      <c r="A343" s="91"/>
      <c r="B343" s="81"/>
      <c r="C343" s="81"/>
      <c r="D343" s="81"/>
      <c r="E343" s="81"/>
      <c r="F343" s="173"/>
      <c r="G343" s="173"/>
      <c r="H343" s="173"/>
      <c r="I343" s="173"/>
      <c r="J343" s="173"/>
      <c r="K343" s="173"/>
      <c r="L343" s="80"/>
      <c r="M343" s="81"/>
      <c r="N343" s="102"/>
      <c r="O343" s="102"/>
      <c r="P343" s="81"/>
      <c r="Q343" s="81"/>
      <c r="R343" s="81"/>
      <c r="S343" s="81"/>
      <c r="T343" s="81"/>
      <c r="U343" s="81"/>
      <c r="V343" s="81"/>
      <c r="W343" s="81"/>
      <c r="X343" s="81"/>
      <c r="Y343" s="81"/>
    </row>
    <row r="344" customFormat="false" ht="12" hidden="false" customHeight="true" outlineLevel="0" collapsed="false">
      <c r="A344" s="91"/>
      <c r="B344" s="81"/>
      <c r="C344" s="81"/>
      <c r="D344" s="81"/>
      <c r="E344" s="81"/>
      <c r="F344" s="173"/>
      <c r="G344" s="173"/>
      <c r="H344" s="173"/>
      <c r="I344" s="173"/>
      <c r="J344" s="173"/>
      <c r="K344" s="173"/>
      <c r="L344" s="80"/>
      <c r="M344" s="81"/>
      <c r="N344" s="102"/>
      <c r="O344" s="102"/>
      <c r="P344" s="81"/>
      <c r="Q344" s="81"/>
      <c r="R344" s="81"/>
      <c r="S344" s="81"/>
      <c r="T344" s="81"/>
      <c r="U344" s="81"/>
      <c r="V344" s="81"/>
      <c r="W344" s="81"/>
      <c r="X344" s="81"/>
      <c r="Y344" s="81"/>
    </row>
    <row r="345" customFormat="false" ht="12" hidden="false" customHeight="true" outlineLevel="0" collapsed="false">
      <c r="A345" s="91"/>
      <c r="B345" s="81"/>
      <c r="C345" s="81"/>
      <c r="D345" s="81"/>
      <c r="E345" s="81"/>
      <c r="F345" s="173"/>
      <c r="G345" s="173"/>
      <c r="H345" s="173"/>
      <c r="I345" s="173"/>
      <c r="J345" s="173"/>
      <c r="K345" s="173"/>
      <c r="L345" s="80"/>
      <c r="M345" s="81"/>
      <c r="N345" s="102"/>
      <c r="O345" s="102"/>
      <c r="P345" s="81"/>
      <c r="Q345" s="81"/>
      <c r="R345" s="81"/>
      <c r="S345" s="81"/>
      <c r="T345" s="81"/>
      <c r="U345" s="81"/>
      <c r="V345" s="81"/>
      <c r="W345" s="81"/>
      <c r="X345" s="81"/>
      <c r="Y345" s="81"/>
    </row>
    <row r="346" customFormat="false" ht="12" hidden="false" customHeight="true" outlineLevel="0" collapsed="false">
      <c r="A346" s="91"/>
      <c r="B346" s="81"/>
      <c r="C346" s="81"/>
      <c r="D346" s="81"/>
      <c r="E346" s="81"/>
      <c r="F346" s="173"/>
      <c r="G346" s="173"/>
      <c r="H346" s="173"/>
      <c r="I346" s="173"/>
      <c r="J346" s="173"/>
      <c r="K346" s="173"/>
      <c r="L346" s="80"/>
      <c r="M346" s="81"/>
      <c r="N346" s="102"/>
      <c r="O346" s="102"/>
      <c r="P346" s="81"/>
      <c r="Q346" s="81"/>
      <c r="R346" s="81"/>
      <c r="S346" s="81"/>
      <c r="T346" s="81"/>
      <c r="U346" s="81"/>
      <c r="V346" s="81"/>
      <c r="W346" s="81"/>
      <c r="X346" s="81"/>
      <c r="Y346" s="81"/>
    </row>
    <row r="347" customFormat="false" ht="12" hidden="false" customHeight="true" outlineLevel="0" collapsed="false">
      <c r="A347" s="91"/>
      <c r="B347" s="81"/>
      <c r="C347" s="81"/>
      <c r="D347" s="81"/>
      <c r="E347" s="81"/>
      <c r="F347" s="173"/>
      <c r="G347" s="173"/>
      <c r="H347" s="173"/>
      <c r="I347" s="173"/>
      <c r="J347" s="173"/>
      <c r="K347" s="173"/>
      <c r="L347" s="80"/>
      <c r="M347" s="81"/>
      <c r="N347" s="102"/>
      <c r="O347" s="102"/>
      <c r="P347" s="81"/>
      <c r="Q347" s="81"/>
      <c r="R347" s="81"/>
      <c r="S347" s="81"/>
      <c r="T347" s="81"/>
      <c r="U347" s="81"/>
      <c r="V347" s="81"/>
      <c r="W347" s="81"/>
      <c r="X347" s="81"/>
      <c r="Y347" s="81"/>
    </row>
    <row r="348" customFormat="false" ht="12" hidden="false" customHeight="true" outlineLevel="0" collapsed="false">
      <c r="A348" s="91"/>
      <c r="B348" s="81"/>
      <c r="C348" s="81"/>
      <c r="D348" s="81"/>
      <c r="E348" s="81"/>
      <c r="F348" s="173"/>
      <c r="G348" s="173"/>
      <c r="H348" s="173"/>
      <c r="I348" s="173"/>
      <c r="J348" s="173"/>
      <c r="K348" s="173"/>
      <c r="L348" s="80"/>
      <c r="M348" s="81"/>
      <c r="N348" s="102"/>
      <c r="O348" s="102"/>
      <c r="P348" s="81"/>
      <c r="Q348" s="81"/>
      <c r="R348" s="81"/>
      <c r="S348" s="81"/>
      <c r="T348" s="81"/>
      <c r="U348" s="81"/>
      <c r="V348" s="81"/>
      <c r="W348" s="81"/>
      <c r="X348" s="81"/>
      <c r="Y348" s="81"/>
    </row>
    <row r="349" customFormat="false" ht="12" hidden="false" customHeight="true" outlineLevel="0" collapsed="false">
      <c r="A349" s="91"/>
      <c r="B349" s="81"/>
      <c r="C349" s="81"/>
      <c r="D349" s="81"/>
      <c r="E349" s="81"/>
      <c r="F349" s="173"/>
      <c r="G349" s="173"/>
      <c r="H349" s="173"/>
      <c r="I349" s="173"/>
      <c r="J349" s="173"/>
      <c r="K349" s="173"/>
      <c r="L349" s="80"/>
      <c r="M349" s="81"/>
      <c r="N349" s="102"/>
      <c r="O349" s="102"/>
      <c r="P349" s="81"/>
      <c r="Q349" s="81"/>
      <c r="R349" s="81"/>
      <c r="S349" s="81"/>
      <c r="T349" s="81"/>
      <c r="U349" s="81"/>
      <c r="V349" s="81"/>
      <c r="W349" s="81"/>
      <c r="X349" s="81"/>
      <c r="Y349" s="81"/>
    </row>
    <row r="350" customFormat="false" ht="12" hidden="false" customHeight="true" outlineLevel="0" collapsed="false">
      <c r="A350" s="91"/>
      <c r="B350" s="81"/>
      <c r="C350" s="81"/>
      <c r="D350" s="81"/>
      <c r="E350" s="81"/>
      <c r="F350" s="173"/>
      <c r="G350" s="173"/>
      <c r="H350" s="173"/>
      <c r="I350" s="173"/>
      <c r="J350" s="173"/>
      <c r="K350" s="173"/>
      <c r="L350" s="80"/>
      <c r="M350" s="81"/>
      <c r="N350" s="102"/>
      <c r="O350" s="102"/>
      <c r="P350" s="81"/>
      <c r="Q350" s="81"/>
      <c r="R350" s="81"/>
      <c r="S350" s="81"/>
      <c r="T350" s="81"/>
      <c r="U350" s="81"/>
      <c r="V350" s="81"/>
      <c r="W350" s="81"/>
      <c r="X350" s="81"/>
      <c r="Y350" s="81"/>
    </row>
    <row r="351" customFormat="false" ht="12" hidden="false" customHeight="true" outlineLevel="0" collapsed="false">
      <c r="A351" s="91"/>
      <c r="B351" s="81"/>
      <c r="C351" s="81"/>
      <c r="D351" s="81"/>
      <c r="E351" s="81"/>
      <c r="F351" s="173"/>
      <c r="G351" s="173"/>
      <c r="H351" s="173"/>
      <c r="I351" s="173"/>
      <c r="J351" s="173"/>
      <c r="K351" s="173"/>
      <c r="L351" s="80"/>
      <c r="M351" s="81"/>
      <c r="N351" s="102"/>
      <c r="O351" s="102"/>
      <c r="P351" s="81"/>
      <c r="Q351" s="81"/>
      <c r="R351" s="81"/>
      <c r="S351" s="81"/>
      <c r="T351" s="81"/>
      <c r="U351" s="81"/>
      <c r="V351" s="81"/>
      <c r="W351" s="81"/>
      <c r="X351" s="81"/>
      <c r="Y351" s="81"/>
    </row>
    <row r="352" customFormat="false" ht="12" hidden="false" customHeight="true" outlineLevel="0" collapsed="false">
      <c r="A352" s="91"/>
      <c r="B352" s="81"/>
      <c r="C352" s="81"/>
      <c r="D352" s="81"/>
      <c r="E352" s="81"/>
      <c r="F352" s="173"/>
      <c r="G352" s="173"/>
      <c r="H352" s="173"/>
      <c r="I352" s="173"/>
      <c r="J352" s="173"/>
      <c r="K352" s="173"/>
      <c r="L352" s="80"/>
      <c r="M352" s="81"/>
      <c r="N352" s="102"/>
      <c r="O352" s="102"/>
      <c r="P352" s="81"/>
      <c r="Q352" s="81"/>
      <c r="R352" s="81"/>
      <c r="S352" s="81"/>
      <c r="T352" s="81"/>
      <c r="U352" s="81"/>
      <c r="V352" s="81"/>
      <c r="W352" s="81"/>
      <c r="X352" s="81"/>
      <c r="Y352" s="81"/>
    </row>
    <row r="353" customFormat="false" ht="12" hidden="false" customHeight="true" outlineLevel="0" collapsed="false">
      <c r="A353" s="91"/>
      <c r="B353" s="81"/>
      <c r="C353" s="81"/>
      <c r="D353" s="81"/>
      <c r="E353" s="81"/>
      <c r="F353" s="173"/>
      <c r="G353" s="173"/>
      <c r="H353" s="173"/>
      <c r="I353" s="173"/>
      <c r="J353" s="173"/>
      <c r="K353" s="173"/>
      <c r="L353" s="80"/>
      <c r="M353" s="81"/>
      <c r="N353" s="102"/>
      <c r="O353" s="102"/>
      <c r="P353" s="81"/>
      <c r="Q353" s="81"/>
      <c r="R353" s="81"/>
      <c r="S353" s="81"/>
      <c r="T353" s="81"/>
      <c r="U353" s="81"/>
      <c r="V353" s="81"/>
      <c r="W353" s="81"/>
      <c r="X353" s="81"/>
      <c r="Y353" s="81"/>
    </row>
    <row r="354" customFormat="false" ht="12" hidden="false" customHeight="true" outlineLevel="0" collapsed="false">
      <c r="A354" s="91"/>
      <c r="B354" s="81"/>
      <c r="C354" s="81"/>
      <c r="D354" s="81"/>
      <c r="E354" s="81"/>
      <c r="F354" s="173"/>
      <c r="G354" s="173"/>
      <c r="H354" s="173"/>
      <c r="I354" s="173"/>
      <c r="J354" s="173"/>
      <c r="K354" s="173"/>
      <c r="L354" s="80"/>
      <c r="M354" s="81"/>
      <c r="N354" s="102"/>
      <c r="O354" s="102"/>
      <c r="P354" s="81"/>
      <c r="Q354" s="81"/>
      <c r="R354" s="81"/>
      <c r="S354" s="81"/>
      <c r="T354" s="81"/>
      <c r="U354" s="81"/>
      <c r="V354" s="81"/>
      <c r="W354" s="81"/>
      <c r="X354" s="81"/>
      <c r="Y354" s="81"/>
    </row>
    <row r="355" customFormat="false" ht="12" hidden="false" customHeight="true" outlineLevel="0" collapsed="false">
      <c r="A355" s="91"/>
      <c r="B355" s="81"/>
      <c r="C355" s="81"/>
      <c r="D355" s="81"/>
      <c r="E355" s="81"/>
      <c r="F355" s="173"/>
      <c r="G355" s="173"/>
      <c r="H355" s="173"/>
      <c r="I355" s="173"/>
      <c r="J355" s="173"/>
      <c r="K355" s="173"/>
      <c r="L355" s="80"/>
      <c r="M355" s="81"/>
      <c r="N355" s="102"/>
      <c r="O355" s="102"/>
      <c r="P355" s="81"/>
      <c r="Q355" s="81"/>
      <c r="R355" s="81"/>
      <c r="S355" s="81"/>
      <c r="T355" s="81"/>
      <c r="U355" s="81"/>
      <c r="V355" s="81"/>
      <c r="W355" s="81"/>
      <c r="X355" s="81"/>
      <c r="Y355" s="81"/>
    </row>
    <row r="356" customFormat="false" ht="12" hidden="false" customHeight="true" outlineLevel="0" collapsed="false">
      <c r="A356" s="91"/>
      <c r="B356" s="81"/>
      <c r="C356" s="81"/>
      <c r="D356" s="81"/>
      <c r="E356" s="81"/>
      <c r="F356" s="173"/>
      <c r="G356" s="173"/>
      <c r="H356" s="173"/>
      <c r="I356" s="173"/>
      <c r="J356" s="173"/>
      <c r="K356" s="173"/>
      <c r="L356" s="80"/>
      <c r="M356" s="81"/>
      <c r="N356" s="102"/>
      <c r="O356" s="102"/>
      <c r="P356" s="81"/>
      <c r="Q356" s="81"/>
      <c r="R356" s="81"/>
      <c r="S356" s="81"/>
      <c r="T356" s="81"/>
      <c r="U356" s="81"/>
      <c r="V356" s="81"/>
      <c r="W356" s="81"/>
      <c r="X356" s="81"/>
      <c r="Y356" s="81"/>
    </row>
    <row r="357" customFormat="false" ht="12" hidden="false" customHeight="true" outlineLevel="0" collapsed="false">
      <c r="A357" s="91"/>
      <c r="B357" s="81"/>
      <c r="C357" s="81"/>
      <c r="D357" s="81"/>
      <c r="E357" s="81"/>
      <c r="F357" s="173"/>
      <c r="G357" s="173"/>
      <c r="H357" s="173"/>
      <c r="I357" s="173"/>
      <c r="J357" s="173"/>
      <c r="K357" s="173"/>
      <c r="L357" s="80"/>
      <c r="M357" s="81"/>
      <c r="N357" s="102"/>
      <c r="O357" s="102"/>
      <c r="P357" s="81"/>
      <c r="Q357" s="81"/>
      <c r="R357" s="81"/>
      <c r="S357" s="81"/>
      <c r="T357" s="81"/>
      <c r="U357" s="81"/>
      <c r="V357" s="81"/>
      <c r="W357" s="81"/>
      <c r="X357" s="81"/>
      <c r="Y357" s="81"/>
    </row>
    <row r="358" customFormat="false" ht="12" hidden="false" customHeight="true" outlineLevel="0" collapsed="false">
      <c r="A358" s="91"/>
      <c r="B358" s="81"/>
      <c r="C358" s="81"/>
      <c r="D358" s="81"/>
      <c r="E358" s="81"/>
      <c r="F358" s="173"/>
      <c r="G358" s="173"/>
      <c r="H358" s="173"/>
      <c r="I358" s="173"/>
      <c r="J358" s="173"/>
      <c r="K358" s="173"/>
      <c r="L358" s="80"/>
      <c r="M358" s="81"/>
      <c r="N358" s="102"/>
      <c r="O358" s="102"/>
      <c r="P358" s="81"/>
      <c r="Q358" s="81"/>
      <c r="R358" s="81"/>
      <c r="S358" s="81"/>
      <c r="T358" s="81"/>
      <c r="U358" s="81"/>
      <c r="V358" s="81"/>
      <c r="W358" s="81"/>
      <c r="X358" s="81"/>
      <c r="Y358" s="81"/>
    </row>
    <row r="359" customFormat="false" ht="12" hidden="false" customHeight="true" outlineLevel="0" collapsed="false">
      <c r="A359" s="91"/>
      <c r="B359" s="81"/>
      <c r="C359" s="81"/>
      <c r="D359" s="81"/>
      <c r="E359" s="81"/>
      <c r="F359" s="173"/>
      <c r="G359" s="173"/>
      <c r="H359" s="173"/>
      <c r="I359" s="173"/>
      <c r="J359" s="173"/>
      <c r="K359" s="173"/>
      <c r="L359" s="80"/>
      <c r="M359" s="81"/>
      <c r="N359" s="102"/>
      <c r="O359" s="102"/>
      <c r="P359" s="81"/>
      <c r="Q359" s="81"/>
      <c r="R359" s="81"/>
      <c r="S359" s="81"/>
      <c r="T359" s="81"/>
      <c r="U359" s="81"/>
      <c r="V359" s="81"/>
      <c r="W359" s="81"/>
      <c r="X359" s="81"/>
      <c r="Y359" s="81"/>
    </row>
    <row r="360" customFormat="false" ht="12" hidden="false" customHeight="true" outlineLevel="0" collapsed="false">
      <c r="A360" s="91"/>
      <c r="B360" s="81"/>
      <c r="C360" s="81"/>
      <c r="D360" s="81"/>
      <c r="E360" s="81"/>
      <c r="F360" s="173"/>
      <c r="G360" s="173"/>
      <c r="H360" s="173"/>
      <c r="I360" s="173"/>
      <c r="J360" s="173"/>
      <c r="K360" s="173"/>
      <c r="L360" s="80"/>
      <c r="M360" s="81"/>
      <c r="N360" s="102"/>
      <c r="O360" s="102"/>
      <c r="P360" s="81"/>
      <c r="Q360" s="81"/>
      <c r="R360" s="81"/>
      <c r="S360" s="81"/>
      <c r="T360" s="81"/>
      <c r="U360" s="81"/>
      <c r="V360" s="81"/>
      <c r="W360" s="81"/>
      <c r="X360" s="81"/>
      <c r="Y360" s="81"/>
    </row>
    <row r="361" customFormat="false" ht="12" hidden="false" customHeight="true" outlineLevel="0" collapsed="false">
      <c r="A361" s="91"/>
      <c r="B361" s="81"/>
      <c r="C361" s="81"/>
      <c r="D361" s="81"/>
      <c r="E361" s="81"/>
      <c r="F361" s="173"/>
      <c r="G361" s="173"/>
      <c r="H361" s="173"/>
      <c r="I361" s="173"/>
      <c r="J361" s="173"/>
      <c r="K361" s="173"/>
      <c r="L361" s="80"/>
      <c r="M361" s="81"/>
      <c r="N361" s="102"/>
      <c r="O361" s="102"/>
      <c r="P361" s="81"/>
      <c r="Q361" s="81"/>
      <c r="R361" s="81"/>
      <c r="S361" s="81"/>
      <c r="T361" s="81"/>
      <c r="U361" s="81"/>
      <c r="V361" s="81"/>
      <c r="W361" s="81"/>
      <c r="X361" s="81"/>
      <c r="Y361" s="81"/>
    </row>
    <row r="362" customFormat="false" ht="12" hidden="false" customHeight="true" outlineLevel="0" collapsed="false">
      <c r="A362" s="91"/>
      <c r="B362" s="81"/>
      <c r="C362" s="81"/>
      <c r="D362" s="81"/>
      <c r="E362" s="81"/>
      <c r="F362" s="173"/>
      <c r="G362" s="173"/>
      <c r="H362" s="173"/>
      <c r="I362" s="173"/>
      <c r="J362" s="173"/>
      <c r="K362" s="173"/>
      <c r="L362" s="80"/>
      <c r="M362" s="81"/>
      <c r="N362" s="102"/>
      <c r="O362" s="102"/>
      <c r="P362" s="81"/>
      <c r="Q362" s="81"/>
      <c r="R362" s="81"/>
      <c r="S362" s="81"/>
      <c r="T362" s="81"/>
      <c r="U362" s="81"/>
      <c r="V362" s="81"/>
      <c r="W362" s="81"/>
      <c r="X362" s="81"/>
      <c r="Y362" s="81"/>
    </row>
    <row r="363" customFormat="false" ht="12" hidden="false" customHeight="true" outlineLevel="0" collapsed="false">
      <c r="A363" s="91"/>
      <c r="B363" s="81"/>
      <c r="C363" s="81"/>
      <c r="D363" s="81"/>
      <c r="E363" s="81"/>
      <c r="F363" s="173"/>
      <c r="G363" s="173"/>
      <c r="H363" s="173"/>
      <c r="I363" s="173"/>
      <c r="J363" s="173"/>
      <c r="K363" s="173"/>
      <c r="L363" s="80"/>
      <c r="M363" s="81"/>
      <c r="N363" s="102"/>
      <c r="O363" s="102"/>
      <c r="P363" s="81"/>
      <c r="Q363" s="81"/>
      <c r="R363" s="81"/>
      <c r="S363" s="81"/>
      <c r="T363" s="81"/>
      <c r="U363" s="81"/>
      <c r="V363" s="81"/>
      <c r="W363" s="81"/>
      <c r="X363" s="81"/>
      <c r="Y363" s="81"/>
    </row>
    <row r="364" customFormat="false" ht="12" hidden="false" customHeight="true" outlineLevel="0" collapsed="false">
      <c r="A364" s="91"/>
      <c r="B364" s="81"/>
      <c r="C364" s="81"/>
      <c r="D364" s="81"/>
      <c r="E364" s="81"/>
      <c r="F364" s="173"/>
      <c r="G364" s="173"/>
      <c r="H364" s="173"/>
      <c r="I364" s="173"/>
      <c r="J364" s="173"/>
      <c r="K364" s="173"/>
      <c r="L364" s="80"/>
      <c r="M364" s="81"/>
      <c r="N364" s="102"/>
      <c r="O364" s="102"/>
      <c r="P364" s="81"/>
      <c r="Q364" s="81"/>
      <c r="R364" s="81"/>
      <c r="S364" s="81"/>
      <c r="T364" s="81"/>
      <c r="U364" s="81"/>
      <c r="V364" s="81"/>
      <c r="W364" s="81"/>
      <c r="X364" s="81"/>
      <c r="Y364" s="81"/>
    </row>
    <row r="365" customFormat="false" ht="12" hidden="false" customHeight="true" outlineLevel="0" collapsed="false">
      <c r="A365" s="91"/>
      <c r="B365" s="81"/>
      <c r="C365" s="81"/>
      <c r="D365" s="81"/>
      <c r="E365" s="81"/>
      <c r="F365" s="173"/>
      <c r="G365" s="173"/>
      <c r="H365" s="173"/>
      <c r="I365" s="173"/>
      <c r="J365" s="173"/>
      <c r="K365" s="173"/>
      <c r="L365" s="80"/>
      <c r="M365" s="81"/>
      <c r="N365" s="102"/>
      <c r="O365" s="102"/>
      <c r="P365" s="81"/>
      <c r="Q365" s="81"/>
      <c r="R365" s="81"/>
      <c r="S365" s="81"/>
      <c r="T365" s="81"/>
      <c r="U365" s="81"/>
      <c r="V365" s="81"/>
      <c r="W365" s="81"/>
      <c r="X365" s="81"/>
      <c r="Y365" s="81"/>
    </row>
    <row r="366" customFormat="false" ht="12" hidden="false" customHeight="true" outlineLevel="0" collapsed="false">
      <c r="A366" s="91"/>
      <c r="B366" s="81"/>
      <c r="C366" s="81"/>
      <c r="D366" s="81"/>
      <c r="E366" s="81"/>
      <c r="F366" s="173"/>
      <c r="G366" s="173"/>
      <c r="H366" s="173"/>
      <c r="I366" s="173"/>
      <c r="J366" s="173"/>
      <c r="K366" s="173"/>
      <c r="L366" s="80"/>
      <c r="M366" s="81"/>
      <c r="N366" s="102"/>
      <c r="O366" s="102"/>
      <c r="P366" s="81"/>
      <c r="Q366" s="81"/>
      <c r="R366" s="81"/>
      <c r="S366" s="81"/>
      <c r="T366" s="81"/>
      <c r="U366" s="81"/>
      <c r="V366" s="81"/>
      <c r="W366" s="81"/>
      <c r="X366" s="81"/>
      <c r="Y366" s="81"/>
    </row>
    <row r="367" customFormat="false" ht="12" hidden="false" customHeight="true" outlineLevel="0" collapsed="false">
      <c r="A367" s="91"/>
      <c r="B367" s="81"/>
      <c r="C367" s="81"/>
      <c r="D367" s="81"/>
      <c r="E367" s="81"/>
      <c r="F367" s="173"/>
      <c r="G367" s="173"/>
      <c r="H367" s="173"/>
      <c r="I367" s="173"/>
      <c r="J367" s="173"/>
      <c r="K367" s="173"/>
      <c r="L367" s="80"/>
      <c r="M367" s="81"/>
      <c r="N367" s="102"/>
      <c r="O367" s="102"/>
      <c r="P367" s="81"/>
      <c r="Q367" s="81"/>
      <c r="R367" s="81"/>
      <c r="S367" s="81"/>
      <c r="T367" s="81"/>
      <c r="U367" s="81"/>
      <c r="V367" s="81"/>
      <c r="W367" s="81"/>
      <c r="X367" s="81"/>
      <c r="Y367" s="81"/>
    </row>
    <row r="368" customFormat="false" ht="12" hidden="false" customHeight="true" outlineLevel="0" collapsed="false">
      <c r="A368" s="91"/>
      <c r="B368" s="81"/>
      <c r="C368" s="81"/>
      <c r="D368" s="81"/>
      <c r="E368" s="81"/>
      <c r="F368" s="173"/>
      <c r="G368" s="173"/>
      <c r="H368" s="173"/>
      <c r="I368" s="173"/>
      <c r="J368" s="173"/>
      <c r="K368" s="173"/>
      <c r="L368" s="80"/>
      <c r="M368" s="81"/>
      <c r="N368" s="102"/>
      <c r="O368" s="102"/>
      <c r="P368" s="81"/>
      <c r="Q368" s="81"/>
      <c r="R368" s="81"/>
      <c r="S368" s="81"/>
      <c r="T368" s="81"/>
      <c r="U368" s="81"/>
      <c r="V368" s="81"/>
      <c r="W368" s="81"/>
      <c r="X368" s="81"/>
      <c r="Y368" s="81"/>
    </row>
    <row r="369" customFormat="false" ht="12" hidden="false" customHeight="true" outlineLevel="0" collapsed="false">
      <c r="A369" s="91"/>
      <c r="B369" s="81"/>
      <c r="C369" s="81"/>
      <c r="D369" s="81"/>
      <c r="E369" s="81"/>
      <c r="F369" s="173"/>
      <c r="G369" s="173"/>
      <c r="H369" s="173"/>
      <c r="I369" s="173"/>
      <c r="J369" s="173"/>
      <c r="K369" s="173"/>
      <c r="L369" s="80"/>
      <c r="M369" s="81"/>
      <c r="N369" s="102"/>
      <c r="O369" s="102"/>
      <c r="P369" s="81"/>
      <c r="Q369" s="81"/>
      <c r="R369" s="81"/>
      <c r="S369" s="81"/>
      <c r="T369" s="81"/>
      <c r="U369" s="81"/>
      <c r="V369" s="81"/>
      <c r="W369" s="81"/>
      <c r="X369" s="81"/>
      <c r="Y369" s="81"/>
    </row>
    <row r="370" customFormat="false" ht="12" hidden="false" customHeight="true" outlineLevel="0" collapsed="false">
      <c r="A370" s="91"/>
      <c r="B370" s="81"/>
      <c r="C370" s="81"/>
      <c r="D370" s="81"/>
      <c r="E370" s="81"/>
      <c r="F370" s="173"/>
      <c r="G370" s="173"/>
      <c r="H370" s="173"/>
      <c r="I370" s="173"/>
      <c r="J370" s="173"/>
      <c r="K370" s="173"/>
      <c r="L370" s="80"/>
      <c r="M370" s="81"/>
      <c r="N370" s="102"/>
      <c r="O370" s="102"/>
      <c r="P370" s="81"/>
      <c r="Q370" s="81"/>
      <c r="R370" s="81"/>
      <c r="S370" s="81"/>
      <c r="T370" s="81"/>
      <c r="U370" s="81"/>
      <c r="V370" s="81"/>
      <c r="W370" s="81"/>
      <c r="X370" s="81"/>
      <c r="Y370" s="81"/>
    </row>
    <row r="371" customFormat="false" ht="12" hidden="false" customHeight="true" outlineLevel="0" collapsed="false">
      <c r="A371" s="91"/>
      <c r="B371" s="81"/>
      <c r="C371" s="81"/>
      <c r="D371" s="81"/>
      <c r="E371" s="81"/>
      <c r="F371" s="173"/>
      <c r="G371" s="173"/>
      <c r="H371" s="173"/>
      <c r="I371" s="173"/>
      <c r="J371" s="173"/>
      <c r="K371" s="173"/>
      <c r="L371" s="80"/>
      <c r="M371" s="81"/>
      <c r="N371" s="102"/>
      <c r="O371" s="102"/>
      <c r="P371" s="81"/>
      <c r="Q371" s="81"/>
      <c r="R371" s="81"/>
      <c r="S371" s="81"/>
      <c r="T371" s="81"/>
      <c r="U371" s="81"/>
      <c r="V371" s="81"/>
      <c r="W371" s="81"/>
      <c r="X371" s="81"/>
      <c r="Y371" s="81"/>
    </row>
    <row r="372" customFormat="false" ht="12" hidden="false" customHeight="true" outlineLevel="0" collapsed="false">
      <c r="A372" s="91"/>
      <c r="B372" s="81"/>
      <c r="C372" s="81"/>
      <c r="D372" s="81"/>
      <c r="E372" s="81"/>
      <c r="F372" s="173"/>
      <c r="G372" s="173"/>
      <c r="H372" s="173"/>
      <c r="I372" s="173"/>
      <c r="J372" s="173"/>
      <c r="K372" s="173"/>
      <c r="L372" s="80"/>
      <c r="M372" s="81"/>
      <c r="N372" s="102"/>
      <c r="O372" s="102"/>
      <c r="P372" s="81"/>
      <c r="Q372" s="81"/>
      <c r="R372" s="81"/>
      <c r="S372" s="81"/>
      <c r="T372" s="81"/>
      <c r="U372" s="81"/>
      <c r="V372" s="81"/>
      <c r="W372" s="81"/>
      <c r="X372" s="81"/>
      <c r="Y372" s="81"/>
    </row>
    <row r="373" customFormat="false" ht="12" hidden="false" customHeight="true" outlineLevel="0" collapsed="false">
      <c r="A373" s="91"/>
      <c r="B373" s="81"/>
      <c r="C373" s="81"/>
      <c r="D373" s="81"/>
      <c r="E373" s="81"/>
      <c r="F373" s="173"/>
      <c r="G373" s="173"/>
      <c r="H373" s="173"/>
      <c r="I373" s="173"/>
      <c r="J373" s="173"/>
      <c r="K373" s="173"/>
      <c r="L373" s="80"/>
      <c r="M373" s="81"/>
      <c r="N373" s="102"/>
      <c r="O373" s="102"/>
      <c r="P373" s="81"/>
      <c r="Q373" s="81"/>
      <c r="R373" s="81"/>
      <c r="S373" s="81"/>
      <c r="T373" s="81"/>
      <c r="U373" s="81"/>
      <c r="V373" s="81"/>
      <c r="W373" s="81"/>
      <c r="X373" s="81"/>
      <c r="Y373" s="81"/>
    </row>
    <row r="374" customFormat="false" ht="12" hidden="false" customHeight="true" outlineLevel="0" collapsed="false">
      <c r="A374" s="91"/>
      <c r="B374" s="81"/>
      <c r="C374" s="81"/>
      <c r="D374" s="81"/>
      <c r="E374" s="81"/>
      <c r="F374" s="173"/>
      <c r="G374" s="173"/>
      <c r="H374" s="173"/>
      <c r="I374" s="173"/>
      <c r="J374" s="173"/>
      <c r="K374" s="173"/>
      <c r="L374" s="80"/>
      <c r="M374" s="81"/>
      <c r="N374" s="102"/>
      <c r="O374" s="102"/>
      <c r="P374" s="81"/>
      <c r="Q374" s="81"/>
      <c r="R374" s="81"/>
      <c r="S374" s="81"/>
      <c r="T374" s="81"/>
      <c r="U374" s="81"/>
      <c r="V374" s="81"/>
      <c r="W374" s="81"/>
      <c r="X374" s="81"/>
      <c r="Y374" s="81"/>
    </row>
    <row r="375" customFormat="false" ht="12" hidden="false" customHeight="true" outlineLevel="0" collapsed="false">
      <c r="A375" s="91"/>
      <c r="B375" s="81"/>
      <c r="C375" s="81"/>
      <c r="D375" s="81"/>
      <c r="E375" s="81"/>
      <c r="F375" s="173"/>
      <c r="G375" s="173"/>
      <c r="H375" s="173"/>
      <c r="I375" s="173"/>
      <c r="J375" s="173"/>
      <c r="K375" s="173"/>
      <c r="L375" s="80"/>
      <c r="M375" s="81"/>
      <c r="N375" s="102"/>
      <c r="O375" s="102"/>
      <c r="P375" s="81"/>
      <c r="Q375" s="81"/>
      <c r="R375" s="81"/>
      <c r="S375" s="81"/>
      <c r="T375" s="81"/>
      <c r="U375" s="81"/>
      <c r="V375" s="81"/>
      <c r="W375" s="81"/>
      <c r="X375" s="81"/>
      <c r="Y375" s="81"/>
    </row>
    <row r="376" customFormat="false" ht="12" hidden="false" customHeight="true" outlineLevel="0" collapsed="false">
      <c r="A376" s="91"/>
      <c r="B376" s="81"/>
      <c r="C376" s="81"/>
      <c r="D376" s="81"/>
      <c r="E376" s="81"/>
      <c r="F376" s="173"/>
      <c r="G376" s="173"/>
      <c r="H376" s="173"/>
      <c r="I376" s="173"/>
      <c r="J376" s="173"/>
      <c r="K376" s="173"/>
      <c r="L376" s="80"/>
      <c r="M376" s="81"/>
      <c r="N376" s="102"/>
      <c r="O376" s="102"/>
      <c r="P376" s="81"/>
      <c r="Q376" s="81"/>
      <c r="R376" s="81"/>
      <c r="S376" s="81"/>
      <c r="T376" s="81"/>
      <c r="U376" s="81"/>
      <c r="V376" s="81"/>
      <c r="W376" s="81"/>
      <c r="X376" s="81"/>
      <c r="Y376" s="81"/>
    </row>
    <row r="377" customFormat="false" ht="12" hidden="false" customHeight="true" outlineLevel="0" collapsed="false">
      <c r="A377" s="91"/>
      <c r="B377" s="81"/>
      <c r="C377" s="81"/>
      <c r="D377" s="81"/>
      <c r="E377" s="81"/>
      <c r="F377" s="173"/>
      <c r="G377" s="173"/>
      <c r="H377" s="173"/>
      <c r="I377" s="173"/>
      <c r="J377" s="173"/>
      <c r="K377" s="173"/>
      <c r="L377" s="80"/>
      <c r="M377" s="81"/>
      <c r="N377" s="102"/>
      <c r="O377" s="102"/>
      <c r="P377" s="81"/>
      <c r="Q377" s="81"/>
      <c r="R377" s="81"/>
      <c r="S377" s="81"/>
      <c r="T377" s="81"/>
      <c r="U377" s="81"/>
      <c r="V377" s="81"/>
      <c r="W377" s="81"/>
      <c r="X377" s="81"/>
      <c r="Y377" s="81"/>
    </row>
    <row r="378" customFormat="false" ht="12" hidden="false" customHeight="true" outlineLevel="0" collapsed="false">
      <c r="A378" s="91"/>
      <c r="B378" s="81"/>
      <c r="C378" s="81"/>
      <c r="D378" s="81"/>
      <c r="E378" s="81"/>
      <c r="F378" s="173"/>
      <c r="G378" s="173"/>
      <c r="H378" s="173"/>
      <c r="I378" s="173"/>
      <c r="J378" s="173"/>
      <c r="K378" s="173"/>
      <c r="L378" s="80"/>
      <c r="M378" s="81"/>
      <c r="N378" s="102"/>
      <c r="O378" s="102"/>
      <c r="P378" s="81"/>
      <c r="Q378" s="81"/>
      <c r="R378" s="81"/>
      <c r="S378" s="81"/>
      <c r="T378" s="81"/>
      <c r="U378" s="81"/>
      <c r="V378" s="81"/>
      <c r="W378" s="81"/>
      <c r="X378" s="81"/>
      <c r="Y378" s="81"/>
    </row>
    <row r="379" customFormat="false" ht="12" hidden="false" customHeight="true" outlineLevel="0" collapsed="false">
      <c r="A379" s="91"/>
      <c r="B379" s="81"/>
      <c r="C379" s="81"/>
      <c r="D379" s="81"/>
      <c r="E379" s="81"/>
      <c r="F379" s="173"/>
      <c r="G379" s="173"/>
      <c r="H379" s="173"/>
      <c r="I379" s="173"/>
      <c r="J379" s="173"/>
      <c r="K379" s="173"/>
      <c r="L379" s="80"/>
      <c r="M379" s="81"/>
      <c r="N379" s="102"/>
      <c r="O379" s="102"/>
      <c r="P379" s="81"/>
      <c r="Q379" s="81"/>
      <c r="R379" s="81"/>
      <c r="S379" s="81"/>
      <c r="T379" s="81"/>
      <c r="U379" s="81"/>
      <c r="V379" s="81"/>
      <c r="W379" s="81"/>
      <c r="X379" s="81"/>
      <c r="Y379" s="81"/>
    </row>
    <row r="380" customFormat="false" ht="12" hidden="false" customHeight="true" outlineLevel="0" collapsed="false">
      <c r="A380" s="91"/>
      <c r="B380" s="81"/>
      <c r="C380" s="81"/>
      <c r="D380" s="81"/>
      <c r="E380" s="81"/>
      <c r="F380" s="173"/>
      <c r="G380" s="173"/>
      <c r="H380" s="173"/>
      <c r="I380" s="173"/>
      <c r="J380" s="173"/>
      <c r="K380" s="173"/>
      <c r="L380" s="80"/>
      <c r="M380" s="81"/>
      <c r="N380" s="102"/>
      <c r="O380" s="102"/>
      <c r="P380" s="81"/>
      <c r="Q380" s="81"/>
      <c r="R380" s="81"/>
      <c r="S380" s="81"/>
      <c r="T380" s="81"/>
      <c r="U380" s="81"/>
      <c r="V380" s="81"/>
      <c r="W380" s="81"/>
      <c r="X380" s="81"/>
      <c r="Y380" s="81"/>
    </row>
    <row r="381" customFormat="false" ht="12" hidden="false" customHeight="true" outlineLevel="0" collapsed="false">
      <c r="A381" s="91"/>
      <c r="B381" s="81"/>
      <c r="C381" s="81"/>
      <c r="D381" s="81"/>
      <c r="E381" s="81"/>
      <c r="F381" s="173"/>
      <c r="G381" s="173"/>
      <c r="H381" s="173"/>
      <c r="I381" s="173"/>
      <c r="J381" s="173"/>
      <c r="K381" s="173"/>
      <c r="L381" s="80"/>
      <c r="M381" s="81"/>
      <c r="N381" s="102"/>
      <c r="O381" s="102"/>
      <c r="P381" s="81"/>
      <c r="Q381" s="81"/>
      <c r="R381" s="81"/>
      <c r="S381" s="81"/>
      <c r="T381" s="81"/>
      <c r="U381" s="81"/>
      <c r="V381" s="81"/>
      <c r="W381" s="81"/>
      <c r="X381" s="81"/>
      <c r="Y381" s="81"/>
    </row>
    <row r="382" customFormat="false" ht="12" hidden="false" customHeight="true" outlineLevel="0" collapsed="false">
      <c r="A382" s="91"/>
      <c r="B382" s="81"/>
      <c r="C382" s="81"/>
      <c r="D382" s="81"/>
      <c r="E382" s="81"/>
      <c r="F382" s="173"/>
      <c r="G382" s="173"/>
      <c r="H382" s="173"/>
      <c r="I382" s="173"/>
      <c r="J382" s="173"/>
      <c r="K382" s="173"/>
      <c r="L382" s="80"/>
      <c r="M382" s="81"/>
      <c r="N382" s="102"/>
      <c r="O382" s="102"/>
      <c r="P382" s="81"/>
      <c r="Q382" s="81"/>
      <c r="R382" s="81"/>
      <c r="S382" s="81"/>
      <c r="T382" s="81"/>
      <c r="U382" s="81"/>
      <c r="V382" s="81"/>
      <c r="W382" s="81"/>
      <c r="X382" s="81"/>
      <c r="Y382" s="81"/>
    </row>
    <row r="383" customFormat="false" ht="12" hidden="false" customHeight="true" outlineLevel="0" collapsed="false">
      <c r="A383" s="91"/>
      <c r="B383" s="81"/>
      <c r="C383" s="81"/>
      <c r="D383" s="81"/>
      <c r="E383" s="81"/>
      <c r="F383" s="173"/>
      <c r="G383" s="173"/>
      <c r="H383" s="173"/>
      <c r="I383" s="173"/>
      <c r="J383" s="173"/>
      <c r="K383" s="173"/>
      <c r="L383" s="80"/>
      <c r="M383" s="81"/>
      <c r="N383" s="102"/>
      <c r="O383" s="102"/>
      <c r="P383" s="81"/>
      <c r="Q383" s="81"/>
      <c r="R383" s="81"/>
      <c r="S383" s="81"/>
      <c r="T383" s="81"/>
      <c r="U383" s="81"/>
      <c r="V383" s="81"/>
      <c r="W383" s="81"/>
      <c r="X383" s="81"/>
      <c r="Y383" s="81"/>
    </row>
    <row r="384" customFormat="false" ht="12" hidden="false" customHeight="true" outlineLevel="0" collapsed="false">
      <c r="A384" s="91"/>
      <c r="B384" s="81"/>
      <c r="C384" s="81"/>
      <c r="D384" s="81"/>
      <c r="E384" s="81"/>
      <c r="F384" s="173"/>
      <c r="G384" s="173"/>
      <c r="H384" s="173"/>
      <c r="I384" s="173"/>
      <c r="J384" s="173"/>
      <c r="K384" s="173"/>
      <c r="L384" s="80"/>
      <c r="M384" s="81"/>
      <c r="N384" s="102"/>
      <c r="O384" s="102"/>
      <c r="P384" s="81"/>
      <c r="Q384" s="81"/>
      <c r="R384" s="81"/>
      <c r="S384" s="81"/>
      <c r="T384" s="81"/>
      <c r="U384" s="81"/>
      <c r="V384" s="81"/>
      <c r="W384" s="81"/>
      <c r="X384" s="81"/>
      <c r="Y384" s="81"/>
    </row>
    <row r="385" customFormat="false" ht="12" hidden="false" customHeight="true" outlineLevel="0" collapsed="false">
      <c r="A385" s="91"/>
      <c r="B385" s="81"/>
      <c r="C385" s="81"/>
      <c r="D385" s="81"/>
      <c r="E385" s="81"/>
      <c r="F385" s="173"/>
      <c r="G385" s="173"/>
      <c r="H385" s="173"/>
      <c r="I385" s="173"/>
      <c r="J385" s="173"/>
      <c r="K385" s="173"/>
      <c r="L385" s="80"/>
      <c r="M385" s="81"/>
      <c r="N385" s="102"/>
      <c r="O385" s="102"/>
      <c r="P385" s="81"/>
      <c r="Q385" s="81"/>
      <c r="R385" s="81"/>
      <c r="S385" s="81"/>
      <c r="T385" s="81"/>
      <c r="U385" s="81"/>
      <c r="V385" s="81"/>
      <c r="W385" s="81"/>
      <c r="X385" s="81"/>
      <c r="Y385" s="81"/>
    </row>
    <row r="386" customFormat="false" ht="12" hidden="false" customHeight="true" outlineLevel="0" collapsed="false">
      <c r="A386" s="91"/>
      <c r="B386" s="81"/>
      <c r="C386" s="81"/>
      <c r="D386" s="81"/>
      <c r="E386" s="81"/>
      <c r="F386" s="173"/>
      <c r="G386" s="173"/>
      <c r="H386" s="173"/>
      <c r="I386" s="173"/>
      <c r="J386" s="173"/>
      <c r="K386" s="173"/>
      <c r="L386" s="80"/>
      <c r="M386" s="81"/>
      <c r="N386" s="102"/>
      <c r="O386" s="102"/>
      <c r="P386" s="81"/>
      <c r="Q386" s="81"/>
      <c r="R386" s="81"/>
      <c r="S386" s="81"/>
      <c r="T386" s="81"/>
      <c r="U386" s="81"/>
      <c r="V386" s="81"/>
      <c r="W386" s="81"/>
      <c r="X386" s="81"/>
      <c r="Y386" s="81"/>
    </row>
    <row r="387" customFormat="false" ht="12" hidden="false" customHeight="true" outlineLevel="0" collapsed="false">
      <c r="A387" s="91"/>
      <c r="B387" s="81"/>
      <c r="C387" s="81"/>
      <c r="D387" s="81"/>
      <c r="E387" s="81"/>
      <c r="F387" s="173"/>
      <c r="G387" s="173"/>
      <c r="H387" s="173"/>
      <c r="I387" s="173"/>
      <c r="J387" s="173"/>
      <c r="K387" s="173"/>
      <c r="L387" s="80"/>
      <c r="M387" s="81"/>
      <c r="N387" s="102"/>
      <c r="O387" s="102"/>
      <c r="P387" s="81"/>
      <c r="Q387" s="81"/>
      <c r="R387" s="81"/>
      <c r="S387" s="81"/>
      <c r="T387" s="81"/>
      <c r="U387" s="81"/>
      <c r="V387" s="81"/>
      <c r="W387" s="81"/>
      <c r="X387" s="81"/>
      <c r="Y387" s="81"/>
    </row>
    <row r="388" customFormat="false" ht="12" hidden="false" customHeight="true" outlineLevel="0" collapsed="false">
      <c r="A388" s="91"/>
      <c r="B388" s="81"/>
      <c r="C388" s="81"/>
      <c r="D388" s="81"/>
      <c r="E388" s="81"/>
      <c r="F388" s="173"/>
      <c r="G388" s="173"/>
      <c r="H388" s="173"/>
      <c r="I388" s="173"/>
      <c r="J388" s="173"/>
      <c r="K388" s="173"/>
      <c r="L388" s="80"/>
      <c r="M388" s="81"/>
      <c r="N388" s="102"/>
      <c r="O388" s="102"/>
      <c r="P388" s="81"/>
      <c r="Q388" s="81"/>
      <c r="R388" s="81"/>
      <c r="S388" s="81"/>
      <c r="T388" s="81"/>
      <c r="U388" s="81"/>
      <c r="V388" s="81"/>
      <c r="W388" s="81"/>
      <c r="X388" s="81"/>
      <c r="Y388" s="81"/>
    </row>
    <row r="389" customFormat="false" ht="12" hidden="false" customHeight="true" outlineLevel="0" collapsed="false">
      <c r="A389" s="91"/>
      <c r="B389" s="81"/>
      <c r="C389" s="81"/>
      <c r="D389" s="81"/>
      <c r="E389" s="81"/>
      <c r="F389" s="173"/>
      <c r="G389" s="173"/>
      <c r="H389" s="173"/>
      <c r="I389" s="173"/>
      <c r="J389" s="173"/>
      <c r="K389" s="173"/>
      <c r="L389" s="80"/>
      <c r="M389" s="81"/>
      <c r="N389" s="102"/>
      <c r="O389" s="102"/>
      <c r="P389" s="81"/>
      <c r="Q389" s="81"/>
      <c r="R389" s="81"/>
      <c r="S389" s="81"/>
      <c r="T389" s="81"/>
      <c r="U389" s="81"/>
      <c r="V389" s="81"/>
      <c r="W389" s="81"/>
      <c r="X389" s="81"/>
      <c r="Y389" s="81"/>
    </row>
    <row r="390" customFormat="false" ht="12" hidden="false" customHeight="true" outlineLevel="0" collapsed="false">
      <c r="A390" s="91"/>
      <c r="B390" s="81"/>
      <c r="C390" s="81"/>
      <c r="D390" s="81"/>
      <c r="E390" s="81"/>
      <c r="F390" s="173"/>
      <c r="G390" s="173"/>
      <c r="H390" s="173"/>
      <c r="I390" s="173"/>
      <c r="J390" s="173"/>
      <c r="K390" s="173"/>
      <c r="L390" s="80"/>
      <c r="M390" s="81"/>
      <c r="N390" s="102"/>
      <c r="O390" s="102"/>
      <c r="P390" s="81"/>
      <c r="Q390" s="81"/>
      <c r="R390" s="81"/>
      <c r="S390" s="81"/>
      <c r="T390" s="81"/>
      <c r="U390" s="81"/>
      <c r="V390" s="81"/>
      <c r="W390" s="81"/>
      <c r="X390" s="81"/>
      <c r="Y390" s="81"/>
    </row>
    <row r="391" customFormat="false" ht="12" hidden="false" customHeight="true" outlineLevel="0" collapsed="false">
      <c r="A391" s="91"/>
      <c r="B391" s="81"/>
      <c r="C391" s="81"/>
      <c r="D391" s="81"/>
      <c r="E391" s="81"/>
      <c r="F391" s="173"/>
      <c r="G391" s="173"/>
      <c r="H391" s="173"/>
      <c r="I391" s="173"/>
      <c r="J391" s="173"/>
      <c r="K391" s="173"/>
      <c r="L391" s="80"/>
      <c r="M391" s="81"/>
      <c r="N391" s="102"/>
      <c r="O391" s="102"/>
      <c r="P391" s="81"/>
      <c r="Q391" s="81"/>
      <c r="R391" s="81"/>
      <c r="S391" s="81"/>
      <c r="T391" s="81"/>
      <c r="U391" s="81"/>
      <c r="V391" s="81"/>
      <c r="W391" s="81"/>
      <c r="X391" s="81"/>
      <c r="Y391" s="81"/>
    </row>
    <row r="392" customFormat="false" ht="12" hidden="false" customHeight="true" outlineLevel="0" collapsed="false">
      <c r="A392" s="91"/>
      <c r="B392" s="81"/>
      <c r="C392" s="81"/>
      <c r="D392" s="81"/>
      <c r="E392" s="81"/>
      <c r="F392" s="173"/>
      <c r="G392" s="173"/>
      <c r="H392" s="173"/>
      <c r="I392" s="173"/>
      <c r="J392" s="173"/>
      <c r="K392" s="173"/>
      <c r="L392" s="80"/>
      <c r="M392" s="81"/>
      <c r="N392" s="102"/>
      <c r="O392" s="102"/>
      <c r="P392" s="81"/>
      <c r="Q392" s="81"/>
      <c r="R392" s="81"/>
      <c r="S392" s="81"/>
      <c r="T392" s="81"/>
      <c r="U392" s="81"/>
      <c r="V392" s="81"/>
      <c r="W392" s="81"/>
      <c r="X392" s="81"/>
      <c r="Y392" s="81"/>
    </row>
    <row r="393" customFormat="false" ht="12" hidden="false" customHeight="true" outlineLevel="0" collapsed="false">
      <c r="A393" s="91"/>
      <c r="B393" s="81"/>
      <c r="C393" s="81"/>
      <c r="D393" s="81"/>
      <c r="E393" s="81"/>
      <c r="F393" s="173"/>
      <c r="G393" s="173"/>
      <c r="H393" s="173"/>
      <c r="I393" s="173"/>
      <c r="J393" s="173"/>
      <c r="K393" s="173"/>
      <c r="L393" s="80"/>
      <c r="M393" s="81"/>
      <c r="N393" s="102"/>
      <c r="O393" s="102"/>
      <c r="P393" s="81"/>
      <c r="Q393" s="81"/>
      <c r="R393" s="81"/>
      <c r="S393" s="81"/>
      <c r="T393" s="81"/>
      <c r="U393" s="81"/>
      <c r="V393" s="81"/>
      <c r="W393" s="81"/>
      <c r="X393" s="81"/>
      <c r="Y393" s="81"/>
    </row>
    <row r="394" customFormat="false" ht="12" hidden="false" customHeight="true" outlineLevel="0" collapsed="false">
      <c r="A394" s="91"/>
      <c r="B394" s="81"/>
      <c r="C394" s="81"/>
      <c r="D394" s="81"/>
      <c r="E394" s="81"/>
      <c r="F394" s="173"/>
      <c r="G394" s="173"/>
      <c r="H394" s="173"/>
      <c r="I394" s="173"/>
      <c r="J394" s="173"/>
      <c r="K394" s="173"/>
      <c r="L394" s="80"/>
      <c r="M394" s="81"/>
      <c r="N394" s="102"/>
      <c r="O394" s="102"/>
      <c r="P394" s="81"/>
      <c r="Q394" s="81"/>
      <c r="R394" s="81"/>
      <c r="S394" s="81"/>
      <c r="T394" s="81"/>
      <c r="U394" s="81"/>
      <c r="V394" s="81"/>
      <c r="W394" s="81"/>
      <c r="X394" s="81"/>
      <c r="Y394" s="81"/>
    </row>
    <row r="395" customFormat="false" ht="12" hidden="false" customHeight="true" outlineLevel="0" collapsed="false">
      <c r="A395" s="91"/>
      <c r="B395" s="81"/>
      <c r="C395" s="81"/>
      <c r="D395" s="81"/>
      <c r="E395" s="81"/>
      <c r="F395" s="173"/>
      <c r="G395" s="173"/>
      <c r="H395" s="173"/>
      <c r="I395" s="173"/>
      <c r="J395" s="173"/>
      <c r="K395" s="173"/>
      <c r="L395" s="80"/>
      <c r="M395" s="81"/>
      <c r="N395" s="102"/>
      <c r="O395" s="102"/>
      <c r="P395" s="81"/>
      <c r="Q395" s="81"/>
      <c r="R395" s="81"/>
      <c r="S395" s="81"/>
      <c r="T395" s="81"/>
      <c r="U395" s="81"/>
      <c r="V395" s="81"/>
      <c r="W395" s="81"/>
      <c r="X395" s="81"/>
      <c r="Y395" s="81"/>
    </row>
    <row r="396" customFormat="false" ht="12" hidden="false" customHeight="true" outlineLevel="0" collapsed="false">
      <c r="A396" s="91"/>
      <c r="B396" s="81"/>
      <c r="C396" s="81"/>
      <c r="D396" s="81"/>
      <c r="E396" s="81"/>
      <c r="F396" s="173"/>
      <c r="G396" s="173"/>
      <c r="H396" s="173"/>
      <c r="I396" s="173"/>
      <c r="J396" s="173"/>
      <c r="K396" s="173"/>
      <c r="L396" s="80"/>
      <c r="M396" s="81"/>
      <c r="N396" s="102"/>
      <c r="O396" s="102"/>
      <c r="P396" s="81"/>
      <c r="Q396" s="81"/>
      <c r="R396" s="81"/>
      <c r="S396" s="81"/>
      <c r="T396" s="81"/>
      <c r="U396" s="81"/>
      <c r="V396" s="81"/>
      <c r="W396" s="81"/>
      <c r="X396" s="81"/>
      <c r="Y396" s="81"/>
    </row>
    <row r="397" customFormat="false" ht="12" hidden="false" customHeight="true" outlineLevel="0" collapsed="false">
      <c r="A397" s="91"/>
      <c r="B397" s="81"/>
      <c r="C397" s="81"/>
      <c r="D397" s="81"/>
      <c r="E397" s="81"/>
      <c r="F397" s="173"/>
      <c r="G397" s="173"/>
      <c r="H397" s="173"/>
      <c r="I397" s="173"/>
      <c r="J397" s="173"/>
      <c r="K397" s="173"/>
      <c r="L397" s="80"/>
      <c r="M397" s="81"/>
      <c r="N397" s="102"/>
      <c r="O397" s="102"/>
      <c r="P397" s="81"/>
      <c r="Q397" s="81"/>
      <c r="R397" s="81"/>
      <c r="S397" s="81"/>
      <c r="T397" s="81"/>
      <c r="U397" s="81"/>
      <c r="V397" s="81"/>
      <c r="W397" s="81"/>
      <c r="X397" s="81"/>
      <c r="Y397" s="81"/>
    </row>
    <row r="398" customFormat="false" ht="12" hidden="false" customHeight="true" outlineLevel="0" collapsed="false">
      <c r="A398" s="91"/>
      <c r="B398" s="81"/>
      <c r="C398" s="81"/>
      <c r="D398" s="81"/>
      <c r="E398" s="81"/>
      <c r="F398" s="173"/>
      <c r="G398" s="173"/>
      <c r="H398" s="173"/>
      <c r="I398" s="173"/>
      <c r="J398" s="173"/>
      <c r="K398" s="173"/>
      <c r="L398" s="80"/>
      <c r="M398" s="81"/>
      <c r="N398" s="102"/>
      <c r="O398" s="102"/>
      <c r="P398" s="81"/>
      <c r="Q398" s="81"/>
      <c r="R398" s="81"/>
      <c r="S398" s="81"/>
      <c r="T398" s="81"/>
      <c r="U398" s="81"/>
      <c r="V398" s="81"/>
      <c r="W398" s="81"/>
      <c r="X398" s="81"/>
      <c r="Y398" s="81"/>
    </row>
    <row r="399" customFormat="false" ht="12" hidden="false" customHeight="true" outlineLevel="0" collapsed="false">
      <c r="A399" s="91"/>
      <c r="B399" s="81"/>
      <c r="C399" s="81"/>
      <c r="D399" s="81"/>
      <c r="E399" s="81"/>
      <c r="F399" s="173"/>
      <c r="G399" s="173"/>
      <c r="H399" s="173"/>
      <c r="I399" s="173"/>
      <c r="J399" s="173"/>
      <c r="K399" s="173"/>
      <c r="L399" s="80"/>
      <c r="M399" s="81"/>
      <c r="N399" s="102"/>
      <c r="O399" s="102"/>
      <c r="P399" s="81"/>
      <c r="Q399" s="81"/>
      <c r="R399" s="81"/>
      <c r="S399" s="81"/>
      <c r="T399" s="81"/>
      <c r="U399" s="81"/>
      <c r="V399" s="81"/>
      <c r="W399" s="81"/>
      <c r="X399" s="81"/>
      <c r="Y399" s="81"/>
    </row>
    <row r="400" customFormat="false" ht="12" hidden="false" customHeight="true" outlineLevel="0" collapsed="false">
      <c r="A400" s="91"/>
      <c r="B400" s="81"/>
      <c r="C400" s="81"/>
      <c r="D400" s="81"/>
      <c r="E400" s="81"/>
      <c r="F400" s="173"/>
      <c r="G400" s="173"/>
      <c r="H400" s="173"/>
      <c r="I400" s="173"/>
      <c r="J400" s="173"/>
      <c r="K400" s="173"/>
      <c r="L400" s="80"/>
      <c r="M400" s="81"/>
      <c r="N400" s="102"/>
      <c r="O400" s="102"/>
      <c r="P400" s="81"/>
      <c r="Q400" s="81"/>
      <c r="R400" s="81"/>
      <c r="S400" s="81"/>
      <c r="T400" s="81"/>
      <c r="U400" s="81"/>
      <c r="V400" s="81"/>
      <c r="W400" s="81"/>
      <c r="X400" s="81"/>
      <c r="Y400" s="81"/>
    </row>
    <row r="401" customFormat="false" ht="12" hidden="false" customHeight="true" outlineLevel="0" collapsed="false">
      <c r="A401" s="91"/>
      <c r="B401" s="81"/>
      <c r="C401" s="81"/>
      <c r="D401" s="81"/>
      <c r="E401" s="81"/>
      <c r="F401" s="173"/>
      <c r="G401" s="173"/>
      <c r="H401" s="173"/>
      <c r="I401" s="173"/>
      <c r="J401" s="173"/>
      <c r="K401" s="173"/>
      <c r="L401" s="80"/>
      <c r="M401" s="81"/>
      <c r="N401" s="102"/>
      <c r="O401" s="102"/>
      <c r="P401" s="81"/>
      <c r="Q401" s="81"/>
      <c r="R401" s="81"/>
      <c r="S401" s="81"/>
      <c r="T401" s="81"/>
      <c r="U401" s="81"/>
      <c r="V401" s="81"/>
      <c r="W401" s="81"/>
      <c r="X401" s="81"/>
      <c r="Y401" s="81"/>
    </row>
    <row r="402" customFormat="false" ht="12" hidden="false" customHeight="true" outlineLevel="0" collapsed="false">
      <c r="A402" s="91"/>
      <c r="B402" s="81"/>
      <c r="C402" s="81"/>
      <c r="D402" s="81"/>
      <c r="E402" s="81"/>
      <c r="F402" s="173"/>
      <c r="G402" s="173"/>
      <c r="H402" s="173"/>
      <c r="I402" s="173"/>
      <c r="J402" s="173"/>
      <c r="K402" s="173"/>
      <c r="L402" s="80"/>
      <c r="M402" s="81"/>
      <c r="N402" s="102"/>
      <c r="O402" s="102"/>
      <c r="P402" s="81"/>
      <c r="Q402" s="81"/>
      <c r="R402" s="81"/>
      <c r="S402" s="81"/>
      <c r="T402" s="81"/>
      <c r="U402" s="81"/>
      <c r="V402" s="81"/>
      <c r="W402" s="81"/>
      <c r="X402" s="81"/>
      <c r="Y402" s="81"/>
    </row>
    <row r="403" customFormat="false" ht="12" hidden="false" customHeight="true" outlineLevel="0" collapsed="false">
      <c r="A403" s="91"/>
      <c r="B403" s="81"/>
      <c r="C403" s="81"/>
      <c r="D403" s="81"/>
      <c r="E403" s="81"/>
      <c r="F403" s="173"/>
      <c r="G403" s="173"/>
      <c r="H403" s="173"/>
      <c r="I403" s="173"/>
      <c r="J403" s="173"/>
      <c r="K403" s="173"/>
      <c r="L403" s="80"/>
      <c r="M403" s="81"/>
      <c r="N403" s="102"/>
      <c r="O403" s="102"/>
      <c r="P403" s="81"/>
      <c r="Q403" s="81"/>
      <c r="R403" s="81"/>
      <c r="S403" s="81"/>
      <c r="T403" s="81"/>
      <c r="U403" s="81"/>
      <c r="V403" s="81"/>
      <c r="W403" s="81"/>
      <c r="X403" s="81"/>
      <c r="Y403" s="81"/>
    </row>
    <row r="404" customFormat="false" ht="12" hidden="false" customHeight="true" outlineLevel="0" collapsed="false">
      <c r="A404" s="91"/>
      <c r="B404" s="81"/>
      <c r="C404" s="81"/>
      <c r="D404" s="81"/>
      <c r="E404" s="81"/>
      <c r="F404" s="173"/>
      <c r="G404" s="173"/>
      <c r="H404" s="173"/>
      <c r="I404" s="173"/>
      <c r="J404" s="173"/>
      <c r="K404" s="173"/>
      <c r="L404" s="80"/>
      <c r="M404" s="81"/>
      <c r="N404" s="102"/>
      <c r="O404" s="102"/>
      <c r="P404" s="81"/>
      <c r="Q404" s="81"/>
      <c r="R404" s="81"/>
      <c r="S404" s="81"/>
      <c r="T404" s="81"/>
      <c r="U404" s="81"/>
      <c r="V404" s="81"/>
      <c r="W404" s="81"/>
      <c r="X404" s="81"/>
      <c r="Y404" s="81"/>
    </row>
    <row r="405" customFormat="false" ht="12" hidden="false" customHeight="true" outlineLevel="0" collapsed="false">
      <c r="A405" s="91"/>
      <c r="B405" s="81"/>
      <c r="C405" s="81"/>
      <c r="D405" s="81"/>
      <c r="E405" s="81"/>
      <c r="F405" s="173"/>
      <c r="G405" s="173"/>
      <c r="H405" s="173"/>
      <c r="I405" s="173"/>
      <c r="J405" s="173"/>
      <c r="K405" s="173"/>
      <c r="L405" s="80"/>
      <c r="M405" s="81"/>
      <c r="N405" s="102"/>
      <c r="O405" s="102"/>
      <c r="P405" s="81"/>
      <c r="Q405" s="81"/>
      <c r="R405" s="81"/>
      <c r="S405" s="81"/>
      <c r="T405" s="81"/>
      <c r="U405" s="81"/>
      <c r="V405" s="81"/>
      <c r="W405" s="81"/>
      <c r="X405" s="81"/>
      <c r="Y405" s="81"/>
    </row>
    <row r="406" customFormat="false" ht="12" hidden="false" customHeight="true" outlineLevel="0" collapsed="false">
      <c r="A406" s="91"/>
      <c r="B406" s="81"/>
      <c r="C406" s="81"/>
      <c r="D406" s="81"/>
      <c r="E406" s="81"/>
      <c r="F406" s="173"/>
      <c r="G406" s="173"/>
      <c r="H406" s="173"/>
      <c r="I406" s="173"/>
      <c r="J406" s="173"/>
      <c r="K406" s="173"/>
      <c r="L406" s="80"/>
      <c r="M406" s="81"/>
      <c r="N406" s="102"/>
      <c r="O406" s="102"/>
      <c r="P406" s="81"/>
      <c r="Q406" s="81"/>
      <c r="R406" s="81"/>
      <c r="S406" s="81"/>
      <c r="T406" s="81"/>
      <c r="U406" s="81"/>
      <c r="V406" s="81"/>
      <c r="W406" s="81"/>
      <c r="X406" s="81"/>
      <c r="Y406" s="81"/>
    </row>
    <row r="407" customFormat="false" ht="12" hidden="false" customHeight="true" outlineLevel="0" collapsed="false">
      <c r="A407" s="91"/>
      <c r="B407" s="81"/>
      <c r="C407" s="81"/>
      <c r="D407" s="81"/>
      <c r="E407" s="81"/>
      <c r="F407" s="173"/>
      <c r="G407" s="173"/>
      <c r="H407" s="173"/>
      <c r="I407" s="173"/>
      <c r="J407" s="173"/>
      <c r="K407" s="173"/>
      <c r="L407" s="80"/>
      <c r="M407" s="81"/>
      <c r="N407" s="102"/>
      <c r="O407" s="102"/>
      <c r="P407" s="81"/>
      <c r="Q407" s="81"/>
      <c r="R407" s="81"/>
      <c r="S407" s="81"/>
      <c r="T407" s="81"/>
      <c r="U407" s="81"/>
      <c r="V407" s="81"/>
      <c r="W407" s="81"/>
      <c r="X407" s="81"/>
      <c r="Y407" s="81"/>
    </row>
    <row r="408" customFormat="false" ht="12" hidden="false" customHeight="true" outlineLevel="0" collapsed="false">
      <c r="A408" s="91"/>
      <c r="B408" s="81"/>
      <c r="C408" s="81"/>
      <c r="D408" s="81"/>
      <c r="E408" s="81"/>
      <c r="F408" s="173"/>
      <c r="G408" s="173"/>
      <c r="H408" s="173"/>
      <c r="I408" s="173"/>
      <c r="J408" s="173"/>
      <c r="K408" s="173"/>
      <c r="L408" s="80"/>
      <c r="M408" s="81"/>
      <c r="N408" s="102"/>
      <c r="O408" s="102"/>
      <c r="P408" s="81"/>
      <c r="Q408" s="81"/>
      <c r="R408" s="81"/>
      <c r="S408" s="81"/>
      <c r="T408" s="81"/>
      <c r="U408" s="81"/>
      <c r="V408" s="81"/>
      <c r="W408" s="81"/>
      <c r="X408" s="81"/>
      <c r="Y408" s="81"/>
    </row>
    <row r="409" customFormat="false" ht="12" hidden="false" customHeight="true" outlineLevel="0" collapsed="false">
      <c r="A409" s="91"/>
      <c r="B409" s="81"/>
      <c r="C409" s="81"/>
      <c r="D409" s="81"/>
      <c r="E409" s="81"/>
      <c r="F409" s="173"/>
      <c r="G409" s="173"/>
      <c r="H409" s="173"/>
      <c r="I409" s="173"/>
      <c r="J409" s="173"/>
      <c r="K409" s="173"/>
      <c r="L409" s="80"/>
      <c r="M409" s="81"/>
      <c r="N409" s="102"/>
      <c r="O409" s="102"/>
      <c r="P409" s="81"/>
      <c r="Q409" s="81"/>
      <c r="R409" s="81"/>
      <c r="S409" s="81"/>
      <c r="T409" s="81"/>
      <c r="U409" s="81"/>
      <c r="V409" s="81"/>
      <c r="W409" s="81"/>
      <c r="X409" s="81"/>
      <c r="Y409" s="81"/>
    </row>
    <row r="410" customFormat="false" ht="12" hidden="false" customHeight="true" outlineLevel="0" collapsed="false">
      <c r="A410" s="91"/>
      <c r="B410" s="81"/>
      <c r="C410" s="81"/>
      <c r="D410" s="81"/>
      <c r="E410" s="81"/>
      <c r="F410" s="173"/>
      <c r="G410" s="173"/>
      <c r="H410" s="173"/>
      <c r="I410" s="173"/>
      <c r="J410" s="173"/>
      <c r="K410" s="173"/>
      <c r="L410" s="80"/>
      <c r="M410" s="81"/>
      <c r="N410" s="102"/>
      <c r="O410" s="102"/>
      <c r="P410" s="81"/>
      <c r="Q410" s="81"/>
      <c r="R410" s="81"/>
      <c r="S410" s="81"/>
      <c r="T410" s="81"/>
      <c r="U410" s="81"/>
      <c r="V410" s="81"/>
      <c r="W410" s="81"/>
      <c r="X410" s="81"/>
      <c r="Y410" s="81"/>
    </row>
    <row r="411" customFormat="false" ht="12" hidden="false" customHeight="true" outlineLevel="0" collapsed="false">
      <c r="A411" s="91"/>
      <c r="B411" s="81"/>
      <c r="C411" s="81"/>
      <c r="D411" s="81"/>
      <c r="E411" s="81"/>
      <c r="F411" s="173"/>
      <c r="G411" s="173"/>
      <c r="H411" s="173"/>
      <c r="I411" s="173"/>
      <c r="J411" s="173"/>
      <c r="K411" s="173"/>
      <c r="L411" s="80"/>
      <c r="M411" s="81"/>
      <c r="N411" s="102"/>
      <c r="O411" s="102"/>
      <c r="P411" s="81"/>
      <c r="Q411" s="81"/>
      <c r="R411" s="81"/>
      <c r="S411" s="81"/>
      <c r="T411" s="81"/>
      <c r="U411" s="81"/>
      <c r="V411" s="81"/>
      <c r="W411" s="81"/>
      <c r="X411" s="81"/>
      <c r="Y411" s="81"/>
    </row>
    <row r="412" customFormat="false" ht="12" hidden="false" customHeight="true" outlineLevel="0" collapsed="false">
      <c r="A412" s="91"/>
      <c r="B412" s="81"/>
      <c r="C412" s="81"/>
      <c r="D412" s="81"/>
      <c r="E412" s="81"/>
      <c r="F412" s="173"/>
      <c r="G412" s="173"/>
      <c r="H412" s="173"/>
      <c r="I412" s="173"/>
      <c r="J412" s="173"/>
      <c r="K412" s="173"/>
      <c r="L412" s="80"/>
      <c r="M412" s="81"/>
      <c r="N412" s="102"/>
      <c r="O412" s="102"/>
      <c r="P412" s="81"/>
      <c r="Q412" s="81"/>
      <c r="R412" s="81"/>
      <c r="S412" s="81"/>
      <c r="T412" s="81"/>
      <c r="U412" s="81"/>
      <c r="V412" s="81"/>
      <c r="W412" s="81"/>
      <c r="X412" s="81"/>
      <c r="Y412" s="81"/>
    </row>
    <row r="413" customFormat="false" ht="12" hidden="false" customHeight="true" outlineLevel="0" collapsed="false">
      <c r="A413" s="91"/>
      <c r="B413" s="81"/>
      <c r="C413" s="81"/>
      <c r="D413" s="81"/>
      <c r="E413" s="81"/>
      <c r="F413" s="173"/>
      <c r="G413" s="173"/>
      <c r="H413" s="173"/>
      <c r="I413" s="173"/>
      <c r="J413" s="173"/>
      <c r="K413" s="173"/>
      <c r="L413" s="80"/>
      <c r="M413" s="81"/>
      <c r="N413" s="102"/>
      <c r="O413" s="102"/>
      <c r="P413" s="81"/>
      <c r="Q413" s="81"/>
      <c r="R413" s="81"/>
      <c r="S413" s="81"/>
      <c r="T413" s="81"/>
      <c r="U413" s="81"/>
      <c r="V413" s="81"/>
      <c r="W413" s="81"/>
      <c r="X413" s="81"/>
      <c r="Y413" s="81"/>
    </row>
    <row r="414" customFormat="false" ht="12" hidden="false" customHeight="true" outlineLevel="0" collapsed="false">
      <c r="A414" s="91"/>
      <c r="B414" s="81"/>
      <c r="C414" s="81"/>
      <c r="D414" s="81"/>
      <c r="E414" s="81"/>
      <c r="F414" s="173"/>
      <c r="G414" s="173"/>
      <c r="H414" s="173"/>
      <c r="I414" s="173"/>
      <c r="J414" s="173"/>
      <c r="K414" s="173"/>
      <c r="L414" s="80"/>
      <c r="M414" s="81"/>
      <c r="N414" s="102"/>
      <c r="O414" s="102"/>
      <c r="P414" s="81"/>
      <c r="Q414" s="81"/>
      <c r="R414" s="81"/>
      <c r="S414" s="81"/>
      <c r="T414" s="81"/>
      <c r="U414" s="81"/>
      <c r="V414" s="81"/>
      <c r="W414" s="81"/>
      <c r="X414" s="81"/>
      <c r="Y414" s="81"/>
    </row>
    <row r="415" customFormat="false" ht="12" hidden="false" customHeight="true" outlineLevel="0" collapsed="false">
      <c r="A415" s="91"/>
      <c r="B415" s="81"/>
      <c r="C415" s="81"/>
      <c r="D415" s="81"/>
      <c r="E415" s="81"/>
      <c r="F415" s="173"/>
      <c r="G415" s="173"/>
      <c r="H415" s="173"/>
      <c r="I415" s="173"/>
      <c r="J415" s="173"/>
      <c r="K415" s="173"/>
      <c r="L415" s="80"/>
      <c r="M415" s="81"/>
      <c r="N415" s="102"/>
      <c r="O415" s="102"/>
      <c r="P415" s="81"/>
      <c r="Q415" s="81"/>
      <c r="R415" s="81"/>
      <c r="S415" s="81"/>
      <c r="T415" s="81"/>
      <c r="U415" s="81"/>
      <c r="V415" s="81"/>
      <c r="W415" s="81"/>
      <c r="X415" s="81"/>
      <c r="Y415" s="81"/>
    </row>
    <row r="416" customFormat="false" ht="12" hidden="false" customHeight="true" outlineLevel="0" collapsed="false">
      <c r="A416" s="91"/>
      <c r="B416" s="81"/>
      <c r="C416" s="81"/>
      <c r="D416" s="81"/>
      <c r="E416" s="81"/>
      <c r="F416" s="173"/>
      <c r="G416" s="173"/>
      <c r="H416" s="173"/>
      <c r="I416" s="173"/>
      <c r="J416" s="173"/>
      <c r="K416" s="173"/>
      <c r="L416" s="80"/>
      <c r="M416" s="81"/>
      <c r="N416" s="102"/>
      <c r="O416" s="102"/>
      <c r="P416" s="81"/>
      <c r="Q416" s="81"/>
      <c r="R416" s="81"/>
      <c r="S416" s="81"/>
      <c r="T416" s="81"/>
      <c r="U416" s="81"/>
      <c r="V416" s="81"/>
      <c r="W416" s="81"/>
      <c r="X416" s="81"/>
      <c r="Y416" s="81"/>
    </row>
    <row r="417" customFormat="false" ht="12" hidden="false" customHeight="true" outlineLevel="0" collapsed="false">
      <c r="A417" s="91"/>
      <c r="B417" s="81"/>
      <c r="C417" s="81"/>
      <c r="D417" s="81"/>
      <c r="E417" s="81"/>
      <c r="F417" s="173"/>
      <c r="G417" s="173"/>
      <c r="H417" s="173"/>
      <c r="I417" s="173"/>
      <c r="J417" s="173"/>
      <c r="K417" s="173"/>
      <c r="L417" s="80"/>
      <c r="M417" s="81"/>
      <c r="N417" s="102"/>
      <c r="O417" s="102"/>
      <c r="P417" s="81"/>
      <c r="Q417" s="81"/>
      <c r="R417" s="81"/>
      <c r="S417" s="81"/>
      <c r="T417" s="81"/>
      <c r="U417" s="81"/>
      <c r="V417" s="81"/>
      <c r="W417" s="81"/>
      <c r="X417" s="81"/>
      <c r="Y417" s="81"/>
    </row>
    <row r="418" customFormat="false" ht="12" hidden="false" customHeight="true" outlineLevel="0" collapsed="false">
      <c r="A418" s="91"/>
      <c r="B418" s="81"/>
      <c r="C418" s="81"/>
      <c r="D418" s="81"/>
      <c r="E418" s="81"/>
      <c r="F418" s="173"/>
      <c r="G418" s="173"/>
      <c r="H418" s="173"/>
      <c r="I418" s="173"/>
      <c r="J418" s="173"/>
      <c r="K418" s="173"/>
      <c r="L418" s="80"/>
      <c r="M418" s="81"/>
      <c r="N418" s="102"/>
      <c r="O418" s="102"/>
      <c r="P418" s="81"/>
      <c r="Q418" s="81"/>
      <c r="R418" s="81"/>
      <c r="S418" s="81"/>
      <c r="T418" s="81"/>
      <c r="U418" s="81"/>
      <c r="V418" s="81"/>
      <c r="W418" s="81"/>
      <c r="X418" s="81"/>
      <c r="Y418" s="81"/>
    </row>
    <row r="419" customFormat="false" ht="12" hidden="false" customHeight="true" outlineLevel="0" collapsed="false">
      <c r="A419" s="91"/>
      <c r="B419" s="81"/>
      <c r="C419" s="81"/>
      <c r="D419" s="81"/>
      <c r="E419" s="81"/>
      <c r="F419" s="173"/>
      <c r="G419" s="173"/>
      <c r="H419" s="173"/>
      <c r="I419" s="173"/>
      <c r="J419" s="173"/>
      <c r="K419" s="173"/>
      <c r="L419" s="80"/>
      <c r="M419" s="81"/>
      <c r="N419" s="102"/>
      <c r="O419" s="102"/>
      <c r="P419" s="81"/>
      <c r="Q419" s="81"/>
      <c r="R419" s="81"/>
      <c r="S419" s="81"/>
      <c r="T419" s="81"/>
      <c r="U419" s="81"/>
      <c r="V419" s="81"/>
      <c r="W419" s="81"/>
      <c r="X419" s="81"/>
      <c r="Y419" s="81"/>
    </row>
    <row r="420" customFormat="false" ht="12" hidden="false" customHeight="true" outlineLevel="0" collapsed="false">
      <c r="A420" s="91"/>
      <c r="B420" s="81"/>
      <c r="C420" s="81"/>
      <c r="D420" s="81"/>
      <c r="E420" s="81"/>
      <c r="F420" s="173"/>
      <c r="G420" s="173"/>
      <c r="H420" s="173"/>
      <c r="I420" s="173"/>
      <c r="J420" s="173"/>
      <c r="K420" s="173"/>
      <c r="L420" s="80"/>
      <c r="M420" s="81"/>
      <c r="N420" s="102"/>
      <c r="O420" s="102"/>
      <c r="P420" s="81"/>
      <c r="Q420" s="81"/>
      <c r="R420" s="81"/>
      <c r="S420" s="81"/>
      <c r="T420" s="81"/>
      <c r="U420" s="81"/>
      <c r="V420" s="81"/>
      <c r="W420" s="81"/>
      <c r="X420" s="81"/>
      <c r="Y420" s="81"/>
    </row>
    <row r="421" customFormat="false" ht="12" hidden="false" customHeight="true" outlineLevel="0" collapsed="false">
      <c r="A421" s="91"/>
      <c r="B421" s="81"/>
      <c r="C421" s="81"/>
      <c r="D421" s="81"/>
      <c r="E421" s="81"/>
      <c r="F421" s="173"/>
      <c r="G421" s="173"/>
      <c r="H421" s="173"/>
      <c r="I421" s="173"/>
      <c r="J421" s="173"/>
      <c r="K421" s="173"/>
      <c r="L421" s="80"/>
      <c r="M421" s="81"/>
      <c r="N421" s="102"/>
      <c r="O421" s="102"/>
      <c r="P421" s="81"/>
      <c r="Q421" s="81"/>
      <c r="R421" s="81"/>
      <c r="S421" s="81"/>
      <c r="T421" s="81"/>
      <c r="U421" s="81"/>
      <c r="V421" s="81"/>
      <c r="W421" s="81"/>
      <c r="X421" s="81"/>
      <c r="Y421" s="81"/>
    </row>
    <row r="422" customFormat="false" ht="12" hidden="false" customHeight="true" outlineLevel="0" collapsed="false">
      <c r="A422" s="91"/>
      <c r="B422" s="81"/>
      <c r="C422" s="81"/>
      <c r="D422" s="81"/>
      <c r="E422" s="81"/>
      <c r="F422" s="173"/>
      <c r="G422" s="173"/>
      <c r="H422" s="173"/>
      <c r="I422" s="173"/>
      <c r="J422" s="173"/>
      <c r="K422" s="173"/>
      <c r="L422" s="80"/>
      <c r="M422" s="81"/>
      <c r="N422" s="102"/>
      <c r="O422" s="102"/>
      <c r="P422" s="81"/>
      <c r="Q422" s="81"/>
      <c r="R422" s="81"/>
      <c r="S422" s="81"/>
      <c r="T422" s="81"/>
      <c r="U422" s="81"/>
      <c r="V422" s="81"/>
      <c r="W422" s="81"/>
      <c r="X422" s="81"/>
      <c r="Y422" s="81"/>
    </row>
    <row r="423" customFormat="false" ht="12" hidden="false" customHeight="true" outlineLevel="0" collapsed="false">
      <c r="A423" s="91"/>
      <c r="B423" s="81"/>
      <c r="C423" s="81"/>
      <c r="D423" s="81"/>
      <c r="E423" s="81"/>
      <c r="F423" s="173"/>
      <c r="G423" s="173"/>
      <c r="H423" s="173"/>
      <c r="I423" s="173"/>
      <c r="J423" s="173"/>
      <c r="K423" s="173"/>
      <c r="L423" s="80"/>
      <c r="M423" s="81"/>
      <c r="N423" s="102"/>
      <c r="O423" s="102"/>
      <c r="P423" s="81"/>
      <c r="Q423" s="81"/>
      <c r="R423" s="81"/>
      <c r="S423" s="81"/>
      <c r="T423" s="81"/>
      <c r="U423" s="81"/>
      <c r="V423" s="81"/>
      <c r="W423" s="81"/>
      <c r="X423" s="81"/>
      <c r="Y423" s="81"/>
    </row>
    <row r="424" customFormat="false" ht="12" hidden="false" customHeight="true" outlineLevel="0" collapsed="false">
      <c r="A424" s="91"/>
      <c r="B424" s="81"/>
      <c r="C424" s="81"/>
      <c r="D424" s="81"/>
      <c r="E424" s="81"/>
      <c r="F424" s="173"/>
      <c r="G424" s="173"/>
      <c r="H424" s="173"/>
      <c r="I424" s="173"/>
      <c r="J424" s="173"/>
      <c r="K424" s="173"/>
      <c r="L424" s="80"/>
      <c r="M424" s="81"/>
      <c r="N424" s="102"/>
      <c r="O424" s="102"/>
      <c r="P424" s="81"/>
      <c r="Q424" s="81"/>
      <c r="R424" s="81"/>
      <c r="S424" s="81"/>
      <c r="T424" s="81"/>
      <c r="U424" s="81"/>
      <c r="V424" s="81"/>
      <c r="W424" s="81"/>
      <c r="X424" s="81"/>
      <c r="Y424" s="81"/>
    </row>
    <row r="425" customFormat="false" ht="12" hidden="false" customHeight="true" outlineLevel="0" collapsed="false">
      <c r="A425" s="91"/>
      <c r="B425" s="81"/>
      <c r="C425" s="81"/>
      <c r="D425" s="81"/>
      <c r="E425" s="81"/>
      <c r="F425" s="173"/>
      <c r="G425" s="173"/>
      <c r="H425" s="173"/>
      <c r="I425" s="173"/>
      <c r="J425" s="173"/>
      <c r="K425" s="173"/>
      <c r="L425" s="80"/>
      <c r="M425" s="81"/>
      <c r="N425" s="102"/>
      <c r="O425" s="102"/>
      <c r="P425" s="81"/>
      <c r="Q425" s="81"/>
      <c r="R425" s="81"/>
      <c r="S425" s="81"/>
      <c r="T425" s="81"/>
      <c r="U425" s="81"/>
      <c r="V425" s="81"/>
      <c r="W425" s="81"/>
      <c r="X425" s="81"/>
      <c r="Y425" s="81"/>
    </row>
    <row r="426" customFormat="false" ht="12" hidden="false" customHeight="true" outlineLevel="0" collapsed="false">
      <c r="A426" s="91"/>
      <c r="B426" s="81"/>
      <c r="C426" s="81"/>
      <c r="D426" s="81"/>
      <c r="E426" s="81"/>
      <c r="F426" s="173"/>
      <c r="G426" s="173"/>
      <c r="H426" s="173"/>
      <c r="I426" s="173"/>
      <c r="J426" s="173"/>
      <c r="K426" s="173"/>
      <c r="L426" s="80"/>
      <c r="M426" s="81"/>
      <c r="N426" s="102"/>
      <c r="O426" s="102"/>
      <c r="P426" s="81"/>
      <c r="Q426" s="81"/>
      <c r="R426" s="81"/>
      <c r="S426" s="81"/>
      <c r="T426" s="81"/>
      <c r="U426" s="81"/>
      <c r="V426" s="81"/>
      <c r="W426" s="81"/>
      <c r="X426" s="81"/>
      <c r="Y426" s="81"/>
    </row>
    <row r="427" customFormat="false" ht="12" hidden="false" customHeight="true" outlineLevel="0" collapsed="false">
      <c r="A427" s="91"/>
      <c r="B427" s="81"/>
      <c r="C427" s="81"/>
      <c r="D427" s="81"/>
      <c r="E427" s="81"/>
      <c r="F427" s="173"/>
      <c r="G427" s="173"/>
      <c r="H427" s="173"/>
      <c r="I427" s="173"/>
      <c r="J427" s="173"/>
      <c r="K427" s="173"/>
      <c r="L427" s="80"/>
      <c r="M427" s="81"/>
      <c r="N427" s="102"/>
      <c r="O427" s="102"/>
      <c r="P427" s="81"/>
      <c r="Q427" s="81"/>
      <c r="R427" s="81"/>
      <c r="S427" s="81"/>
      <c r="T427" s="81"/>
      <c r="U427" s="81"/>
      <c r="V427" s="81"/>
      <c r="W427" s="81"/>
      <c r="X427" s="81"/>
      <c r="Y427" s="81"/>
    </row>
    <row r="428" customFormat="false" ht="12" hidden="false" customHeight="true" outlineLevel="0" collapsed="false">
      <c r="A428" s="91"/>
      <c r="B428" s="81"/>
      <c r="C428" s="81"/>
      <c r="D428" s="81"/>
      <c r="E428" s="81"/>
      <c r="F428" s="173"/>
      <c r="G428" s="173"/>
      <c r="H428" s="173"/>
      <c r="I428" s="173"/>
      <c r="J428" s="173"/>
      <c r="K428" s="173"/>
      <c r="L428" s="80"/>
      <c r="M428" s="81"/>
      <c r="N428" s="102"/>
      <c r="O428" s="102"/>
      <c r="P428" s="81"/>
      <c r="Q428" s="81"/>
      <c r="R428" s="81"/>
      <c r="S428" s="81"/>
      <c r="T428" s="81"/>
      <c r="U428" s="81"/>
      <c r="V428" s="81"/>
      <c r="W428" s="81"/>
      <c r="X428" s="81"/>
      <c r="Y428" s="81"/>
    </row>
    <row r="429" customFormat="false" ht="12" hidden="false" customHeight="true" outlineLevel="0" collapsed="false">
      <c r="A429" s="91"/>
      <c r="B429" s="81"/>
      <c r="C429" s="81"/>
      <c r="D429" s="81"/>
      <c r="E429" s="81"/>
      <c r="F429" s="173"/>
      <c r="G429" s="173"/>
      <c r="H429" s="173"/>
      <c r="I429" s="173"/>
      <c r="J429" s="173"/>
      <c r="K429" s="173"/>
      <c r="L429" s="80"/>
      <c r="M429" s="81"/>
      <c r="N429" s="102"/>
      <c r="O429" s="102"/>
      <c r="P429" s="81"/>
      <c r="Q429" s="81"/>
      <c r="R429" s="81"/>
      <c r="S429" s="81"/>
      <c r="T429" s="81"/>
      <c r="U429" s="81"/>
      <c r="V429" s="81"/>
      <c r="W429" s="81"/>
      <c r="X429" s="81"/>
      <c r="Y429" s="81"/>
    </row>
    <row r="430" customFormat="false" ht="12" hidden="false" customHeight="true" outlineLevel="0" collapsed="false">
      <c r="A430" s="91"/>
      <c r="B430" s="81"/>
      <c r="C430" s="81"/>
      <c r="D430" s="81"/>
      <c r="E430" s="81"/>
      <c r="F430" s="173"/>
      <c r="G430" s="173"/>
      <c r="H430" s="173"/>
      <c r="I430" s="173"/>
      <c r="J430" s="173"/>
      <c r="K430" s="173"/>
      <c r="L430" s="80"/>
      <c r="M430" s="81"/>
      <c r="N430" s="102"/>
      <c r="O430" s="102"/>
      <c r="P430" s="81"/>
      <c r="Q430" s="81"/>
      <c r="R430" s="81"/>
      <c r="S430" s="81"/>
      <c r="T430" s="81"/>
      <c r="U430" s="81"/>
      <c r="V430" s="81"/>
      <c r="W430" s="81"/>
      <c r="X430" s="81"/>
      <c r="Y430" s="81"/>
    </row>
    <row r="431" customFormat="false" ht="12" hidden="false" customHeight="true" outlineLevel="0" collapsed="false">
      <c r="A431" s="91"/>
      <c r="B431" s="81"/>
      <c r="C431" s="81"/>
      <c r="D431" s="81"/>
      <c r="E431" s="81"/>
      <c r="F431" s="173"/>
      <c r="G431" s="173"/>
      <c r="H431" s="173"/>
      <c r="I431" s="173"/>
      <c r="J431" s="173"/>
      <c r="K431" s="173"/>
      <c r="L431" s="80"/>
      <c r="M431" s="81"/>
      <c r="N431" s="102"/>
      <c r="O431" s="102"/>
      <c r="P431" s="81"/>
      <c r="Q431" s="81"/>
      <c r="R431" s="81"/>
      <c r="S431" s="81"/>
      <c r="T431" s="81"/>
      <c r="U431" s="81"/>
      <c r="V431" s="81"/>
      <c r="W431" s="81"/>
      <c r="X431" s="81"/>
      <c r="Y431" s="81"/>
    </row>
    <row r="432" customFormat="false" ht="12" hidden="false" customHeight="true" outlineLevel="0" collapsed="false">
      <c r="A432" s="91"/>
      <c r="B432" s="81"/>
      <c r="C432" s="81"/>
      <c r="D432" s="81"/>
      <c r="E432" s="81"/>
      <c r="F432" s="173"/>
      <c r="G432" s="173"/>
      <c r="H432" s="173"/>
      <c r="I432" s="173"/>
      <c r="J432" s="173"/>
      <c r="K432" s="173"/>
      <c r="L432" s="80"/>
      <c r="M432" s="81"/>
      <c r="N432" s="102"/>
      <c r="O432" s="102"/>
      <c r="P432" s="81"/>
      <c r="Q432" s="81"/>
      <c r="R432" s="81"/>
      <c r="S432" s="81"/>
      <c r="T432" s="81"/>
      <c r="U432" s="81"/>
      <c r="V432" s="81"/>
      <c r="W432" s="81"/>
      <c r="X432" s="81"/>
      <c r="Y432" s="81"/>
    </row>
    <row r="433" customFormat="false" ht="12" hidden="false" customHeight="true" outlineLevel="0" collapsed="false">
      <c r="A433" s="91"/>
      <c r="B433" s="81"/>
      <c r="C433" s="81"/>
      <c r="D433" s="81"/>
      <c r="E433" s="81"/>
      <c r="F433" s="173"/>
      <c r="G433" s="173"/>
      <c r="H433" s="173"/>
      <c r="I433" s="173"/>
      <c r="J433" s="173"/>
      <c r="K433" s="173"/>
      <c r="L433" s="80"/>
      <c r="M433" s="81"/>
      <c r="N433" s="102"/>
      <c r="O433" s="102"/>
      <c r="P433" s="81"/>
      <c r="Q433" s="81"/>
      <c r="R433" s="81"/>
      <c r="S433" s="81"/>
      <c r="T433" s="81"/>
      <c r="U433" s="81"/>
      <c r="V433" s="81"/>
      <c r="W433" s="81"/>
      <c r="X433" s="81"/>
      <c r="Y433" s="81"/>
    </row>
    <row r="434" customFormat="false" ht="12" hidden="false" customHeight="true" outlineLevel="0" collapsed="false">
      <c r="A434" s="91"/>
      <c r="B434" s="81"/>
      <c r="C434" s="81"/>
      <c r="D434" s="81"/>
      <c r="E434" s="81"/>
      <c r="F434" s="173"/>
      <c r="G434" s="173"/>
      <c r="H434" s="173"/>
      <c r="I434" s="173"/>
      <c r="J434" s="173"/>
      <c r="K434" s="173"/>
      <c r="L434" s="80"/>
      <c r="M434" s="81"/>
      <c r="N434" s="102"/>
      <c r="O434" s="102"/>
      <c r="P434" s="81"/>
      <c r="Q434" s="81"/>
      <c r="R434" s="81"/>
      <c r="S434" s="81"/>
      <c r="T434" s="81"/>
      <c r="U434" s="81"/>
      <c r="V434" s="81"/>
      <c r="W434" s="81"/>
      <c r="X434" s="81"/>
      <c r="Y434" s="81"/>
    </row>
    <row r="435" customFormat="false" ht="12" hidden="false" customHeight="true" outlineLevel="0" collapsed="false">
      <c r="A435" s="91"/>
      <c r="B435" s="81"/>
      <c r="C435" s="81"/>
      <c r="D435" s="81"/>
      <c r="E435" s="81"/>
      <c r="F435" s="173"/>
      <c r="G435" s="173"/>
      <c r="H435" s="173"/>
      <c r="I435" s="173"/>
      <c r="J435" s="173"/>
      <c r="K435" s="173"/>
      <c r="L435" s="80"/>
      <c r="M435" s="81"/>
      <c r="N435" s="102"/>
      <c r="O435" s="102"/>
      <c r="P435" s="81"/>
      <c r="Q435" s="81"/>
      <c r="R435" s="81"/>
      <c r="S435" s="81"/>
      <c r="T435" s="81"/>
      <c r="U435" s="81"/>
      <c r="V435" s="81"/>
      <c r="W435" s="81"/>
      <c r="X435" s="81"/>
      <c r="Y435" s="81"/>
    </row>
    <row r="436" customFormat="false" ht="12" hidden="false" customHeight="true" outlineLevel="0" collapsed="false">
      <c r="A436" s="91"/>
      <c r="B436" s="81"/>
      <c r="C436" s="81"/>
      <c r="D436" s="81"/>
      <c r="E436" s="81"/>
      <c r="F436" s="173"/>
      <c r="G436" s="173"/>
      <c r="H436" s="173"/>
      <c r="I436" s="173"/>
      <c r="J436" s="173"/>
      <c r="K436" s="173"/>
      <c r="L436" s="80"/>
      <c r="M436" s="81"/>
      <c r="N436" s="102"/>
      <c r="O436" s="102"/>
      <c r="P436" s="81"/>
      <c r="Q436" s="81"/>
      <c r="R436" s="81"/>
      <c r="S436" s="81"/>
      <c r="T436" s="81"/>
      <c r="U436" s="81"/>
      <c r="V436" s="81"/>
      <c r="W436" s="81"/>
      <c r="X436" s="81"/>
      <c r="Y436" s="81"/>
    </row>
    <row r="437" customFormat="false" ht="12" hidden="false" customHeight="true" outlineLevel="0" collapsed="false">
      <c r="A437" s="91"/>
      <c r="B437" s="81"/>
      <c r="C437" s="81"/>
      <c r="D437" s="81"/>
      <c r="E437" s="81"/>
      <c r="F437" s="173"/>
      <c r="G437" s="173"/>
      <c r="H437" s="173"/>
      <c r="I437" s="173"/>
      <c r="J437" s="173"/>
      <c r="K437" s="173"/>
      <c r="L437" s="80"/>
      <c r="M437" s="81"/>
      <c r="N437" s="102"/>
      <c r="O437" s="102"/>
      <c r="P437" s="81"/>
      <c r="Q437" s="81"/>
      <c r="R437" s="81"/>
      <c r="S437" s="81"/>
      <c r="T437" s="81"/>
      <c r="U437" s="81"/>
      <c r="V437" s="81"/>
      <c r="W437" s="81"/>
      <c r="X437" s="81"/>
      <c r="Y437" s="81"/>
    </row>
    <row r="438" customFormat="false" ht="12" hidden="false" customHeight="true" outlineLevel="0" collapsed="false">
      <c r="A438" s="91"/>
      <c r="B438" s="81"/>
      <c r="C438" s="81"/>
      <c r="D438" s="81"/>
      <c r="E438" s="81"/>
      <c r="F438" s="173"/>
      <c r="G438" s="173"/>
      <c r="H438" s="173"/>
      <c r="I438" s="173"/>
      <c r="J438" s="173"/>
      <c r="K438" s="173"/>
      <c r="L438" s="80"/>
      <c r="M438" s="81"/>
      <c r="N438" s="102"/>
      <c r="O438" s="102"/>
      <c r="P438" s="81"/>
      <c r="Q438" s="81"/>
      <c r="R438" s="81"/>
      <c r="S438" s="81"/>
      <c r="T438" s="81"/>
      <c r="U438" s="81"/>
      <c r="V438" s="81"/>
      <c r="W438" s="81"/>
      <c r="X438" s="81"/>
      <c r="Y438" s="81"/>
    </row>
    <row r="439" customFormat="false" ht="12" hidden="false" customHeight="true" outlineLevel="0" collapsed="false">
      <c r="A439" s="91"/>
      <c r="B439" s="81"/>
      <c r="C439" s="81"/>
      <c r="D439" s="81"/>
      <c r="E439" s="81"/>
      <c r="F439" s="173"/>
      <c r="G439" s="173"/>
      <c r="H439" s="173"/>
      <c r="I439" s="173"/>
      <c r="J439" s="173"/>
      <c r="K439" s="173"/>
      <c r="L439" s="80"/>
      <c r="M439" s="81"/>
      <c r="N439" s="102"/>
      <c r="O439" s="102"/>
      <c r="P439" s="81"/>
      <c r="Q439" s="81"/>
      <c r="R439" s="81"/>
      <c r="S439" s="81"/>
      <c r="T439" s="81"/>
      <c r="U439" s="81"/>
      <c r="V439" s="81"/>
      <c r="W439" s="81"/>
      <c r="X439" s="81"/>
      <c r="Y439" s="81"/>
    </row>
    <row r="440" customFormat="false" ht="12" hidden="false" customHeight="true" outlineLevel="0" collapsed="false">
      <c r="A440" s="91"/>
      <c r="B440" s="81"/>
      <c r="C440" s="81"/>
      <c r="D440" s="81"/>
      <c r="E440" s="81"/>
      <c r="F440" s="173"/>
      <c r="G440" s="173"/>
      <c r="H440" s="173"/>
      <c r="I440" s="173"/>
      <c r="J440" s="173"/>
      <c r="K440" s="173"/>
      <c r="L440" s="80"/>
      <c r="M440" s="81"/>
      <c r="N440" s="102"/>
      <c r="O440" s="102"/>
      <c r="P440" s="81"/>
      <c r="Q440" s="81"/>
      <c r="R440" s="81"/>
      <c r="S440" s="81"/>
      <c r="T440" s="81"/>
      <c r="U440" s="81"/>
      <c r="V440" s="81"/>
      <c r="W440" s="81"/>
      <c r="X440" s="81"/>
      <c r="Y440" s="81"/>
    </row>
    <row r="441" customFormat="false" ht="12" hidden="false" customHeight="true" outlineLevel="0" collapsed="false">
      <c r="A441" s="91"/>
      <c r="B441" s="81"/>
      <c r="C441" s="81"/>
      <c r="D441" s="81"/>
      <c r="E441" s="81"/>
      <c r="F441" s="173"/>
      <c r="G441" s="173"/>
      <c r="H441" s="173"/>
      <c r="I441" s="173"/>
      <c r="J441" s="173"/>
      <c r="K441" s="173"/>
      <c r="L441" s="80"/>
      <c r="M441" s="81"/>
      <c r="N441" s="102"/>
      <c r="O441" s="102"/>
      <c r="P441" s="81"/>
      <c r="Q441" s="81"/>
      <c r="R441" s="81"/>
      <c r="S441" s="81"/>
      <c r="T441" s="81"/>
      <c r="U441" s="81"/>
      <c r="V441" s="81"/>
      <c r="W441" s="81"/>
      <c r="X441" s="81"/>
      <c r="Y441" s="81"/>
    </row>
    <row r="442" customFormat="false" ht="12" hidden="false" customHeight="true" outlineLevel="0" collapsed="false">
      <c r="A442" s="91"/>
      <c r="B442" s="81"/>
      <c r="C442" s="81"/>
      <c r="D442" s="81"/>
      <c r="E442" s="81"/>
      <c r="F442" s="173"/>
      <c r="G442" s="173"/>
      <c r="H442" s="173"/>
      <c r="I442" s="173"/>
      <c r="J442" s="173"/>
      <c r="K442" s="173"/>
      <c r="L442" s="80"/>
      <c r="M442" s="81"/>
      <c r="N442" s="102"/>
      <c r="O442" s="102"/>
      <c r="P442" s="81"/>
      <c r="Q442" s="81"/>
      <c r="R442" s="81"/>
      <c r="S442" s="81"/>
      <c r="T442" s="81"/>
      <c r="U442" s="81"/>
      <c r="V442" s="81"/>
      <c r="W442" s="81"/>
      <c r="X442" s="81"/>
      <c r="Y442" s="81"/>
    </row>
    <row r="443" customFormat="false" ht="12" hidden="false" customHeight="true" outlineLevel="0" collapsed="false">
      <c r="A443" s="91"/>
      <c r="B443" s="81"/>
      <c r="C443" s="81"/>
      <c r="D443" s="81"/>
      <c r="E443" s="81"/>
      <c r="F443" s="173"/>
      <c r="G443" s="173"/>
      <c r="H443" s="173"/>
      <c r="I443" s="173"/>
      <c r="J443" s="173"/>
      <c r="K443" s="173"/>
      <c r="L443" s="80"/>
      <c r="M443" s="81"/>
      <c r="N443" s="102"/>
      <c r="O443" s="102"/>
      <c r="P443" s="81"/>
      <c r="Q443" s="81"/>
      <c r="R443" s="81"/>
      <c r="S443" s="81"/>
      <c r="T443" s="81"/>
      <c r="U443" s="81"/>
      <c r="V443" s="81"/>
      <c r="W443" s="81"/>
      <c r="X443" s="81"/>
      <c r="Y443" s="81"/>
    </row>
    <row r="444" customFormat="false" ht="12" hidden="false" customHeight="true" outlineLevel="0" collapsed="false">
      <c r="A444" s="91"/>
      <c r="B444" s="81"/>
      <c r="C444" s="81"/>
      <c r="D444" s="81"/>
      <c r="E444" s="81"/>
      <c r="F444" s="173"/>
      <c r="G444" s="173"/>
      <c r="H444" s="173"/>
      <c r="I444" s="173"/>
      <c r="J444" s="173"/>
      <c r="K444" s="173"/>
      <c r="L444" s="80"/>
      <c r="M444" s="81"/>
      <c r="N444" s="102"/>
      <c r="O444" s="102"/>
      <c r="P444" s="81"/>
      <c r="Q444" s="81"/>
      <c r="R444" s="81"/>
      <c r="S444" s="81"/>
      <c r="T444" s="81"/>
      <c r="U444" s="81"/>
      <c r="V444" s="81"/>
      <c r="W444" s="81"/>
      <c r="X444" s="81"/>
      <c r="Y444" s="81"/>
    </row>
    <row r="445" customFormat="false" ht="12" hidden="false" customHeight="true" outlineLevel="0" collapsed="false">
      <c r="A445" s="91"/>
      <c r="B445" s="81"/>
      <c r="C445" s="81"/>
      <c r="D445" s="81"/>
      <c r="E445" s="81"/>
      <c r="F445" s="173"/>
      <c r="G445" s="173"/>
      <c r="H445" s="173"/>
      <c r="I445" s="173"/>
      <c r="J445" s="173"/>
      <c r="K445" s="173"/>
      <c r="L445" s="80"/>
      <c r="M445" s="81"/>
      <c r="N445" s="102"/>
      <c r="O445" s="102"/>
      <c r="P445" s="81"/>
      <c r="Q445" s="81"/>
      <c r="R445" s="81"/>
      <c r="S445" s="81"/>
      <c r="T445" s="81"/>
      <c r="U445" s="81"/>
      <c r="V445" s="81"/>
      <c r="W445" s="81"/>
      <c r="X445" s="81"/>
      <c r="Y445" s="81"/>
    </row>
    <row r="446" customFormat="false" ht="12" hidden="false" customHeight="true" outlineLevel="0" collapsed="false">
      <c r="A446" s="91"/>
      <c r="B446" s="81"/>
      <c r="C446" s="81"/>
      <c r="D446" s="81"/>
      <c r="E446" s="81"/>
      <c r="F446" s="173"/>
      <c r="G446" s="173"/>
      <c r="H446" s="173"/>
      <c r="I446" s="173"/>
      <c r="J446" s="173"/>
      <c r="K446" s="173"/>
      <c r="L446" s="80"/>
      <c r="M446" s="81"/>
      <c r="N446" s="102"/>
      <c r="O446" s="102"/>
      <c r="P446" s="81"/>
      <c r="Q446" s="81"/>
      <c r="R446" s="81"/>
      <c r="S446" s="81"/>
      <c r="T446" s="81"/>
      <c r="U446" s="81"/>
      <c r="V446" s="81"/>
      <c r="W446" s="81"/>
      <c r="X446" s="81"/>
      <c r="Y446" s="81"/>
    </row>
    <row r="447" customFormat="false" ht="12" hidden="false" customHeight="true" outlineLevel="0" collapsed="false">
      <c r="A447" s="91"/>
      <c r="B447" s="81"/>
      <c r="C447" s="81"/>
      <c r="D447" s="81"/>
      <c r="E447" s="81"/>
      <c r="F447" s="173"/>
      <c r="G447" s="173"/>
      <c r="H447" s="173"/>
      <c r="I447" s="173"/>
      <c r="J447" s="173"/>
      <c r="K447" s="173"/>
      <c r="L447" s="80"/>
      <c r="M447" s="81"/>
      <c r="N447" s="102"/>
      <c r="O447" s="102"/>
      <c r="P447" s="81"/>
      <c r="Q447" s="81"/>
      <c r="R447" s="81"/>
      <c r="S447" s="81"/>
      <c r="T447" s="81"/>
      <c r="U447" s="81"/>
      <c r="V447" s="81"/>
      <c r="W447" s="81"/>
      <c r="X447" s="81"/>
      <c r="Y447" s="81"/>
    </row>
    <row r="448" customFormat="false" ht="12" hidden="false" customHeight="true" outlineLevel="0" collapsed="false">
      <c r="A448" s="91"/>
      <c r="B448" s="81"/>
      <c r="C448" s="81"/>
      <c r="D448" s="81"/>
      <c r="E448" s="81"/>
      <c r="F448" s="173"/>
      <c r="G448" s="173"/>
      <c r="H448" s="173"/>
      <c r="I448" s="173"/>
      <c r="J448" s="173"/>
      <c r="K448" s="173"/>
      <c r="L448" s="80"/>
      <c r="M448" s="81"/>
      <c r="N448" s="102"/>
      <c r="O448" s="102"/>
      <c r="P448" s="81"/>
      <c r="Q448" s="81"/>
      <c r="R448" s="81"/>
      <c r="S448" s="81"/>
      <c r="T448" s="81"/>
      <c r="U448" s="81"/>
      <c r="V448" s="81"/>
      <c r="W448" s="81"/>
      <c r="X448" s="81"/>
      <c r="Y448" s="81"/>
    </row>
    <row r="449" customFormat="false" ht="12" hidden="false" customHeight="true" outlineLevel="0" collapsed="false">
      <c r="A449" s="91"/>
      <c r="B449" s="81"/>
      <c r="C449" s="81"/>
      <c r="D449" s="81"/>
      <c r="E449" s="81"/>
      <c r="F449" s="173"/>
      <c r="G449" s="173"/>
      <c r="H449" s="173"/>
      <c r="I449" s="173"/>
      <c r="J449" s="173"/>
      <c r="K449" s="173"/>
      <c r="L449" s="80"/>
      <c r="M449" s="81"/>
      <c r="N449" s="102"/>
      <c r="O449" s="102"/>
      <c r="P449" s="81"/>
      <c r="Q449" s="81"/>
      <c r="R449" s="81"/>
      <c r="S449" s="81"/>
      <c r="T449" s="81"/>
      <c r="U449" s="81"/>
      <c r="V449" s="81"/>
      <c r="W449" s="81"/>
      <c r="X449" s="81"/>
      <c r="Y449" s="81"/>
    </row>
    <row r="450" customFormat="false" ht="12" hidden="false" customHeight="true" outlineLevel="0" collapsed="false">
      <c r="A450" s="91"/>
      <c r="B450" s="81"/>
      <c r="C450" s="81"/>
      <c r="D450" s="81"/>
      <c r="E450" s="81"/>
      <c r="F450" s="173"/>
      <c r="G450" s="173"/>
      <c r="H450" s="173"/>
      <c r="I450" s="173"/>
      <c r="J450" s="173"/>
      <c r="K450" s="173"/>
      <c r="L450" s="80"/>
      <c r="M450" s="81"/>
      <c r="N450" s="102"/>
      <c r="O450" s="102"/>
      <c r="P450" s="81"/>
      <c r="Q450" s="81"/>
      <c r="R450" s="81"/>
      <c r="S450" s="81"/>
      <c r="T450" s="81"/>
      <c r="U450" s="81"/>
      <c r="V450" s="81"/>
      <c r="W450" s="81"/>
      <c r="X450" s="81"/>
      <c r="Y450" s="81"/>
    </row>
    <row r="451" customFormat="false" ht="12" hidden="false" customHeight="true" outlineLevel="0" collapsed="false">
      <c r="A451" s="91"/>
      <c r="B451" s="81"/>
      <c r="C451" s="81"/>
      <c r="D451" s="81"/>
      <c r="E451" s="81"/>
      <c r="F451" s="173"/>
      <c r="G451" s="173"/>
      <c r="H451" s="173"/>
      <c r="I451" s="173"/>
      <c r="J451" s="173"/>
      <c r="K451" s="173"/>
      <c r="L451" s="80"/>
      <c r="M451" s="81"/>
      <c r="N451" s="102"/>
      <c r="O451" s="102"/>
      <c r="P451" s="81"/>
      <c r="Q451" s="81"/>
      <c r="R451" s="81"/>
      <c r="S451" s="81"/>
      <c r="T451" s="81"/>
      <c r="U451" s="81"/>
      <c r="V451" s="81"/>
      <c r="W451" s="81"/>
      <c r="X451" s="81"/>
      <c r="Y451" s="81"/>
    </row>
    <row r="452" customFormat="false" ht="12" hidden="false" customHeight="true" outlineLevel="0" collapsed="false">
      <c r="A452" s="91"/>
      <c r="B452" s="81"/>
      <c r="C452" s="81"/>
      <c r="D452" s="81"/>
      <c r="E452" s="81"/>
      <c r="F452" s="173"/>
      <c r="G452" s="173"/>
      <c r="H452" s="173"/>
      <c r="I452" s="173"/>
      <c r="J452" s="173"/>
      <c r="K452" s="173"/>
      <c r="L452" s="80"/>
      <c r="M452" s="81"/>
      <c r="N452" s="102"/>
      <c r="O452" s="102"/>
      <c r="P452" s="81"/>
      <c r="Q452" s="81"/>
      <c r="R452" s="81"/>
      <c r="S452" s="81"/>
      <c r="T452" s="81"/>
      <c r="U452" s="81"/>
      <c r="V452" s="81"/>
      <c r="W452" s="81"/>
      <c r="X452" s="81"/>
      <c r="Y452" s="81"/>
    </row>
    <row r="453" customFormat="false" ht="12" hidden="false" customHeight="true" outlineLevel="0" collapsed="false">
      <c r="A453" s="91"/>
      <c r="B453" s="81"/>
      <c r="C453" s="81"/>
      <c r="D453" s="81"/>
      <c r="E453" s="81"/>
      <c r="F453" s="173"/>
      <c r="G453" s="173"/>
      <c r="H453" s="173"/>
      <c r="I453" s="173"/>
      <c r="J453" s="173"/>
      <c r="K453" s="173"/>
      <c r="L453" s="80"/>
      <c r="M453" s="81"/>
      <c r="N453" s="102"/>
      <c r="O453" s="102"/>
      <c r="P453" s="81"/>
      <c r="Q453" s="81"/>
      <c r="R453" s="81"/>
      <c r="S453" s="81"/>
      <c r="T453" s="81"/>
      <c r="U453" s="81"/>
      <c r="V453" s="81"/>
      <c r="W453" s="81"/>
      <c r="X453" s="81"/>
      <c r="Y453" s="81"/>
    </row>
    <row r="454" customFormat="false" ht="12" hidden="false" customHeight="true" outlineLevel="0" collapsed="false">
      <c r="A454" s="91"/>
      <c r="B454" s="81"/>
      <c r="C454" s="81"/>
      <c r="D454" s="81"/>
      <c r="E454" s="81"/>
      <c r="F454" s="173"/>
      <c r="G454" s="173"/>
      <c r="H454" s="173"/>
      <c r="I454" s="173"/>
      <c r="J454" s="173"/>
      <c r="K454" s="173"/>
      <c r="L454" s="80"/>
      <c r="M454" s="81"/>
      <c r="N454" s="102"/>
      <c r="O454" s="102"/>
      <c r="P454" s="81"/>
      <c r="Q454" s="81"/>
      <c r="R454" s="81"/>
      <c r="S454" s="81"/>
      <c r="T454" s="81"/>
      <c r="U454" s="81"/>
      <c r="V454" s="81"/>
      <c r="W454" s="81"/>
      <c r="X454" s="81"/>
      <c r="Y454" s="81"/>
    </row>
    <row r="455" customFormat="false" ht="12" hidden="false" customHeight="true" outlineLevel="0" collapsed="false">
      <c r="A455" s="91"/>
      <c r="B455" s="81"/>
      <c r="C455" s="81"/>
      <c r="D455" s="81"/>
      <c r="E455" s="81"/>
      <c r="F455" s="173"/>
      <c r="G455" s="173"/>
      <c r="H455" s="173"/>
      <c r="I455" s="173"/>
      <c r="J455" s="173"/>
      <c r="K455" s="173"/>
      <c r="L455" s="80"/>
      <c r="M455" s="81"/>
      <c r="N455" s="102"/>
      <c r="O455" s="102"/>
      <c r="P455" s="81"/>
      <c r="Q455" s="81"/>
      <c r="R455" s="81"/>
      <c r="S455" s="81"/>
      <c r="T455" s="81"/>
      <c r="U455" s="81"/>
      <c r="V455" s="81"/>
      <c r="W455" s="81"/>
      <c r="X455" s="81"/>
      <c r="Y455" s="81"/>
    </row>
    <row r="456" customFormat="false" ht="12" hidden="false" customHeight="true" outlineLevel="0" collapsed="false">
      <c r="A456" s="91"/>
      <c r="B456" s="81"/>
      <c r="C456" s="81"/>
      <c r="D456" s="81"/>
      <c r="E456" s="81"/>
      <c r="F456" s="173"/>
      <c r="G456" s="173"/>
      <c r="H456" s="173"/>
      <c r="I456" s="173"/>
      <c r="J456" s="173"/>
      <c r="K456" s="173"/>
      <c r="L456" s="80"/>
      <c r="M456" s="81"/>
      <c r="N456" s="102"/>
      <c r="O456" s="102"/>
      <c r="P456" s="81"/>
      <c r="Q456" s="81"/>
      <c r="R456" s="81"/>
      <c r="S456" s="81"/>
      <c r="T456" s="81"/>
      <c r="U456" s="81"/>
      <c r="V456" s="81"/>
      <c r="W456" s="81"/>
      <c r="X456" s="81"/>
      <c r="Y456" s="81"/>
    </row>
    <row r="457" customFormat="false" ht="12" hidden="false" customHeight="true" outlineLevel="0" collapsed="false">
      <c r="A457" s="91"/>
      <c r="B457" s="81"/>
      <c r="C457" s="81"/>
      <c r="D457" s="81"/>
      <c r="E457" s="81"/>
      <c r="F457" s="173"/>
      <c r="G457" s="173"/>
      <c r="H457" s="173"/>
      <c r="I457" s="173"/>
      <c r="J457" s="173"/>
      <c r="K457" s="173"/>
      <c r="L457" s="80"/>
      <c r="M457" s="81"/>
      <c r="N457" s="102"/>
      <c r="O457" s="102"/>
      <c r="P457" s="81"/>
      <c r="Q457" s="81"/>
      <c r="R457" s="81"/>
      <c r="S457" s="81"/>
      <c r="T457" s="81"/>
      <c r="U457" s="81"/>
      <c r="V457" s="81"/>
      <c r="W457" s="81"/>
      <c r="X457" s="81"/>
      <c r="Y457" s="81"/>
    </row>
    <row r="458" customFormat="false" ht="12" hidden="false" customHeight="true" outlineLevel="0" collapsed="false">
      <c r="A458" s="91"/>
      <c r="B458" s="81"/>
      <c r="C458" s="81"/>
      <c r="D458" s="81"/>
      <c r="E458" s="81"/>
      <c r="F458" s="173"/>
      <c r="G458" s="173"/>
      <c r="H458" s="173"/>
      <c r="I458" s="173"/>
      <c r="J458" s="173"/>
      <c r="K458" s="173"/>
      <c r="L458" s="80"/>
      <c r="M458" s="81"/>
      <c r="N458" s="102"/>
      <c r="O458" s="102"/>
      <c r="P458" s="81"/>
      <c r="Q458" s="81"/>
      <c r="R458" s="81"/>
      <c r="S458" s="81"/>
      <c r="T458" s="81"/>
      <c r="U458" s="81"/>
      <c r="V458" s="81"/>
      <c r="W458" s="81"/>
      <c r="X458" s="81"/>
      <c r="Y458" s="81"/>
    </row>
    <row r="459" customFormat="false" ht="12" hidden="false" customHeight="true" outlineLevel="0" collapsed="false">
      <c r="A459" s="91"/>
      <c r="B459" s="81"/>
      <c r="C459" s="81"/>
      <c r="D459" s="81"/>
      <c r="E459" s="81"/>
      <c r="F459" s="173"/>
      <c r="G459" s="173"/>
      <c r="H459" s="173"/>
      <c r="I459" s="173"/>
      <c r="J459" s="173"/>
      <c r="K459" s="173"/>
      <c r="L459" s="80"/>
      <c r="M459" s="81"/>
      <c r="N459" s="102"/>
      <c r="O459" s="102"/>
      <c r="P459" s="81"/>
      <c r="Q459" s="81"/>
      <c r="R459" s="81"/>
      <c r="S459" s="81"/>
      <c r="T459" s="81"/>
      <c r="U459" s="81"/>
      <c r="V459" s="81"/>
      <c r="W459" s="81"/>
      <c r="X459" s="81"/>
      <c r="Y459" s="81"/>
    </row>
    <row r="460" customFormat="false" ht="12" hidden="false" customHeight="true" outlineLevel="0" collapsed="false">
      <c r="A460" s="91"/>
      <c r="B460" s="81"/>
      <c r="C460" s="81"/>
      <c r="D460" s="81"/>
      <c r="E460" s="81"/>
      <c r="F460" s="173"/>
      <c r="G460" s="173"/>
      <c r="H460" s="173"/>
      <c r="I460" s="173"/>
      <c r="J460" s="173"/>
      <c r="K460" s="173"/>
      <c r="L460" s="80"/>
      <c r="M460" s="81"/>
      <c r="N460" s="102"/>
      <c r="O460" s="102"/>
      <c r="P460" s="81"/>
      <c r="Q460" s="81"/>
      <c r="R460" s="81"/>
      <c r="S460" s="81"/>
      <c r="T460" s="81"/>
      <c r="U460" s="81"/>
      <c r="V460" s="81"/>
      <c r="W460" s="81"/>
      <c r="X460" s="81"/>
      <c r="Y460" s="81"/>
    </row>
    <row r="461" customFormat="false" ht="12" hidden="false" customHeight="true" outlineLevel="0" collapsed="false">
      <c r="A461" s="91"/>
      <c r="B461" s="81"/>
      <c r="C461" s="81"/>
      <c r="D461" s="81"/>
      <c r="E461" s="81"/>
      <c r="F461" s="173"/>
      <c r="G461" s="173"/>
      <c r="H461" s="173"/>
      <c r="I461" s="173"/>
      <c r="J461" s="173"/>
      <c r="K461" s="173"/>
      <c r="L461" s="80"/>
      <c r="M461" s="81"/>
      <c r="N461" s="102"/>
      <c r="O461" s="102"/>
      <c r="P461" s="81"/>
      <c r="Q461" s="81"/>
      <c r="R461" s="81"/>
      <c r="S461" s="81"/>
      <c r="T461" s="81"/>
      <c r="U461" s="81"/>
      <c r="V461" s="81"/>
      <c r="W461" s="81"/>
      <c r="X461" s="81"/>
      <c r="Y461" s="81"/>
    </row>
    <row r="462" customFormat="false" ht="12" hidden="false" customHeight="true" outlineLevel="0" collapsed="false">
      <c r="A462" s="91"/>
      <c r="B462" s="81"/>
      <c r="C462" s="81"/>
      <c r="D462" s="81"/>
      <c r="E462" s="81"/>
      <c r="F462" s="173"/>
      <c r="G462" s="173"/>
      <c r="H462" s="173"/>
      <c r="I462" s="173"/>
      <c r="J462" s="173"/>
      <c r="K462" s="173"/>
      <c r="L462" s="80"/>
      <c r="M462" s="81"/>
      <c r="N462" s="102"/>
      <c r="O462" s="102"/>
      <c r="P462" s="81"/>
      <c r="Q462" s="81"/>
      <c r="R462" s="81"/>
      <c r="S462" s="81"/>
      <c r="T462" s="81"/>
      <c r="U462" s="81"/>
      <c r="V462" s="81"/>
      <c r="W462" s="81"/>
      <c r="X462" s="81"/>
      <c r="Y462" s="81"/>
    </row>
    <row r="463" customFormat="false" ht="12" hidden="false" customHeight="true" outlineLevel="0" collapsed="false">
      <c r="A463" s="91"/>
      <c r="B463" s="81"/>
      <c r="C463" s="81"/>
      <c r="D463" s="81"/>
      <c r="E463" s="81"/>
      <c r="F463" s="173"/>
      <c r="G463" s="173"/>
      <c r="H463" s="173"/>
      <c r="I463" s="173"/>
      <c r="J463" s="173"/>
      <c r="K463" s="173"/>
      <c r="L463" s="80"/>
      <c r="M463" s="81"/>
      <c r="N463" s="102"/>
      <c r="O463" s="102"/>
      <c r="P463" s="81"/>
      <c r="Q463" s="81"/>
      <c r="R463" s="81"/>
      <c r="S463" s="81"/>
      <c r="T463" s="81"/>
      <c r="U463" s="81"/>
      <c r="V463" s="81"/>
      <c r="W463" s="81"/>
      <c r="X463" s="81"/>
      <c r="Y463" s="81"/>
    </row>
    <row r="464" customFormat="false" ht="12" hidden="false" customHeight="true" outlineLevel="0" collapsed="false">
      <c r="A464" s="91"/>
      <c r="B464" s="81"/>
      <c r="C464" s="81"/>
      <c r="D464" s="81"/>
      <c r="E464" s="81"/>
      <c r="F464" s="173"/>
      <c r="G464" s="173"/>
      <c r="H464" s="173"/>
      <c r="I464" s="173"/>
      <c r="J464" s="173"/>
      <c r="K464" s="173"/>
      <c r="L464" s="80"/>
      <c r="M464" s="81"/>
      <c r="N464" s="102"/>
      <c r="O464" s="102"/>
      <c r="P464" s="81"/>
      <c r="Q464" s="81"/>
      <c r="R464" s="81"/>
      <c r="S464" s="81"/>
      <c r="T464" s="81"/>
      <c r="U464" s="81"/>
      <c r="V464" s="81"/>
      <c r="W464" s="81"/>
      <c r="X464" s="81"/>
      <c r="Y464" s="81"/>
    </row>
    <row r="465" customFormat="false" ht="12" hidden="false" customHeight="true" outlineLevel="0" collapsed="false">
      <c r="A465" s="91"/>
      <c r="B465" s="81"/>
      <c r="C465" s="81"/>
      <c r="D465" s="81"/>
      <c r="E465" s="81"/>
      <c r="F465" s="173"/>
      <c r="G465" s="173"/>
      <c r="H465" s="173"/>
      <c r="I465" s="173"/>
      <c r="J465" s="173"/>
      <c r="K465" s="173"/>
      <c r="L465" s="80"/>
      <c r="M465" s="81"/>
      <c r="N465" s="102"/>
      <c r="O465" s="102"/>
      <c r="P465" s="81"/>
      <c r="Q465" s="81"/>
      <c r="R465" s="81"/>
      <c r="S465" s="81"/>
      <c r="T465" s="81"/>
      <c r="U465" s="81"/>
      <c r="V465" s="81"/>
      <c r="W465" s="81"/>
      <c r="X465" s="81"/>
      <c r="Y465" s="81"/>
    </row>
    <row r="466" customFormat="false" ht="12" hidden="false" customHeight="true" outlineLevel="0" collapsed="false">
      <c r="A466" s="91"/>
      <c r="B466" s="81"/>
      <c r="C466" s="81"/>
      <c r="D466" s="81"/>
      <c r="E466" s="81"/>
      <c r="F466" s="173"/>
      <c r="G466" s="173"/>
      <c r="H466" s="173"/>
      <c r="I466" s="173"/>
      <c r="J466" s="173"/>
      <c r="K466" s="173"/>
      <c r="L466" s="80"/>
      <c r="M466" s="81"/>
      <c r="N466" s="102"/>
      <c r="O466" s="102"/>
      <c r="P466" s="81"/>
      <c r="Q466" s="81"/>
      <c r="R466" s="81"/>
      <c r="S466" s="81"/>
      <c r="T466" s="81"/>
      <c r="U466" s="81"/>
      <c r="V466" s="81"/>
      <c r="W466" s="81"/>
      <c r="X466" s="81"/>
      <c r="Y466" s="81"/>
    </row>
    <row r="467" customFormat="false" ht="12" hidden="false" customHeight="true" outlineLevel="0" collapsed="false">
      <c r="A467" s="91"/>
      <c r="B467" s="81"/>
      <c r="C467" s="81"/>
      <c r="D467" s="81"/>
      <c r="E467" s="81"/>
      <c r="F467" s="173"/>
      <c r="G467" s="173"/>
      <c r="H467" s="173"/>
      <c r="I467" s="173"/>
      <c r="J467" s="173"/>
      <c r="K467" s="173"/>
      <c r="L467" s="80"/>
      <c r="M467" s="81"/>
      <c r="N467" s="102"/>
      <c r="O467" s="102"/>
      <c r="P467" s="81"/>
      <c r="Q467" s="81"/>
      <c r="R467" s="81"/>
      <c r="S467" s="81"/>
      <c r="T467" s="81"/>
      <c r="U467" s="81"/>
      <c r="V467" s="81"/>
      <c r="W467" s="81"/>
      <c r="X467" s="81"/>
      <c r="Y467" s="81"/>
    </row>
    <row r="468" customFormat="false" ht="12" hidden="false" customHeight="true" outlineLevel="0" collapsed="false">
      <c r="A468" s="91"/>
      <c r="B468" s="81"/>
      <c r="C468" s="81"/>
      <c r="D468" s="81"/>
      <c r="E468" s="81"/>
      <c r="F468" s="173"/>
      <c r="G468" s="173"/>
      <c r="H468" s="173"/>
      <c r="I468" s="173"/>
      <c r="J468" s="173"/>
      <c r="K468" s="173"/>
      <c r="L468" s="80"/>
      <c r="M468" s="81"/>
      <c r="N468" s="102"/>
      <c r="O468" s="102"/>
      <c r="P468" s="81"/>
      <c r="Q468" s="81"/>
      <c r="R468" s="81"/>
      <c r="S468" s="81"/>
      <c r="T468" s="81"/>
      <c r="U468" s="81"/>
      <c r="V468" s="81"/>
      <c r="W468" s="81"/>
      <c r="X468" s="81"/>
      <c r="Y468" s="81"/>
    </row>
    <row r="469" customFormat="false" ht="12" hidden="false" customHeight="true" outlineLevel="0" collapsed="false">
      <c r="A469" s="91"/>
      <c r="B469" s="81"/>
      <c r="C469" s="81"/>
      <c r="D469" s="81"/>
      <c r="E469" s="81"/>
      <c r="F469" s="173"/>
      <c r="G469" s="173"/>
      <c r="H469" s="173"/>
      <c r="I469" s="173"/>
      <c r="J469" s="173"/>
      <c r="K469" s="173"/>
      <c r="L469" s="80"/>
      <c r="M469" s="81"/>
      <c r="N469" s="102"/>
      <c r="O469" s="102"/>
      <c r="P469" s="81"/>
      <c r="Q469" s="81"/>
      <c r="R469" s="81"/>
      <c r="S469" s="81"/>
      <c r="T469" s="81"/>
      <c r="U469" s="81"/>
      <c r="V469" s="81"/>
      <c r="W469" s="81"/>
      <c r="X469" s="81"/>
      <c r="Y469" s="81"/>
    </row>
    <row r="470" customFormat="false" ht="12" hidden="false" customHeight="true" outlineLevel="0" collapsed="false">
      <c r="A470" s="91"/>
      <c r="B470" s="81"/>
      <c r="C470" s="81"/>
      <c r="D470" s="81"/>
      <c r="E470" s="81"/>
      <c r="F470" s="173"/>
      <c r="G470" s="173"/>
      <c r="H470" s="173"/>
      <c r="I470" s="173"/>
      <c r="J470" s="173"/>
      <c r="K470" s="173"/>
      <c r="L470" s="80"/>
      <c r="M470" s="81"/>
      <c r="N470" s="102"/>
      <c r="O470" s="102"/>
      <c r="P470" s="81"/>
      <c r="Q470" s="81"/>
      <c r="R470" s="81"/>
      <c r="S470" s="81"/>
      <c r="T470" s="81"/>
      <c r="U470" s="81"/>
      <c r="V470" s="81"/>
      <c r="W470" s="81"/>
      <c r="X470" s="81"/>
      <c r="Y470" s="81"/>
    </row>
    <row r="471" customFormat="false" ht="12" hidden="false" customHeight="true" outlineLevel="0" collapsed="false">
      <c r="A471" s="91"/>
      <c r="B471" s="81"/>
      <c r="C471" s="81"/>
      <c r="D471" s="81"/>
      <c r="E471" s="81"/>
      <c r="F471" s="173"/>
      <c r="G471" s="173"/>
      <c r="H471" s="173"/>
      <c r="I471" s="173"/>
      <c r="J471" s="173"/>
      <c r="K471" s="173"/>
      <c r="L471" s="80"/>
      <c r="M471" s="81"/>
      <c r="N471" s="102"/>
      <c r="O471" s="102"/>
      <c r="P471" s="81"/>
      <c r="Q471" s="81"/>
      <c r="R471" s="81"/>
      <c r="S471" s="81"/>
      <c r="T471" s="81"/>
      <c r="U471" s="81"/>
      <c r="V471" s="81"/>
      <c r="W471" s="81"/>
      <c r="X471" s="81"/>
      <c r="Y471" s="81"/>
    </row>
    <row r="472" customFormat="false" ht="12" hidden="false" customHeight="true" outlineLevel="0" collapsed="false">
      <c r="A472" s="91"/>
      <c r="B472" s="81"/>
      <c r="C472" s="81"/>
      <c r="D472" s="81"/>
      <c r="E472" s="81"/>
      <c r="F472" s="173"/>
      <c r="G472" s="173"/>
      <c r="H472" s="173"/>
      <c r="I472" s="173"/>
      <c r="J472" s="173"/>
      <c r="K472" s="173"/>
      <c r="L472" s="80"/>
      <c r="M472" s="81"/>
      <c r="N472" s="102"/>
      <c r="O472" s="102"/>
      <c r="P472" s="81"/>
      <c r="Q472" s="81"/>
      <c r="R472" s="81"/>
      <c r="S472" s="81"/>
      <c r="T472" s="81"/>
      <c r="U472" s="81"/>
      <c r="V472" s="81"/>
      <c r="W472" s="81"/>
      <c r="X472" s="81"/>
      <c r="Y472" s="81"/>
    </row>
    <row r="473" customFormat="false" ht="12" hidden="false" customHeight="true" outlineLevel="0" collapsed="false">
      <c r="A473" s="91"/>
      <c r="B473" s="81"/>
      <c r="C473" s="81"/>
      <c r="D473" s="81"/>
      <c r="E473" s="81"/>
      <c r="F473" s="173"/>
      <c r="G473" s="173"/>
      <c r="H473" s="173"/>
      <c r="I473" s="173"/>
      <c r="J473" s="173"/>
      <c r="K473" s="173"/>
      <c r="L473" s="80"/>
      <c r="M473" s="81"/>
      <c r="N473" s="102"/>
      <c r="O473" s="102"/>
      <c r="P473" s="81"/>
      <c r="Q473" s="81"/>
      <c r="R473" s="81"/>
      <c r="S473" s="81"/>
      <c r="T473" s="81"/>
      <c r="U473" s="81"/>
      <c r="V473" s="81"/>
      <c r="W473" s="81"/>
      <c r="X473" s="81"/>
      <c r="Y473" s="81"/>
    </row>
    <row r="474" customFormat="false" ht="12" hidden="false" customHeight="true" outlineLevel="0" collapsed="false">
      <c r="A474" s="91"/>
      <c r="B474" s="81"/>
      <c r="C474" s="81"/>
      <c r="D474" s="81"/>
      <c r="E474" s="81"/>
      <c r="F474" s="173"/>
      <c r="G474" s="173"/>
      <c r="H474" s="173"/>
      <c r="I474" s="173"/>
      <c r="J474" s="173"/>
      <c r="K474" s="173"/>
      <c r="L474" s="80"/>
      <c r="M474" s="81"/>
      <c r="N474" s="102"/>
      <c r="O474" s="102"/>
      <c r="P474" s="81"/>
      <c r="Q474" s="81"/>
      <c r="R474" s="81"/>
      <c r="S474" s="81"/>
      <c r="T474" s="81"/>
      <c r="U474" s="81"/>
      <c r="V474" s="81"/>
      <c r="W474" s="81"/>
      <c r="X474" s="81"/>
      <c r="Y474" s="81"/>
    </row>
    <row r="475" customFormat="false" ht="12" hidden="false" customHeight="true" outlineLevel="0" collapsed="false">
      <c r="A475" s="91"/>
      <c r="B475" s="81"/>
      <c r="C475" s="81"/>
      <c r="D475" s="81"/>
      <c r="E475" s="81"/>
      <c r="F475" s="173"/>
      <c r="G475" s="173"/>
      <c r="H475" s="173"/>
      <c r="I475" s="173"/>
      <c r="J475" s="173"/>
      <c r="K475" s="173"/>
      <c r="L475" s="80"/>
      <c r="M475" s="81"/>
      <c r="N475" s="102"/>
      <c r="O475" s="102"/>
      <c r="P475" s="81"/>
      <c r="Q475" s="81"/>
      <c r="R475" s="81"/>
      <c r="S475" s="81"/>
      <c r="T475" s="81"/>
      <c r="U475" s="81"/>
      <c r="V475" s="81"/>
      <c r="W475" s="81"/>
      <c r="X475" s="81"/>
      <c r="Y475" s="81"/>
    </row>
    <row r="476" customFormat="false" ht="12" hidden="false" customHeight="true" outlineLevel="0" collapsed="false">
      <c r="A476" s="91"/>
      <c r="B476" s="81"/>
      <c r="C476" s="81"/>
      <c r="D476" s="81"/>
      <c r="E476" s="81"/>
      <c r="F476" s="173"/>
      <c r="G476" s="173"/>
      <c r="H476" s="173"/>
      <c r="I476" s="173"/>
      <c r="J476" s="173"/>
      <c r="K476" s="173"/>
      <c r="L476" s="80"/>
      <c r="M476" s="81"/>
      <c r="N476" s="102"/>
      <c r="O476" s="102"/>
      <c r="P476" s="81"/>
      <c r="Q476" s="81"/>
      <c r="R476" s="81"/>
      <c r="S476" s="81"/>
      <c r="T476" s="81"/>
      <c r="U476" s="81"/>
      <c r="V476" s="81"/>
      <c r="W476" s="81"/>
      <c r="X476" s="81"/>
      <c r="Y476" s="81"/>
    </row>
    <row r="477" customFormat="false" ht="12" hidden="false" customHeight="true" outlineLevel="0" collapsed="false">
      <c r="A477" s="91"/>
      <c r="B477" s="81"/>
      <c r="C477" s="81"/>
      <c r="D477" s="81"/>
      <c r="E477" s="81"/>
      <c r="F477" s="173"/>
      <c r="G477" s="173"/>
      <c r="H477" s="173"/>
      <c r="I477" s="173"/>
      <c r="J477" s="173"/>
      <c r="K477" s="173"/>
      <c r="L477" s="80"/>
      <c r="M477" s="81"/>
      <c r="N477" s="102"/>
      <c r="O477" s="102"/>
      <c r="P477" s="81"/>
      <c r="Q477" s="81"/>
      <c r="R477" s="81"/>
      <c r="S477" s="81"/>
      <c r="T477" s="81"/>
      <c r="U477" s="81"/>
      <c r="V477" s="81"/>
      <c r="W477" s="81"/>
      <c r="X477" s="81"/>
      <c r="Y477" s="81"/>
    </row>
    <row r="478" customFormat="false" ht="12" hidden="false" customHeight="true" outlineLevel="0" collapsed="false">
      <c r="A478" s="91"/>
      <c r="B478" s="81"/>
      <c r="C478" s="81"/>
      <c r="D478" s="81"/>
      <c r="E478" s="81"/>
      <c r="F478" s="173"/>
      <c r="G478" s="173"/>
      <c r="H478" s="173"/>
      <c r="I478" s="173"/>
      <c r="J478" s="173"/>
      <c r="K478" s="173"/>
      <c r="L478" s="80"/>
      <c r="M478" s="81"/>
      <c r="N478" s="102"/>
      <c r="O478" s="102"/>
      <c r="P478" s="81"/>
      <c r="Q478" s="81"/>
      <c r="R478" s="81"/>
      <c r="S478" s="81"/>
      <c r="T478" s="81"/>
      <c r="U478" s="81"/>
      <c r="V478" s="81"/>
      <c r="W478" s="81"/>
      <c r="X478" s="81"/>
      <c r="Y478" s="81"/>
    </row>
    <row r="479" customFormat="false" ht="12" hidden="false" customHeight="true" outlineLevel="0" collapsed="false">
      <c r="A479" s="91"/>
      <c r="B479" s="81"/>
      <c r="C479" s="81"/>
      <c r="D479" s="81"/>
      <c r="E479" s="81"/>
      <c r="F479" s="173"/>
      <c r="G479" s="173"/>
      <c r="H479" s="173"/>
      <c r="I479" s="173"/>
      <c r="J479" s="173"/>
      <c r="K479" s="173"/>
      <c r="L479" s="80"/>
      <c r="M479" s="81"/>
      <c r="N479" s="102"/>
      <c r="O479" s="102"/>
      <c r="P479" s="81"/>
      <c r="Q479" s="81"/>
      <c r="R479" s="81"/>
      <c r="S479" s="81"/>
      <c r="T479" s="81"/>
      <c r="U479" s="81"/>
      <c r="V479" s="81"/>
      <c r="W479" s="81"/>
      <c r="X479" s="81"/>
      <c r="Y479" s="81"/>
    </row>
    <row r="480" customFormat="false" ht="12" hidden="false" customHeight="true" outlineLevel="0" collapsed="false">
      <c r="A480" s="91"/>
      <c r="B480" s="81"/>
      <c r="C480" s="81"/>
      <c r="D480" s="81"/>
      <c r="E480" s="81"/>
      <c r="F480" s="173"/>
      <c r="G480" s="173"/>
      <c r="H480" s="173"/>
      <c r="I480" s="173"/>
      <c r="J480" s="173"/>
      <c r="K480" s="173"/>
      <c r="L480" s="80"/>
      <c r="M480" s="81"/>
      <c r="N480" s="102"/>
      <c r="O480" s="102"/>
      <c r="P480" s="81"/>
      <c r="Q480" s="81"/>
      <c r="R480" s="81"/>
      <c r="S480" s="81"/>
      <c r="T480" s="81"/>
      <c r="U480" s="81"/>
      <c r="V480" s="81"/>
      <c r="W480" s="81"/>
      <c r="X480" s="81"/>
      <c r="Y480" s="81"/>
    </row>
    <row r="481" customFormat="false" ht="12" hidden="false" customHeight="true" outlineLevel="0" collapsed="false">
      <c r="A481" s="91"/>
      <c r="B481" s="81"/>
      <c r="C481" s="81"/>
      <c r="D481" s="81"/>
      <c r="E481" s="81"/>
      <c r="F481" s="173"/>
      <c r="G481" s="173"/>
      <c r="H481" s="173"/>
      <c r="I481" s="173"/>
      <c r="J481" s="173"/>
      <c r="K481" s="173"/>
      <c r="L481" s="80"/>
      <c r="M481" s="81"/>
      <c r="N481" s="102"/>
      <c r="O481" s="102"/>
      <c r="P481" s="81"/>
      <c r="Q481" s="81"/>
      <c r="R481" s="81"/>
      <c r="S481" s="81"/>
      <c r="T481" s="81"/>
      <c r="U481" s="81"/>
      <c r="V481" s="81"/>
      <c r="W481" s="81"/>
      <c r="X481" s="81"/>
      <c r="Y481" s="81"/>
    </row>
    <row r="482" customFormat="false" ht="12" hidden="false" customHeight="true" outlineLevel="0" collapsed="false">
      <c r="A482" s="91"/>
      <c r="B482" s="81"/>
      <c r="C482" s="81"/>
      <c r="D482" s="81"/>
      <c r="E482" s="81"/>
      <c r="F482" s="173"/>
      <c r="G482" s="173"/>
      <c r="H482" s="173"/>
      <c r="I482" s="173"/>
      <c r="J482" s="173"/>
      <c r="K482" s="173"/>
      <c r="L482" s="80"/>
      <c r="M482" s="81"/>
      <c r="N482" s="102"/>
      <c r="O482" s="102"/>
      <c r="P482" s="81"/>
      <c r="Q482" s="81"/>
      <c r="R482" s="81"/>
      <c r="S482" s="81"/>
      <c r="T482" s="81"/>
      <c r="U482" s="81"/>
      <c r="V482" s="81"/>
      <c r="W482" s="81"/>
      <c r="X482" s="81"/>
      <c r="Y482" s="81"/>
    </row>
    <row r="483" customFormat="false" ht="12" hidden="false" customHeight="true" outlineLevel="0" collapsed="false">
      <c r="A483" s="91"/>
      <c r="B483" s="81"/>
      <c r="C483" s="81"/>
      <c r="D483" s="81"/>
      <c r="E483" s="81"/>
      <c r="F483" s="173"/>
      <c r="G483" s="173"/>
      <c r="H483" s="173"/>
      <c r="I483" s="173"/>
      <c r="J483" s="173"/>
      <c r="K483" s="173"/>
      <c r="L483" s="80"/>
      <c r="M483" s="81"/>
      <c r="N483" s="102"/>
      <c r="O483" s="102"/>
      <c r="P483" s="81"/>
      <c r="Q483" s="81"/>
      <c r="R483" s="81"/>
      <c r="S483" s="81"/>
      <c r="T483" s="81"/>
      <c r="U483" s="81"/>
      <c r="V483" s="81"/>
      <c r="W483" s="81"/>
      <c r="X483" s="81"/>
      <c r="Y483" s="81"/>
    </row>
    <row r="484" customFormat="false" ht="12" hidden="false" customHeight="true" outlineLevel="0" collapsed="false">
      <c r="A484" s="91"/>
      <c r="B484" s="81"/>
      <c r="C484" s="81"/>
      <c r="D484" s="81"/>
      <c r="E484" s="81"/>
      <c r="F484" s="173"/>
      <c r="G484" s="173"/>
      <c r="H484" s="173"/>
      <c r="I484" s="173"/>
      <c r="J484" s="173"/>
      <c r="K484" s="173"/>
      <c r="L484" s="80"/>
      <c r="M484" s="81"/>
      <c r="N484" s="102"/>
      <c r="O484" s="102"/>
      <c r="P484" s="81"/>
      <c r="Q484" s="81"/>
      <c r="R484" s="81"/>
      <c r="S484" s="81"/>
      <c r="T484" s="81"/>
      <c r="U484" s="81"/>
      <c r="V484" s="81"/>
      <c r="W484" s="81"/>
      <c r="X484" s="81"/>
      <c r="Y484" s="81"/>
    </row>
    <row r="485" customFormat="false" ht="12" hidden="false" customHeight="true" outlineLevel="0" collapsed="false">
      <c r="A485" s="91"/>
      <c r="B485" s="81"/>
      <c r="C485" s="81"/>
      <c r="D485" s="81"/>
      <c r="E485" s="81"/>
      <c r="F485" s="173"/>
      <c r="G485" s="173"/>
      <c r="H485" s="173"/>
      <c r="I485" s="173"/>
      <c r="J485" s="173"/>
      <c r="K485" s="173"/>
      <c r="L485" s="80"/>
      <c r="M485" s="81"/>
      <c r="N485" s="102"/>
      <c r="O485" s="102"/>
      <c r="P485" s="81"/>
      <c r="Q485" s="81"/>
      <c r="R485" s="81"/>
      <c r="S485" s="81"/>
      <c r="T485" s="81"/>
      <c r="U485" s="81"/>
      <c r="V485" s="81"/>
      <c r="W485" s="81"/>
      <c r="X485" s="81"/>
      <c r="Y485" s="81"/>
    </row>
    <row r="486" customFormat="false" ht="12" hidden="false" customHeight="true" outlineLevel="0" collapsed="false">
      <c r="A486" s="91"/>
      <c r="B486" s="81"/>
      <c r="C486" s="81"/>
      <c r="D486" s="81"/>
      <c r="E486" s="81"/>
      <c r="F486" s="173"/>
      <c r="G486" s="173"/>
      <c r="H486" s="173"/>
      <c r="I486" s="173"/>
      <c r="J486" s="173"/>
      <c r="K486" s="173"/>
      <c r="L486" s="80"/>
      <c r="M486" s="81"/>
      <c r="N486" s="102"/>
      <c r="O486" s="102"/>
      <c r="P486" s="81"/>
      <c r="Q486" s="81"/>
      <c r="R486" s="81"/>
      <c r="S486" s="81"/>
      <c r="T486" s="81"/>
      <c r="U486" s="81"/>
      <c r="V486" s="81"/>
      <c r="W486" s="81"/>
      <c r="X486" s="81"/>
      <c r="Y486" s="81"/>
    </row>
    <row r="487" customFormat="false" ht="12" hidden="false" customHeight="true" outlineLevel="0" collapsed="false">
      <c r="A487" s="91"/>
      <c r="B487" s="81"/>
      <c r="C487" s="81"/>
      <c r="D487" s="81"/>
      <c r="E487" s="81"/>
      <c r="F487" s="173"/>
      <c r="G487" s="173"/>
      <c r="H487" s="173"/>
      <c r="I487" s="173"/>
      <c r="J487" s="173"/>
      <c r="K487" s="173"/>
      <c r="L487" s="80"/>
      <c r="M487" s="81"/>
      <c r="N487" s="102"/>
      <c r="O487" s="102"/>
      <c r="P487" s="81"/>
      <c r="Q487" s="81"/>
      <c r="R487" s="81"/>
      <c r="S487" s="81"/>
      <c r="T487" s="81"/>
      <c r="U487" s="81"/>
      <c r="V487" s="81"/>
      <c r="W487" s="81"/>
      <c r="X487" s="81"/>
      <c r="Y487" s="81"/>
    </row>
    <row r="488" customFormat="false" ht="12" hidden="false" customHeight="true" outlineLevel="0" collapsed="false">
      <c r="A488" s="91"/>
      <c r="B488" s="81"/>
      <c r="C488" s="81"/>
      <c r="D488" s="81"/>
      <c r="E488" s="81"/>
      <c r="F488" s="173"/>
      <c r="G488" s="173"/>
      <c r="H488" s="173"/>
      <c r="I488" s="173"/>
      <c r="J488" s="173"/>
      <c r="K488" s="173"/>
      <c r="L488" s="80"/>
      <c r="M488" s="81"/>
      <c r="N488" s="102"/>
      <c r="O488" s="102"/>
      <c r="P488" s="81"/>
      <c r="Q488" s="81"/>
      <c r="R488" s="81"/>
      <c r="S488" s="81"/>
      <c r="T488" s="81"/>
      <c r="U488" s="81"/>
      <c r="V488" s="81"/>
      <c r="W488" s="81"/>
      <c r="X488" s="81"/>
      <c r="Y488" s="81"/>
    </row>
    <row r="489" customFormat="false" ht="12" hidden="false" customHeight="true" outlineLevel="0" collapsed="false">
      <c r="A489" s="91"/>
      <c r="B489" s="81"/>
      <c r="C489" s="81"/>
      <c r="D489" s="81"/>
      <c r="E489" s="81"/>
      <c r="F489" s="173"/>
      <c r="G489" s="173"/>
      <c r="H489" s="173"/>
      <c r="I489" s="173"/>
      <c r="J489" s="173"/>
      <c r="K489" s="173"/>
      <c r="L489" s="80"/>
      <c r="M489" s="81"/>
      <c r="N489" s="102"/>
      <c r="O489" s="102"/>
      <c r="P489" s="81"/>
      <c r="Q489" s="81"/>
      <c r="R489" s="81"/>
      <c r="S489" s="81"/>
      <c r="T489" s="81"/>
      <c r="U489" s="81"/>
      <c r="V489" s="81"/>
      <c r="W489" s="81"/>
      <c r="X489" s="81"/>
      <c r="Y489" s="81"/>
    </row>
    <row r="490" customFormat="false" ht="12" hidden="false" customHeight="true" outlineLevel="0" collapsed="false">
      <c r="A490" s="91"/>
      <c r="B490" s="81"/>
      <c r="C490" s="81"/>
      <c r="D490" s="81"/>
      <c r="E490" s="81"/>
      <c r="F490" s="173"/>
      <c r="G490" s="173"/>
      <c r="H490" s="173"/>
      <c r="I490" s="173"/>
      <c r="J490" s="173"/>
      <c r="K490" s="173"/>
      <c r="L490" s="80"/>
      <c r="M490" s="81"/>
      <c r="N490" s="102"/>
      <c r="O490" s="102"/>
      <c r="P490" s="81"/>
      <c r="Q490" s="81"/>
      <c r="R490" s="81"/>
      <c r="S490" s="81"/>
      <c r="T490" s="81"/>
      <c r="U490" s="81"/>
      <c r="V490" s="81"/>
      <c r="W490" s="81"/>
      <c r="X490" s="81"/>
      <c r="Y490" s="81"/>
    </row>
    <row r="491" customFormat="false" ht="12" hidden="false" customHeight="true" outlineLevel="0" collapsed="false">
      <c r="A491" s="91"/>
      <c r="B491" s="81"/>
      <c r="C491" s="81"/>
      <c r="D491" s="81"/>
      <c r="E491" s="81"/>
      <c r="F491" s="173"/>
      <c r="G491" s="173"/>
      <c r="H491" s="173"/>
      <c r="I491" s="173"/>
      <c r="J491" s="173"/>
      <c r="K491" s="173"/>
      <c r="L491" s="80"/>
      <c r="M491" s="81"/>
      <c r="N491" s="102"/>
      <c r="O491" s="102"/>
      <c r="P491" s="81"/>
      <c r="Q491" s="81"/>
      <c r="R491" s="81"/>
      <c r="S491" s="81"/>
      <c r="T491" s="81"/>
      <c r="U491" s="81"/>
      <c r="V491" s="81"/>
      <c r="W491" s="81"/>
      <c r="X491" s="81"/>
      <c r="Y491" s="81"/>
    </row>
    <row r="492" customFormat="false" ht="12" hidden="false" customHeight="true" outlineLevel="0" collapsed="false">
      <c r="A492" s="91"/>
      <c r="B492" s="81"/>
      <c r="C492" s="81"/>
      <c r="D492" s="81"/>
      <c r="E492" s="81"/>
      <c r="F492" s="173"/>
      <c r="G492" s="173"/>
      <c r="H492" s="173"/>
      <c r="I492" s="173"/>
      <c r="J492" s="173"/>
      <c r="K492" s="173"/>
      <c r="L492" s="80"/>
      <c r="M492" s="81"/>
      <c r="N492" s="102"/>
      <c r="O492" s="102"/>
      <c r="P492" s="81"/>
      <c r="Q492" s="81"/>
      <c r="R492" s="81"/>
      <c r="S492" s="81"/>
      <c r="T492" s="81"/>
      <c r="U492" s="81"/>
      <c r="V492" s="81"/>
      <c r="W492" s="81"/>
      <c r="X492" s="81"/>
      <c r="Y492" s="81"/>
    </row>
    <row r="493" customFormat="false" ht="12" hidden="false" customHeight="true" outlineLevel="0" collapsed="false">
      <c r="A493" s="91"/>
      <c r="B493" s="81"/>
      <c r="C493" s="81"/>
      <c r="D493" s="81"/>
      <c r="E493" s="81"/>
      <c r="F493" s="173"/>
      <c r="G493" s="173"/>
      <c r="H493" s="173"/>
      <c r="I493" s="173"/>
      <c r="J493" s="173"/>
      <c r="K493" s="173"/>
      <c r="L493" s="80"/>
      <c r="M493" s="81"/>
      <c r="N493" s="102"/>
      <c r="O493" s="102"/>
      <c r="P493" s="81"/>
      <c r="Q493" s="81"/>
      <c r="R493" s="81"/>
      <c r="S493" s="81"/>
      <c r="T493" s="81"/>
      <c r="U493" s="81"/>
      <c r="V493" s="81"/>
      <c r="W493" s="81"/>
      <c r="X493" s="81"/>
      <c r="Y493" s="81"/>
    </row>
    <row r="494" customFormat="false" ht="12" hidden="false" customHeight="true" outlineLevel="0" collapsed="false">
      <c r="A494" s="91"/>
      <c r="B494" s="81"/>
      <c r="C494" s="81"/>
      <c r="D494" s="81"/>
      <c r="E494" s="81"/>
      <c r="F494" s="173"/>
      <c r="G494" s="173"/>
      <c r="H494" s="173"/>
      <c r="I494" s="173"/>
      <c r="J494" s="173"/>
      <c r="K494" s="173"/>
      <c r="L494" s="80"/>
      <c r="M494" s="81"/>
      <c r="N494" s="102"/>
      <c r="O494" s="102"/>
      <c r="P494" s="81"/>
      <c r="Q494" s="81"/>
      <c r="R494" s="81"/>
      <c r="S494" s="81"/>
      <c r="T494" s="81"/>
      <c r="U494" s="81"/>
      <c r="V494" s="81"/>
      <c r="W494" s="81"/>
      <c r="X494" s="81"/>
      <c r="Y494" s="81"/>
    </row>
    <row r="495" customFormat="false" ht="12" hidden="false" customHeight="true" outlineLevel="0" collapsed="false">
      <c r="A495" s="91"/>
      <c r="B495" s="81"/>
      <c r="C495" s="81"/>
      <c r="D495" s="81"/>
      <c r="E495" s="81"/>
      <c r="F495" s="173"/>
      <c r="G495" s="173"/>
      <c r="H495" s="173"/>
      <c r="I495" s="173"/>
      <c r="J495" s="173"/>
      <c r="K495" s="173"/>
      <c r="L495" s="80"/>
      <c r="M495" s="81"/>
      <c r="N495" s="102"/>
      <c r="O495" s="102"/>
      <c r="P495" s="81"/>
      <c r="Q495" s="81"/>
      <c r="R495" s="81"/>
      <c r="S495" s="81"/>
      <c r="T495" s="81"/>
      <c r="U495" s="81"/>
      <c r="V495" s="81"/>
      <c r="W495" s="81"/>
      <c r="X495" s="81"/>
      <c r="Y495" s="81"/>
    </row>
    <row r="496" customFormat="false" ht="12" hidden="false" customHeight="true" outlineLevel="0" collapsed="false">
      <c r="A496" s="91"/>
      <c r="B496" s="81"/>
      <c r="C496" s="81"/>
      <c r="D496" s="81"/>
      <c r="E496" s="81"/>
      <c r="F496" s="173"/>
      <c r="G496" s="173"/>
      <c r="H496" s="173"/>
      <c r="I496" s="173"/>
      <c r="J496" s="173"/>
      <c r="K496" s="173"/>
      <c r="L496" s="80"/>
      <c r="M496" s="81"/>
      <c r="N496" s="102"/>
      <c r="O496" s="102"/>
      <c r="P496" s="81"/>
      <c r="Q496" s="81"/>
      <c r="R496" s="81"/>
      <c r="S496" s="81"/>
      <c r="T496" s="81"/>
      <c r="U496" s="81"/>
      <c r="V496" s="81"/>
      <c r="W496" s="81"/>
      <c r="X496" s="81"/>
      <c r="Y496" s="81"/>
    </row>
    <row r="497" customFormat="false" ht="12" hidden="false" customHeight="true" outlineLevel="0" collapsed="false">
      <c r="A497" s="91"/>
      <c r="B497" s="81"/>
      <c r="C497" s="81"/>
      <c r="D497" s="81"/>
      <c r="E497" s="81"/>
      <c r="F497" s="173"/>
      <c r="G497" s="173"/>
      <c r="H497" s="173"/>
      <c r="I497" s="173"/>
      <c r="J497" s="173"/>
      <c r="K497" s="173"/>
      <c r="L497" s="80"/>
      <c r="M497" s="81"/>
      <c r="N497" s="102"/>
      <c r="O497" s="102"/>
      <c r="P497" s="81"/>
      <c r="Q497" s="81"/>
      <c r="R497" s="81"/>
      <c r="S497" s="81"/>
      <c r="T497" s="81"/>
      <c r="U497" s="81"/>
      <c r="V497" s="81"/>
      <c r="W497" s="81"/>
      <c r="X497" s="81"/>
      <c r="Y497" s="81"/>
    </row>
    <row r="498" customFormat="false" ht="12" hidden="false" customHeight="true" outlineLevel="0" collapsed="false">
      <c r="A498" s="91"/>
      <c r="B498" s="81"/>
      <c r="C498" s="81"/>
      <c r="D498" s="81"/>
      <c r="E498" s="81"/>
      <c r="F498" s="173"/>
      <c r="G498" s="173"/>
      <c r="H498" s="173"/>
      <c r="I498" s="173"/>
      <c r="J498" s="173"/>
      <c r="K498" s="173"/>
      <c r="L498" s="80"/>
      <c r="M498" s="81"/>
      <c r="N498" s="102"/>
      <c r="O498" s="102"/>
      <c r="P498" s="81"/>
      <c r="Q498" s="81"/>
      <c r="R498" s="81"/>
      <c r="S498" s="81"/>
      <c r="T498" s="81"/>
      <c r="U498" s="81"/>
      <c r="V498" s="81"/>
      <c r="W498" s="81"/>
      <c r="X498" s="81"/>
      <c r="Y498" s="81"/>
    </row>
    <row r="499" customFormat="false" ht="12" hidden="false" customHeight="true" outlineLevel="0" collapsed="false">
      <c r="A499" s="91"/>
      <c r="B499" s="81"/>
      <c r="C499" s="81"/>
      <c r="D499" s="81"/>
      <c r="E499" s="81"/>
      <c r="F499" s="173"/>
      <c r="G499" s="173"/>
      <c r="H499" s="173"/>
      <c r="I499" s="173"/>
      <c r="J499" s="173"/>
      <c r="K499" s="173"/>
      <c r="L499" s="80"/>
      <c r="M499" s="81"/>
      <c r="N499" s="102"/>
      <c r="O499" s="102"/>
      <c r="P499" s="81"/>
      <c r="Q499" s="81"/>
      <c r="R499" s="81"/>
      <c r="S499" s="81"/>
      <c r="T499" s="81"/>
      <c r="U499" s="81"/>
      <c r="V499" s="81"/>
      <c r="W499" s="81"/>
      <c r="X499" s="81"/>
      <c r="Y499" s="81"/>
    </row>
    <row r="500" customFormat="false" ht="12" hidden="false" customHeight="true" outlineLevel="0" collapsed="false">
      <c r="A500" s="91"/>
      <c r="B500" s="81"/>
      <c r="C500" s="81"/>
      <c r="D500" s="81"/>
      <c r="E500" s="81"/>
      <c r="F500" s="173"/>
      <c r="G500" s="173"/>
      <c r="H500" s="173"/>
      <c r="I500" s="173"/>
      <c r="J500" s="173"/>
      <c r="K500" s="173"/>
      <c r="L500" s="80"/>
      <c r="M500" s="81"/>
      <c r="N500" s="102"/>
      <c r="O500" s="102"/>
      <c r="P500" s="81"/>
      <c r="Q500" s="81"/>
      <c r="R500" s="81"/>
      <c r="S500" s="81"/>
      <c r="T500" s="81"/>
      <c r="U500" s="81"/>
      <c r="V500" s="81"/>
      <c r="W500" s="81"/>
      <c r="X500" s="81"/>
      <c r="Y500" s="81"/>
    </row>
    <row r="501" customFormat="false" ht="12" hidden="false" customHeight="true" outlineLevel="0" collapsed="false">
      <c r="A501" s="91"/>
      <c r="B501" s="81"/>
      <c r="C501" s="81"/>
      <c r="D501" s="81"/>
      <c r="E501" s="81"/>
      <c r="F501" s="173"/>
      <c r="G501" s="173"/>
      <c r="H501" s="173"/>
      <c r="I501" s="173"/>
      <c r="J501" s="173"/>
      <c r="K501" s="173"/>
      <c r="L501" s="80"/>
      <c r="M501" s="81"/>
      <c r="N501" s="102"/>
      <c r="O501" s="102"/>
      <c r="P501" s="81"/>
      <c r="Q501" s="81"/>
      <c r="R501" s="81"/>
      <c r="S501" s="81"/>
      <c r="T501" s="81"/>
      <c r="U501" s="81"/>
      <c r="V501" s="81"/>
      <c r="W501" s="81"/>
      <c r="X501" s="81"/>
      <c r="Y501" s="81"/>
    </row>
    <row r="502" customFormat="false" ht="12" hidden="false" customHeight="true" outlineLevel="0" collapsed="false">
      <c r="A502" s="91"/>
      <c r="B502" s="81"/>
      <c r="C502" s="81"/>
      <c r="D502" s="81"/>
      <c r="E502" s="81"/>
      <c r="F502" s="173"/>
      <c r="G502" s="173"/>
      <c r="H502" s="173"/>
      <c r="I502" s="173"/>
      <c r="J502" s="173"/>
      <c r="K502" s="173"/>
      <c r="L502" s="80"/>
      <c r="M502" s="81"/>
      <c r="N502" s="102"/>
      <c r="O502" s="102"/>
      <c r="P502" s="81"/>
      <c r="Q502" s="81"/>
      <c r="R502" s="81"/>
      <c r="S502" s="81"/>
      <c r="T502" s="81"/>
      <c r="U502" s="81"/>
      <c r="V502" s="81"/>
      <c r="W502" s="81"/>
      <c r="X502" s="81"/>
      <c r="Y502" s="81"/>
    </row>
    <row r="503" customFormat="false" ht="12" hidden="false" customHeight="true" outlineLevel="0" collapsed="false">
      <c r="A503" s="91"/>
      <c r="B503" s="81"/>
      <c r="C503" s="81"/>
      <c r="D503" s="81"/>
      <c r="E503" s="81"/>
      <c r="F503" s="173"/>
      <c r="G503" s="173"/>
      <c r="H503" s="173"/>
      <c r="I503" s="173"/>
      <c r="J503" s="173"/>
      <c r="K503" s="173"/>
      <c r="L503" s="80"/>
      <c r="M503" s="81"/>
      <c r="N503" s="102"/>
      <c r="O503" s="102"/>
      <c r="P503" s="81"/>
      <c r="Q503" s="81"/>
      <c r="R503" s="81"/>
      <c r="S503" s="81"/>
      <c r="T503" s="81"/>
      <c r="U503" s="81"/>
      <c r="V503" s="81"/>
      <c r="W503" s="81"/>
      <c r="X503" s="81"/>
      <c r="Y503" s="81"/>
    </row>
    <row r="504" customFormat="false" ht="12" hidden="false" customHeight="true" outlineLevel="0" collapsed="false">
      <c r="A504" s="91"/>
      <c r="B504" s="81"/>
      <c r="C504" s="81"/>
      <c r="D504" s="81"/>
      <c r="E504" s="81"/>
      <c r="F504" s="173"/>
      <c r="G504" s="173"/>
      <c r="H504" s="173"/>
      <c r="I504" s="173"/>
      <c r="J504" s="173"/>
      <c r="K504" s="173"/>
      <c r="L504" s="80"/>
      <c r="M504" s="81"/>
      <c r="N504" s="102"/>
      <c r="O504" s="102"/>
      <c r="P504" s="81"/>
      <c r="Q504" s="81"/>
      <c r="R504" s="81"/>
      <c r="S504" s="81"/>
      <c r="T504" s="81"/>
      <c r="U504" s="81"/>
      <c r="V504" s="81"/>
      <c r="W504" s="81"/>
      <c r="X504" s="81"/>
      <c r="Y504" s="81"/>
    </row>
    <row r="505" customFormat="false" ht="12" hidden="false" customHeight="true" outlineLevel="0" collapsed="false">
      <c r="A505" s="91"/>
      <c r="B505" s="81"/>
      <c r="C505" s="81"/>
      <c r="D505" s="81"/>
      <c r="E505" s="81"/>
      <c r="F505" s="173"/>
      <c r="G505" s="173"/>
      <c r="H505" s="173"/>
      <c r="I505" s="173"/>
      <c r="J505" s="173"/>
      <c r="K505" s="173"/>
      <c r="L505" s="80"/>
      <c r="M505" s="81"/>
      <c r="N505" s="102"/>
      <c r="O505" s="102"/>
      <c r="P505" s="81"/>
      <c r="Q505" s="81"/>
      <c r="R505" s="81"/>
      <c r="S505" s="81"/>
      <c r="T505" s="81"/>
      <c r="U505" s="81"/>
      <c r="V505" s="81"/>
      <c r="W505" s="81"/>
      <c r="X505" s="81"/>
      <c r="Y505" s="81"/>
    </row>
    <row r="506" customFormat="false" ht="12" hidden="false" customHeight="true" outlineLevel="0" collapsed="false">
      <c r="A506" s="91"/>
      <c r="B506" s="81"/>
      <c r="C506" s="81"/>
      <c r="D506" s="81"/>
      <c r="E506" s="81"/>
      <c r="F506" s="173"/>
      <c r="G506" s="173"/>
      <c r="H506" s="173"/>
      <c r="I506" s="173"/>
      <c r="J506" s="173"/>
      <c r="K506" s="173"/>
      <c r="L506" s="80"/>
      <c r="M506" s="81"/>
      <c r="N506" s="102"/>
      <c r="O506" s="102"/>
      <c r="P506" s="81"/>
      <c r="Q506" s="81"/>
      <c r="R506" s="81"/>
      <c r="S506" s="81"/>
      <c r="T506" s="81"/>
      <c r="U506" s="81"/>
      <c r="V506" s="81"/>
      <c r="W506" s="81"/>
      <c r="X506" s="81"/>
      <c r="Y506" s="81"/>
    </row>
    <row r="507" customFormat="false" ht="12" hidden="false" customHeight="true" outlineLevel="0" collapsed="false">
      <c r="A507" s="91"/>
      <c r="B507" s="81"/>
      <c r="C507" s="81"/>
      <c r="D507" s="81"/>
      <c r="E507" s="81"/>
      <c r="F507" s="173"/>
      <c r="G507" s="173"/>
      <c r="H507" s="173"/>
      <c r="I507" s="173"/>
      <c r="J507" s="173"/>
      <c r="K507" s="173"/>
      <c r="L507" s="80"/>
      <c r="M507" s="81"/>
      <c r="N507" s="102"/>
      <c r="O507" s="102"/>
      <c r="P507" s="81"/>
      <c r="Q507" s="81"/>
      <c r="R507" s="81"/>
      <c r="S507" s="81"/>
      <c r="T507" s="81"/>
      <c r="U507" s="81"/>
      <c r="V507" s="81"/>
      <c r="W507" s="81"/>
      <c r="X507" s="81"/>
      <c r="Y507" s="81"/>
    </row>
    <row r="508" customFormat="false" ht="12" hidden="false" customHeight="true" outlineLevel="0" collapsed="false">
      <c r="A508" s="91"/>
      <c r="B508" s="81"/>
      <c r="C508" s="81"/>
      <c r="D508" s="81"/>
      <c r="E508" s="81"/>
      <c r="F508" s="173"/>
      <c r="G508" s="173"/>
      <c r="H508" s="173"/>
      <c r="I508" s="173"/>
      <c r="J508" s="173"/>
      <c r="K508" s="173"/>
      <c r="L508" s="80"/>
      <c r="M508" s="81"/>
      <c r="N508" s="102"/>
      <c r="O508" s="102"/>
      <c r="P508" s="81"/>
      <c r="Q508" s="81"/>
      <c r="R508" s="81"/>
      <c r="S508" s="81"/>
      <c r="T508" s="81"/>
      <c r="U508" s="81"/>
      <c r="V508" s="81"/>
      <c r="W508" s="81"/>
      <c r="X508" s="81"/>
      <c r="Y508" s="81"/>
    </row>
    <row r="509" customFormat="false" ht="12" hidden="false" customHeight="true" outlineLevel="0" collapsed="false">
      <c r="A509" s="91"/>
      <c r="B509" s="81"/>
      <c r="C509" s="81"/>
      <c r="D509" s="81"/>
      <c r="E509" s="81"/>
      <c r="F509" s="173"/>
      <c r="G509" s="173"/>
      <c r="H509" s="173"/>
      <c r="I509" s="173"/>
      <c r="J509" s="173"/>
      <c r="K509" s="173"/>
      <c r="L509" s="80"/>
      <c r="M509" s="81"/>
      <c r="N509" s="102"/>
      <c r="O509" s="102"/>
      <c r="P509" s="81"/>
      <c r="Q509" s="81"/>
      <c r="R509" s="81"/>
      <c r="S509" s="81"/>
      <c r="T509" s="81"/>
      <c r="U509" s="81"/>
      <c r="V509" s="81"/>
      <c r="W509" s="81"/>
      <c r="X509" s="81"/>
      <c r="Y509" s="81"/>
    </row>
    <row r="510" customFormat="false" ht="12" hidden="false" customHeight="true" outlineLevel="0" collapsed="false">
      <c r="A510" s="91"/>
      <c r="B510" s="81"/>
      <c r="C510" s="81"/>
      <c r="D510" s="81"/>
      <c r="E510" s="81"/>
      <c r="F510" s="173"/>
      <c r="G510" s="173"/>
      <c r="H510" s="173"/>
      <c r="I510" s="173"/>
      <c r="J510" s="173"/>
      <c r="K510" s="173"/>
      <c r="L510" s="80"/>
      <c r="M510" s="81"/>
      <c r="N510" s="102"/>
      <c r="O510" s="102"/>
      <c r="P510" s="81"/>
      <c r="Q510" s="81"/>
      <c r="R510" s="81"/>
      <c r="S510" s="81"/>
      <c r="T510" s="81"/>
      <c r="U510" s="81"/>
      <c r="V510" s="81"/>
      <c r="W510" s="81"/>
      <c r="X510" s="81"/>
      <c r="Y510" s="81"/>
    </row>
    <row r="511" customFormat="false" ht="12" hidden="false" customHeight="true" outlineLevel="0" collapsed="false">
      <c r="A511" s="91"/>
      <c r="B511" s="81"/>
      <c r="C511" s="81"/>
      <c r="D511" s="81"/>
      <c r="E511" s="81"/>
      <c r="F511" s="173"/>
      <c r="G511" s="173"/>
      <c r="H511" s="173"/>
      <c r="I511" s="173"/>
      <c r="J511" s="173"/>
      <c r="K511" s="173"/>
      <c r="L511" s="80"/>
      <c r="M511" s="81"/>
      <c r="N511" s="102"/>
      <c r="O511" s="102"/>
      <c r="P511" s="81"/>
      <c r="Q511" s="81"/>
      <c r="R511" s="81"/>
      <c r="S511" s="81"/>
      <c r="T511" s="81"/>
      <c r="U511" s="81"/>
      <c r="V511" s="81"/>
      <c r="W511" s="81"/>
      <c r="X511" s="81"/>
      <c r="Y511" s="81"/>
    </row>
    <row r="512" customFormat="false" ht="12" hidden="false" customHeight="true" outlineLevel="0" collapsed="false">
      <c r="A512" s="91"/>
      <c r="B512" s="81"/>
      <c r="C512" s="81"/>
      <c r="D512" s="81"/>
      <c r="E512" s="81"/>
      <c r="F512" s="173"/>
      <c r="G512" s="173"/>
      <c r="H512" s="173"/>
      <c r="I512" s="173"/>
      <c r="J512" s="173"/>
      <c r="K512" s="173"/>
      <c r="L512" s="80"/>
      <c r="M512" s="81"/>
      <c r="N512" s="102"/>
      <c r="O512" s="102"/>
      <c r="P512" s="81"/>
      <c r="Q512" s="81"/>
      <c r="R512" s="81"/>
      <c r="S512" s="81"/>
      <c r="T512" s="81"/>
      <c r="U512" s="81"/>
      <c r="V512" s="81"/>
      <c r="W512" s="81"/>
      <c r="X512" s="81"/>
      <c r="Y512" s="81"/>
    </row>
    <row r="513" customFormat="false" ht="12" hidden="false" customHeight="true" outlineLevel="0" collapsed="false">
      <c r="A513" s="91"/>
      <c r="B513" s="81"/>
      <c r="C513" s="81"/>
      <c r="D513" s="81"/>
      <c r="E513" s="81"/>
      <c r="F513" s="173"/>
      <c r="G513" s="173"/>
      <c r="H513" s="173"/>
      <c r="I513" s="173"/>
      <c r="J513" s="173"/>
      <c r="K513" s="173"/>
      <c r="L513" s="80"/>
      <c r="M513" s="81"/>
      <c r="N513" s="102"/>
      <c r="O513" s="102"/>
      <c r="P513" s="81"/>
      <c r="Q513" s="81"/>
      <c r="R513" s="81"/>
      <c r="S513" s="81"/>
      <c r="T513" s="81"/>
      <c r="U513" s="81"/>
      <c r="V513" s="81"/>
      <c r="W513" s="81"/>
      <c r="X513" s="81"/>
      <c r="Y513" s="81"/>
    </row>
    <row r="514" customFormat="false" ht="12" hidden="false" customHeight="true" outlineLevel="0" collapsed="false">
      <c r="A514" s="91"/>
      <c r="B514" s="81"/>
      <c r="C514" s="81"/>
      <c r="D514" s="81"/>
      <c r="E514" s="81"/>
      <c r="F514" s="173"/>
      <c r="G514" s="173"/>
      <c r="H514" s="173"/>
      <c r="I514" s="173"/>
      <c r="J514" s="173"/>
      <c r="K514" s="173"/>
      <c r="L514" s="80"/>
      <c r="M514" s="81"/>
      <c r="N514" s="102"/>
      <c r="O514" s="102"/>
      <c r="P514" s="81"/>
      <c r="Q514" s="81"/>
      <c r="R514" s="81"/>
      <c r="S514" s="81"/>
      <c r="T514" s="81"/>
      <c r="U514" s="81"/>
      <c r="V514" s="81"/>
      <c r="W514" s="81"/>
      <c r="X514" s="81"/>
      <c r="Y514" s="81"/>
    </row>
    <row r="515" customFormat="false" ht="12" hidden="false" customHeight="true" outlineLevel="0" collapsed="false">
      <c r="A515" s="91"/>
      <c r="B515" s="81"/>
      <c r="C515" s="81"/>
      <c r="D515" s="81"/>
      <c r="E515" s="81"/>
      <c r="F515" s="173"/>
      <c r="G515" s="173"/>
      <c r="H515" s="173"/>
      <c r="I515" s="173"/>
      <c r="J515" s="173"/>
      <c r="K515" s="173"/>
      <c r="L515" s="80"/>
      <c r="M515" s="81"/>
      <c r="N515" s="102"/>
      <c r="O515" s="102"/>
      <c r="P515" s="81"/>
      <c r="Q515" s="81"/>
      <c r="R515" s="81"/>
      <c r="S515" s="81"/>
      <c r="T515" s="81"/>
      <c r="U515" s="81"/>
      <c r="V515" s="81"/>
      <c r="W515" s="81"/>
      <c r="X515" s="81"/>
      <c r="Y515" s="81"/>
    </row>
    <row r="516" customFormat="false" ht="12" hidden="false" customHeight="true" outlineLevel="0" collapsed="false">
      <c r="A516" s="91"/>
      <c r="B516" s="81"/>
      <c r="C516" s="81"/>
      <c r="D516" s="81"/>
      <c r="E516" s="81"/>
      <c r="F516" s="173"/>
      <c r="G516" s="173"/>
      <c r="H516" s="173"/>
      <c r="I516" s="173"/>
      <c r="J516" s="173"/>
      <c r="K516" s="173"/>
      <c r="L516" s="80"/>
      <c r="M516" s="81"/>
      <c r="N516" s="102"/>
      <c r="O516" s="102"/>
      <c r="P516" s="81"/>
      <c r="Q516" s="81"/>
      <c r="R516" s="81"/>
      <c r="S516" s="81"/>
      <c r="T516" s="81"/>
      <c r="U516" s="81"/>
      <c r="V516" s="81"/>
      <c r="W516" s="81"/>
      <c r="X516" s="81"/>
      <c r="Y516" s="81"/>
    </row>
    <row r="517" customFormat="false" ht="12" hidden="false" customHeight="true" outlineLevel="0" collapsed="false">
      <c r="A517" s="91"/>
      <c r="B517" s="81"/>
      <c r="C517" s="81"/>
      <c r="D517" s="81"/>
      <c r="E517" s="81"/>
      <c r="F517" s="173"/>
      <c r="G517" s="173"/>
      <c r="H517" s="173"/>
      <c r="I517" s="173"/>
      <c r="J517" s="173"/>
      <c r="K517" s="173"/>
      <c r="L517" s="80"/>
      <c r="M517" s="81"/>
      <c r="N517" s="102"/>
      <c r="O517" s="102"/>
      <c r="P517" s="81"/>
      <c r="Q517" s="81"/>
      <c r="R517" s="81"/>
      <c r="S517" s="81"/>
      <c r="T517" s="81"/>
      <c r="U517" s="81"/>
      <c r="V517" s="81"/>
      <c r="W517" s="81"/>
      <c r="X517" s="81"/>
      <c r="Y517" s="81"/>
    </row>
    <row r="518" customFormat="false" ht="12" hidden="false" customHeight="true" outlineLevel="0" collapsed="false">
      <c r="A518" s="91"/>
      <c r="B518" s="81"/>
      <c r="C518" s="81"/>
      <c r="D518" s="81"/>
      <c r="E518" s="81"/>
      <c r="F518" s="173"/>
      <c r="G518" s="173"/>
      <c r="H518" s="173"/>
      <c r="I518" s="173"/>
      <c r="J518" s="173"/>
      <c r="K518" s="173"/>
      <c r="L518" s="80"/>
      <c r="M518" s="81"/>
      <c r="N518" s="102"/>
      <c r="O518" s="102"/>
      <c r="P518" s="81"/>
      <c r="Q518" s="81"/>
      <c r="R518" s="81"/>
      <c r="S518" s="81"/>
      <c r="T518" s="81"/>
      <c r="U518" s="81"/>
      <c r="V518" s="81"/>
      <c r="W518" s="81"/>
      <c r="X518" s="81"/>
      <c r="Y518" s="81"/>
    </row>
    <row r="519" customFormat="false" ht="12" hidden="false" customHeight="true" outlineLevel="0" collapsed="false">
      <c r="A519" s="91"/>
      <c r="B519" s="81"/>
      <c r="C519" s="81"/>
      <c r="D519" s="81"/>
      <c r="E519" s="81"/>
      <c r="F519" s="173"/>
      <c r="G519" s="173"/>
      <c r="H519" s="173"/>
      <c r="I519" s="173"/>
      <c r="J519" s="173"/>
      <c r="K519" s="173"/>
      <c r="L519" s="80"/>
      <c r="M519" s="81"/>
      <c r="N519" s="102"/>
      <c r="O519" s="102"/>
      <c r="P519" s="81"/>
      <c r="Q519" s="81"/>
      <c r="R519" s="81"/>
      <c r="S519" s="81"/>
      <c r="T519" s="81"/>
      <c r="U519" s="81"/>
      <c r="V519" s="81"/>
      <c r="W519" s="81"/>
      <c r="X519" s="81"/>
      <c r="Y519" s="81"/>
    </row>
    <row r="520" customFormat="false" ht="12" hidden="false" customHeight="true" outlineLevel="0" collapsed="false">
      <c r="A520" s="91"/>
      <c r="B520" s="81"/>
      <c r="C520" s="81"/>
      <c r="D520" s="81"/>
      <c r="E520" s="81"/>
      <c r="F520" s="173"/>
      <c r="G520" s="173"/>
      <c r="H520" s="173"/>
      <c r="I520" s="173"/>
      <c r="J520" s="173"/>
      <c r="K520" s="173"/>
      <c r="L520" s="80"/>
      <c r="M520" s="81"/>
      <c r="N520" s="102"/>
      <c r="O520" s="102"/>
      <c r="P520" s="81"/>
      <c r="Q520" s="81"/>
      <c r="R520" s="81"/>
      <c r="S520" s="81"/>
      <c r="T520" s="81"/>
      <c r="U520" s="81"/>
      <c r="V520" s="81"/>
      <c r="W520" s="81"/>
      <c r="X520" s="81"/>
      <c r="Y520" s="81"/>
    </row>
    <row r="521" customFormat="false" ht="12" hidden="false" customHeight="true" outlineLevel="0" collapsed="false">
      <c r="A521" s="91"/>
      <c r="B521" s="81"/>
      <c r="C521" s="81"/>
      <c r="D521" s="81"/>
      <c r="E521" s="81"/>
      <c r="F521" s="173"/>
      <c r="G521" s="173"/>
      <c r="H521" s="173"/>
      <c r="I521" s="173"/>
      <c r="J521" s="173"/>
      <c r="K521" s="173"/>
      <c r="L521" s="80"/>
      <c r="M521" s="81"/>
      <c r="N521" s="102"/>
      <c r="O521" s="102"/>
      <c r="P521" s="81"/>
      <c r="Q521" s="81"/>
      <c r="R521" s="81"/>
      <c r="S521" s="81"/>
      <c r="T521" s="81"/>
      <c r="U521" s="81"/>
      <c r="V521" s="81"/>
      <c r="W521" s="81"/>
      <c r="X521" s="81"/>
      <c r="Y521" s="81"/>
    </row>
    <row r="522" customFormat="false" ht="12" hidden="false" customHeight="true" outlineLevel="0" collapsed="false">
      <c r="A522" s="91"/>
      <c r="B522" s="81"/>
      <c r="C522" s="81"/>
      <c r="D522" s="81"/>
      <c r="E522" s="81"/>
      <c r="F522" s="173"/>
      <c r="G522" s="173"/>
      <c r="H522" s="173"/>
      <c r="I522" s="173"/>
      <c r="J522" s="173"/>
      <c r="K522" s="173"/>
      <c r="L522" s="80"/>
      <c r="M522" s="81"/>
      <c r="N522" s="102"/>
      <c r="O522" s="102"/>
      <c r="P522" s="81"/>
      <c r="Q522" s="81"/>
      <c r="R522" s="81"/>
      <c r="S522" s="81"/>
      <c r="T522" s="81"/>
      <c r="U522" s="81"/>
      <c r="V522" s="81"/>
      <c r="W522" s="81"/>
      <c r="X522" s="81"/>
      <c r="Y522" s="81"/>
    </row>
    <row r="523" customFormat="false" ht="12" hidden="false" customHeight="true" outlineLevel="0" collapsed="false">
      <c r="A523" s="91"/>
      <c r="B523" s="81"/>
      <c r="C523" s="81"/>
      <c r="D523" s="81"/>
      <c r="E523" s="81"/>
      <c r="F523" s="173"/>
      <c r="G523" s="173"/>
      <c r="H523" s="173"/>
      <c r="I523" s="173"/>
      <c r="J523" s="173"/>
      <c r="K523" s="173"/>
      <c r="L523" s="80"/>
      <c r="M523" s="81"/>
      <c r="N523" s="102"/>
      <c r="O523" s="102"/>
      <c r="P523" s="81"/>
      <c r="Q523" s="81"/>
      <c r="R523" s="81"/>
      <c r="S523" s="81"/>
      <c r="T523" s="81"/>
      <c r="U523" s="81"/>
      <c r="V523" s="81"/>
      <c r="W523" s="81"/>
      <c r="X523" s="81"/>
      <c r="Y523" s="81"/>
    </row>
    <row r="524" customFormat="false" ht="12" hidden="false" customHeight="true" outlineLevel="0" collapsed="false">
      <c r="A524" s="91"/>
      <c r="B524" s="81"/>
      <c r="C524" s="81"/>
      <c r="D524" s="81"/>
      <c r="E524" s="81"/>
      <c r="F524" s="173"/>
      <c r="G524" s="173"/>
      <c r="H524" s="173"/>
      <c r="I524" s="173"/>
      <c r="J524" s="173"/>
      <c r="K524" s="173"/>
      <c r="L524" s="80"/>
      <c r="M524" s="81"/>
      <c r="N524" s="102"/>
      <c r="O524" s="102"/>
      <c r="P524" s="81"/>
      <c r="Q524" s="81"/>
      <c r="R524" s="81"/>
      <c r="S524" s="81"/>
      <c r="T524" s="81"/>
      <c r="U524" s="81"/>
      <c r="V524" s="81"/>
      <c r="W524" s="81"/>
      <c r="X524" s="81"/>
      <c r="Y524" s="81"/>
    </row>
    <row r="525" customFormat="false" ht="12" hidden="false" customHeight="true" outlineLevel="0" collapsed="false">
      <c r="A525" s="91"/>
      <c r="B525" s="81"/>
      <c r="C525" s="81"/>
      <c r="D525" s="81"/>
      <c r="E525" s="81"/>
      <c r="F525" s="173"/>
      <c r="G525" s="173"/>
      <c r="H525" s="173"/>
      <c r="I525" s="173"/>
      <c r="J525" s="173"/>
      <c r="K525" s="173"/>
      <c r="L525" s="80"/>
      <c r="M525" s="81"/>
      <c r="N525" s="102"/>
      <c r="O525" s="102"/>
      <c r="P525" s="81"/>
      <c r="Q525" s="81"/>
      <c r="R525" s="81"/>
      <c r="S525" s="81"/>
      <c r="T525" s="81"/>
      <c r="U525" s="81"/>
      <c r="V525" s="81"/>
      <c r="W525" s="81"/>
      <c r="X525" s="81"/>
      <c r="Y525" s="81"/>
    </row>
    <row r="526" customFormat="false" ht="12" hidden="false" customHeight="true" outlineLevel="0" collapsed="false">
      <c r="A526" s="91"/>
      <c r="B526" s="81"/>
      <c r="C526" s="81"/>
      <c r="D526" s="81"/>
      <c r="E526" s="81"/>
      <c r="F526" s="173"/>
      <c r="G526" s="173"/>
      <c r="H526" s="173"/>
      <c r="I526" s="173"/>
      <c r="J526" s="173"/>
      <c r="K526" s="173"/>
      <c r="L526" s="80"/>
      <c r="M526" s="81"/>
      <c r="N526" s="102"/>
      <c r="O526" s="102"/>
      <c r="P526" s="81"/>
      <c r="Q526" s="81"/>
      <c r="R526" s="81"/>
      <c r="S526" s="81"/>
      <c r="T526" s="81"/>
      <c r="U526" s="81"/>
      <c r="V526" s="81"/>
      <c r="W526" s="81"/>
      <c r="X526" s="81"/>
      <c r="Y526" s="81"/>
    </row>
    <row r="527" customFormat="false" ht="12" hidden="false" customHeight="true" outlineLevel="0" collapsed="false">
      <c r="A527" s="91"/>
      <c r="B527" s="81"/>
      <c r="C527" s="81"/>
      <c r="D527" s="81"/>
      <c r="E527" s="81"/>
      <c r="F527" s="173"/>
      <c r="G527" s="173"/>
      <c r="H527" s="173"/>
      <c r="I527" s="173"/>
      <c r="J527" s="173"/>
      <c r="K527" s="173"/>
      <c r="L527" s="80"/>
      <c r="M527" s="81"/>
      <c r="N527" s="102"/>
      <c r="O527" s="102"/>
      <c r="P527" s="81"/>
      <c r="Q527" s="81"/>
      <c r="R527" s="81"/>
      <c r="S527" s="81"/>
      <c r="T527" s="81"/>
      <c r="U527" s="81"/>
      <c r="V527" s="81"/>
      <c r="W527" s="81"/>
      <c r="X527" s="81"/>
      <c r="Y527" s="81"/>
    </row>
    <row r="528" customFormat="false" ht="12" hidden="false" customHeight="true" outlineLevel="0" collapsed="false">
      <c r="A528" s="91"/>
      <c r="B528" s="81"/>
      <c r="C528" s="81"/>
      <c r="D528" s="81"/>
      <c r="E528" s="81"/>
      <c r="F528" s="173"/>
      <c r="G528" s="173"/>
      <c r="H528" s="173"/>
      <c r="I528" s="173"/>
      <c r="J528" s="173"/>
      <c r="K528" s="173"/>
      <c r="L528" s="80"/>
      <c r="M528" s="81"/>
      <c r="N528" s="102"/>
      <c r="O528" s="102"/>
      <c r="P528" s="81"/>
      <c r="Q528" s="81"/>
      <c r="R528" s="81"/>
      <c r="S528" s="81"/>
      <c r="T528" s="81"/>
      <c r="U528" s="81"/>
      <c r="V528" s="81"/>
      <c r="W528" s="81"/>
      <c r="X528" s="81"/>
      <c r="Y528" s="81"/>
    </row>
    <row r="529" customFormat="false" ht="12" hidden="false" customHeight="true" outlineLevel="0" collapsed="false">
      <c r="A529" s="91"/>
      <c r="B529" s="81"/>
      <c r="C529" s="81"/>
      <c r="D529" s="81"/>
      <c r="E529" s="81"/>
      <c r="F529" s="173"/>
      <c r="G529" s="173"/>
      <c r="H529" s="173"/>
      <c r="I529" s="173"/>
      <c r="J529" s="173"/>
      <c r="K529" s="173"/>
      <c r="L529" s="80"/>
      <c r="M529" s="81"/>
      <c r="N529" s="102"/>
      <c r="O529" s="102"/>
      <c r="P529" s="81"/>
      <c r="Q529" s="81"/>
      <c r="R529" s="81"/>
      <c r="S529" s="81"/>
      <c r="T529" s="81"/>
      <c r="U529" s="81"/>
      <c r="V529" s="81"/>
      <c r="W529" s="81"/>
      <c r="X529" s="81"/>
      <c r="Y529" s="81"/>
    </row>
    <row r="530" customFormat="false" ht="12" hidden="false" customHeight="true" outlineLevel="0" collapsed="false">
      <c r="A530" s="91"/>
      <c r="B530" s="81"/>
      <c r="C530" s="81"/>
      <c r="D530" s="81"/>
      <c r="E530" s="81"/>
      <c r="F530" s="173"/>
      <c r="G530" s="173"/>
      <c r="H530" s="173"/>
      <c r="I530" s="173"/>
      <c r="J530" s="173"/>
      <c r="K530" s="173"/>
      <c r="L530" s="80"/>
      <c r="M530" s="81"/>
      <c r="N530" s="102"/>
      <c r="O530" s="102"/>
      <c r="P530" s="81"/>
      <c r="Q530" s="81"/>
      <c r="R530" s="81"/>
      <c r="S530" s="81"/>
      <c r="T530" s="81"/>
      <c r="U530" s="81"/>
      <c r="V530" s="81"/>
      <c r="W530" s="81"/>
      <c r="X530" s="81"/>
      <c r="Y530" s="81"/>
    </row>
    <row r="531" customFormat="false" ht="12" hidden="false" customHeight="true" outlineLevel="0" collapsed="false">
      <c r="A531" s="91"/>
      <c r="B531" s="81"/>
      <c r="C531" s="81"/>
      <c r="D531" s="81"/>
      <c r="E531" s="81"/>
      <c r="F531" s="173"/>
      <c r="G531" s="173"/>
      <c r="H531" s="173"/>
      <c r="I531" s="173"/>
      <c r="J531" s="173"/>
      <c r="K531" s="173"/>
      <c r="L531" s="80"/>
      <c r="M531" s="81"/>
      <c r="N531" s="102"/>
      <c r="O531" s="102"/>
      <c r="P531" s="81"/>
      <c r="Q531" s="81"/>
      <c r="R531" s="81"/>
      <c r="S531" s="81"/>
      <c r="T531" s="81"/>
      <c r="U531" s="81"/>
      <c r="V531" s="81"/>
      <c r="W531" s="81"/>
      <c r="X531" s="81"/>
      <c r="Y531" s="81"/>
    </row>
    <row r="532" customFormat="false" ht="12" hidden="false" customHeight="true" outlineLevel="0" collapsed="false">
      <c r="A532" s="91"/>
      <c r="B532" s="81"/>
      <c r="C532" s="81"/>
      <c r="D532" s="81"/>
      <c r="E532" s="81"/>
      <c r="F532" s="173"/>
      <c r="G532" s="173"/>
      <c r="H532" s="173"/>
      <c r="I532" s="173"/>
      <c r="J532" s="173"/>
      <c r="K532" s="173"/>
      <c r="L532" s="80"/>
      <c r="M532" s="81"/>
      <c r="N532" s="102"/>
      <c r="O532" s="102"/>
      <c r="P532" s="81"/>
      <c r="Q532" s="81"/>
      <c r="R532" s="81"/>
      <c r="S532" s="81"/>
      <c r="T532" s="81"/>
      <c r="U532" s="81"/>
      <c r="V532" s="81"/>
      <c r="W532" s="81"/>
      <c r="X532" s="81"/>
      <c r="Y532" s="81"/>
    </row>
    <row r="533" customFormat="false" ht="12" hidden="false" customHeight="true" outlineLevel="0" collapsed="false">
      <c r="A533" s="91"/>
      <c r="B533" s="81"/>
      <c r="C533" s="81"/>
      <c r="D533" s="81"/>
      <c r="E533" s="81"/>
      <c r="F533" s="173"/>
      <c r="G533" s="173"/>
      <c r="H533" s="173"/>
      <c r="I533" s="173"/>
      <c r="J533" s="173"/>
      <c r="K533" s="173"/>
      <c r="L533" s="80"/>
      <c r="M533" s="81"/>
      <c r="N533" s="102"/>
      <c r="O533" s="102"/>
      <c r="P533" s="81"/>
      <c r="Q533" s="81"/>
      <c r="R533" s="81"/>
      <c r="S533" s="81"/>
      <c r="T533" s="81"/>
      <c r="U533" s="81"/>
      <c r="V533" s="81"/>
      <c r="W533" s="81"/>
      <c r="X533" s="81"/>
      <c r="Y533" s="81"/>
    </row>
    <row r="534" customFormat="false" ht="12" hidden="false" customHeight="true" outlineLevel="0" collapsed="false">
      <c r="A534" s="91"/>
      <c r="B534" s="81"/>
      <c r="C534" s="81"/>
      <c r="D534" s="81"/>
      <c r="E534" s="81"/>
      <c r="F534" s="173"/>
      <c r="G534" s="173"/>
      <c r="H534" s="173"/>
      <c r="I534" s="173"/>
      <c r="J534" s="173"/>
      <c r="K534" s="173"/>
      <c r="L534" s="80"/>
      <c r="M534" s="81"/>
      <c r="N534" s="102"/>
      <c r="O534" s="102"/>
      <c r="P534" s="81"/>
      <c r="Q534" s="81"/>
      <c r="R534" s="81"/>
      <c r="S534" s="81"/>
      <c r="T534" s="81"/>
      <c r="U534" s="81"/>
      <c r="V534" s="81"/>
      <c r="W534" s="81"/>
      <c r="X534" s="81"/>
      <c r="Y534" s="81"/>
    </row>
    <row r="535" customFormat="false" ht="12" hidden="false" customHeight="true" outlineLevel="0" collapsed="false">
      <c r="A535" s="91"/>
      <c r="B535" s="81"/>
      <c r="C535" s="81"/>
      <c r="D535" s="81"/>
      <c r="E535" s="81"/>
      <c r="F535" s="173"/>
      <c r="G535" s="173"/>
      <c r="H535" s="173"/>
      <c r="I535" s="173"/>
      <c r="J535" s="173"/>
      <c r="K535" s="173"/>
      <c r="L535" s="80"/>
      <c r="M535" s="81"/>
      <c r="N535" s="102"/>
      <c r="O535" s="102"/>
      <c r="P535" s="81"/>
      <c r="Q535" s="81"/>
      <c r="R535" s="81"/>
      <c r="S535" s="81"/>
      <c r="T535" s="81"/>
      <c r="U535" s="81"/>
      <c r="V535" s="81"/>
      <c r="W535" s="81"/>
      <c r="X535" s="81"/>
      <c r="Y535" s="81"/>
    </row>
    <row r="536" customFormat="false" ht="12" hidden="false" customHeight="true" outlineLevel="0" collapsed="false">
      <c r="A536" s="91"/>
      <c r="B536" s="81"/>
      <c r="C536" s="81"/>
      <c r="D536" s="81"/>
      <c r="E536" s="81"/>
      <c r="F536" s="173"/>
      <c r="G536" s="173"/>
      <c r="H536" s="173"/>
      <c r="I536" s="173"/>
      <c r="J536" s="173"/>
      <c r="K536" s="173"/>
      <c r="L536" s="80"/>
      <c r="M536" s="81"/>
      <c r="N536" s="102"/>
      <c r="O536" s="102"/>
      <c r="P536" s="81"/>
      <c r="Q536" s="81"/>
      <c r="R536" s="81"/>
      <c r="S536" s="81"/>
      <c r="T536" s="81"/>
      <c r="U536" s="81"/>
      <c r="V536" s="81"/>
      <c r="W536" s="81"/>
      <c r="X536" s="81"/>
      <c r="Y536" s="81"/>
    </row>
    <row r="537" customFormat="false" ht="12" hidden="false" customHeight="true" outlineLevel="0" collapsed="false">
      <c r="A537" s="91"/>
      <c r="B537" s="81"/>
      <c r="C537" s="81"/>
      <c r="D537" s="81"/>
      <c r="E537" s="81"/>
      <c r="F537" s="173"/>
      <c r="G537" s="173"/>
      <c r="H537" s="173"/>
      <c r="I537" s="173"/>
      <c r="J537" s="173"/>
      <c r="K537" s="173"/>
      <c r="L537" s="80"/>
      <c r="M537" s="81"/>
      <c r="N537" s="102"/>
      <c r="O537" s="102"/>
      <c r="P537" s="81"/>
      <c r="Q537" s="81"/>
      <c r="R537" s="81"/>
      <c r="S537" s="81"/>
      <c r="T537" s="81"/>
      <c r="U537" s="81"/>
      <c r="V537" s="81"/>
      <c r="W537" s="81"/>
      <c r="X537" s="81"/>
      <c r="Y537" s="81"/>
    </row>
    <row r="538" customFormat="false" ht="12" hidden="false" customHeight="true" outlineLevel="0" collapsed="false">
      <c r="A538" s="91"/>
      <c r="B538" s="81"/>
      <c r="C538" s="81"/>
      <c r="D538" s="81"/>
      <c r="E538" s="81"/>
      <c r="F538" s="173"/>
      <c r="G538" s="173"/>
      <c r="H538" s="173"/>
      <c r="I538" s="173"/>
      <c r="J538" s="173"/>
      <c r="K538" s="173"/>
      <c r="L538" s="80"/>
      <c r="M538" s="81"/>
      <c r="N538" s="102"/>
      <c r="O538" s="102"/>
      <c r="P538" s="81"/>
      <c r="Q538" s="81"/>
      <c r="R538" s="81"/>
      <c r="S538" s="81"/>
      <c r="T538" s="81"/>
      <c r="U538" s="81"/>
      <c r="V538" s="81"/>
      <c r="W538" s="81"/>
      <c r="X538" s="81"/>
      <c r="Y538" s="81"/>
    </row>
    <row r="539" customFormat="false" ht="12" hidden="false" customHeight="true" outlineLevel="0" collapsed="false">
      <c r="A539" s="91"/>
      <c r="B539" s="81"/>
      <c r="C539" s="81"/>
      <c r="D539" s="81"/>
      <c r="E539" s="81"/>
      <c r="F539" s="173"/>
      <c r="G539" s="173"/>
      <c r="H539" s="173"/>
      <c r="I539" s="173"/>
      <c r="J539" s="173"/>
      <c r="K539" s="173"/>
      <c r="L539" s="80"/>
      <c r="M539" s="81"/>
      <c r="N539" s="102"/>
      <c r="O539" s="102"/>
      <c r="P539" s="81"/>
      <c r="Q539" s="81"/>
      <c r="R539" s="81"/>
      <c r="S539" s="81"/>
      <c r="T539" s="81"/>
      <c r="U539" s="81"/>
      <c r="V539" s="81"/>
      <c r="W539" s="81"/>
      <c r="X539" s="81"/>
      <c r="Y539" s="81"/>
    </row>
    <row r="540" customFormat="false" ht="12" hidden="false" customHeight="true" outlineLevel="0" collapsed="false">
      <c r="A540" s="91"/>
      <c r="B540" s="81"/>
      <c r="C540" s="81"/>
      <c r="D540" s="81"/>
      <c r="E540" s="81"/>
      <c r="F540" s="173"/>
      <c r="G540" s="173"/>
      <c r="H540" s="173"/>
      <c r="I540" s="173"/>
      <c r="J540" s="173"/>
      <c r="K540" s="173"/>
      <c r="L540" s="80"/>
      <c r="M540" s="81"/>
      <c r="N540" s="102"/>
      <c r="O540" s="102"/>
      <c r="P540" s="81"/>
      <c r="Q540" s="81"/>
      <c r="R540" s="81"/>
      <c r="S540" s="81"/>
      <c r="T540" s="81"/>
      <c r="U540" s="81"/>
      <c r="V540" s="81"/>
      <c r="W540" s="81"/>
      <c r="X540" s="81"/>
      <c r="Y540" s="81"/>
    </row>
    <row r="541" customFormat="false" ht="12" hidden="false" customHeight="true" outlineLevel="0" collapsed="false">
      <c r="A541" s="91"/>
      <c r="B541" s="81"/>
      <c r="C541" s="81"/>
      <c r="D541" s="81"/>
      <c r="E541" s="81"/>
      <c r="F541" s="173"/>
      <c r="G541" s="173"/>
      <c r="H541" s="173"/>
      <c r="I541" s="173"/>
      <c r="J541" s="173"/>
      <c r="K541" s="173"/>
      <c r="L541" s="80"/>
      <c r="M541" s="81"/>
      <c r="N541" s="102"/>
      <c r="O541" s="102"/>
      <c r="P541" s="81"/>
      <c r="Q541" s="81"/>
      <c r="R541" s="81"/>
      <c r="S541" s="81"/>
      <c r="T541" s="81"/>
      <c r="U541" s="81"/>
      <c r="V541" s="81"/>
      <c r="W541" s="81"/>
      <c r="X541" s="81"/>
      <c r="Y541" s="81"/>
    </row>
    <row r="542" customFormat="false" ht="12" hidden="false" customHeight="true" outlineLevel="0" collapsed="false">
      <c r="A542" s="91"/>
      <c r="B542" s="81"/>
      <c r="C542" s="81"/>
      <c r="D542" s="81"/>
      <c r="E542" s="81"/>
      <c r="F542" s="173"/>
      <c r="G542" s="173"/>
      <c r="H542" s="173"/>
      <c r="I542" s="173"/>
      <c r="J542" s="173"/>
      <c r="K542" s="173"/>
      <c r="L542" s="80"/>
      <c r="M542" s="81"/>
      <c r="N542" s="102"/>
      <c r="O542" s="102"/>
      <c r="P542" s="81"/>
      <c r="Q542" s="81"/>
      <c r="R542" s="81"/>
      <c r="S542" s="81"/>
      <c r="T542" s="81"/>
      <c r="U542" s="81"/>
      <c r="V542" s="81"/>
      <c r="W542" s="81"/>
      <c r="X542" s="81"/>
      <c r="Y542" s="81"/>
    </row>
    <row r="543" customFormat="false" ht="12" hidden="false" customHeight="true" outlineLevel="0" collapsed="false">
      <c r="A543" s="91"/>
      <c r="B543" s="81"/>
      <c r="C543" s="81"/>
      <c r="D543" s="81"/>
      <c r="E543" s="81"/>
      <c r="F543" s="173"/>
      <c r="G543" s="173"/>
      <c r="H543" s="173"/>
      <c r="I543" s="173"/>
      <c r="J543" s="173"/>
      <c r="K543" s="173"/>
      <c r="L543" s="80"/>
      <c r="M543" s="81"/>
      <c r="N543" s="102"/>
      <c r="O543" s="102"/>
      <c r="P543" s="81"/>
      <c r="Q543" s="81"/>
      <c r="R543" s="81"/>
      <c r="S543" s="81"/>
      <c r="T543" s="81"/>
      <c r="U543" s="81"/>
      <c r="V543" s="81"/>
      <c r="W543" s="81"/>
      <c r="X543" s="81"/>
      <c r="Y543" s="81"/>
    </row>
    <row r="544" customFormat="false" ht="12" hidden="false" customHeight="true" outlineLevel="0" collapsed="false">
      <c r="A544" s="91"/>
      <c r="B544" s="81"/>
      <c r="C544" s="81"/>
      <c r="D544" s="81"/>
      <c r="E544" s="81"/>
      <c r="F544" s="173"/>
      <c r="G544" s="173"/>
      <c r="H544" s="173"/>
      <c r="I544" s="173"/>
      <c r="J544" s="173"/>
      <c r="K544" s="173"/>
      <c r="L544" s="80"/>
      <c r="M544" s="81"/>
      <c r="N544" s="102"/>
      <c r="O544" s="102"/>
      <c r="P544" s="81"/>
      <c r="Q544" s="81"/>
      <c r="R544" s="81"/>
      <c r="S544" s="81"/>
      <c r="T544" s="81"/>
      <c r="U544" s="81"/>
      <c r="V544" s="81"/>
      <c r="W544" s="81"/>
      <c r="X544" s="81"/>
      <c r="Y544" s="81"/>
    </row>
    <row r="545" customFormat="false" ht="12" hidden="false" customHeight="true" outlineLevel="0" collapsed="false">
      <c r="A545" s="91"/>
      <c r="B545" s="81"/>
      <c r="C545" s="81"/>
      <c r="D545" s="81"/>
      <c r="E545" s="81"/>
      <c r="F545" s="173"/>
      <c r="G545" s="173"/>
      <c r="H545" s="173"/>
      <c r="I545" s="173"/>
      <c r="J545" s="173"/>
      <c r="K545" s="173"/>
      <c r="L545" s="80"/>
      <c r="M545" s="81"/>
      <c r="N545" s="102"/>
      <c r="O545" s="102"/>
      <c r="P545" s="81"/>
      <c r="Q545" s="81"/>
      <c r="R545" s="81"/>
      <c r="S545" s="81"/>
      <c r="T545" s="81"/>
      <c r="U545" s="81"/>
      <c r="V545" s="81"/>
      <c r="W545" s="81"/>
      <c r="X545" s="81"/>
      <c r="Y545" s="81"/>
    </row>
    <row r="546" customFormat="false" ht="12" hidden="false" customHeight="true" outlineLevel="0" collapsed="false">
      <c r="A546" s="91"/>
      <c r="B546" s="81"/>
      <c r="C546" s="81"/>
      <c r="D546" s="81"/>
      <c r="E546" s="81"/>
      <c r="F546" s="173"/>
      <c r="G546" s="173"/>
      <c r="H546" s="173"/>
      <c r="I546" s="173"/>
      <c r="J546" s="173"/>
      <c r="K546" s="173"/>
      <c r="L546" s="80"/>
      <c r="M546" s="81"/>
      <c r="N546" s="102"/>
      <c r="O546" s="102"/>
      <c r="P546" s="81"/>
      <c r="Q546" s="81"/>
      <c r="R546" s="81"/>
      <c r="S546" s="81"/>
      <c r="T546" s="81"/>
      <c r="U546" s="81"/>
      <c r="V546" s="81"/>
      <c r="W546" s="81"/>
      <c r="X546" s="81"/>
      <c r="Y546" s="81"/>
    </row>
    <row r="547" customFormat="false" ht="12" hidden="false" customHeight="true" outlineLevel="0" collapsed="false">
      <c r="A547" s="91"/>
      <c r="B547" s="81"/>
      <c r="C547" s="81"/>
      <c r="D547" s="81"/>
      <c r="E547" s="81"/>
      <c r="F547" s="173"/>
      <c r="G547" s="173"/>
      <c r="H547" s="173"/>
      <c r="I547" s="173"/>
      <c r="J547" s="173"/>
      <c r="K547" s="173"/>
      <c r="L547" s="80"/>
      <c r="M547" s="81"/>
      <c r="N547" s="102"/>
      <c r="O547" s="102"/>
      <c r="P547" s="81"/>
      <c r="Q547" s="81"/>
      <c r="R547" s="81"/>
      <c r="S547" s="81"/>
      <c r="T547" s="81"/>
      <c r="U547" s="81"/>
      <c r="V547" s="81"/>
      <c r="W547" s="81"/>
      <c r="X547" s="81"/>
      <c r="Y547" s="81"/>
    </row>
    <row r="548" customFormat="false" ht="12" hidden="false" customHeight="true" outlineLevel="0" collapsed="false">
      <c r="A548" s="91"/>
      <c r="B548" s="81"/>
      <c r="C548" s="81"/>
      <c r="D548" s="81"/>
      <c r="E548" s="81"/>
      <c r="F548" s="173"/>
      <c r="G548" s="173"/>
      <c r="H548" s="173"/>
      <c r="I548" s="173"/>
      <c r="J548" s="173"/>
      <c r="K548" s="173"/>
      <c r="L548" s="80"/>
      <c r="M548" s="81"/>
      <c r="N548" s="102"/>
      <c r="O548" s="102"/>
      <c r="P548" s="81"/>
      <c r="Q548" s="81"/>
      <c r="R548" s="81"/>
      <c r="S548" s="81"/>
      <c r="T548" s="81"/>
      <c r="U548" s="81"/>
      <c r="V548" s="81"/>
      <c r="W548" s="81"/>
      <c r="X548" s="81"/>
      <c r="Y548" s="81"/>
    </row>
    <row r="549" customFormat="false" ht="12" hidden="false" customHeight="true" outlineLevel="0" collapsed="false">
      <c r="A549" s="91"/>
      <c r="B549" s="81"/>
      <c r="C549" s="81"/>
      <c r="D549" s="81"/>
      <c r="E549" s="81"/>
      <c r="F549" s="173"/>
      <c r="G549" s="173"/>
      <c r="H549" s="173"/>
      <c r="I549" s="173"/>
      <c r="J549" s="173"/>
      <c r="K549" s="173"/>
      <c r="L549" s="80"/>
      <c r="M549" s="81"/>
      <c r="N549" s="102"/>
      <c r="O549" s="102"/>
      <c r="P549" s="81"/>
      <c r="Q549" s="81"/>
      <c r="R549" s="81"/>
      <c r="S549" s="81"/>
      <c r="T549" s="81"/>
      <c r="U549" s="81"/>
      <c r="V549" s="81"/>
      <c r="W549" s="81"/>
      <c r="X549" s="81"/>
      <c r="Y549" s="81"/>
    </row>
    <row r="550" customFormat="false" ht="12" hidden="false" customHeight="true" outlineLevel="0" collapsed="false">
      <c r="A550" s="91"/>
      <c r="B550" s="81"/>
      <c r="C550" s="81"/>
      <c r="D550" s="81"/>
      <c r="E550" s="81"/>
      <c r="F550" s="173"/>
      <c r="G550" s="173"/>
      <c r="H550" s="173"/>
      <c r="I550" s="173"/>
      <c r="J550" s="173"/>
      <c r="K550" s="173"/>
      <c r="L550" s="80"/>
      <c r="M550" s="81"/>
      <c r="N550" s="102"/>
      <c r="O550" s="102"/>
      <c r="P550" s="81"/>
      <c r="Q550" s="81"/>
      <c r="R550" s="81"/>
      <c r="S550" s="81"/>
      <c r="T550" s="81"/>
      <c r="U550" s="81"/>
      <c r="V550" s="81"/>
      <c r="W550" s="81"/>
      <c r="X550" s="81"/>
      <c r="Y550" s="81"/>
    </row>
    <row r="551" customFormat="false" ht="12" hidden="false" customHeight="true" outlineLevel="0" collapsed="false">
      <c r="A551" s="91"/>
      <c r="B551" s="81"/>
      <c r="C551" s="81"/>
      <c r="D551" s="81"/>
      <c r="E551" s="81"/>
      <c r="F551" s="173"/>
      <c r="G551" s="173"/>
      <c r="H551" s="173"/>
      <c r="I551" s="173"/>
      <c r="J551" s="173"/>
      <c r="K551" s="173"/>
      <c r="L551" s="80"/>
      <c r="M551" s="81"/>
      <c r="N551" s="102"/>
      <c r="O551" s="102"/>
      <c r="P551" s="81"/>
      <c r="Q551" s="81"/>
      <c r="R551" s="81"/>
      <c r="S551" s="81"/>
      <c r="T551" s="81"/>
      <c r="U551" s="81"/>
      <c r="V551" s="81"/>
      <c r="W551" s="81"/>
      <c r="X551" s="81"/>
      <c r="Y551" s="81"/>
    </row>
    <row r="552" customFormat="false" ht="12" hidden="false" customHeight="true" outlineLevel="0" collapsed="false">
      <c r="A552" s="91"/>
      <c r="B552" s="81"/>
      <c r="C552" s="81"/>
      <c r="D552" s="81"/>
      <c r="E552" s="81"/>
      <c r="F552" s="173"/>
      <c r="G552" s="173"/>
      <c r="H552" s="173"/>
      <c r="I552" s="173"/>
      <c r="J552" s="173"/>
      <c r="K552" s="173"/>
      <c r="L552" s="80"/>
      <c r="M552" s="81"/>
      <c r="N552" s="102"/>
      <c r="O552" s="102"/>
      <c r="P552" s="81"/>
      <c r="Q552" s="81"/>
      <c r="R552" s="81"/>
      <c r="S552" s="81"/>
      <c r="T552" s="81"/>
      <c r="U552" s="81"/>
      <c r="V552" s="81"/>
      <c r="W552" s="81"/>
      <c r="X552" s="81"/>
      <c r="Y552" s="81"/>
    </row>
    <row r="553" customFormat="false" ht="12" hidden="false" customHeight="true" outlineLevel="0" collapsed="false">
      <c r="A553" s="91"/>
      <c r="B553" s="81"/>
      <c r="C553" s="81"/>
      <c r="D553" s="81"/>
      <c r="E553" s="81"/>
      <c r="F553" s="173"/>
      <c r="G553" s="173"/>
      <c r="H553" s="173"/>
      <c r="I553" s="173"/>
      <c r="J553" s="173"/>
      <c r="K553" s="173"/>
      <c r="L553" s="80"/>
      <c r="M553" s="81"/>
      <c r="N553" s="102"/>
      <c r="O553" s="102"/>
      <c r="P553" s="81"/>
      <c r="Q553" s="81"/>
      <c r="R553" s="81"/>
      <c r="S553" s="81"/>
      <c r="T553" s="81"/>
      <c r="U553" s="81"/>
      <c r="V553" s="81"/>
      <c r="W553" s="81"/>
      <c r="X553" s="81"/>
      <c r="Y553" s="81"/>
    </row>
    <row r="554" customFormat="false" ht="12" hidden="false" customHeight="true" outlineLevel="0" collapsed="false">
      <c r="A554" s="91"/>
      <c r="B554" s="81"/>
      <c r="C554" s="81"/>
      <c r="D554" s="81"/>
      <c r="E554" s="81"/>
      <c r="F554" s="173"/>
      <c r="G554" s="173"/>
      <c r="H554" s="173"/>
      <c r="I554" s="173"/>
      <c r="J554" s="173"/>
      <c r="K554" s="173"/>
      <c r="L554" s="80"/>
      <c r="M554" s="81"/>
      <c r="N554" s="102"/>
      <c r="O554" s="102"/>
      <c r="P554" s="81"/>
      <c r="Q554" s="81"/>
      <c r="R554" s="81"/>
      <c r="S554" s="81"/>
      <c r="T554" s="81"/>
      <c r="U554" s="81"/>
      <c r="V554" s="81"/>
      <c r="W554" s="81"/>
      <c r="X554" s="81"/>
      <c r="Y554" s="81"/>
    </row>
    <row r="555" customFormat="false" ht="12" hidden="false" customHeight="true" outlineLevel="0" collapsed="false">
      <c r="A555" s="91"/>
      <c r="B555" s="81"/>
      <c r="C555" s="81"/>
      <c r="D555" s="81"/>
      <c r="E555" s="81"/>
      <c r="F555" s="173"/>
      <c r="G555" s="173"/>
      <c r="H555" s="173"/>
      <c r="I555" s="173"/>
      <c r="J555" s="173"/>
      <c r="K555" s="173"/>
      <c r="L555" s="80"/>
      <c r="M555" s="81"/>
      <c r="N555" s="102"/>
      <c r="O555" s="102"/>
      <c r="P555" s="81"/>
      <c r="Q555" s="81"/>
      <c r="R555" s="81"/>
      <c r="S555" s="81"/>
      <c r="T555" s="81"/>
      <c r="U555" s="81"/>
      <c r="V555" s="81"/>
      <c r="W555" s="81"/>
      <c r="X555" s="81"/>
      <c r="Y555" s="81"/>
    </row>
    <row r="556" customFormat="false" ht="12" hidden="false" customHeight="true" outlineLevel="0" collapsed="false">
      <c r="A556" s="91"/>
      <c r="B556" s="81"/>
      <c r="C556" s="81"/>
      <c r="D556" s="81"/>
      <c r="E556" s="81"/>
      <c r="F556" s="173"/>
      <c r="G556" s="173"/>
      <c r="H556" s="173"/>
      <c r="I556" s="173"/>
      <c r="J556" s="173"/>
      <c r="K556" s="173"/>
      <c r="L556" s="80"/>
      <c r="M556" s="81"/>
      <c r="N556" s="102"/>
      <c r="O556" s="102"/>
      <c r="P556" s="81"/>
      <c r="Q556" s="81"/>
      <c r="R556" s="81"/>
      <c r="S556" s="81"/>
      <c r="T556" s="81"/>
      <c r="U556" s="81"/>
      <c r="V556" s="81"/>
      <c r="W556" s="81"/>
      <c r="X556" s="81"/>
      <c r="Y556" s="81"/>
    </row>
    <row r="557" customFormat="false" ht="12" hidden="false" customHeight="true" outlineLevel="0" collapsed="false">
      <c r="A557" s="91"/>
      <c r="B557" s="81"/>
      <c r="C557" s="81"/>
      <c r="D557" s="81"/>
      <c r="E557" s="81"/>
      <c r="F557" s="173"/>
      <c r="G557" s="173"/>
      <c r="H557" s="173"/>
      <c r="I557" s="173"/>
      <c r="J557" s="173"/>
      <c r="K557" s="173"/>
      <c r="L557" s="80"/>
      <c r="M557" s="81"/>
      <c r="N557" s="102"/>
      <c r="O557" s="102"/>
      <c r="P557" s="81"/>
      <c r="Q557" s="81"/>
      <c r="R557" s="81"/>
      <c r="S557" s="81"/>
      <c r="T557" s="81"/>
      <c r="U557" s="81"/>
      <c r="V557" s="81"/>
      <c r="W557" s="81"/>
      <c r="X557" s="81"/>
      <c r="Y557" s="81"/>
    </row>
    <row r="558" customFormat="false" ht="12" hidden="false" customHeight="true" outlineLevel="0" collapsed="false">
      <c r="A558" s="91"/>
      <c r="B558" s="81"/>
      <c r="C558" s="81"/>
      <c r="D558" s="81"/>
      <c r="E558" s="81"/>
      <c r="F558" s="173"/>
      <c r="G558" s="173"/>
      <c r="H558" s="173"/>
      <c r="I558" s="173"/>
      <c r="J558" s="173"/>
      <c r="K558" s="173"/>
      <c r="L558" s="80"/>
      <c r="M558" s="81"/>
      <c r="N558" s="102"/>
      <c r="O558" s="102"/>
      <c r="P558" s="81"/>
      <c r="Q558" s="81"/>
      <c r="R558" s="81"/>
      <c r="S558" s="81"/>
      <c r="T558" s="81"/>
      <c r="U558" s="81"/>
      <c r="V558" s="81"/>
      <c r="W558" s="81"/>
      <c r="X558" s="81"/>
      <c r="Y558" s="81"/>
    </row>
    <row r="559" customFormat="false" ht="12" hidden="false" customHeight="true" outlineLevel="0" collapsed="false">
      <c r="A559" s="91"/>
      <c r="B559" s="81"/>
      <c r="C559" s="81"/>
      <c r="D559" s="81"/>
      <c r="E559" s="81"/>
      <c r="F559" s="173"/>
      <c r="G559" s="173"/>
      <c r="H559" s="173"/>
      <c r="I559" s="173"/>
      <c r="J559" s="173"/>
      <c r="K559" s="173"/>
      <c r="L559" s="80"/>
      <c r="M559" s="81"/>
      <c r="N559" s="102"/>
      <c r="O559" s="102"/>
      <c r="P559" s="81"/>
      <c r="Q559" s="81"/>
      <c r="R559" s="81"/>
      <c r="S559" s="81"/>
      <c r="T559" s="81"/>
      <c r="U559" s="81"/>
      <c r="V559" s="81"/>
      <c r="W559" s="81"/>
      <c r="X559" s="81"/>
      <c r="Y559" s="81"/>
    </row>
    <row r="560" customFormat="false" ht="12" hidden="false" customHeight="true" outlineLevel="0" collapsed="false">
      <c r="A560" s="91"/>
      <c r="B560" s="81"/>
      <c r="C560" s="81"/>
      <c r="D560" s="81"/>
      <c r="E560" s="81"/>
      <c r="F560" s="173"/>
      <c r="G560" s="173"/>
      <c r="H560" s="173"/>
      <c r="I560" s="173"/>
      <c r="J560" s="173"/>
      <c r="K560" s="173"/>
      <c r="L560" s="80"/>
      <c r="M560" s="81"/>
      <c r="N560" s="102"/>
      <c r="O560" s="102"/>
      <c r="P560" s="81"/>
      <c r="Q560" s="81"/>
      <c r="R560" s="81"/>
      <c r="S560" s="81"/>
      <c r="T560" s="81"/>
      <c r="U560" s="81"/>
      <c r="V560" s="81"/>
      <c r="W560" s="81"/>
      <c r="X560" s="81"/>
      <c r="Y560" s="81"/>
    </row>
    <row r="561" customFormat="false" ht="12" hidden="false" customHeight="true" outlineLevel="0" collapsed="false">
      <c r="A561" s="91"/>
      <c r="B561" s="81"/>
      <c r="C561" s="81"/>
      <c r="D561" s="81"/>
      <c r="E561" s="81"/>
      <c r="F561" s="173"/>
      <c r="G561" s="173"/>
      <c r="H561" s="173"/>
      <c r="I561" s="173"/>
      <c r="J561" s="173"/>
      <c r="K561" s="173"/>
      <c r="L561" s="80"/>
      <c r="M561" s="81"/>
      <c r="N561" s="102"/>
      <c r="O561" s="102"/>
      <c r="P561" s="81"/>
      <c r="Q561" s="81"/>
      <c r="R561" s="81"/>
      <c r="S561" s="81"/>
      <c r="T561" s="81"/>
      <c r="U561" s="81"/>
      <c r="V561" s="81"/>
      <c r="W561" s="81"/>
      <c r="X561" s="81"/>
      <c r="Y561" s="81"/>
    </row>
    <row r="562" customFormat="false" ht="12" hidden="false" customHeight="true" outlineLevel="0" collapsed="false">
      <c r="A562" s="91"/>
      <c r="B562" s="81"/>
      <c r="C562" s="81"/>
      <c r="D562" s="81"/>
      <c r="E562" s="81"/>
      <c r="F562" s="173"/>
      <c r="G562" s="173"/>
      <c r="H562" s="173"/>
      <c r="I562" s="173"/>
      <c r="J562" s="173"/>
      <c r="K562" s="173"/>
      <c r="L562" s="80"/>
      <c r="M562" s="81"/>
      <c r="N562" s="102"/>
      <c r="O562" s="102"/>
      <c r="P562" s="81"/>
      <c r="Q562" s="81"/>
      <c r="R562" s="81"/>
      <c r="S562" s="81"/>
      <c r="T562" s="81"/>
      <c r="U562" s="81"/>
      <c r="V562" s="81"/>
      <c r="W562" s="81"/>
      <c r="X562" s="81"/>
      <c r="Y562" s="81"/>
    </row>
    <row r="563" customFormat="false" ht="12" hidden="false" customHeight="true" outlineLevel="0" collapsed="false">
      <c r="A563" s="91"/>
      <c r="B563" s="81"/>
      <c r="C563" s="81"/>
      <c r="D563" s="81"/>
      <c r="E563" s="81"/>
      <c r="F563" s="173"/>
      <c r="G563" s="173"/>
      <c r="H563" s="173"/>
      <c r="I563" s="173"/>
      <c r="J563" s="173"/>
      <c r="K563" s="173"/>
      <c r="L563" s="80"/>
      <c r="M563" s="81"/>
      <c r="N563" s="102"/>
      <c r="O563" s="102"/>
      <c r="P563" s="81"/>
      <c r="Q563" s="81"/>
      <c r="R563" s="81"/>
      <c r="S563" s="81"/>
      <c r="T563" s="81"/>
      <c r="U563" s="81"/>
      <c r="V563" s="81"/>
      <c r="W563" s="81"/>
      <c r="X563" s="81"/>
      <c r="Y563" s="81"/>
    </row>
    <row r="564" customFormat="false" ht="12" hidden="false" customHeight="true" outlineLevel="0" collapsed="false">
      <c r="A564" s="91"/>
      <c r="B564" s="81"/>
      <c r="C564" s="81"/>
      <c r="D564" s="81"/>
      <c r="E564" s="81"/>
      <c r="F564" s="173"/>
      <c r="G564" s="173"/>
      <c r="H564" s="173"/>
      <c r="I564" s="173"/>
      <c r="J564" s="173"/>
      <c r="K564" s="173"/>
      <c r="L564" s="80"/>
      <c r="M564" s="81"/>
      <c r="N564" s="102"/>
      <c r="O564" s="102"/>
      <c r="P564" s="81"/>
      <c r="Q564" s="81"/>
      <c r="R564" s="81"/>
      <c r="S564" s="81"/>
      <c r="T564" s="81"/>
      <c r="U564" s="81"/>
      <c r="V564" s="81"/>
      <c r="W564" s="81"/>
      <c r="X564" s="81"/>
      <c r="Y564" s="81"/>
    </row>
    <row r="565" customFormat="false" ht="12" hidden="false" customHeight="true" outlineLevel="0" collapsed="false">
      <c r="A565" s="91"/>
      <c r="B565" s="81"/>
      <c r="C565" s="81"/>
      <c r="D565" s="81"/>
      <c r="E565" s="81"/>
      <c r="F565" s="173"/>
      <c r="G565" s="173"/>
      <c r="H565" s="173"/>
      <c r="I565" s="173"/>
      <c r="J565" s="173"/>
      <c r="K565" s="173"/>
      <c r="L565" s="80"/>
      <c r="M565" s="81"/>
      <c r="N565" s="102"/>
      <c r="O565" s="102"/>
      <c r="P565" s="81"/>
      <c r="Q565" s="81"/>
      <c r="R565" s="81"/>
      <c r="S565" s="81"/>
      <c r="T565" s="81"/>
      <c r="U565" s="81"/>
      <c r="V565" s="81"/>
      <c r="W565" s="81"/>
      <c r="X565" s="81"/>
      <c r="Y565" s="81"/>
    </row>
    <row r="566" customFormat="false" ht="12" hidden="false" customHeight="true" outlineLevel="0" collapsed="false">
      <c r="A566" s="91"/>
      <c r="B566" s="81"/>
      <c r="C566" s="81"/>
      <c r="D566" s="81"/>
      <c r="E566" s="81"/>
      <c r="F566" s="173"/>
      <c r="G566" s="173"/>
      <c r="H566" s="173"/>
      <c r="I566" s="173"/>
      <c r="J566" s="173"/>
      <c r="K566" s="173"/>
      <c r="L566" s="80"/>
      <c r="M566" s="81"/>
      <c r="N566" s="102"/>
      <c r="O566" s="102"/>
      <c r="P566" s="81"/>
      <c r="Q566" s="81"/>
      <c r="R566" s="81"/>
      <c r="S566" s="81"/>
      <c r="T566" s="81"/>
      <c r="U566" s="81"/>
      <c r="V566" s="81"/>
      <c r="W566" s="81"/>
      <c r="X566" s="81"/>
      <c r="Y566" s="81"/>
    </row>
    <row r="567" customFormat="false" ht="12" hidden="false" customHeight="true" outlineLevel="0" collapsed="false">
      <c r="A567" s="91"/>
      <c r="B567" s="81"/>
      <c r="C567" s="81"/>
      <c r="D567" s="81"/>
      <c r="E567" s="81"/>
      <c r="F567" s="173"/>
      <c r="G567" s="173"/>
      <c r="H567" s="173"/>
      <c r="I567" s="173"/>
      <c r="J567" s="173"/>
      <c r="K567" s="173"/>
      <c r="L567" s="80"/>
      <c r="M567" s="81"/>
      <c r="N567" s="102"/>
      <c r="O567" s="102"/>
      <c r="P567" s="81"/>
      <c r="Q567" s="81"/>
      <c r="R567" s="81"/>
      <c r="S567" s="81"/>
      <c r="T567" s="81"/>
      <c r="U567" s="81"/>
      <c r="V567" s="81"/>
      <c r="W567" s="81"/>
      <c r="X567" s="81"/>
      <c r="Y567" s="81"/>
    </row>
    <row r="568" customFormat="false" ht="12" hidden="false" customHeight="true" outlineLevel="0" collapsed="false">
      <c r="A568" s="91"/>
      <c r="B568" s="81"/>
      <c r="C568" s="81"/>
      <c r="D568" s="81"/>
      <c r="E568" s="81"/>
      <c r="F568" s="173"/>
      <c r="G568" s="173"/>
      <c r="H568" s="173"/>
      <c r="I568" s="173"/>
      <c r="J568" s="173"/>
      <c r="K568" s="173"/>
      <c r="L568" s="80"/>
      <c r="M568" s="81"/>
      <c r="N568" s="102"/>
      <c r="O568" s="102"/>
      <c r="P568" s="81"/>
      <c r="Q568" s="81"/>
      <c r="R568" s="81"/>
      <c r="S568" s="81"/>
      <c r="T568" s="81"/>
      <c r="U568" s="81"/>
      <c r="V568" s="81"/>
      <c r="W568" s="81"/>
      <c r="X568" s="81"/>
      <c r="Y568" s="81"/>
    </row>
    <row r="569" customFormat="false" ht="12" hidden="false" customHeight="true" outlineLevel="0" collapsed="false">
      <c r="A569" s="91"/>
      <c r="B569" s="81"/>
      <c r="C569" s="81"/>
      <c r="D569" s="81"/>
      <c r="E569" s="81"/>
      <c r="F569" s="173"/>
      <c r="G569" s="173"/>
      <c r="H569" s="173"/>
      <c r="I569" s="173"/>
      <c r="J569" s="173"/>
      <c r="K569" s="173"/>
      <c r="L569" s="80"/>
      <c r="M569" s="81"/>
      <c r="N569" s="102"/>
      <c r="O569" s="102"/>
      <c r="P569" s="81"/>
      <c r="Q569" s="81"/>
      <c r="R569" s="81"/>
      <c r="S569" s="81"/>
      <c r="T569" s="81"/>
      <c r="U569" s="81"/>
      <c r="V569" s="81"/>
      <c r="W569" s="81"/>
      <c r="X569" s="81"/>
      <c r="Y569" s="81"/>
    </row>
    <row r="570" customFormat="false" ht="12" hidden="false" customHeight="true" outlineLevel="0" collapsed="false">
      <c r="A570" s="91"/>
      <c r="B570" s="81"/>
      <c r="C570" s="81"/>
      <c r="D570" s="81"/>
      <c r="E570" s="81"/>
      <c r="F570" s="173"/>
      <c r="G570" s="173"/>
      <c r="H570" s="173"/>
      <c r="I570" s="173"/>
      <c r="J570" s="173"/>
      <c r="K570" s="173"/>
      <c r="L570" s="80"/>
      <c r="M570" s="81"/>
      <c r="N570" s="102"/>
      <c r="O570" s="102"/>
      <c r="P570" s="81"/>
      <c r="Q570" s="81"/>
      <c r="R570" s="81"/>
      <c r="S570" s="81"/>
      <c r="T570" s="81"/>
      <c r="U570" s="81"/>
      <c r="V570" s="81"/>
      <c r="W570" s="81"/>
      <c r="X570" s="81"/>
      <c r="Y570" s="81"/>
    </row>
    <row r="571" customFormat="false" ht="12" hidden="false" customHeight="true" outlineLevel="0" collapsed="false">
      <c r="A571" s="91"/>
      <c r="B571" s="81"/>
      <c r="C571" s="81"/>
      <c r="D571" s="81"/>
      <c r="E571" s="81"/>
      <c r="F571" s="173"/>
      <c r="G571" s="173"/>
      <c r="H571" s="173"/>
      <c r="I571" s="173"/>
      <c r="J571" s="173"/>
      <c r="K571" s="173"/>
      <c r="L571" s="80"/>
      <c r="M571" s="81"/>
      <c r="N571" s="102"/>
      <c r="O571" s="102"/>
      <c r="P571" s="81"/>
      <c r="Q571" s="81"/>
      <c r="R571" s="81"/>
      <c r="S571" s="81"/>
      <c r="T571" s="81"/>
      <c r="U571" s="81"/>
      <c r="V571" s="81"/>
      <c r="W571" s="81"/>
      <c r="X571" s="81"/>
      <c r="Y571" s="81"/>
    </row>
    <row r="572" customFormat="false" ht="12" hidden="false" customHeight="true" outlineLevel="0" collapsed="false">
      <c r="A572" s="91"/>
      <c r="B572" s="81"/>
      <c r="C572" s="81"/>
      <c r="D572" s="81"/>
      <c r="E572" s="81"/>
      <c r="F572" s="173"/>
      <c r="G572" s="173"/>
      <c r="H572" s="173"/>
      <c r="I572" s="173"/>
      <c r="J572" s="173"/>
      <c r="K572" s="173"/>
      <c r="L572" s="80"/>
      <c r="M572" s="81"/>
      <c r="N572" s="102"/>
      <c r="O572" s="102"/>
      <c r="P572" s="81"/>
      <c r="Q572" s="81"/>
      <c r="R572" s="81"/>
      <c r="S572" s="81"/>
      <c r="T572" s="81"/>
      <c r="U572" s="81"/>
      <c r="V572" s="81"/>
      <c r="W572" s="81"/>
      <c r="X572" s="81"/>
      <c r="Y572" s="81"/>
    </row>
    <row r="573" customFormat="false" ht="12" hidden="false" customHeight="true" outlineLevel="0" collapsed="false">
      <c r="A573" s="91"/>
      <c r="B573" s="81"/>
      <c r="C573" s="81"/>
      <c r="D573" s="81"/>
      <c r="E573" s="81"/>
      <c r="F573" s="173"/>
      <c r="G573" s="173"/>
      <c r="H573" s="173"/>
      <c r="I573" s="173"/>
      <c r="J573" s="173"/>
      <c r="K573" s="173"/>
      <c r="L573" s="80"/>
      <c r="M573" s="81"/>
      <c r="N573" s="102"/>
      <c r="O573" s="102"/>
      <c r="P573" s="81"/>
      <c r="Q573" s="81"/>
      <c r="R573" s="81"/>
      <c r="S573" s="81"/>
      <c r="T573" s="81"/>
      <c r="U573" s="81"/>
      <c r="V573" s="81"/>
      <c r="W573" s="81"/>
      <c r="X573" s="81"/>
      <c r="Y573" s="81"/>
    </row>
    <row r="574" customFormat="false" ht="12" hidden="false" customHeight="true" outlineLevel="0" collapsed="false">
      <c r="A574" s="91"/>
      <c r="B574" s="81"/>
      <c r="C574" s="81"/>
      <c r="D574" s="81"/>
      <c r="E574" s="81"/>
      <c r="F574" s="173"/>
      <c r="G574" s="173"/>
      <c r="H574" s="173"/>
      <c r="I574" s="173"/>
      <c r="J574" s="173"/>
      <c r="K574" s="173"/>
      <c r="L574" s="80"/>
      <c r="M574" s="81"/>
      <c r="N574" s="102"/>
      <c r="O574" s="102"/>
      <c r="P574" s="81"/>
      <c r="Q574" s="81"/>
      <c r="R574" s="81"/>
      <c r="S574" s="81"/>
      <c r="T574" s="81"/>
      <c r="U574" s="81"/>
      <c r="V574" s="81"/>
      <c r="W574" s="81"/>
      <c r="X574" s="81"/>
      <c r="Y574" s="81"/>
    </row>
    <row r="575" customFormat="false" ht="12" hidden="false" customHeight="true" outlineLevel="0" collapsed="false">
      <c r="A575" s="91"/>
      <c r="B575" s="81"/>
      <c r="C575" s="81"/>
      <c r="D575" s="81"/>
      <c r="E575" s="81"/>
      <c r="F575" s="173"/>
      <c r="G575" s="173"/>
      <c r="H575" s="173"/>
      <c r="I575" s="173"/>
      <c r="J575" s="173"/>
      <c r="K575" s="173"/>
      <c r="L575" s="80"/>
      <c r="M575" s="81"/>
      <c r="N575" s="102"/>
      <c r="O575" s="102"/>
      <c r="P575" s="81"/>
      <c r="Q575" s="81"/>
      <c r="R575" s="81"/>
      <c r="S575" s="81"/>
      <c r="T575" s="81"/>
      <c r="U575" s="81"/>
      <c r="V575" s="81"/>
      <c r="W575" s="81"/>
      <c r="X575" s="81"/>
      <c r="Y575" s="81"/>
    </row>
    <row r="576" customFormat="false" ht="12" hidden="false" customHeight="true" outlineLevel="0" collapsed="false">
      <c r="A576" s="91"/>
      <c r="B576" s="81"/>
      <c r="C576" s="81"/>
      <c r="D576" s="81"/>
      <c r="E576" s="81"/>
      <c r="F576" s="173"/>
      <c r="G576" s="173"/>
      <c r="H576" s="173"/>
      <c r="I576" s="173"/>
      <c r="J576" s="173"/>
      <c r="K576" s="173"/>
      <c r="L576" s="80"/>
      <c r="M576" s="81"/>
      <c r="N576" s="102"/>
      <c r="O576" s="102"/>
      <c r="P576" s="81"/>
      <c r="Q576" s="81"/>
      <c r="R576" s="81"/>
      <c r="S576" s="81"/>
      <c r="T576" s="81"/>
      <c r="U576" s="81"/>
      <c r="V576" s="81"/>
      <c r="W576" s="81"/>
      <c r="X576" s="81"/>
      <c r="Y576" s="81"/>
    </row>
    <row r="577" customFormat="false" ht="12" hidden="false" customHeight="true" outlineLevel="0" collapsed="false">
      <c r="A577" s="91"/>
      <c r="B577" s="81"/>
      <c r="C577" s="81"/>
      <c r="D577" s="81"/>
      <c r="E577" s="81"/>
      <c r="F577" s="173"/>
      <c r="G577" s="173"/>
      <c r="H577" s="173"/>
      <c r="I577" s="173"/>
      <c r="J577" s="173"/>
      <c r="K577" s="173"/>
      <c r="L577" s="80"/>
      <c r="M577" s="81"/>
      <c r="N577" s="102"/>
      <c r="O577" s="102"/>
      <c r="P577" s="81"/>
      <c r="Q577" s="81"/>
      <c r="R577" s="81"/>
      <c r="S577" s="81"/>
      <c r="T577" s="81"/>
      <c r="U577" s="81"/>
      <c r="V577" s="81"/>
      <c r="W577" s="81"/>
      <c r="X577" s="81"/>
      <c r="Y577" s="81"/>
    </row>
    <row r="578" customFormat="false" ht="12" hidden="false" customHeight="true" outlineLevel="0" collapsed="false">
      <c r="A578" s="91"/>
      <c r="B578" s="81"/>
      <c r="C578" s="81"/>
      <c r="D578" s="81"/>
      <c r="E578" s="81"/>
      <c r="F578" s="173"/>
      <c r="G578" s="173"/>
      <c r="H578" s="173"/>
      <c r="I578" s="173"/>
      <c r="J578" s="173"/>
      <c r="K578" s="173"/>
      <c r="L578" s="80"/>
      <c r="M578" s="81"/>
      <c r="N578" s="102"/>
      <c r="O578" s="102"/>
      <c r="P578" s="81"/>
      <c r="Q578" s="81"/>
      <c r="R578" s="81"/>
      <c r="S578" s="81"/>
      <c r="T578" s="81"/>
      <c r="U578" s="81"/>
      <c r="V578" s="81"/>
      <c r="W578" s="81"/>
      <c r="X578" s="81"/>
      <c r="Y578" s="81"/>
    </row>
    <row r="579" customFormat="false" ht="12" hidden="false" customHeight="true" outlineLevel="0" collapsed="false">
      <c r="A579" s="91"/>
      <c r="B579" s="81"/>
      <c r="C579" s="81"/>
      <c r="D579" s="81"/>
      <c r="E579" s="81"/>
      <c r="F579" s="173"/>
      <c r="G579" s="173"/>
      <c r="H579" s="173"/>
      <c r="I579" s="173"/>
      <c r="J579" s="173"/>
      <c r="K579" s="173"/>
      <c r="L579" s="80"/>
      <c r="M579" s="81"/>
      <c r="N579" s="102"/>
      <c r="O579" s="102"/>
      <c r="P579" s="81"/>
      <c r="Q579" s="81"/>
      <c r="R579" s="81"/>
      <c r="S579" s="81"/>
      <c r="T579" s="81"/>
      <c r="U579" s="81"/>
      <c r="V579" s="81"/>
      <c r="W579" s="81"/>
      <c r="X579" s="81"/>
      <c r="Y579" s="81"/>
    </row>
    <row r="580" customFormat="false" ht="12" hidden="false" customHeight="true" outlineLevel="0" collapsed="false">
      <c r="A580" s="91"/>
      <c r="B580" s="81"/>
      <c r="C580" s="81"/>
      <c r="D580" s="81"/>
      <c r="E580" s="81"/>
      <c r="F580" s="173"/>
      <c r="G580" s="173"/>
      <c r="H580" s="173"/>
      <c r="I580" s="173"/>
      <c r="J580" s="173"/>
      <c r="K580" s="173"/>
      <c r="L580" s="80"/>
      <c r="M580" s="81"/>
      <c r="N580" s="102"/>
      <c r="O580" s="102"/>
      <c r="P580" s="81"/>
      <c r="Q580" s="81"/>
      <c r="R580" s="81"/>
      <c r="S580" s="81"/>
      <c r="T580" s="81"/>
      <c r="U580" s="81"/>
      <c r="V580" s="81"/>
      <c r="W580" s="81"/>
      <c r="X580" s="81"/>
      <c r="Y580" s="81"/>
    </row>
    <row r="581" customFormat="false" ht="12" hidden="false" customHeight="true" outlineLevel="0" collapsed="false">
      <c r="A581" s="91"/>
      <c r="B581" s="81"/>
      <c r="C581" s="81"/>
      <c r="D581" s="81"/>
      <c r="E581" s="81"/>
      <c r="F581" s="173"/>
      <c r="G581" s="173"/>
      <c r="H581" s="173"/>
      <c r="I581" s="173"/>
      <c r="J581" s="173"/>
      <c r="K581" s="173"/>
      <c r="L581" s="80"/>
      <c r="M581" s="81"/>
      <c r="N581" s="102"/>
      <c r="O581" s="102"/>
      <c r="P581" s="81"/>
      <c r="Q581" s="81"/>
      <c r="R581" s="81"/>
      <c r="S581" s="81"/>
      <c r="T581" s="81"/>
      <c r="U581" s="81"/>
      <c r="V581" s="81"/>
      <c r="W581" s="81"/>
      <c r="X581" s="81"/>
      <c r="Y581" s="81"/>
    </row>
    <row r="582" customFormat="false" ht="12" hidden="false" customHeight="true" outlineLevel="0" collapsed="false">
      <c r="A582" s="91"/>
      <c r="B582" s="81"/>
      <c r="C582" s="81"/>
      <c r="D582" s="81"/>
      <c r="E582" s="81"/>
      <c r="F582" s="173"/>
      <c r="G582" s="173"/>
      <c r="H582" s="173"/>
      <c r="I582" s="173"/>
      <c r="J582" s="173"/>
      <c r="K582" s="173"/>
      <c r="L582" s="80"/>
      <c r="M582" s="81"/>
      <c r="N582" s="102"/>
      <c r="O582" s="102"/>
      <c r="P582" s="81"/>
      <c r="Q582" s="81"/>
      <c r="R582" s="81"/>
      <c r="S582" s="81"/>
      <c r="T582" s="81"/>
      <c r="U582" s="81"/>
      <c r="V582" s="81"/>
      <c r="W582" s="81"/>
      <c r="X582" s="81"/>
      <c r="Y582" s="81"/>
    </row>
    <row r="583" customFormat="false" ht="12" hidden="false" customHeight="true" outlineLevel="0" collapsed="false">
      <c r="A583" s="91"/>
      <c r="B583" s="81"/>
      <c r="C583" s="81"/>
      <c r="D583" s="81"/>
      <c r="E583" s="81"/>
      <c r="F583" s="173"/>
      <c r="G583" s="173"/>
      <c r="H583" s="173"/>
      <c r="I583" s="173"/>
      <c r="J583" s="173"/>
      <c r="K583" s="173"/>
      <c r="L583" s="80"/>
      <c r="M583" s="81"/>
      <c r="N583" s="102"/>
      <c r="O583" s="102"/>
      <c r="P583" s="81"/>
      <c r="Q583" s="81"/>
      <c r="R583" s="81"/>
      <c r="S583" s="81"/>
      <c r="T583" s="81"/>
      <c r="U583" s="81"/>
      <c r="V583" s="81"/>
      <c r="W583" s="81"/>
      <c r="X583" s="81"/>
      <c r="Y583" s="81"/>
    </row>
    <row r="584" customFormat="false" ht="12" hidden="false" customHeight="true" outlineLevel="0" collapsed="false">
      <c r="A584" s="91"/>
      <c r="B584" s="81"/>
      <c r="C584" s="81"/>
      <c r="D584" s="81"/>
      <c r="E584" s="81"/>
      <c r="F584" s="173"/>
      <c r="G584" s="173"/>
      <c r="H584" s="173"/>
      <c r="I584" s="173"/>
      <c r="J584" s="173"/>
      <c r="K584" s="173"/>
      <c r="L584" s="80"/>
      <c r="M584" s="81"/>
      <c r="N584" s="102"/>
      <c r="O584" s="102"/>
      <c r="P584" s="81"/>
      <c r="Q584" s="81"/>
      <c r="R584" s="81"/>
      <c r="S584" s="81"/>
      <c r="T584" s="81"/>
      <c r="U584" s="81"/>
      <c r="V584" s="81"/>
      <c r="W584" s="81"/>
      <c r="X584" s="81"/>
      <c r="Y584" s="81"/>
    </row>
    <row r="585" customFormat="false" ht="12" hidden="false" customHeight="true" outlineLevel="0" collapsed="false">
      <c r="A585" s="91"/>
      <c r="B585" s="81"/>
      <c r="C585" s="81"/>
      <c r="D585" s="81"/>
      <c r="E585" s="81"/>
      <c r="F585" s="173"/>
      <c r="G585" s="173"/>
      <c r="H585" s="173"/>
      <c r="I585" s="173"/>
      <c r="J585" s="173"/>
      <c r="K585" s="173"/>
      <c r="L585" s="80"/>
      <c r="M585" s="81"/>
      <c r="N585" s="102"/>
      <c r="O585" s="102"/>
      <c r="P585" s="81"/>
      <c r="Q585" s="81"/>
      <c r="R585" s="81"/>
      <c r="S585" s="81"/>
      <c r="T585" s="81"/>
      <c r="U585" s="81"/>
      <c r="V585" s="81"/>
      <c r="W585" s="81"/>
      <c r="X585" s="81"/>
      <c r="Y585" s="81"/>
    </row>
    <row r="586" customFormat="false" ht="12" hidden="false" customHeight="true" outlineLevel="0" collapsed="false">
      <c r="A586" s="91"/>
      <c r="B586" s="81"/>
      <c r="C586" s="81"/>
      <c r="D586" s="81"/>
      <c r="E586" s="81"/>
      <c r="F586" s="173"/>
      <c r="G586" s="173"/>
      <c r="H586" s="173"/>
      <c r="I586" s="173"/>
      <c r="J586" s="173"/>
      <c r="K586" s="173"/>
      <c r="L586" s="80"/>
      <c r="M586" s="81"/>
      <c r="N586" s="102"/>
      <c r="O586" s="102"/>
      <c r="P586" s="81"/>
      <c r="Q586" s="81"/>
      <c r="R586" s="81"/>
      <c r="S586" s="81"/>
      <c r="T586" s="81"/>
      <c r="U586" s="81"/>
      <c r="V586" s="81"/>
      <c r="W586" s="81"/>
      <c r="X586" s="81"/>
      <c r="Y586" s="81"/>
    </row>
    <row r="587" customFormat="false" ht="12" hidden="false" customHeight="true" outlineLevel="0" collapsed="false">
      <c r="A587" s="91"/>
      <c r="B587" s="81"/>
      <c r="C587" s="81"/>
      <c r="D587" s="81"/>
      <c r="E587" s="81"/>
      <c r="F587" s="173"/>
      <c r="G587" s="173"/>
      <c r="H587" s="173"/>
      <c r="I587" s="173"/>
      <c r="J587" s="173"/>
      <c r="K587" s="173"/>
      <c r="L587" s="80"/>
      <c r="M587" s="81"/>
      <c r="N587" s="102"/>
      <c r="O587" s="102"/>
      <c r="P587" s="81"/>
      <c r="Q587" s="81"/>
      <c r="R587" s="81"/>
      <c r="S587" s="81"/>
      <c r="T587" s="81"/>
      <c r="U587" s="81"/>
      <c r="V587" s="81"/>
      <c r="W587" s="81"/>
      <c r="X587" s="81"/>
      <c r="Y587" s="81"/>
    </row>
    <row r="588" customFormat="false" ht="12" hidden="false" customHeight="true" outlineLevel="0" collapsed="false">
      <c r="A588" s="91"/>
      <c r="B588" s="81"/>
      <c r="C588" s="81"/>
      <c r="D588" s="81"/>
      <c r="E588" s="81"/>
      <c r="F588" s="173"/>
      <c r="G588" s="173"/>
      <c r="H588" s="173"/>
      <c r="I588" s="173"/>
      <c r="J588" s="173"/>
      <c r="K588" s="173"/>
      <c r="L588" s="80"/>
      <c r="M588" s="81"/>
      <c r="N588" s="102"/>
      <c r="O588" s="102"/>
      <c r="P588" s="81"/>
      <c r="Q588" s="81"/>
      <c r="R588" s="81"/>
      <c r="S588" s="81"/>
      <c r="T588" s="81"/>
      <c r="U588" s="81"/>
      <c r="V588" s="81"/>
      <c r="W588" s="81"/>
      <c r="X588" s="81"/>
      <c r="Y588" s="81"/>
    </row>
    <row r="589" customFormat="false" ht="12" hidden="false" customHeight="true" outlineLevel="0" collapsed="false">
      <c r="A589" s="91"/>
      <c r="B589" s="81"/>
      <c r="C589" s="81"/>
      <c r="D589" s="81"/>
      <c r="E589" s="81"/>
      <c r="F589" s="173"/>
      <c r="G589" s="173"/>
      <c r="H589" s="173"/>
      <c r="I589" s="173"/>
      <c r="J589" s="173"/>
      <c r="K589" s="173"/>
      <c r="L589" s="80"/>
      <c r="M589" s="81"/>
      <c r="N589" s="102"/>
      <c r="O589" s="102"/>
      <c r="P589" s="81"/>
      <c r="Q589" s="81"/>
      <c r="R589" s="81"/>
      <c r="S589" s="81"/>
      <c r="T589" s="81"/>
      <c r="U589" s="81"/>
      <c r="V589" s="81"/>
      <c r="W589" s="81"/>
      <c r="X589" s="81"/>
      <c r="Y589" s="81"/>
    </row>
    <row r="590" customFormat="false" ht="12" hidden="false" customHeight="true" outlineLevel="0" collapsed="false">
      <c r="A590" s="91"/>
      <c r="B590" s="81"/>
      <c r="C590" s="81"/>
      <c r="D590" s="81"/>
      <c r="E590" s="81"/>
      <c r="F590" s="173"/>
      <c r="G590" s="173"/>
      <c r="H590" s="173"/>
      <c r="I590" s="173"/>
      <c r="J590" s="173"/>
      <c r="K590" s="173"/>
      <c r="L590" s="80"/>
      <c r="M590" s="81"/>
      <c r="N590" s="102"/>
      <c r="O590" s="102"/>
      <c r="P590" s="81"/>
      <c r="Q590" s="81"/>
      <c r="R590" s="81"/>
      <c r="S590" s="81"/>
      <c r="T590" s="81"/>
      <c r="U590" s="81"/>
      <c r="V590" s="81"/>
      <c r="W590" s="81"/>
      <c r="X590" s="81"/>
      <c r="Y590" s="81"/>
    </row>
    <row r="591" customFormat="false" ht="12" hidden="false" customHeight="true" outlineLevel="0" collapsed="false">
      <c r="A591" s="91"/>
      <c r="B591" s="81"/>
      <c r="C591" s="81"/>
      <c r="D591" s="81"/>
      <c r="E591" s="81"/>
      <c r="F591" s="173"/>
      <c r="G591" s="173"/>
      <c r="H591" s="173"/>
      <c r="I591" s="173"/>
      <c r="J591" s="173"/>
      <c r="K591" s="173"/>
      <c r="L591" s="80"/>
      <c r="M591" s="81"/>
      <c r="N591" s="102"/>
      <c r="O591" s="102"/>
      <c r="P591" s="81"/>
      <c r="Q591" s="81"/>
      <c r="R591" s="81"/>
      <c r="S591" s="81"/>
      <c r="T591" s="81"/>
      <c r="U591" s="81"/>
      <c r="V591" s="81"/>
      <c r="W591" s="81"/>
      <c r="X591" s="81"/>
      <c r="Y591" s="81"/>
    </row>
    <row r="592" customFormat="false" ht="12" hidden="false" customHeight="true" outlineLevel="0" collapsed="false">
      <c r="A592" s="91"/>
      <c r="B592" s="81"/>
      <c r="C592" s="81"/>
      <c r="D592" s="81"/>
      <c r="E592" s="81"/>
      <c r="F592" s="173"/>
      <c r="G592" s="173"/>
      <c r="H592" s="173"/>
      <c r="I592" s="173"/>
      <c r="J592" s="173"/>
      <c r="K592" s="173"/>
      <c r="L592" s="80"/>
      <c r="M592" s="81"/>
      <c r="N592" s="102"/>
      <c r="O592" s="102"/>
      <c r="P592" s="81"/>
      <c r="Q592" s="81"/>
      <c r="R592" s="81"/>
      <c r="S592" s="81"/>
      <c r="T592" s="81"/>
      <c r="U592" s="81"/>
      <c r="V592" s="81"/>
      <c r="W592" s="81"/>
      <c r="X592" s="81"/>
      <c r="Y592" s="81"/>
    </row>
    <row r="593" customFormat="false" ht="12" hidden="false" customHeight="true" outlineLevel="0" collapsed="false">
      <c r="A593" s="91"/>
      <c r="B593" s="81"/>
      <c r="C593" s="81"/>
      <c r="D593" s="81"/>
      <c r="E593" s="81"/>
      <c r="F593" s="173"/>
      <c r="G593" s="173"/>
      <c r="H593" s="173"/>
      <c r="I593" s="173"/>
      <c r="J593" s="173"/>
      <c r="K593" s="173"/>
      <c r="L593" s="80"/>
      <c r="M593" s="81"/>
      <c r="N593" s="102"/>
      <c r="O593" s="102"/>
      <c r="P593" s="81"/>
      <c r="Q593" s="81"/>
      <c r="R593" s="81"/>
      <c r="S593" s="81"/>
      <c r="T593" s="81"/>
      <c r="U593" s="81"/>
      <c r="V593" s="81"/>
      <c r="W593" s="81"/>
      <c r="X593" s="81"/>
      <c r="Y593" s="81"/>
    </row>
    <row r="594" customFormat="false" ht="12" hidden="false" customHeight="true" outlineLevel="0" collapsed="false">
      <c r="A594" s="91"/>
      <c r="B594" s="81"/>
      <c r="C594" s="81"/>
      <c r="D594" s="81"/>
      <c r="E594" s="81"/>
      <c r="F594" s="173"/>
      <c r="G594" s="173"/>
      <c r="H594" s="173"/>
      <c r="I594" s="173"/>
      <c r="J594" s="173"/>
      <c r="K594" s="173"/>
      <c r="L594" s="80"/>
      <c r="M594" s="81"/>
      <c r="N594" s="102"/>
      <c r="O594" s="102"/>
      <c r="P594" s="81"/>
      <c r="Q594" s="81"/>
      <c r="R594" s="81"/>
      <c r="S594" s="81"/>
      <c r="T594" s="81"/>
      <c r="U594" s="81"/>
      <c r="V594" s="81"/>
      <c r="W594" s="81"/>
      <c r="X594" s="81"/>
      <c r="Y594" s="81"/>
    </row>
    <row r="595" customFormat="false" ht="12" hidden="false" customHeight="true" outlineLevel="0" collapsed="false">
      <c r="A595" s="91"/>
      <c r="B595" s="81"/>
      <c r="C595" s="81"/>
      <c r="D595" s="81"/>
      <c r="E595" s="81"/>
      <c r="F595" s="173"/>
      <c r="G595" s="173"/>
      <c r="H595" s="173"/>
      <c r="I595" s="173"/>
      <c r="J595" s="173"/>
      <c r="K595" s="173"/>
      <c r="L595" s="80"/>
      <c r="M595" s="81"/>
      <c r="N595" s="102"/>
      <c r="O595" s="102"/>
      <c r="P595" s="81"/>
      <c r="Q595" s="81"/>
      <c r="R595" s="81"/>
      <c r="S595" s="81"/>
      <c r="T595" s="81"/>
      <c r="U595" s="81"/>
      <c r="V595" s="81"/>
      <c r="W595" s="81"/>
      <c r="X595" s="81"/>
      <c r="Y595" s="81"/>
    </row>
    <row r="596" customFormat="false" ht="12" hidden="false" customHeight="true" outlineLevel="0" collapsed="false">
      <c r="A596" s="91"/>
      <c r="B596" s="81"/>
      <c r="C596" s="81"/>
      <c r="D596" s="81"/>
      <c r="E596" s="81"/>
      <c r="F596" s="173"/>
      <c r="G596" s="173"/>
      <c r="H596" s="173"/>
      <c r="I596" s="173"/>
      <c r="J596" s="173"/>
      <c r="K596" s="173"/>
      <c r="L596" s="80"/>
      <c r="M596" s="81"/>
      <c r="N596" s="102"/>
      <c r="O596" s="102"/>
      <c r="P596" s="81"/>
      <c r="Q596" s="81"/>
      <c r="R596" s="81"/>
      <c r="S596" s="81"/>
      <c r="T596" s="81"/>
      <c r="U596" s="81"/>
      <c r="V596" s="81"/>
      <c r="W596" s="81"/>
      <c r="X596" s="81"/>
      <c r="Y596" s="81"/>
    </row>
    <row r="597" customFormat="false" ht="12" hidden="false" customHeight="true" outlineLevel="0" collapsed="false">
      <c r="A597" s="91"/>
      <c r="B597" s="81"/>
      <c r="C597" s="81"/>
      <c r="D597" s="81"/>
      <c r="E597" s="81"/>
      <c r="F597" s="173"/>
      <c r="G597" s="173"/>
      <c r="H597" s="173"/>
      <c r="I597" s="173"/>
      <c r="J597" s="173"/>
      <c r="K597" s="173"/>
      <c r="L597" s="80"/>
      <c r="M597" s="81"/>
      <c r="N597" s="102"/>
      <c r="O597" s="102"/>
      <c r="P597" s="81"/>
      <c r="Q597" s="81"/>
      <c r="R597" s="81"/>
      <c r="S597" s="81"/>
      <c r="T597" s="81"/>
      <c r="U597" s="81"/>
      <c r="V597" s="81"/>
      <c r="W597" s="81"/>
      <c r="X597" s="81"/>
      <c r="Y597" s="81"/>
    </row>
    <row r="598" customFormat="false" ht="12" hidden="false" customHeight="true" outlineLevel="0" collapsed="false">
      <c r="A598" s="91"/>
      <c r="B598" s="81"/>
      <c r="C598" s="81"/>
      <c r="D598" s="81"/>
      <c r="E598" s="81"/>
      <c r="F598" s="173"/>
      <c r="G598" s="173"/>
      <c r="H598" s="173"/>
      <c r="I598" s="173"/>
      <c r="J598" s="173"/>
      <c r="K598" s="173"/>
      <c r="L598" s="80"/>
      <c r="M598" s="81"/>
      <c r="N598" s="102"/>
      <c r="O598" s="102"/>
      <c r="P598" s="81"/>
      <c r="Q598" s="81"/>
      <c r="R598" s="81"/>
      <c r="S598" s="81"/>
      <c r="T598" s="81"/>
      <c r="U598" s="81"/>
      <c r="V598" s="81"/>
      <c r="W598" s="81"/>
      <c r="X598" s="81"/>
      <c r="Y598" s="81"/>
    </row>
    <row r="599" customFormat="false" ht="12" hidden="false" customHeight="true" outlineLevel="0" collapsed="false">
      <c r="A599" s="91"/>
      <c r="B599" s="81"/>
      <c r="C599" s="81"/>
      <c r="D599" s="81"/>
      <c r="E599" s="81"/>
      <c r="F599" s="173"/>
      <c r="G599" s="173"/>
      <c r="H599" s="173"/>
      <c r="I599" s="173"/>
      <c r="J599" s="173"/>
      <c r="K599" s="173"/>
      <c r="L599" s="80"/>
      <c r="M599" s="81"/>
      <c r="N599" s="102"/>
      <c r="O599" s="102"/>
      <c r="P599" s="81"/>
      <c r="Q599" s="81"/>
      <c r="R599" s="81"/>
      <c r="S599" s="81"/>
      <c r="T599" s="81"/>
      <c r="U599" s="81"/>
      <c r="V599" s="81"/>
      <c r="W599" s="81"/>
      <c r="X599" s="81"/>
      <c r="Y599" s="81"/>
    </row>
    <row r="600" customFormat="false" ht="12" hidden="false" customHeight="true" outlineLevel="0" collapsed="false">
      <c r="A600" s="91"/>
      <c r="B600" s="81"/>
      <c r="C600" s="81"/>
      <c r="D600" s="81"/>
      <c r="E600" s="81"/>
      <c r="F600" s="173"/>
      <c r="G600" s="173"/>
      <c r="H600" s="173"/>
      <c r="I600" s="173"/>
      <c r="J600" s="173"/>
      <c r="K600" s="173"/>
      <c r="L600" s="80"/>
      <c r="M600" s="81"/>
      <c r="N600" s="102"/>
      <c r="O600" s="102"/>
      <c r="P600" s="81"/>
      <c r="Q600" s="81"/>
      <c r="R600" s="81"/>
      <c r="S600" s="81"/>
      <c r="T600" s="81"/>
      <c r="U600" s="81"/>
      <c r="V600" s="81"/>
      <c r="W600" s="81"/>
      <c r="X600" s="81"/>
      <c r="Y600" s="81"/>
    </row>
    <row r="601" customFormat="false" ht="12" hidden="false" customHeight="true" outlineLevel="0" collapsed="false">
      <c r="A601" s="91"/>
      <c r="B601" s="81"/>
      <c r="C601" s="81"/>
      <c r="D601" s="81"/>
      <c r="E601" s="81"/>
      <c r="F601" s="173"/>
      <c r="G601" s="173"/>
      <c r="H601" s="173"/>
      <c r="I601" s="173"/>
      <c r="J601" s="173"/>
      <c r="K601" s="173"/>
      <c r="L601" s="80"/>
      <c r="M601" s="81"/>
      <c r="N601" s="102"/>
      <c r="O601" s="102"/>
      <c r="P601" s="81"/>
      <c r="Q601" s="81"/>
      <c r="R601" s="81"/>
      <c r="S601" s="81"/>
      <c r="T601" s="81"/>
      <c r="U601" s="81"/>
      <c r="V601" s="81"/>
      <c r="W601" s="81"/>
      <c r="X601" s="81"/>
      <c r="Y601" s="81"/>
    </row>
    <row r="602" customFormat="false" ht="12" hidden="false" customHeight="true" outlineLevel="0" collapsed="false">
      <c r="A602" s="91"/>
      <c r="B602" s="81"/>
      <c r="C602" s="81"/>
      <c r="D602" s="81"/>
      <c r="E602" s="81"/>
      <c r="F602" s="173"/>
      <c r="G602" s="173"/>
      <c r="H602" s="173"/>
      <c r="I602" s="173"/>
      <c r="J602" s="173"/>
      <c r="K602" s="173"/>
      <c r="L602" s="80"/>
      <c r="M602" s="81"/>
      <c r="N602" s="102"/>
      <c r="O602" s="102"/>
      <c r="P602" s="81"/>
      <c r="Q602" s="81"/>
      <c r="R602" s="81"/>
      <c r="S602" s="81"/>
      <c r="T602" s="81"/>
      <c r="U602" s="81"/>
      <c r="V602" s="81"/>
      <c r="W602" s="81"/>
      <c r="X602" s="81"/>
      <c r="Y602" s="81"/>
    </row>
    <row r="603" customFormat="false" ht="12" hidden="false" customHeight="true" outlineLevel="0" collapsed="false">
      <c r="A603" s="91"/>
      <c r="B603" s="81"/>
      <c r="C603" s="81"/>
      <c r="D603" s="81"/>
      <c r="E603" s="81"/>
      <c r="F603" s="173"/>
      <c r="G603" s="173"/>
      <c r="H603" s="173"/>
      <c r="I603" s="173"/>
      <c r="J603" s="173"/>
      <c r="K603" s="173"/>
      <c r="L603" s="80"/>
      <c r="M603" s="81"/>
      <c r="N603" s="102"/>
      <c r="O603" s="102"/>
      <c r="P603" s="81"/>
      <c r="Q603" s="81"/>
      <c r="R603" s="81"/>
      <c r="S603" s="81"/>
      <c r="T603" s="81"/>
      <c r="U603" s="81"/>
      <c r="V603" s="81"/>
      <c r="W603" s="81"/>
      <c r="X603" s="81"/>
      <c r="Y603" s="81"/>
    </row>
    <row r="604" customFormat="false" ht="12" hidden="false" customHeight="true" outlineLevel="0" collapsed="false">
      <c r="A604" s="91"/>
      <c r="B604" s="81"/>
      <c r="C604" s="81"/>
      <c r="D604" s="81"/>
      <c r="E604" s="81"/>
      <c r="F604" s="173"/>
      <c r="G604" s="173"/>
      <c r="H604" s="173"/>
      <c r="I604" s="173"/>
      <c r="J604" s="173"/>
      <c r="K604" s="173"/>
      <c r="L604" s="80"/>
      <c r="M604" s="81"/>
      <c r="N604" s="102"/>
      <c r="O604" s="102"/>
      <c r="P604" s="81"/>
      <c r="Q604" s="81"/>
      <c r="R604" s="81"/>
      <c r="S604" s="81"/>
      <c r="T604" s="81"/>
      <c r="U604" s="81"/>
      <c r="V604" s="81"/>
      <c r="W604" s="81"/>
      <c r="X604" s="81"/>
      <c r="Y604" s="81"/>
    </row>
    <row r="605" customFormat="false" ht="12" hidden="false" customHeight="true" outlineLevel="0" collapsed="false">
      <c r="A605" s="91"/>
      <c r="B605" s="81"/>
      <c r="C605" s="81"/>
      <c r="D605" s="81"/>
      <c r="E605" s="81"/>
      <c r="F605" s="173"/>
      <c r="G605" s="173"/>
      <c r="H605" s="173"/>
      <c r="I605" s="173"/>
      <c r="J605" s="173"/>
      <c r="K605" s="173"/>
      <c r="L605" s="80"/>
      <c r="M605" s="81"/>
      <c r="N605" s="102"/>
      <c r="O605" s="102"/>
      <c r="P605" s="81"/>
      <c r="Q605" s="81"/>
      <c r="R605" s="81"/>
      <c r="S605" s="81"/>
      <c r="T605" s="81"/>
      <c r="U605" s="81"/>
      <c r="V605" s="81"/>
      <c r="W605" s="81"/>
      <c r="X605" s="81"/>
      <c r="Y605" s="81"/>
    </row>
    <row r="606" customFormat="false" ht="12" hidden="false" customHeight="true" outlineLevel="0" collapsed="false">
      <c r="A606" s="91"/>
      <c r="B606" s="81"/>
      <c r="C606" s="81"/>
      <c r="D606" s="81"/>
      <c r="E606" s="81"/>
      <c r="F606" s="173"/>
      <c r="G606" s="173"/>
      <c r="H606" s="173"/>
      <c r="I606" s="173"/>
      <c r="J606" s="173"/>
      <c r="K606" s="173"/>
      <c r="L606" s="80"/>
      <c r="M606" s="81"/>
      <c r="N606" s="102"/>
      <c r="O606" s="102"/>
      <c r="P606" s="81"/>
      <c r="Q606" s="81"/>
      <c r="R606" s="81"/>
      <c r="S606" s="81"/>
      <c r="T606" s="81"/>
      <c r="U606" s="81"/>
      <c r="V606" s="81"/>
      <c r="W606" s="81"/>
      <c r="X606" s="81"/>
      <c r="Y606" s="81"/>
    </row>
    <row r="607" customFormat="false" ht="12" hidden="false" customHeight="true" outlineLevel="0" collapsed="false">
      <c r="A607" s="91"/>
      <c r="B607" s="81"/>
      <c r="C607" s="81"/>
      <c r="D607" s="81"/>
      <c r="E607" s="81"/>
      <c r="F607" s="173"/>
      <c r="G607" s="173"/>
      <c r="H607" s="173"/>
      <c r="I607" s="173"/>
      <c r="J607" s="173"/>
      <c r="K607" s="173"/>
      <c r="L607" s="80"/>
      <c r="M607" s="81"/>
      <c r="N607" s="102"/>
      <c r="O607" s="102"/>
      <c r="P607" s="81"/>
      <c r="Q607" s="81"/>
      <c r="R607" s="81"/>
      <c r="S607" s="81"/>
      <c r="T607" s="81"/>
      <c r="U607" s="81"/>
      <c r="V607" s="81"/>
      <c r="W607" s="81"/>
      <c r="X607" s="81"/>
      <c r="Y607" s="81"/>
    </row>
    <row r="608" customFormat="false" ht="12" hidden="false" customHeight="true" outlineLevel="0" collapsed="false">
      <c r="A608" s="91"/>
      <c r="B608" s="81"/>
      <c r="C608" s="81"/>
      <c r="D608" s="81"/>
      <c r="E608" s="81"/>
      <c r="F608" s="173"/>
      <c r="G608" s="173"/>
      <c r="H608" s="173"/>
      <c r="I608" s="173"/>
      <c r="J608" s="173"/>
      <c r="K608" s="173"/>
      <c r="L608" s="80"/>
      <c r="M608" s="81"/>
      <c r="N608" s="102"/>
      <c r="O608" s="102"/>
      <c r="P608" s="81"/>
      <c r="Q608" s="81"/>
      <c r="R608" s="81"/>
      <c r="S608" s="81"/>
      <c r="T608" s="81"/>
      <c r="U608" s="81"/>
      <c r="V608" s="81"/>
      <c r="W608" s="81"/>
      <c r="X608" s="81"/>
      <c r="Y608" s="81"/>
    </row>
    <row r="609" customFormat="false" ht="12" hidden="false" customHeight="true" outlineLevel="0" collapsed="false">
      <c r="A609" s="91"/>
      <c r="B609" s="81"/>
      <c r="C609" s="81"/>
      <c r="D609" s="81"/>
      <c r="E609" s="81"/>
      <c r="F609" s="173"/>
      <c r="G609" s="173"/>
      <c r="H609" s="173"/>
      <c r="I609" s="173"/>
      <c r="J609" s="173"/>
      <c r="K609" s="173"/>
      <c r="L609" s="80"/>
      <c r="M609" s="81"/>
      <c r="N609" s="102"/>
      <c r="O609" s="102"/>
      <c r="P609" s="81"/>
      <c r="Q609" s="81"/>
      <c r="R609" s="81"/>
      <c r="S609" s="81"/>
      <c r="T609" s="81"/>
      <c r="U609" s="81"/>
      <c r="V609" s="81"/>
      <c r="W609" s="81"/>
      <c r="X609" s="81"/>
      <c r="Y609" s="81"/>
    </row>
    <row r="610" customFormat="false" ht="12" hidden="false" customHeight="true" outlineLevel="0" collapsed="false">
      <c r="A610" s="91"/>
      <c r="B610" s="81"/>
      <c r="C610" s="81"/>
      <c r="D610" s="81"/>
      <c r="E610" s="81"/>
      <c r="F610" s="173"/>
      <c r="G610" s="173"/>
      <c r="H610" s="173"/>
      <c r="I610" s="173"/>
      <c r="J610" s="173"/>
      <c r="K610" s="173"/>
      <c r="L610" s="80"/>
      <c r="M610" s="81"/>
      <c r="N610" s="102"/>
      <c r="O610" s="102"/>
      <c r="P610" s="81"/>
      <c r="Q610" s="81"/>
      <c r="R610" s="81"/>
      <c r="S610" s="81"/>
      <c r="T610" s="81"/>
      <c r="U610" s="81"/>
      <c r="V610" s="81"/>
      <c r="W610" s="81"/>
      <c r="X610" s="81"/>
      <c r="Y610" s="81"/>
    </row>
    <row r="611" customFormat="false" ht="12" hidden="false" customHeight="true" outlineLevel="0" collapsed="false">
      <c r="A611" s="91"/>
      <c r="B611" s="81"/>
      <c r="C611" s="81"/>
      <c r="D611" s="81"/>
      <c r="E611" s="81"/>
      <c r="F611" s="173"/>
      <c r="G611" s="173"/>
      <c r="H611" s="173"/>
      <c r="I611" s="173"/>
      <c r="J611" s="173"/>
      <c r="K611" s="173"/>
      <c r="L611" s="80"/>
      <c r="M611" s="81"/>
      <c r="N611" s="102"/>
      <c r="O611" s="102"/>
      <c r="P611" s="81"/>
      <c r="Q611" s="81"/>
      <c r="R611" s="81"/>
      <c r="S611" s="81"/>
      <c r="T611" s="81"/>
      <c r="U611" s="81"/>
      <c r="V611" s="81"/>
      <c r="W611" s="81"/>
      <c r="X611" s="81"/>
      <c r="Y611" s="81"/>
    </row>
    <row r="612" customFormat="false" ht="12" hidden="false" customHeight="true" outlineLevel="0" collapsed="false">
      <c r="A612" s="91"/>
      <c r="B612" s="81"/>
      <c r="C612" s="81"/>
      <c r="D612" s="81"/>
      <c r="E612" s="81"/>
      <c r="F612" s="173"/>
      <c r="G612" s="173"/>
      <c r="H612" s="173"/>
      <c r="I612" s="173"/>
      <c r="J612" s="173"/>
      <c r="K612" s="173"/>
      <c r="L612" s="80"/>
      <c r="M612" s="81"/>
      <c r="N612" s="102"/>
      <c r="O612" s="102"/>
      <c r="P612" s="81"/>
      <c r="Q612" s="81"/>
      <c r="R612" s="81"/>
      <c r="S612" s="81"/>
      <c r="T612" s="81"/>
      <c r="U612" s="81"/>
      <c r="V612" s="81"/>
      <c r="W612" s="81"/>
      <c r="X612" s="81"/>
      <c r="Y612" s="81"/>
    </row>
    <row r="613" customFormat="false" ht="12" hidden="false" customHeight="true" outlineLevel="0" collapsed="false">
      <c r="A613" s="91"/>
      <c r="B613" s="81"/>
      <c r="C613" s="81"/>
      <c r="D613" s="81"/>
      <c r="E613" s="81"/>
      <c r="F613" s="173"/>
      <c r="G613" s="173"/>
      <c r="H613" s="173"/>
      <c r="I613" s="173"/>
      <c r="J613" s="173"/>
      <c r="K613" s="173"/>
      <c r="L613" s="80"/>
      <c r="M613" s="81"/>
      <c r="N613" s="102"/>
      <c r="O613" s="102"/>
      <c r="P613" s="81"/>
      <c r="Q613" s="81"/>
      <c r="R613" s="81"/>
      <c r="S613" s="81"/>
      <c r="T613" s="81"/>
      <c r="U613" s="81"/>
      <c r="V613" s="81"/>
      <c r="W613" s="81"/>
      <c r="X613" s="81"/>
      <c r="Y613" s="81"/>
    </row>
    <row r="614" customFormat="false" ht="12" hidden="false" customHeight="true" outlineLevel="0" collapsed="false">
      <c r="A614" s="91"/>
      <c r="B614" s="81"/>
      <c r="C614" s="81"/>
      <c r="D614" s="81"/>
      <c r="E614" s="81"/>
      <c r="F614" s="173"/>
      <c r="G614" s="173"/>
      <c r="H614" s="173"/>
      <c r="I614" s="173"/>
      <c r="J614" s="173"/>
      <c r="K614" s="173"/>
      <c r="L614" s="80"/>
      <c r="M614" s="81"/>
      <c r="N614" s="102"/>
      <c r="O614" s="102"/>
      <c r="P614" s="81"/>
      <c r="Q614" s="81"/>
      <c r="R614" s="81"/>
      <c r="S614" s="81"/>
      <c r="T614" s="81"/>
      <c r="U614" s="81"/>
      <c r="V614" s="81"/>
      <c r="W614" s="81"/>
      <c r="X614" s="81"/>
      <c r="Y614" s="81"/>
    </row>
    <row r="615" customFormat="false" ht="12" hidden="false" customHeight="true" outlineLevel="0" collapsed="false">
      <c r="A615" s="91"/>
      <c r="B615" s="81"/>
      <c r="C615" s="81"/>
      <c r="D615" s="81"/>
      <c r="E615" s="81"/>
      <c r="F615" s="173"/>
      <c r="G615" s="173"/>
      <c r="H615" s="173"/>
      <c r="I615" s="173"/>
      <c r="J615" s="173"/>
      <c r="K615" s="173"/>
      <c r="L615" s="80"/>
      <c r="M615" s="81"/>
      <c r="N615" s="102"/>
      <c r="O615" s="102"/>
      <c r="P615" s="81"/>
      <c r="Q615" s="81"/>
      <c r="R615" s="81"/>
      <c r="S615" s="81"/>
      <c r="T615" s="81"/>
      <c r="U615" s="81"/>
      <c r="V615" s="81"/>
      <c r="W615" s="81"/>
      <c r="X615" s="81"/>
      <c r="Y615" s="81"/>
    </row>
    <row r="616" customFormat="false" ht="12" hidden="false" customHeight="true" outlineLevel="0" collapsed="false">
      <c r="A616" s="91"/>
      <c r="B616" s="81"/>
      <c r="C616" s="81"/>
      <c r="D616" s="81"/>
      <c r="E616" s="81"/>
      <c r="F616" s="173"/>
      <c r="G616" s="173"/>
      <c r="H616" s="173"/>
      <c r="I616" s="173"/>
      <c r="J616" s="173"/>
      <c r="K616" s="173"/>
      <c r="L616" s="80"/>
      <c r="M616" s="81"/>
      <c r="N616" s="102"/>
      <c r="O616" s="102"/>
      <c r="P616" s="81"/>
      <c r="Q616" s="81"/>
      <c r="R616" s="81"/>
      <c r="S616" s="81"/>
      <c r="T616" s="81"/>
      <c r="U616" s="81"/>
      <c r="V616" s="81"/>
      <c r="W616" s="81"/>
      <c r="X616" s="81"/>
      <c r="Y616" s="81"/>
    </row>
    <row r="617" customFormat="false" ht="12" hidden="false" customHeight="true" outlineLevel="0" collapsed="false">
      <c r="A617" s="91"/>
      <c r="B617" s="81"/>
      <c r="C617" s="81"/>
      <c r="D617" s="81"/>
      <c r="E617" s="81"/>
      <c r="F617" s="173"/>
      <c r="G617" s="173"/>
      <c r="H617" s="173"/>
      <c r="I617" s="173"/>
      <c r="J617" s="173"/>
      <c r="K617" s="173"/>
      <c r="L617" s="80"/>
      <c r="M617" s="81"/>
      <c r="N617" s="102"/>
      <c r="O617" s="102"/>
      <c r="P617" s="81"/>
      <c r="Q617" s="81"/>
      <c r="R617" s="81"/>
      <c r="S617" s="81"/>
      <c r="T617" s="81"/>
      <c r="U617" s="81"/>
      <c r="V617" s="81"/>
      <c r="W617" s="81"/>
      <c r="X617" s="81"/>
      <c r="Y617" s="81"/>
    </row>
    <row r="618" customFormat="false" ht="12" hidden="false" customHeight="true" outlineLevel="0" collapsed="false">
      <c r="A618" s="91"/>
      <c r="B618" s="81"/>
      <c r="C618" s="81"/>
      <c r="D618" s="81"/>
      <c r="E618" s="81"/>
      <c r="F618" s="173"/>
      <c r="G618" s="173"/>
      <c r="H618" s="173"/>
      <c r="I618" s="173"/>
      <c r="J618" s="173"/>
      <c r="K618" s="173"/>
      <c r="L618" s="80"/>
      <c r="M618" s="81"/>
      <c r="N618" s="102"/>
      <c r="O618" s="102"/>
      <c r="P618" s="81"/>
      <c r="Q618" s="81"/>
      <c r="R618" s="81"/>
      <c r="S618" s="81"/>
      <c r="T618" s="81"/>
      <c r="U618" s="81"/>
      <c r="V618" s="81"/>
      <c r="W618" s="81"/>
      <c r="X618" s="81"/>
      <c r="Y618" s="81"/>
    </row>
    <row r="619" customFormat="false" ht="12" hidden="false" customHeight="true" outlineLevel="0" collapsed="false">
      <c r="A619" s="91"/>
      <c r="B619" s="81"/>
      <c r="C619" s="81"/>
      <c r="D619" s="81"/>
      <c r="E619" s="81"/>
      <c r="F619" s="173"/>
      <c r="G619" s="173"/>
      <c r="H619" s="173"/>
      <c r="I619" s="173"/>
      <c r="J619" s="173"/>
      <c r="K619" s="173"/>
      <c r="L619" s="80"/>
      <c r="M619" s="81"/>
      <c r="N619" s="102"/>
      <c r="O619" s="102"/>
      <c r="P619" s="81"/>
      <c r="Q619" s="81"/>
      <c r="R619" s="81"/>
      <c r="S619" s="81"/>
      <c r="T619" s="81"/>
      <c r="U619" s="81"/>
      <c r="V619" s="81"/>
      <c r="W619" s="81"/>
      <c r="X619" s="81"/>
      <c r="Y619" s="81"/>
    </row>
    <row r="620" customFormat="false" ht="12" hidden="false" customHeight="true" outlineLevel="0" collapsed="false">
      <c r="A620" s="91"/>
      <c r="B620" s="81"/>
      <c r="C620" s="81"/>
      <c r="D620" s="81"/>
      <c r="E620" s="81"/>
      <c r="F620" s="173"/>
      <c r="G620" s="173"/>
      <c r="H620" s="173"/>
      <c r="I620" s="173"/>
      <c r="J620" s="173"/>
      <c r="K620" s="173"/>
      <c r="L620" s="80"/>
      <c r="M620" s="81"/>
      <c r="N620" s="102"/>
      <c r="O620" s="102"/>
      <c r="P620" s="81"/>
      <c r="Q620" s="81"/>
      <c r="R620" s="81"/>
      <c r="S620" s="81"/>
      <c r="T620" s="81"/>
      <c r="U620" s="81"/>
      <c r="V620" s="81"/>
      <c r="W620" s="81"/>
      <c r="X620" s="81"/>
      <c r="Y620" s="81"/>
    </row>
    <row r="621" customFormat="false" ht="12" hidden="false" customHeight="true" outlineLevel="0" collapsed="false">
      <c r="A621" s="91"/>
      <c r="B621" s="81"/>
      <c r="C621" s="81"/>
      <c r="D621" s="81"/>
      <c r="E621" s="81"/>
      <c r="F621" s="173"/>
      <c r="G621" s="173"/>
      <c r="H621" s="173"/>
      <c r="I621" s="173"/>
      <c r="J621" s="173"/>
      <c r="K621" s="173"/>
      <c r="L621" s="80"/>
      <c r="M621" s="81"/>
      <c r="N621" s="102"/>
      <c r="O621" s="102"/>
      <c r="P621" s="81"/>
      <c r="Q621" s="81"/>
      <c r="R621" s="81"/>
      <c r="S621" s="81"/>
      <c r="T621" s="81"/>
      <c r="U621" s="81"/>
      <c r="V621" s="81"/>
      <c r="W621" s="81"/>
      <c r="X621" s="81"/>
      <c r="Y621" s="81"/>
    </row>
    <row r="622" customFormat="false" ht="12" hidden="false" customHeight="true" outlineLevel="0" collapsed="false">
      <c r="A622" s="91"/>
      <c r="B622" s="81"/>
      <c r="C622" s="81"/>
      <c r="D622" s="81"/>
      <c r="E622" s="81"/>
      <c r="F622" s="173"/>
      <c r="G622" s="173"/>
      <c r="H622" s="173"/>
      <c r="I622" s="173"/>
      <c r="J622" s="173"/>
      <c r="K622" s="173"/>
      <c r="L622" s="80"/>
      <c r="M622" s="81"/>
      <c r="N622" s="102"/>
      <c r="O622" s="102"/>
      <c r="P622" s="81"/>
      <c r="Q622" s="81"/>
      <c r="R622" s="81"/>
      <c r="S622" s="81"/>
      <c r="T622" s="81"/>
      <c r="U622" s="81"/>
      <c r="V622" s="81"/>
      <c r="W622" s="81"/>
      <c r="X622" s="81"/>
      <c r="Y622" s="81"/>
    </row>
    <row r="623" customFormat="false" ht="12" hidden="false" customHeight="true" outlineLevel="0" collapsed="false">
      <c r="A623" s="91"/>
      <c r="B623" s="81"/>
      <c r="C623" s="81"/>
      <c r="D623" s="81"/>
      <c r="E623" s="81"/>
      <c r="F623" s="173"/>
      <c r="G623" s="173"/>
      <c r="H623" s="173"/>
      <c r="I623" s="173"/>
      <c r="J623" s="173"/>
      <c r="K623" s="173"/>
      <c r="L623" s="80"/>
      <c r="M623" s="81"/>
      <c r="N623" s="102"/>
      <c r="O623" s="102"/>
      <c r="P623" s="81"/>
      <c r="Q623" s="81"/>
      <c r="R623" s="81"/>
      <c r="S623" s="81"/>
      <c r="T623" s="81"/>
      <c r="U623" s="81"/>
      <c r="V623" s="81"/>
      <c r="W623" s="81"/>
      <c r="X623" s="81"/>
      <c r="Y623" s="81"/>
    </row>
    <row r="624" customFormat="false" ht="12" hidden="false" customHeight="true" outlineLevel="0" collapsed="false">
      <c r="A624" s="91"/>
      <c r="B624" s="81"/>
      <c r="C624" s="81"/>
      <c r="D624" s="81"/>
      <c r="E624" s="81"/>
      <c r="F624" s="173"/>
      <c r="G624" s="173"/>
      <c r="H624" s="173"/>
      <c r="I624" s="173"/>
      <c r="J624" s="173"/>
      <c r="K624" s="173"/>
      <c r="L624" s="80"/>
      <c r="M624" s="81"/>
      <c r="N624" s="102"/>
      <c r="O624" s="102"/>
      <c r="P624" s="81"/>
      <c r="Q624" s="81"/>
      <c r="R624" s="81"/>
      <c r="S624" s="81"/>
      <c r="T624" s="81"/>
      <c r="U624" s="81"/>
      <c r="V624" s="81"/>
      <c r="W624" s="81"/>
      <c r="X624" s="81"/>
      <c r="Y624" s="81"/>
    </row>
    <row r="625" customFormat="false" ht="12" hidden="false" customHeight="true" outlineLevel="0" collapsed="false">
      <c r="A625" s="91"/>
      <c r="B625" s="81"/>
      <c r="C625" s="81"/>
      <c r="D625" s="81"/>
      <c r="E625" s="81"/>
      <c r="F625" s="173"/>
      <c r="G625" s="173"/>
      <c r="H625" s="173"/>
      <c r="I625" s="173"/>
      <c r="J625" s="173"/>
      <c r="K625" s="173"/>
      <c r="L625" s="80"/>
      <c r="M625" s="81"/>
      <c r="N625" s="102"/>
      <c r="O625" s="102"/>
      <c r="P625" s="81"/>
      <c r="Q625" s="81"/>
      <c r="R625" s="81"/>
      <c r="S625" s="81"/>
      <c r="T625" s="81"/>
      <c r="U625" s="81"/>
      <c r="V625" s="81"/>
      <c r="W625" s="81"/>
      <c r="X625" s="81"/>
      <c r="Y625" s="81"/>
    </row>
    <row r="626" customFormat="false" ht="12" hidden="false" customHeight="true" outlineLevel="0" collapsed="false">
      <c r="A626" s="91"/>
      <c r="B626" s="81"/>
      <c r="C626" s="81"/>
      <c r="D626" s="81"/>
      <c r="E626" s="81"/>
      <c r="F626" s="173"/>
      <c r="G626" s="173"/>
      <c r="H626" s="173"/>
      <c r="I626" s="173"/>
      <c r="J626" s="173"/>
      <c r="K626" s="173"/>
      <c r="L626" s="80"/>
      <c r="M626" s="81"/>
      <c r="N626" s="102"/>
      <c r="O626" s="102"/>
      <c r="P626" s="81"/>
      <c r="Q626" s="81"/>
      <c r="R626" s="81"/>
      <c r="S626" s="81"/>
      <c r="T626" s="81"/>
      <c r="U626" s="81"/>
      <c r="V626" s="81"/>
      <c r="W626" s="81"/>
      <c r="X626" s="81"/>
      <c r="Y626" s="81"/>
    </row>
    <row r="627" customFormat="false" ht="12" hidden="false" customHeight="true" outlineLevel="0" collapsed="false">
      <c r="A627" s="91"/>
      <c r="B627" s="81"/>
      <c r="C627" s="81"/>
      <c r="D627" s="81"/>
      <c r="E627" s="81"/>
      <c r="F627" s="173"/>
      <c r="G627" s="173"/>
      <c r="H627" s="173"/>
      <c r="I627" s="173"/>
      <c r="J627" s="173"/>
      <c r="K627" s="173"/>
      <c r="L627" s="80"/>
      <c r="M627" s="81"/>
      <c r="N627" s="102"/>
      <c r="O627" s="102"/>
      <c r="P627" s="81"/>
      <c r="Q627" s="81"/>
      <c r="R627" s="81"/>
      <c r="S627" s="81"/>
      <c r="T627" s="81"/>
      <c r="U627" s="81"/>
      <c r="V627" s="81"/>
      <c r="W627" s="81"/>
      <c r="X627" s="81"/>
      <c r="Y627" s="81"/>
    </row>
    <row r="628" customFormat="false" ht="12" hidden="false" customHeight="true" outlineLevel="0" collapsed="false">
      <c r="A628" s="91"/>
      <c r="B628" s="81"/>
      <c r="C628" s="81"/>
      <c r="D628" s="81"/>
      <c r="E628" s="81"/>
      <c r="F628" s="173"/>
      <c r="G628" s="173"/>
      <c r="H628" s="173"/>
      <c r="I628" s="173"/>
      <c r="J628" s="173"/>
      <c r="K628" s="173"/>
      <c r="L628" s="80"/>
      <c r="M628" s="81"/>
      <c r="N628" s="102"/>
      <c r="O628" s="102"/>
      <c r="P628" s="81"/>
      <c r="Q628" s="81"/>
      <c r="R628" s="81"/>
      <c r="S628" s="81"/>
      <c r="T628" s="81"/>
      <c r="U628" s="81"/>
      <c r="V628" s="81"/>
      <c r="W628" s="81"/>
      <c r="X628" s="81"/>
      <c r="Y628" s="81"/>
    </row>
    <row r="629" customFormat="false" ht="12" hidden="false" customHeight="true" outlineLevel="0" collapsed="false">
      <c r="A629" s="91"/>
      <c r="B629" s="81"/>
      <c r="C629" s="81"/>
      <c r="D629" s="81"/>
      <c r="E629" s="81"/>
      <c r="F629" s="173"/>
      <c r="G629" s="173"/>
      <c r="H629" s="173"/>
      <c r="I629" s="173"/>
      <c r="J629" s="173"/>
      <c r="K629" s="173"/>
      <c r="L629" s="80"/>
      <c r="M629" s="81"/>
      <c r="N629" s="102"/>
      <c r="O629" s="102"/>
      <c r="P629" s="81"/>
      <c r="Q629" s="81"/>
      <c r="R629" s="81"/>
      <c r="S629" s="81"/>
      <c r="T629" s="81"/>
      <c r="U629" s="81"/>
      <c r="V629" s="81"/>
      <c r="W629" s="81"/>
      <c r="X629" s="81"/>
      <c r="Y629" s="81"/>
    </row>
    <row r="630" customFormat="false" ht="12" hidden="false" customHeight="true" outlineLevel="0" collapsed="false">
      <c r="A630" s="91"/>
      <c r="B630" s="81"/>
      <c r="C630" s="81"/>
      <c r="D630" s="81"/>
      <c r="E630" s="81"/>
      <c r="F630" s="173"/>
      <c r="G630" s="173"/>
      <c r="H630" s="173"/>
      <c r="I630" s="173"/>
      <c r="J630" s="173"/>
      <c r="K630" s="173"/>
      <c r="L630" s="80"/>
      <c r="M630" s="81"/>
      <c r="N630" s="102"/>
      <c r="O630" s="102"/>
      <c r="P630" s="81"/>
      <c r="Q630" s="81"/>
      <c r="R630" s="81"/>
      <c r="S630" s="81"/>
      <c r="T630" s="81"/>
      <c r="U630" s="81"/>
      <c r="V630" s="81"/>
      <c r="W630" s="81"/>
      <c r="X630" s="81"/>
      <c r="Y630" s="81"/>
    </row>
    <row r="631" customFormat="false" ht="12" hidden="false" customHeight="true" outlineLevel="0" collapsed="false">
      <c r="A631" s="91"/>
      <c r="B631" s="81"/>
      <c r="C631" s="81"/>
      <c r="D631" s="81"/>
      <c r="E631" s="81"/>
      <c r="F631" s="173"/>
      <c r="G631" s="173"/>
      <c r="H631" s="173"/>
      <c r="I631" s="173"/>
      <c r="J631" s="173"/>
      <c r="K631" s="173"/>
      <c r="L631" s="80"/>
      <c r="M631" s="81"/>
      <c r="N631" s="102"/>
      <c r="O631" s="102"/>
      <c r="P631" s="81"/>
      <c r="Q631" s="81"/>
      <c r="R631" s="81"/>
      <c r="S631" s="81"/>
      <c r="T631" s="81"/>
      <c r="U631" s="81"/>
      <c r="V631" s="81"/>
      <c r="W631" s="81"/>
      <c r="X631" s="81"/>
      <c r="Y631" s="81"/>
    </row>
    <row r="632" customFormat="false" ht="12" hidden="false" customHeight="true" outlineLevel="0" collapsed="false">
      <c r="A632" s="91"/>
      <c r="B632" s="81"/>
      <c r="C632" s="81"/>
      <c r="D632" s="81"/>
      <c r="E632" s="81"/>
      <c r="F632" s="173"/>
      <c r="G632" s="173"/>
      <c r="H632" s="173"/>
      <c r="I632" s="173"/>
      <c r="J632" s="173"/>
      <c r="K632" s="173"/>
      <c r="L632" s="80"/>
      <c r="M632" s="81"/>
      <c r="N632" s="102"/>
      <c r="O632" s="102"/>
      <c r="P632" s="81"/>
      <c r="Q632" s="81"/>
      <c r="R632" s="81"/>
      <c r="S632" s="81"/>
      <c r="T632" s="81"/>
      <c r="U632" s="81"/>
      <c r="V632" s="81"/>
      <c r="W632" s="81"/>
      <c r="X632" s="81"/>
      <c r="Y632" s="81"/>
    </row>
    <row r="633" customFormat="false" ht="12" hidden="false" customHeight="true" outlineLevel="0" collapsed="false">
      <c r="A633" s="91"/>
      <c r="B633" s="81"/>
      <c r="C633" s="81"/>
      <c r="D633" s="81"/>
      <c r="E633" s="81"/>
      <c r="F633" s="173"/>
      <c r="G633" s="173"/>
      <c r="H633" s="173"/>
      <c r="I633" s="173"/>
      <c r="J633" s="173"/>
      <c r="K633" s="173"/>
      <c r="L633" s="80"/>
      <c r="M633" s="81"/>
      <c r="N633" s="102"/>
      <c r="O633" s="102"/>
      <c r="P633" s="81"/>
      <c r="Q633" s="81"/>
      <c r="R633" s="81"/>
      <c r="S633" s="81"/>
      <c r="T633" s="81"/>
      <c r="U633" s="81"/>
      <c r="V633" s="81"/>
      <c r="W633" s="81"/>
      <c r="X633" s="81"/>
      <c r="Y633" s="81"/>
    </row>
    <row r="634" customFormat="false" ht="12" hidden="false" customHeight="true" outlineLevel="0" collapsed="false">
      <c r="A634" s="91"/>
      <c r="B634" s="81"/>
      <c r="C634" s="81"/>
      <c r="D634" s="81"/>
      <c r="E634" s="81"/>
      <c r="F634" s="173"/>
      <c r="G634" s="173"/>
      <c r="H634" s="173"/>
      <c r="I634" s="173"/>
      <c r="J634" s="173"/>
      <c r="K634" s="173"/>
      <c r="L634" s="80"/>
      <c r="M634" s="81"/>
      <c r="N634" s="102"/>
      <c r="O634" s="102"/>
      <c r="P634" s="81"/>
      <c r="Q634" s="81"/>
      <c r="R634" s="81"/>
      <c r="S634" s="81"/>
      <c r="T634" s="81"/>
      <c r="U634" s="81"/>
      <c r="V634" s="81"/>
      <c r="W634" s="81"/>
      <c r="X634" s="81"/>
      <c r="Y634" s="81"/>
    </row>
    <row r="635" customFormat="false" ht="12" hidden="false" customHeight="true" outlineLevel="0" collapsed="false">
      <c r="A635" s="91"/>
      <c r="B635" s="81"/>
      <c r="C635" s="81"/>
      <c r="D635" s="81"/>
      <c r="E635" s="81"/>
      <c r="F635" s="173"/>
      <c r="G635" s="173"/>
      <c r="H635" s="173"/>
      <c r="I635" s="173"/>
      <c r="J635" s="173"/>
      <c r="K635" s="173"/>
      <c r="L635" s="80"/>
      <c r="M635" s="81"/>
      <c r="N635" s="102"/>
      <c r="O635" s="102"/>
      <c r="P635" s="81"/>
      <c r="Q635" s="81"/>
      <c r="R635" s="81"/>
      <c r="S635" s="81"/>
      <c r="T635" s="81"/>
      <c r="U635" s="81"/>
      <c r="V635" s="81"/>
      <c r="W635" s="81"/>
      <c r="X635" s="81"/>
      <c r="Y635" s="81"/>
    </row>
    <row r="636" customFormat="false" ht="12" hidden="false" customHeight="true" outlineLevel="0" collapsed="false">
      <c r="A636" s="91"/>
      <c r="B636" s="81"/>
      <c r="C636" s="81"/>
      <c r="D636" s="81"/>
      <c r="E636" s="81"/>
      <c r="F636" s="173"/>
      <c r="G636" s="173"/>
      <c r="H636" s="173"/>
      <c r="I636" s="173"/>
      <c r="J636" s="173"/>
      <c r="K636" s="173"/>
      <c r="L636" s="80"/>
      <c r="M636" s="81"/>
      <c r="N636" s="102"/>
      <c r="O636" s="102"/>
      <c r="P636" s="81"/>
      <c r="Q636" s="81"/>
      <c r="R636" s="81"/>
      <c r="S636" s="81"/>
      <c r="T636" s="81"/>
      <c r="U636" s="81"/>
      <c r="V636" s="81"/>
      <c r="W636" s="81"/>
      <c r="X636" s="81"/>
      <c r="Y636" s="81"/>
    </row>
    <row r="637" customFormat="false" ht="12" hidden="false" customHeight="true" outlineLevel="0" collapsed="false">
      <c r="A637" s="91"/>
      <c r="B637" s="81"/>
      <c r="C637" s="81"/>
      <c r="D637" s="81"/>
      <c r="E637" s="81"/>
      <c r="F637" s="173"/>
      <c r="G637" s="173"/>
      <c r="H637" s="173"/>
      <c r="I637" s="173"/>
      <c r="J637" s="173"/>
      <c r="K637" s="173"/>
      <c r="L637" s="80"/>
      <c r="M637" s="81"/>
      <c r="N637" s="102"/>
      <c r="O637" s="102"/>
      <c r="P637" s="81"/>
      <c r="Q637" s="81"/>
      <c r="R637" s="81"/>
      <c r="S637" s="81"/>
      <c r="T637" s="81"/>
      <c r="U637" s="81"/>
      <c r="V637" s="81"/>
      <c r="W637" s="81"/>
      <c r="X637" s="81"/>
      <c r="Y637" s="81"/>
    </row>
    <row r="638" customFormat="false" ht="12" hidden="false" customHeight="true" outlineLevel="0" collapsed="false">
      <c r="A638" s="91"/>
      <c r="B638" s="81"/>
      <c r="C638" s="81"/>
      <c r="D638" s="81"/>
      <c r="E638" s="81"/>
      <c r="F638" s="173"/>
      <c r="G638" s="173"/>
      <c r="H638" s="173"/>
      <c r="I638" s="173"/>
      <c r="J638" s="173"/>
      <c r="K638" s="173"/>
      <c r="L638" s="80"/>
      <c r="M638" s="81"/>
      <c r="N638" s="102"/>
      <c r="O638" s="102"/>
      <c r="P638" s="81"/>
      <c r="Q638" s="81"/>
      <c r="R638" s="81"/>
      <c r="S638" s="81"/>
      <c r="T638" s="81"/>
      <c r="U638" s="81"/>
      <c r="V638" s="81"/>
      <c r="W638" s="81"/>
      <c r="X638" s="81"/>
      <c r="Y638" s="81"/>
    </row>
    <row r="639" customFormat="false" ht="12" hidden="false" customHeight="true" outlineLevel="0" collapsed="false">
      <c r="A639" s="91"/>
      <c r="B639" s="81"/>
      <c r="C639" s="81"/>
      <c r="D639" s="81"/>
      <c r="E639" s="81"/>
      <c r="F639" s="173"/>
      <c r="G639" s="173"/>
      <c r="H639" s="173"/>
      <c r="I639" s="173"/>
      <c r="J639" s="173"/>
      <c r="K639" s="173"/>
      <c r="L639" s="80"/>
      <c r="M639" s="81"/>
      <c r="N639" s="102"/>
      <c r="O639" s="102"/>
      <c r="P639" s="81"/>
      <c r="Q639" s="81"/>
      <c r="R639" s="81"/>
      <c r="S639" s="81"/>
      <c r="T639" s="81"/>
      <c r="U639" s="81"/>
      <c r="V639" s="81"/>
      <c r="W639" s="81"/>
      <c r="X639" s="81"/>
      <c r="Y639" s="81"/>
    </row>
    <row r="640" customFormat="false" ht="12" hidden="false" customHeight="true" outlineLevel="0" collapsed="false">
      <c r="A640" s="91"/>
      <c r="B640" s="81"/>
      <c r="C640" s="81"/>
      <c r="D640" s="81"/>
      <c r="E640" s="81"/>
      <c r="F640" s="173"/>
      <c r="G640" s="173"/>
      <c r="H640" s="173"/>
      <c r="I640" s="173"/>
      <c r="J640" s="173"/>
      <c r="K640" s="173"/>
      <c r="L640" s="80"/>
      <c r="M640" s="81"/>
      <c r="N640" s="102"/>
      <c r="O640" s="102"/>
      <c r="P640" s="81"/>
      <c r="Q640" s="81"/>
      <c r="R640" s="81"/>
      <c r="S640" s="81"/>
      <c r="T640" s="81"/>
      <c r="U640" s="81"/>
      <c r="V640" s="81"/>
      <c r="W640" s="81"/>
      <c r="X640" s="81"/>
      <c r="Y640" s="81"/>
    </row>
    <row r="641" customFormat="false" ht="12" hidden="false" customHeight="true" outlineLevel="0" collapsed="false">
      <c r="A641" s="91"/>
      <c r="B641" s="81"/>
      <c r="C641" s="81"/>
      <c r="D641" s="81"/>
      <c r="E641" s="81"/>
      <c r="F641" s="173"/>
      <c r="G641" s="173"/>
      <c r="H641" s="173"/>
      <c r="I641" s="173"/>
      <c r="J641" s="173"/>
      <c r="K641" s="173"/>
      <c r="L641" s="80"/>
      <c r="M641" s="81"/>
      <c r="N641" s="102"/>
      <c r="O641" s="102"/>
      <c r="P641" s="81"/>
      <c r="Q641" s="81"/>
      <c r="R641" s="81"/>
      <c r="S641" s="81"/>
      <c r="T641" s="81"/>
      <c r="U641" s="81"/>
      <c r="V641" s="81"/>
      <c r="W641" s="81"/>
      <c r="X641" s="81"/>
      <c r="Y641" s="81"/>
    </row>
    <row r="642" customFormat="false" ht="12" hidden="false" customHeight="true" outlineLevel="0" collapsed="false">
      <c r="A642" s="91"/>
      <c r="B642" s="81"/>
      <c r="C642" s="81"/>
      <c r="D642" s="81"/>
      <c r="E642" s="81"/>
      <c r="F642" s="173"/>
      <c r="G642" s="173"/>
      <c r="H642" s="173"/>
      <c r="I642" s="173"/>
      <c r="J642" s="173"/>
      <c r="K642" s="173"/>
      <c r="L642" s="80"/>
      <c r="M642" s="81"/>
      <c r="N642" s="102"/>
      <c r="O642" s="102"/>
      <c r="P642" s="81"/>
      <c r="Q642" s="81"/>
      <c r="R642" s="81"/>
      <c r="S642" s="81"/>
      <c r="T642" s="81"/>
      <c r="U642" s="81"/>
      <c r="V642" s="81"/>
      <c r="W642" s="81"/>
      <c r="X642" s="81"/>
      <c r="Y642" s="81"/>
    </row>
    <row r="643" customFormat="false" ht="12" hidden="false" customHeight="true" outlineLevel="0" collapsed="false">
      <c r="A643" s="91"/>
      <c r="B643" s="81"/>
      <c r="C643" s="81"/>
      <c r="D643" s="81"/>
      <c r="E643" s="81"/>
      <c r="F643" s="173"/>
      <c r="G643" s="173"/>
      <c r="H643" s="173"/>
      <c r="I643" s="173"/>
      <c r="J643" s="173"/>
      <c r="K643" s="173"/>
      <c r="L643" s="80"/>
      <c r="M643" s="81"/>
      <c r="N643" s="102"/>
      <c r="O643" s="102"/>
      <c r="P643" s="81"/>
      <c r="Q643" s="81"/>
      <c r="R643" s="81"/>
      <c r="S643" s="81"/>
      <c r="T643" s="81"/>
      <c r="U643" s="81"/>
      <c r="V643" s="81"/>
      <c r="W643" s="81"/>
      <c r="X643" s="81"/>
      <c r="Y643" s="81"/>
    </row>
    <row r="644" customFormat="false" ht="12" hidden="false" customHeight="true" outlineLevel="0" collapsed="false">
      <c r="A644" s="91"/>
      <c r="B644" s="81"/>
      <c r="C644" s="81"/>
      <c r="D644" s="81"/>
      <c r="E644" s="81"/>
      <c r="F644" s="173"/>
      <c r="G644" s="173"/>
      <c r="H644" s="173"/>
      <c r="I644" s="173"/>
      <c r="J644" s="173"/>
      <c r="K644" s="173"/>
      <c r="L644" s="80"/>
      <c r="M644" s="81"/>
      <c r="N644" s="102"/>
      <c r="O644" s="102"/>
      <c r="P644" s="81"/>
      <c r="Q644" s="81"/>
      <c r="R644" s="81"/>
      <c r="S644" s="81"/>
      <c r="T644" s="81"/>
      <c r="U644" s="81"/>
      <c r="V644" s="81"/>
      <c r="W644" s="81"/>
      <c r="X644" s="81"/>
      <c r="Y644" s="81"/>
    </row>
    <row r="645" customFormat="false" ht="12" hidden="false" customHeight="true" outlineLevel="0" collapsed="false">
      <c r="A645" s="91"/>
      <c r="B645" s="81"/>
      <c r="C645" s="81"/>
      <c r="D645" s="81"/>
      <c r="E645" s="81"/>
      <c r="F645" s="173"/>
      <c r="G645" s="173"/>
      <c r="H645" s="173"/>
      <c r="I645" s="173"/>
      <c r="J645" s="173"/>
      <c r="K645" s="173"/>
      <c r="L645" s="80"/>
      <c r="M645" s="81"/>
      <c r="N645" s="102"/>
      <c r="O645" s="102"/>
      <c r="P645" s="81"/>
      <c r="Q645" s="81"/>
      <c r="R645" s="81"/>
      <c r="S645" s="81"/>
      <c r="T645" s="81"/>
      <c r="U645" s="81"/>
      <c r="V645" s="81"/>
      <c r="W645" s="81"/>
      <c r="X645" s="81"/>
      <c r="Y645" s="81"/>
    </row>
    <row r="646" customFormat="false" ht="12" hidden="false" customHeight="true" outlineLevel="0" collapsed="false">
      <c r="A646" s="91"/>
      <c r="B646" s="81"/>
      <c r="C646" s="81"/>
      <c r="D646" s="81"/>
      <c r="E646" s="81"/>
      <c r="F646" s="173"/>
      <c r="G646" s="173"/>
      <c r="H646" s="173"/>
      <c r="I646" s="173"/>
      <c r="J646" s="173"/>
      <c r="K646" s="173"/>
      <c r="L646" s="80"/>
      <c r="M646" s="81"/>
      <c r="N646" s="102"/>
      <c r="O646" s="102"/>
      <c r="P646" s="81"/>
      <c r="Q646" s="81"/>
      <c r="R646" s="81"/>
      <c r="S646" s="81"/>
      <c r="T646" s="81"/>
      <c r="U646" s="81"/>
      <c r="V646" s="81"/>
      <c r="W646" s="81"/>
      <c r="X646" s="81"/>
      <c r="Y646" s="81"/>
    </row>
    <row r="647" customFormat="false" ht="12" hidden="false" customHeight="true" outlineLevel="0" collapsed="false">
      <c r="A647" s="91"/>
      <c r="B647" s="81"/>
      <c r="C647" s="81"/>
      <c r="D647" s="81"/>
      <c r="E647" s="81"/>
      <c r="F647" s="173"/>
      <c r="G647" s="173"/>
      <c r="H647" s="173"/>
      <c r="I647" s="173"/>
      <c r="J647" s="173"/>
      <c r="K647" s="173"/>
      <c r="L647" s="80"/>
      <c r="M647" s="81"/>
      <c r="N647" s="102"/>
      <c r="O647" s="102"/>
      <c r="P647" s="81"/>
      <c r="Q647" s="81"/>
      <c r="R647" s="81"/>
      <c r="S647" s="81"/>
      <c r="T647" s="81"/>
      <c r="U647" s="81"/>
      <c r="V647" s="81"/>
      <c r="W647" s="81"/>
      <c r="X647" s="81"/>
      <c r="Y647" s="81"/>
    </row>
    <row r="648" customFormat="false" ht="12" hidden="false" customHeight="true" outlineLevel="0" collapsed="false">
      <c r="A648" s="91"/>
      <c r="B648" s="81"/>
      <c r="C648" s="81"/>
      <c r="D648" s="81"/>
      <c r="E648" s="81"/>
      <c r="F648" s="173"/>
      <c r="G648" s="173"/>
      <c r="H648" s="173"/>
      <c r="I648" s="173"/>
      <c r="J648" s="173"/>
      <c r="K648" s="173"/>
      <c r="L648" s="80"/>
      <c r="M648" s="81"/>
      <c r="N648" s="102"/>
      <c r="O648" s="102"/>
      <c r="P648" s="81"/>
      <c r="Q648" s="81"/>
      <c r="R648" s="81"/>
      <c r="S648" s="81"/>
      <c r="T648" s="81"/>
      <c r="U648" s="81"/>
      <c r="V648" s="81"/>
      <c r="W648" s="81"/>
      <c r="X648" s="81"/>
      <c r="Y648" s="81"/>
    </row>
    <row r="649" customFormat="false" ht="12" hidden="false" customHeight="true" outlineLevel="0" collapsed="false">
      <c r="A649" s="91"/>
      <c r="B649" s="81"/>
      <c r="C649" s="81"/>
      <c r="D649" s="81"/>
      <c r="E649" s="81"/>
      <c r="F649" s="173"/>
      <c r="G649" s="173"/>
      <c r="H649" s="173"/>
      <c r="I649" s="173"/>
      <c r="J649" s="173"/>
      <c r="K649" s="173"/>
      <c r="L649" s="80"/>
      <c r="M649" s="81"/>
      <c r="N649" s="102"/>
      <c r="O649" s="102"/>
      <c r="P649" s="81"/>
      <c r="Q649" s="81"/>
      <c r="R649" s="81"/>
      <c r="S649" s="81"/>
      <c r="T649" s="81"/>
      <c r="U649" s="81"/>
      <c r="V649" s="81"/>
      <c r="W649" s="81"/>
      <c r="X649" s="81"/>
      <c r="Y649" s="81"/>
    </row>
    <row r="650" customFormat="false" ht="12" hidden="false" customHeight="true" outlineLevel="0" collapsed="false">
      <c r="A650" s="91"/>
      <c r="B650" s="81"/>
      <c r="C650" s="81"/>
      <c r="D650" s="81"/>
      <c r="E650" s="81"/>
      <c r="F650" s="173"/>
      <c r="G650" s="173"/>
      <c r="H650" s="173"/>
      <c r="I650" s="173"/>
      <c r="J650" s="173"/>
      <c r="K650" s="173"/>
      <c r="L650" s="80"/>
      <c r="M650" s="81"/>
      <c r="N650" s="102"/>
      <c r="O650" s="102"/>
      <c r="P650" s="81"/>
      <c r="Q650" s="81"/>
      <c r="R650" s="81"/>
      <c r="S650" s="81"/>
      <c r="T650" s="81"/>
      <c r="U650" s="81"/>
      <c r="V650" s="81"/>
      <c r="W650" s="81"/>
      <c r="X650" s="81"/>
      <c r="Y650" s="81"/>
    </row>
    <row r="651" customFormat="false" ht="12" hidden="false" customHeight="true" outlineLevel="0" collapsed="false">
      <c r="A651" s="91"/>
      <c r="B651" s="81"/>
      <c r="C651" s="81"/>
      <c r="D651" s="81"/>
      <c r="E651" s="81"/>
      <c r="F651" s="173"/>
      <c r="G651" s="173"/>
      <c r="H651" s="173"/>
      <c r="I651" s="173"/>
      <c r="J651" s="173"/>
      <c r="K651" s="173"/>
      <c r="L651" s="80"/>
      <c r="M651" s="81"/>
      <c r="N651" s="102"/>
      <c r="O651" s="102"/>
      <c r="P651" s="81"/>
      <c r="Q651" s="81"/>
      <c r="R651" s="81"/>
      <c r="S651" s="81"/>
      <c r="T651" s="81"/>
      <c r="U651" s="81"/>
      <c r="V651" s="81"/>
      <c r="W651" s="81"/>
      <c r="X651" s="81"/>
      <c r="Y651" s="81"/>
    </row>
    <row r="652" customFormat="false" ht="12" hidden="false" customHeight="true" outlineLevel="0" collapsed="false">
      <c r="A652" s="91"/>
      <c r="B652" s="81"/>
      <c r="C652" s="81"/>
      <c r="D652" s="81"/>
      <c r="E652" s="81"/>
      <c r="F652" s="173"/>
      <c r="G652" s="173"/>
      <c r="H652" s="173"/>
      <c r="I652" s="173"/>
      <c r="J652" s="173"/>
      <c r="K652" s="173"/>
      <c r="L652" s="80"/>
      <c r="M652" s="81"/>
      <c r="N652" s="102"/>
      <c r="O652" s="102"/>
      <c r="P652" s="81"/>
      <c r="Q652" s="81"/>
      <c r="R652" s="81"/>
      <c r="S652" s="81"/>
      <c r="T652" s="81"/>
      <c r="U652" s="81"/>
      <c r="V652" s="81"/>
      <c r="W652" s="81"/>
      <c r="X652" s="81"/>
      <c r="Y652" s="81"/>
    </row>
    <row r="653" customFormat="false" ht="12" hidden="false" customHeight="true" outlineLevel="0" collapsed="false">
      <c r="A653" s="91"/>
      <c r="B653" s="81"/>
      <c r="C653" s="81"/>
      <c r="D653" s="81"/>
      <c r="E653" s="81"/>
      <c r="F653" s="173"/>
      <c r="G653" s="173"/>
      <c r="H653" s="173"/>
      <c r="I653" s="173"/>
      <c r="J653" s="173"/>
      <c r="K653" s="173"/>
      <c r="L653" s="80"/>
      <c r="M653" s="81"/>
      <c r="N653" s="102"/>
      <c r="O653" s="102"/>
      <c r="P653" s="81"/>
      <c r="Q653" s="81"/>
      <c r="R653" s="81"/>
      <c r="S653" s="81"/>
      <c r="T653" s="81"/>
      <c r="U653" s="81"/>
      <c r="V653" s="81"/>
      <c r="W653" s="81"/>
      <c r="X653" s="81"/>
      <c r="Y653" s="81"/>
    </row>
    <row r="654" customFormat="false" ht="12" hidden="false" customHeight="true" outlineLevel="0" collapsed="false">
      <c r="A654" s="91"/>
      <c r="B654" s="81"/>
      <c r="C654" s="81"/>
      <c r="D654" s="81"/>
      <c r="E654" s="81"/>
      <c r="F654" s="173"/>
      <c r="G654" s="173"/>
      <c r="H654" s="173"/>
      <c r="I654" s="173"/>
      <c r="J654" s="173"/>
      <c r="K654" s="173"/>
      <c r="L654" s="80"/>
      <c r="M654" s="81"/>
      <c r="N654" s="102"/>
      <c r="O654" s="102"/>
      <c r="P654" s="81"/>
      <c r="Q654" s="81"/>
      <c r="R654" s="81"/>
      <c r="S654" s="81"/>
      <c r="T654" s="81"/>
      <c r="U654" s="81"/>
      <c r="V654" s="81"/>
      <c r="W654" s="81"/>
      <c r="X654" s="81"/>
      <c r="Y654" s="81"/>
    </row>
    <row r="655" customFormat="false" ht="12" hidden="false" customHeight="true" outlineLevel="0" collapsed="false">
      <c r="A655" s="91"/>
      <c r="B655" s="81"/>
      <c r="C655" s="81"/>
      <c r="D655" s="81"/>
      <c r="E655" s="81"/>
      <c r="F655" s="173"/>
      <c r="G655" s="173"/>
      <c r="H655" s="173"/>
      <c r="I655" s="173"/>
      <c r="J655" s="173"/>
      <c r="K655" s="173"/>
      <c r="L655" s="80"/>
      <c r="M655" s="81"/>
      <c r="N655" s="102"/>
      <c r="O655" s="102"/>
      <c r="P655" s="81"/>
      <c r="Q655" s="81"/>
      <c r="R655" s="81"/>
      <c r="S655" s="81"/>
      <c r="T655" s="81"/>
      <c r="U655" s="81"/>
      <c r="V655" s="81"/>
      <c r="W655" s="81"/>
      <c r="X655" s="81"/>
      <c r="Y655" s="81"/>
    </row>
    <row r="656" customFormat="false" ht="12" hidden="false" customHeight="true" outlineLevel="0" collapsed="false">
      <c r="A656" s="91"/>
      <c r="B656" s="81"/>
      <c r="C656" s="81"/>
      <c r="D656" s="81"/>
      <c r="E656" s="81"/>
      <c r="F656" s="173"/>
      <c r="G656" s="173"/>
      <c r="H656" s="173"/>
      <c r="I656" s="173"/>
      <c r="J656" s="173"/>
      <c r="K656" s="173"/>
      <c r="L656" s="80"/>
      <c r="M656" s="81"/>
      <c r="N656" s="102"/>
      <c r="O656" s="102"/>
      <c r="P656" s="81"/>
      <c r="Q656" s="81"/>
      <c r="R656" s="81"/>
      <c r="S656" s="81"/>
      <c r="T656" s="81"/>
      <c r="U656" s="81"/>
      <c r="V656" s="81"/>
      <c r="W656" s="81"/>
      <c r="X656" s="81"/>
      <c r="Y656" s="81"/>
    </row>
    <row r="657" customFormat="false" ht="12" hidden="false" customHeight="true" outlineLevel="0" collapsed="false">
      <c r="A657" s="91"/>
      <c r="B657" s="81"/>
      <c r="C657" s="81"/>
      <c r="D657" s="81"/>
      <c r="E657" s="81"/>
      <c r="F657" s="173"/>
      <c r="G657" s="173"/>
      <c r="H657" s="173"/>
      <c r="I657" s="173"/>
      <c r="J657" s="173"/>
      <c r="K657" s="173"/>
      <c r="L657" s="80"/>
      <c r="M657" s="81"/>
      <c r="N657" s="102"/>
      <c r="O657" s="102"/>
      <c r="P657" s="81"/>
      <c r="Q657" s="81"/>
      <c r="R657" s="81"/>
      <c r="S657" s="81"/>
      <c r="T657" s="81"/>
      <c r="U657" s="81"/>
      <c r="V657" s="81"/>
      <c r="W657" s="81"/>
      <c r="X657" s="81"/>
      <c r="Y657" s="81"/>
    </row>
    <row r="658" customFormat="false" ht="12" hidden="false" customHeight="true" outlineLevel="0" collapsed="false">
      <c r="A658" s="91"/>
      <c r="B658" s="81"/>
      <c r="C658" s="81"/>
      <c r="D658" s="81"/>
      <c r="E658" s="81"/>
      <c r="F658" s="173"/>
      <c r="G658" s="173"/>
      <c r="H658" s="173"/>
      <c r="I658" s="173"/>
      <c r="J658" s="173"/>
      <c r="K658" s="173"/>
      <c r="L658" s="80"/>
      <c r="M658" s="81"/>
      <c r="N658" s="102"/>
      <c r="O658" s="102"/>
      <c r="P658" s="81"/>
      <c r="Q658" s="81"/>
      <c r="R658" s="81"/>
      <c r="S658" s="81"/>
      <c r="T658" s="81"/>
      <c r="U658" s="81"/>
      <c r="V658" s="81"/>
      <c r="W658" s="81"/>
      <c r="X658" s="81"/>
      <c r="Y658" s="81"/>
    </row>
    <row r="659" customFormat="false" ht="12" hidden="false" customHeight="true" outlineLevel="0" collapsed="false">
      <c r="A659" s="91"/>
      <c r="B659" s="81"/>
      <c r="C659" s="81"/>
      <c r="D659" s="81"/>
      <c r="E659" s="81"/>
      <c r="F659" s="173"/>
      <c r="G659" s="173"/>
      <c r="H659" s="173"/>
      <c r="I659" s="173"/>
      <c r="J659" s="173"/>
      <c r="K659" s="173"/>
      <c r="L659" s="80"/>
      <c r="M659" s="81"/>
      <c r="N659" s="102"/>
      <c r="O659" s="102"/>
      <c r="P659" s="81"/>
      <c r="Q659" s="81"/>
      <c r="R659" s="81"/>
      <c r="S659" s="81"/>
      <c r="T659" s="81"/>
      <c r="U659" s="81"/>
      <c r="V659" s="81"/>
      <c r="W659" s="81"/>
      <c r="X659" s="81"/>
      <c r="Y659" s="81"/>
    </row>
    <row r="660" customFormat="false" ht="12" hidden="false" customHeight="true" outlineLevel="0" collapsed="false">
      <c r="A660" s="91"/>
      <c r="B660" s="81"/>
      <c r="C660" s="81"/>
      <c r="D660" s="81"/>
      <c r="E660" s="81"/>
      <c r="F660" s="173"/>
      <c r="G660" s="173"/>
      <c r="H660" s="173"/>
      <c r="I660" s="173"/>
      <c r="J660" s="173"/>
      <c r="K660" s="173"/>
      <c r="L660" s="80"/>
      <c r="M660" s="81"/>
      <c r="N660" s="102"/>
      <c r="O660" s="102"/>
      <c r="P660" s="81"/>
      <c r="Q660" s="81"/>
      <c r="R660" s="81"/>
      <c r="S660" s="81"/>
      <c r="T660" s="81"/>
      <c r="U660" s="81"/>
      <c r="V660" s="81"/>
      <c r="W660" s="81"/>
      <c r="X660" s="81"/>
      <c r="Y660" s="81"/>
    </row>
    <row r="661" customFormat="false" ht="12" hidden="false" customHeight="true" outlineLevel="0" collapsed="false">
      <c r="A661" s="91"/>
      <c r="B661" s="81"/>
      <c r="C661" s="81"/>
      <c r="D661" s="81"/>
      <c r="E661" s="81"/>
      <c r="F661" s="173"/>
      <c r="G661" s="173"/>
      <c r="H661" s="173"/>
      <c r="I661" s="173"/>
      <c r="J661" s="173"/>
      <c r="K661" s="173"/>
      <c r="L661" s="80"/>
      <c r="M661" s="81"/>
      <c r="N661" s="102"/>
      <c r="O661" s="102"/>
      <c r="P661" s="81"/>
      <c r="Q661" s="81"/>
      <c r="R661" s="81"/>
      <c r="S661" s="81"/>
      <c r="T661" s="81"/>
      <c r="U661" s="81"/>
      <c r="V661" s="81"/>
      <c r="W661" s="81"/>
      <c r="X661" s="81"/>
      <c r="Y661" s="81"/>
    </row>
    <row r="662" customFormat="false" ht="12" hidden="false" customHeight="true" outlineLevel="0" collapsed="false">
      <c r="A662" s="91"/>
      <c r="B662" s="81"/>
      <c r="C662" s="81"/>
      <c r="D662" s="81"/>
      <c r="E662" s="81"/>
      <c r="F662" s="173"/>
      <c r="G662" s="173"/>
      <c r="H662" s="173"/>
      <c r="I662" s="173"/>
      <c r="J662" s="173"/>
      <c r="K662" s="173"/>
      <c r="L662" s="80"/>
      <c r="M662" s="81"/>
      <c r="N662" s="102"/>
      <c r="O662" s="102"/>
      <c r="P662" s="81"/>
      <c r="Q662" s="81"/>
      <c r="R662" s="81"/>
      <c r="S662" s="81"/>
      <c r="T662" s="81"/>
      <c r="U662" s="81"/>
      <c r="V662" s="81"/>
      <c r="W662" s="81"/>
      <c r="X662" s="81"/>
      <c r="Y662" s="81"/>
    </row>
    <row r="663" customFormat="false" ht="12" hidden="false" customHeight="true" outlineLevel="0" collapsed="false">
      <c r="A663" s="91"/>
      <c r="B663" s="81"/>
      <c r="C663" s="81"/>
      <c r="D663" s="81"/>
      <c r="E663" s="81"/>
      <c r="F663" s="173"/>
      <c r="G663" s="173"/>
      <c r="H663" s="173"/>
      <c r="I663" s="173"/>
      <c r="J663" s="173"/>
      <c r="K663" s="173"/>
      <c r="L663" s="80"/>
      <c r="M663" s="81"/>
      <c r="N663" s="102"/>
      <c r="O663" s="102"/>
      <c r="P663" s="81"/>
      <c r="Q663" s="81"/>
      <c r="R663" s="81"/>
      <c r="S663" s="81"/>
      <c r="T663" s="81"/>
      <c r="U663" s="81"/>
      <c r="V663" s="81"/>
      <c r="W663" s="81"/>
      <c r="X663" s="81"/>
      <c r="Y663" s="81"/>
    </row>
    <row r="664" customFormat="false" ht="12" hidden="false" customHeight="true" outlineLevel="0" collapsed="false">
      <c r="A664" s="91"/>
      <c r="B664" s="81"/>
      <c r="C664" s="81"/>
      <c r="D664" s="81"/>
      <c r="E664" s="81"/>
      <c r="F664" s="173"/>
      <c r="G664" s="173"/>
      <c r="H664" s="173"/>
      <c r="I664" s="173"/>
      <c r="J664" s="173"/>
      <c r="K664" s="173"/>
      <c r="L664" s="80"/>
      <c r="M664" s="81"/>
      <c r="N664" s="102"/>
      <c r="O664" s="102"/>
      <c r="P664" s="81"/>
      <c r="Q664" s="81"/>
      <c r="R664" s="81"/>
      <c r="S664" s="81"/>
      <c r="T664" s="81"/>
      <c r="U664" s="81"/>
      <c r="V664" s="81"/>
      <c r="W664" s="81"/>
      <c r="X664" s="81"/>
      <c r="Y664" s="81"/>
    </row>
    <row r="665" customFormat="false" ht="12" hidden="false" customHeight="true" outlineLevel="0" collapsed="false">
      <c r="A665" s="91"/>
      <c r="B665" s="81"/>
      <c r="C665" s="81"/>
      <c r="D665" s="81"/>
      <c r="E665" s="81"/>
      <c r="F665" s="173"/>
      <c r="G665" s="173"/>
      <c r="H665" s="173"/>
      <c r="I665" s="173"/>
      <c r="J665" s="173"/>
      <c r="K665" s="173"/>
      <c r="L665" s="80"/>
      <c r="M665" s="81"/>
      <c r="N665" s="102"/>
      <c r="O665" s="102"/>
      <c r="P665" s="81"/>
      <c r="Q665" s="81"/>
      <c r="R665" s="81"/>
      <c r="S665" s="81"/>
      <c r="T665" s="81"/>
      <c r="U665" s="81"/>
      <c r="V665" s="81"/>
      <c r="W665" s="81"/>
      <c r="X665" s="81"/>
      <c r="Y665" s="81"/>
    </row>
    <row r="666" customFormat="false" ht="12" hidden="false" customHeight="true" outlineLevel="0" collapsed="false">
      <c r="A666" s="91"/>
      <c r="B666" s="81"/>
      <c r="C666" s="81"/>
      <c r="D666" s="81"/>
      <c r="E666" s="81"/>
      <c r="F666" s="173"/>
      <c r="G666" s="173"/>
      <c r="H666" s="173"/>
      <c r="I666" s="173"/>
      <c r="J666" s="173"/>
      <c r="K666" s="173"/>
      <c r="L666" s="80"/>
      <c r="M666" s="81"/>
      <c r="N666" s="102"/>
      <c r="O666" s="102"/>
      <c r="P666" s="81"/>
      <c r="Q666" s="81"/>
      <c r="R666" s="81"/>
      <c r="S666" s="81"/>
      <c r="T666" s="81"/>
      <c r="U666" s="81"/>
      <c r="V666" s="81"/>
      <c r="W666" s="81"/>
      <c r="X666" s="81"/>
      <c r="Y666" s="81"/>
    </row>
    <row r="667" customFormat="false" ht="12" hidden="false" customHeight="true" outlineLevel="0" collapsed="false">
      <c r="A667" s="91"/>
      <c r="B667" s="81"/>
      <c r="C667" s="81"/>
      <c r="D667" s="81"/>
      <c r="E667" s="81"/>
      <c r="F667" s="173"/>
      <c r="G667" s="173"/>
      <c r="H667" s="173"/>
      <c r="I667" s="173"/>
      <c r="J667" s="173"/>
      <c r="K667" s="173"/>
      <c r="L667" s="80"/>
      <c r="M667" s="81"/>
      <c r="N667" s="102"/>
      <c r="O667" s="102"/>
      <c r="P667" s="81"/>
      <c r="Q667" s="81"/>
      <c r="R667" s="81"/>
      <c r="S667" s="81"/>
      <c r="T667" s="81"/>
      <c r="U667" s="81"/>
      <c r="V667" s="81"/>
      <c r="W667" s="81"/>
      <c r="X667" s="81"/>
      <c r="Y667" s="81"/>
    </row>
    <row r="668" customFormat="false" ht="12" hidden="false" customHeight="true" outlineLevel="0" collapsed="false">
      <c r="A668" s="91"/>
      <c r="B668" s="81"/>
      <c r="C668" s="81"/>
      <c r="D668" s="81"/>
      <c r="E668" s="81"/>
      <c r="F668" s="173"/>
      <c r="G668" s="173"/>
      <c r="H668" s="173"/>
      <c r="I668" s="173"/>
      <c r="J668" s="173"/>
      <c r="K668" s="173"/>
      <c r="L668" s="80"/>
      <c r="M668" s="81"/>
      <c r="N668" s="102"/>
      <c r="O668" s="102"/>
      <c r="P668" s="81"/>
      <c r="Q668" s="81"/>
      <c r="R668" s="81"/>
      <c r="S668" s="81"/>
      <c r="T668" s="81"/>
      <c r="U668" s="81"/>
      <c r="V668" s="81"/>
      <c r="W668" s="81"/>
      <c r="X668" s="81"/>
      <c r="Y668" s="81"/>
    </row>
    <row r="669" customFormat="false" ht="12" hidden="false" customHeight="true" outlineLevel="0" collapsed="false">
      <c r="A669" s="91"/>
      <c r="B669" s="81"/>
      <c r="C669" s="81"/>
      <c r="D669" s="81"/>
      <c r="E669" s="81"/>
      <c r="F669" s="173"/>
      <c r="G669" s="173"/>
      <c r="H669" s="173"/>
      <c r="I669" s="173"/>
      <c r="J669" s="173"/>
      <c r="K669" s="173"/>
      <c r="L669" s="80"/>
      <c r="M669" s="81"/>
      <c r="N669" s="102"/>
      <c r="O669" s="102"/>
      <c r="P669" s="81"/>
      <c r="Q669" s="81"/>
      <c r="R669" s="81"/>
      <c r="S669" s="81"/>
      <c r="T669" s="81"/>
      <c r="U669" s="81"/>
      <c r="V669" s="81"/>
      <c r="W669" s="81"/>
      <c r="X669" s="81"/>
      <c r="Y669" s="81"/>
    </row>
    <row r="670" customFormat="false" ht="12" hidden="false" customHeight="true" outlineLevel="0" collapsed="false">
      <c r="A670" s="91"/>
      <c r="B670" s="81"/>
      <c r="C670" s="81"/>
      <c r="D670" s="81"/>
      <c r="E670" s="81"/>
      <c r="F670" s="173"/>
      <c r="G670" s="173"/>
      <c r="H670" s="173"/>
      <c r="I670" s="173"/>
      <c r="J670" s="173"/>
      <c r="K670" s="173"/>
      <c r="L670" s="80"/>
      <c r="M670" s="81"/>
      <c r="N670" s="102"/>
      <c r="O670" s="102"/>
      <c r="P670" s="81"/>
      <c r="Q670" s="81"/>
      <c r="R670" s="81"/>
      <c r="S670" s="81"/>
      <c r="T670" s="81"/>
      <c r="U670" s="81"/>
      <c r="V670" s="81"/>
      <c r="W670" s="81"/>
      <c r="X670" s="81"/>
      <c r="Y670" s="81"/>
    </row>
    <row r="671" customFormat="false" ht="12" hidden="false" customHeight="true" outlineLevel="0" collapsed="false">
      <c r="A671" s="91"/>
      <c r="B671" s="81"/>
      <c r="C671" s="81"/>
      <c r="D671" s="81"/>
      <c r="E671" s="81"/>
      <c r="F671" s="173"/>
      <c r="G671" s="173"/>
      <c r="H671" s="173"/>
      <c r="I671" s="173"/>
      <c r="J671" s="173"/>
      <c r="K671" s="173"/>
      <c r="L671" s="80"/>
      <c r="M671" s="81"/>
      <c r="N671" s="102"/>
      <c r="O671" s="102"/>
      <c r="P671" s="81"/>
      <c r="Q671" s="81"/>
      <c r="R671" s="81"/>
      <c r="S671" s="81"/>
      <c r="T671" s="81"/>
      <c r="U671" s="81"/>
      <c r="V671" s="81"/>
      <c r="W671" s="81"/>
      <c r="X671" s="81"/>
      <c r="Y671" s="81"/>
    </row>
    <row r="672" customFormat="false" ht="12" hidden="false" customHeight="true" outlineLevel="0" collapsed="false">
      <c r="A672" s="91"/>
      <c r="B672" s="81"/>
      <c r="C672" s="81"/>
      <c r="D672" s="81"/>
      <c r="E672" s="81"/>
      <c r="F672" s="173"/>
      <c r="G672" s="173"/>
      <c r="H672" s="173"/>
      <c r="I672" s="173"/>
      <c r="J672" s="173"/>
      <c r="K672" s="173"/>
      <c r="L672" s="80"/>
      <c r="M672" s="81"/>
      <c r="N672" s="102"/>
      <c r="O672" s="102"/>
      <c r="P672" s="81"/>
      <c r="Q672" s="81"/>
      <c r="R672" s="81"/>
      <c r="S672" s="81"/>
      <c r="T672" s="81"/>
      <c r="U672" s="81"/>
      <c r="V672" s="81"/>
      <c r="W672" s="81"/>
      <c r="X672" s="81"/>
      <c r="Y672" s="81"/>
    </row>
    <row r="673" customFormat="false" ht="12" hidden="false" customHeight="true" outlineLevel="0" collapsed="false">
      <c r="A673" s="91"/>
      <c r="B673" s="81"/>
      <c r="C673" s="81"/>
      <c r="D673" s="81"/>
      <c r="E673" s="81"/>
      <c r="F673" s="173"/>
      <c r="G673" s="173"/>
      <c r="H673" s="173"/>
      <c r="I673" s="173"/>
      <c r="J673" s="173"/>
      <c r="K673" s="173"/>
      <c r="L673" s="80"/>
      <c r="M673" s="81"/>
      <c r="N673" s="102"/>
      <c r="O673" s="102"/>
      <c r="P673" s="81"/>
      <c r="Q673" s="81"/>
      <c r="R673" s="81"/>
      <c r="S673" s="81"/>
      <c r="T673" s="81"/>
      <c r="U673" s="81"/>
      <c r="V673" s="81"/>
      <c r="W673" s="81"/>
      <c r="X673" s="81"/>
      <c r="Y673" s="81"/>
    </row>
    <row r="674" customFormat="false" ht="12" hidden="false" customHeight="true" outlineLevel="0" collapsed="false">
      <c r="A674" s="91"/>
      <c r="B674" s="81"/>
      <c r="C674" s="81"/>
      <c r="D674" s="81"/>
      <c r="E674" s="81"/>
      <c r="F674" s="173"/>
      <c r="G674" s="173"/>
      <c r="H674" s="173"/>
      <c r="I674" s="173"/>
      <c r="J674" s="173"/>
      <c r="K674" s="173"/>
      <c r="L674" s="80"/>
      <c r="M674" s="81"/>
      <c r="N674" s="102"/>
      <c r="O674" s="102"/>
      <c r="P674" s="81"/>
      <c r="Q674" s="81"/>
      <c r="R674" s="81"/>
      <c r="S674" s="81"/>
      <c r="T674" s="81"/>
      <c r="U674" s="81"/>
      <c r="V674" s="81"/>
      <c r="W674" s="81"/>
      <c r="X674" s="81"/>
      <c r="Y674" s="81"/>
    </row>
    <row r="675" customFormat="false" ht="12" hidden="false" customHeight="true" outlineLevel="0" collapsed="false">
      <c r="A675" s="91"/>
      <c r="B675" s="81"/>
      <c r="C675" s="81"/>
      <c r="D675" s="81"/>
      <c r="E675" s="81"/>
      <c r="F675" s="173"/>
      <c r="G675" s="173"/>
      <c r="H675" s="173"/>
      <c r="I675" s="173"/>
      <c r="J675" s="173"/>
      <c r="K675" s="173"/>
      <c r="L675" s="80"/>
      <c r="M675" s="81"/>
      <c r="N675" s="102"/>
      <c r="O675" s="102"/>
      <c r="P675" s="81"/>
      <c r="Q675" s="81"/>
      <c r="R675" s="81"/>
      <c r="S675" s="81"/>
      <c r="T675" s="81"/>
      <c r="U675" s="81"/>
      <c r="V675" s="81"/>
      <c r="W675" s="81"/>
      <c r="X675" s="81"/>
      <c r="Y675" s="81"/>
    </row>
    <row r="676" customFormat="false" ht="12" hidden="false" customHeight="true" outlineLevel="0" collapsed="false">
      <c r="A676" s="91"/>
      <c r="B676" s="81"/>
      <c r="C676" s="81"/>
      <c r="D676" s="81"/>
      <c r="E676" s="81"/>
      <c r="F676" s="173"/>
      <c r="G676" s="173"/>
      <c r="H676" s="173"/>
      <c r="I676" s="173"/>
      <c r="J676" s="173"/>
      <c r="K676" s="173"/>
      <c r="L676" s="80"/>
      <c r="M676" s="81"/>
      <c r="N676" s="102"/>
      <c r="O676" s="102"/>
      <c r="P676" s="81"/>
      <c r="Q676" s="81"/>
      <c r="R676" s="81"/>
      <c r="S676" s="81"/>
      <c r="T676" s="81"/>
      <c r="U676" s="81"/>
      <c r="V676" s="81"/>
      <c r="W676" s="81"/>
      <c r="X676" s="81"/>
      <c r="Y676" s="81"/>
    </row>
    <row r="677" customFormat="false" ht="12" hidden="false" customHeight="true" outlineLevel="0" collapsed="false">
      <c r="A677" s="91"/>
      <c r="B677" s="81"/>
      <c r="C677" s="81"/>
      <c r="D677" s="81"/>
      <c r="E677" s="81"/>
      <c r="F677" s="173"/>
      <c r="G677" s="173"/>
      <c r="H677" s="173"/>
      <c r="I677" s="173"/>
      <c r="J677" s="173"/>
      <c r="K677" s="173"/>
      <c r="L677" s="80"/>
      <c r="M677" s="81"/>
      <c r="N677" s="102"/>
      <c r="O677" s="102"/>
      <c r="P677" s="81"/>
      <c r="Q677" s="81"/>
      <c r="R677" s="81"/>
      <c r="S677" s="81"/>
      <c r="T677" s="81"/>
      <c r="U677" s="81"/>
      <c r="V677" s="81"/>
      <c r="W677" s="81"/>
      <c r="X677" s="81"/>
      <c r="Y677" s="81"/>
    </row>
    <row r="678" customFormat="false" ht="12" hidden="false" customHeight="true" outlineLevel="0" collapsed="false">
      <c r="A678" s="91"/>
      <c r="B678" s="81"/>
      <c r="C678" s="81"/>
      <c r="D678" s="81"/>
      <c r="E678" s="81"/>
      <c r="F678" s="173"/>
      <c r="G678" s="173"/>
      <c r="H678" s="173"/>
      <c r="I678" s="173"/>
      <c r="J678" s="173"/>
      <c r="K678" s="173"/>
      <c r="L678" s="80"/>
      <c r="M678" s="81"/>
      <c r="N678" s="102"/>
      <c r="O678" s="102"/>
      <c r="P678" s="81"/>
      <c r="Q678" s="81"/>
      <c r="R678" s="81"/>
      <c r="S678" s="81"/>
      <c r="T678" s="81"/>
      <c r="U678" s="81"/>
      <c r="V678" s="81"/>
      <c r="W678" s="81"/>
      <c r="X678" s="81"/>
      <c r="Y678" s="81"/>
    </row>
    <row r="679" customFormat="false" ht="12" hidden="false" customHeight="true" outlineLevel="0" collapsed="false">
      <c r="A679" s="91"/>
      <c r="B679" s="81"/>
      <c r="C679" s="81"/>
      <c r="D679" s="81"/>
      <c r="E679" s="81"/>
      <c r="F679" s="173"/>
      <c r="G679" s="173"/>
      <c r="H679" s="173"/>
      <c r="I679" s="173"/>
      <c r="J679" s="173"/>
      <c r="K679" s="173"/>
      <c r="L679" s="80"/>
      <c r="M679" s="81"/>
      <c r="N679" s="102"/>
      <c r="O679" s="102"/>
      <c r="P679" s="81"/>
      <c r="Q679" s="81"/>
      <c r="R679" s="81"/>
      <c r="S679" s="81"/>
      <c r="T679" s="81"/>
      <c r="U679" s="81"/>
      <c r="V679" s="81"/>
      <c r="W679" s="81"/>
      <c r="X679" s="81"/>
      <c r="Y679" s="81"/>
    </row>
    <row r="680" customFormat="false" ht="12" hidden="false" customHeight="true" outlineLevel="0" collapsed="false">
      <c r="A680" s="91"/>
      <c r="B680" s="81"/>
      <c r="C680" s="81"/>
      <c r="D680" s="81"/>
      <c r="E680" s="81"/>
      <c r="F680" s="173"/>
      <c r="G680" s="173"/>
      <c r="H680" s="173"/>
      <c r="I680" s="173"/>
      <c r="J680" s="173"/>
      <c r="K680" s="173"/>
      <c r="L680" s="80"/>
      <c r="M680" s="81"/>
      <c r="N680" s="102"/>
      <c r="O680" s="102"/>
      <c r="P680" s="81"/>
      <c r="Q680" s="81"/>
      <c r="R680" s="81"/>
      <c r="S680" s="81"/>
      <c r="T680" s="81"/>
      <c r="U680" s="81"/>
      <c r="V680" s="81"/>
      <c r="W680" s="81"/>
      <c r="X680" s="81"/>
      <c r="Y680" s="81"/>
    </row>
    <row r="681" customFormat="false" ht="12" hidden="false" customHeight="true" outlineLevel="0" collapsed="false">
      <c r="A681" s="91"/>
      <c r="B681" s="81"/>
      <c r="C681" s="81"/>
      <c r="D681" s="81"/>
      <c r="E681" s="81"/>
      <c r="F681" s="173"/>
      <c r="G681" s="173"/>
      <c r="H681" s="173"/>
      <c r="I681" s="173"/>
      <c r="J681" s="173"/>
      <c r="K681" s="173"/>
      <c r="L681" s="80"/>
      <c r="M681" s="81"/>
      <c r="N681" s="102"/>
      <c r="O681" s="102"/>
      <c r="P681" s="81"/>
      <c r="Q681" s="81"/>
      <c r="R681" s="81"/>
      <c r="S681" s="81"/>
      <c r="T681" s="81"/>
      <c r="U681" s="81"/>
      <c r="V681" s="81"/>
      <c r="W681" s="81"/>
      <c r="X681" s="81"/>
      <c r="Y681" s="81"/>
    </row>
    <row r="682" customFormat="false" ht="12" hidden="false" customHeight="true" outlineLevel="0" collapsed="false">
      <c r="A682" s="91"/>
      <c r="B682" s="81"/>
      <c r="C682" s="81"/>
      <c r="D682" s="81"/>
      <c r="E682" s="81"/>
      <c r="F682" s="173"/>
      <c r="G682" s="173"/>
      <c r="H682" s="173"/>
      <c r="I682" s="173"/>
      <c r="J682" s="173"/>
      <c r="K682" s="173"/>
      <c r="L682" s="80"/>
      <c r="M682" s="81"/>
      <c r="N682" s="102"/>
      <c r="O682" s="102"/>
      <c r="P682" s="81"/>
      <c r="Q682" s="81"/>
      <c r="R682" s="81"/>
      <c r="S682" s="81"/>
      <c r="T682" s="81"/>
      <c r="U682" s="81"/>
      <c r="V682" s="81"/>
      <c r="W682" s="81"/>
      <c r="X682" s="81"/>
      <c r="Y682" s="81"/>
    </row>
    <row r="683" customFormat="false" ht="12" hidden="false" customHeight="true" outlineLevel="0" collapsed="false">
      <c r="A683" s="91"/>
      <c r="B683" s="81"/>
      <c r="C683" s="81"/>
      <c r="D683" s="81"/>
      <c r="E683" s="81"/>
      <c r="F683" s="173"/>
      <c r="G683" s="173"/>
      <c r="H683" s="173"/>
      <c r="I683" s="173"/>
      <c r="J683" s="173"/>
      <c r="K683" s="173"/>
      <c r="L683" s="80"/>
      <c r="M683" s="81"/>
      <c r="N683" s="102"/>
      <c r="O683" s="102"/>
      <c r="P683" s="81"/>
      <c r="Q683" s="81"/>
      <c r="R683" s="81"/>
      <c r="S683" s="81"/>
      <c r="T683" s="81"/>
      <c r="U683" s="81"/>
      <c r="V683" s="81"/>
      <c r="W683" s="81"/>
      <c r="X683" s="81"/>
      <c r="Y683" s="81"/>
    </row>
    <row r="684" customFormat="false" ht="12" hidden="false" customHeight="true" outlineLevel="0" collapsed="false">
      <c r="A684" s="91"/>
      <c r="B684" s="81"/>
      <c r="C684" s="81"/>
      <c r="D684" s="81"/>
      <c r="E684" s="81"/>
      <c r="F684" s="173"/>
      <c r="G684" s="173"/>
      <c r="H684" s="173"/>
      <c r="I684" s="173"/>
      <c r="J684" s="173"/>
      <c r="K684" s="173"/>
      <c r="L684" s="80"/>
      <c r="M684" s="81"/>
      <c r="N684" s="102"/>
      <c r="O684" s="102"/>
      <c r="P684" s="81"/>
      <c r="Q684" s="81"/>
      <c r="R684" s="81"/>
      <c r="S684" s="81"/>
      <c r="T684" s="81"/>
      <c r="U684" s="81"/>
      <c r="V684" s="81"/>
      <c r="W684" s="81"/>
      <c r="X684" s="81"/>
      <c r="Y684" s="81"/>
    </row>
    <row r="685" customFormat="false" ht="12" hidden="false" customHeight="true" outlineLevel="0" collapsed="false">
      <c r="A685" s="91"/>
      <c r="B685" s="81"/>
      <c r="C685" s="81"/>
      <c r="D685" s="81"/>
      <c r="E685" s="81"/>
      <c r="F685" s="173"/>
      <c r="G685" s="173"/>
      <c r="H685" s="173"/>
      <c r="I685" s="173"/>
      <c r="J685" s="173"/>
      <c r="K685" s="173"/>
      <c r="L685" s="80"/>
      <c r="M685" s="81"/>
      <c r="N685" s="102"/>
      <c r="O685" s="102"/>
      <c r="P685" s="81"/>
      <c r="Q685" s="81"/>
      <c r="R685" s="81"/>
      <c r="S685" s="81"/>
      <c r="T685" s="81"/>
      <c r="U685" s="81"/>
      <c r="V685" s="81"/>
      <c r="W685" s="81"/>
      <c r="X685" s="81"/>
      <c r="Y685" s="81"/>
    </row>
    <row r="686" customFormat="false" ht="12" hidden="false" customHeight="true" outlineLevel="0" collapsed="false">
      <c r="A686" s="91"/>
      <c r="B686" s="81"/>
      <c r="C686" s="81"/>
      <c r="D686" s="81"/>
      <c r="E686" s="81"/>
      <c r="F686" s="173"/>
      <c r="G686" s="173"/>
      <c r="H686" s="173"/>
      <c r="I686" s="173"/>
      <c r="J686" s="173"/>
      <c r="K686" s="173"/>
      <c r="L686" s="80"/>
      <c r="M686" s="81"/>
      <c r="N686" s="102"/>
      <c r="O686" s="102"/>
      <c r="P686" s="81"/>
      <c r="Q686" s="81"/>
      <c r="R686" s="81"/>
      <c r="S686" s="81"/>
      <c r="T686" s="81"/>
      <c r="U686" s="81"/>
      <c r="V686" s="81"/>
      <c r="W686" s="81"/>
      <c r="X686" s="81"/>
      <c r="Y686" s="81"/>
    </row>
    <row r="687" customFormat="false" ht="12" hidden="false" customHeight="true" outlineLevel="0" collapsed="false">
      <c r="A687" s="91"/>
      <c r="B687" s="81"/>
      <c r="C687" s="81"/>
      <c r="D687" s="81"/>
      <c r="E687" s="81"/>
      <c r="F687" s="173"/>
      <c r="G687" s="173"/>
      <c r="H687" s="173"/>
      <c r="I687" s="173"/>
      <c r="J687" s="173"/>
      <c r="K687" s="173"/>
      <c r="L687" s="80"/>
      <c r="M687" s="81"/>
      <c r="N687" s="102"/>
      <c r="O687" s="102"/>
      <c r="P687" s="81"/>
      <c r="Q687" s="81"/>
      <c r="R687" s="81"/>
      <c r="S687" s="81"/>
      <c r="T687" s="81"/>
      <c r="U687" s="81"/>
      <c r="V687" s="81"/>
      <c r="W687" s="81"/>
      <c r="X687" s="81"/>
      <c r="Y687" s="81"/>
    </row>
    <row r="688" customFormat="false" ht="12" hidden="false" customHeight="true" outlineLevel="0" collapsed="false">
      <c r="A688" s="91"/>
      <c r="B688" s="81"/>
      <c r="C688" s="81"/>
      <c r="D688" s="81"/>
      <c r="E688" s="81"/>
      <c r="F688" s="173"/>
      <c r="G688" s="173"/>
      <c r="H688" s="173"/>
      <c r="I688" s="173"/>
      <c r="J688" s="173"/>
      <c r="K688" s="173"/>
      <c r="L688" s="80"/>
      <c r="M688" s="81"/>
      <c r="N688" s="102"/>
      <c r="O688" s="102"/>
      <c r="P688" s="81"/>
      <c r="Q688" s="81"/>
      <c r="R688" s="81"/>
      <c r="S688" s="81"/>
      <c r="T688" s="81"/>
      <c r="U688" s="81"/>
      <c r="V688" s="81"/>
      <c r="W688" s="81"/>
      <c r="X688" s="81"/>
      <c r="Y688" s="81"/>
    </row>
    <row r="689" customFormat="false" ht="12" hidden="false" customHeight="true" outlineLevel="0" collapsed="false">
      <c r="A689" s="91"/>
      <c r="B689" s="81"/>
      <c r="C689" s="81"/>
      <c r="D689" s="81"/>
      <c r="E689" s="81"/>
      <c r="F689" s="173"/>
      <c r="G689" s="173"/>
      <c r="H689" s="173"/>
      <c r="I689" s="173"/>
      <c r="J689" s="173"/>
      <c r="K689" s="173"/>
      <c r="L689" s="80"/>
      <c r="M689" s="81"/>
      <c r="N689" s="102"/>
      <c r="O689" s="102"/>
      <c r="P689" s="81"/>
      <c r="Q689" s="81"/>
      <c r="R689" s="81"/>
      <c r="S689" s="81"/>
      <c r="T689" s="81"/>
      <c r="U689" s="81"/>
      <c r="V689" s="81"/>
      <c r="W689" s="81"/>
      <c r="X689" s="81"/>
      <c r="Y689" s="81"/>
    </row>
    <row r="690" customFormat="false" ht="12" hidden="false" customHeight="true" outlineLevel="0" collapsed="false">
      <c r="A690" s="91"/>
      <c r="B690" s="81"/>
      <c r="C690" s="81"/>
      <c r="D690" s="81"/>
      <c r="E690" s="81"/>
      <c r="F690" s="173"/>
      <c r="G690" s="173"/>
      <c r="H690" s="173"/>
      <c r="I690" s="173"/>
      <c r="J690" s="173"/>
      <c r="K690" s="173"/>
      <c r="L690" s="80"/>
      <c r="M690" s="81"/>
      <c r="N690" s="102"/>
      <c r="O690" s="102"/>
      <c r="P690" s="81"/>
      <c r="Q690" s="81"/>
      <c r="R690" s="81"/>
      <c r="S690" s="81"/>
      <c r="T690" s="81"/>
      <c r="U690" s="81"/>
      <c r="V690" s="81"/>
      <c r="W690" s="81"/>
      <c r="X690" s="81"/>
      <c r="Y690" s="81"/>
    </row>
    <row r="691" customFormat="false" ht="12" hidden="false" customHeight="true" outlineLevel="0" collapsed="false">
      <c r="A691" s="91"/>
      <c r="B691" s="81"/>
      <c r="C691" s="81"/>
      <c r="D691" s="81"/>
      <c r="E691" s="81"/>
      <c r="F691" s="173"/>
      <c r="G691" s="173"/>
      <c r="H691" s="173"/>
      <c r="I691" s="173"/>
      <c r="J691" s="173"/>
      <c r="K691" s="173"/>
      <c r="L691" s="80"/>
      <c r="M691" s="81"/>
      <c r="N691" s="102"/>
      <c r="O691" s="102"/>
      <c r="P691" s="81"/>
      <c r="Q691" s="81"/>
      <c r="R691" s="81"/>
      <c r="S691" s="81"/>
      <c r="T691" s="81"/>
      <c r="U691" s="81"/>
      <c r="V691" s="81"/>
      <c r="W691" s="81"/>
      <c r="X691" s="81"/>
      <c r="Y691" s="81"/>
    </row>
    <row r="692" customFormat="false" ht="12" hidden="false" customHeight="true" outlineLevel="0" collapsed="false">
      <c r="A692" s="91"/>
      <c r="B692" s="81"/>
      <c r="C692" s="81"/>
      <c r="D692" s="81"/>
      <c r="E692" s="81"/>
      <c r="F692" s="173"/>
      <c r="G692" s="173"/>
      <c r="H692" s="173"/>
      <c r="I692" s="173"/>
      <c r="J692" s="173"/>
      <c r="K692" s="173"/>
      <c r="L692" s="80"/>
      <c r="M692" s="81"/>
      <c r="N692" s="102"/>
      <c r="O692" s="102"/>
      <c r="P692" s="81"/>
      <c r="Q692" s="81"/>
      <c r="R692" s="81"/>
      <c r="S692" s="81"/>
      <c r="T692" s="81"/>
      <c r="U692" s="81"/>
      <c r="V692" s="81"/>
      <c r="W692" s="81"/>
      <c r="X692" s="81"/>
      <c r="Y692" s="81"/>
    </row>
    <row r="693" customFormat="false" ht="12" hidden="false" customHeight="true" outlineLevel="0" collapsed="false">
      <c r="A693" s="91"/>
      <c r="B693" s="81"/>
      <c r="C693" s="81"/>
      <c r="D693" s="81"/>
      <c r="E693" s="81"/>
      <c r="F693" s="173"/>
      <c r="G693" s="173"/>
      <c r="H693" s="173"/>
      <c r="I693" s="173"/>
      <c r="J693" s="173"/>
      <c r="K693" s="173"/>
      <c r="L693" s="80"/>
      <c r="M693" s="81"/>
      <c r="N693" s="102"/>
      <c r="O693" s="102"/>
      <c r="P693" s="81"/>
      <c r="Q693" s="81"/>
      <c r="R693" s="81"/>
      <c r="S693" s="81"/>
      <c r="T693" s="81"/>
      <c r="U693" s="81"/>
      <c r="V693" s="81"/>
      <c r="W693" s="81"/>
      <c r="X693" s="81"/>
      <c r="Y693" s="81"/>
    </row>
    <row r="694" customFormat="false" ht="12" hidden="false" customHeight="true" outlineLevel="0" collapsed="false">
      <c r="A694" s="91"/>
      <c r="B694" s="81"/>
      <c r="C694" s="81"/>
      <c r="D694" s="81"/>
      <c r="E694" s="81"/>
      <c r="F694" s="173"/>
      <c r="G694" s="173"/>
      <c r="H694" s="173"/>
      <c r="I694" s="173"/>
      <c r="J694" s="173"/>
      <c r="K694" s="173"/>
      <c r="L694" s="80"/>
      <c r="M694" s="81"/>
      <c r="N694" s="102"/>
      <c r="O694" s="102"/>
      <c r="P694" s="81"/>
      <c r="Q694" s="81"/>
      <c r="R694" s="81"/>
      <c r="S694" s="81"/>
      <c r="T694" s="81"/>
      <c r="U694" s="81"/>
      <c r="V694" s="81"/>
      <c r="W694" s="81"/>
      <c r="X694" s="81"/>
      <c r="Y694" s="81"/>
    </row>
    <row r="695" customFormat="false" ht="12" hidden="false" customHeight="true" outlineLevel="0" collapsed="false">
      <c r="A695" s="91"/>
      <c r="B695" s="81"/>
      <c r="C695" s="81"/>
      <c r="D695" s="81"/>
      <c r="E695" s="81"/>
      <c r="F695" s="173"/>
      <c r="G695" s="173"/>
      <c r="H695" s="173"/>
      <c r="I695" s="173"/>
      <c r="J695" s="173"/>
      <c r="K695" s="173"/>
      <c r="L695" s="80"/>
      <c r="M695" s="81"/>
      <c r="N695" s="102"/>
      <c r="O695" s="102"/>
      <c r="P695" s="81"/>
      <c r="Q695" s="81"/>
      <c r="R695" s="81"/>
      <c r="S695" s="81"/>
      <c r="T695" s="81"/>
      <c r="U695" s="81"/>
      <c r="V695" s="81"/>
      <c r="W695" s="81"/>
      <c r="X695" s="81"/>
      <c r="Y695" s="81"/>
    </row>
    <row r="696" customFormat="false" ht="12" hidden="false" customHeight="true" outlineLevel="0" collapsed="false">
      <c r="A696" s="91"/>
      <c r="B696" s="81"/>
      <c r="C696" s="81"/>
      <c r="D696" s="81"/>
      <c r="E696" s="81"/>
      <c r="F696" s="173"/>
      <c r="G696" s="173"/>
      <c r="H696" s="173"/>
      <c r="I696" s="173"/>
      <c r="J696" s="173"/>
      <c r="K696" s="173"/>
      <c r="L696" s="80"/>
      <c r="M696" s="81"/>
      <c r="N696" s="102"/>
      <c r="O696" s="102"/>
      <c r="P696" s="81"/>
      <c r="Q696" s="81"/>
      <c r="R696" s="81"/>
      <c r="S696" s="81"/>
      <c r="T696" s="81"/>
      <c r="U696" s="81"/>
      <c r="V696" s="81"/>
      <c r="W696" s="81"/>
      <c r="X696" s="81"/>
      <c r="Y696" s="81"/>
    </row>
    <row r="697" customFormat="false" ht="12" hidden="false" customHeight="true" outlineLevel="0" collapsed="false">
      <c r="A697" s="91"/>
      <c r="B697" s="81"/>
      <c r="C697" s="81"/>
      <c r="D697" s="81"/>
      <c r="E697" s="81"/>
      <c r="F697" s="173"/>
      <c r="G697" s="173"/>
      <c r="H697" s="173"/>
      <c r="I697" s="173"/>
      <c r="J697" s="173"/>
      <c r="K697" s="173"/>
      <c r="L697" s="80"/>
      <c r="M697" s="81"/>
      <c r="N697" s="102"/>
      <c r="O697" s="102"/>
      <c r="P697" s="81"/>
      <c r="Q697" s="81"/>
      <c r="R697" s="81"/>
      <c r="S697" s="81"/>
      <c r="T697" s="81"/>
      <c r="U697" s="81"/>
      <c r="V697" s="81"/>
      <c r="W697" s="81"/>
      <c r="X697" s="81"/>
      <c r="Y697" s="81"/>
    </row>
    <row r="698" customFormat="false" ht="12" hidden="false" customHeight="true" outlineLevel="0" collapsed="false">
      <c r="A698" s="91"/>
      <c r="B698" s="81"/>
      <c r="C698" s="81"/>
      <c r="D698" s="81"/>
      <c r="E698" s="81"/>
      <c r="F698" s="173"/>
      <c r="G698" s="173"/>
      <c r="H698" s="173"/>
      <c r="I698" s="173"/>
      <c r="J698" s="173"/>
      <c r="K698" s="173"/>
      <c r="L698" s="80"/>
      <c r="M698" s="81"/>
      <c r="N698" s="102"/>
      <c r="O698" s="102"/>
      <c r="P698" s="81"/>
      <c r="Q698" s="81"/>
      <c r="R698" s="81"/>
      <c r="S698" s="81"/>
      <c r="T698" s="81"/>
      <c r="U698" s="81"/>
      <c r="V698" s="81"/>
      <c r="W698" s="81"/>
      <c r="X698" s="81"/>
      <c r="Y698" s="81"/>
    </row>
    <row r="699" customFormat="false" ht="12" hidden="false" customHeight="true" outlineLevel="0" collapsed="false">
      <c r="A699" s="91"/>
      <c r="B699" s="81"/>
      <c r="C699" s="81"/>
      <c r="D699" s="81"/>
      <c r="E699" s="81"/>
      <c r="F699" s="173"/>
      <c r="G699" s="173"/>
      <c r="H699" s="173"/>
      <c r="I699" s="173"/>
      <c r="J699" s="173"/>
      <c r="K699" s="173"/>
      <c r="L699" s="80"/>
      <c r="M699" s="81"/>
      <c r="N699" s="102"/>
      <c r="O699" s="102"/>
      <c r="P699" s="81"/>
      <c r="Q699" s="81"/>
      <c r="R699" s="81"/>
      <c r="S699" s="81"/>
      <c r="T699" s="81"/>
      <c r="U699" s="81"/>
      <c r="V699" s="81"/>
      <c r="W699" s="81"/>
      <c r="X699" s="81"/>
      <c r="Y699" s="81"/>
    </row>
    <row r="700" customFormat="false" ht="12" hidden="false" customHeight="true" outlineLevel="0" collapsed="false">
      <c r="A700" s="91"/>
      <c r="B700" s="81"/>
      <c r="C700" s="81"/>
      <c r="D700" s="81"/>
      <c r="E700" s="81"/>
      <c r="F700" s="173"/>
      <c r="G700" s="173"/>
      <c r="H700" s="173"/>
      <c r="I700" s="173"/>
      <c r="J700" s="173"/>
      <c r="K700" s="173"/>
      <c r="L700" s="80"/>
      <c r="M700" s="81"/>
      <c r="N700" s="102"/>
      <c r="O700" s="102"/>
      <c r="P700" s="81"/>
      <c r="Q700" s="81"/>
      <c r="R700" s="81"/>
      <c r="S700" s="81"/>
      <c r="T700" s="81"/>
      <c r="U700" s="81"/>
      <c r="V700" s="81"/>
      <c r="W700" s="81"/>
      <c r="X700" s="81"/>
      <c r="Y700" s="81"/>
    </row>
    <row r="701" customFormat="false" ht="12" hidden="false" customHeight="true" outlineLevel="0" collapsed="false">
      <c r="A701" s="91"/>
      <c r="B701" s="81"/>
      <c r="C701" s="81"/>
      <c r="D701" s="81"/>
      <c r="E701" s="81"/>
      <c r="F701" s="173"/>
      <c r="G701" s="173"/>
      <c r="H701" s="173"/>
      <c r="I701" s="173"/>
      <c r="J701" s="173"/>
      <c r="K701" s="173"/>
      <c r="L701" s="80"/>
      <c r="M701" s="81"/>
      <c r="N701" s="102"/>
      <c r="O701" s="102"/>
      <c r="P701" s="81"/>
      <c r="Q701" s="81"/>
      <c r="R701" s="81"/>
      <c r="S701" s="81"/>
      <c r="T701" s="81"/>
      <c r="U701" s="81"/>
      <c r="V701" s="81"/>
      <c r="W701" s="81"/>
      <c r="X701" s="81"/>
      <c r="Y701" s="81"/>
    </row>
    <row r="702" customFormat="false" ht="12" hidden="false" customHeight="true" outlineLevel="0" collapsed="false">
      <c r="A702" s="91"/>
      <c r="B702" s="81"/>
      <c r="C702" s="81"/>
      <c r="D702" s="81"/>
      <c r="E702" s="81"/>
      <c r="F702" s="173"/>
      <c r="G702" s="173"/>
      <c r="H702" s="173"/>
      <c r="I702" s="173"/>
      <c r="J702" s="173"/>
      <c r="K702" s="173"/>
      <c r="L702" s="80"/>
      <c r="M702" s="81"/>
      <c r="N702" s="102"/>
      <c r="O702" s="102"/>
      <c r="P702" s="81"/>
      <c r="Q702" s="81"/>
      <c r="R702" s="81"/>
      <c r="S702" s="81"/>
      <c r="T702" s="81"/>
      <c r="U702" s="81"/>
      <c r="V702" s="81"/>
      <c r="W702" s="81"/>
      <c r="X702" s="81"/>
      <c r="Y702" s="81"/>
    </row>
    <row r="703" customFormat="false" ht="12" hidden="false" customHeight="true" outlineLevel="0" collapsed="false">
      <c r="A703" s="91"/>
      <c r="B703" s="81"/>
      <c r="C703" s="81"/>
      <c r="D703" s="81"/>
      <c r="E703" s="81"/>
      <c r="F703" s="173"/>
      <c r="G703" s="173"/>
      <c r="H703" s="173"/>
      <c r="I703" s="173"/>
      <c r="J703" s="173"/>
      <c r="K703" s="173"/>
      <c r="L703" s="80"/>
      <c r="M703" s="81"/>
      <c r="N703" s="102"/>
      <c r="O703" s="102"/>
      <c r="P703" s="81"/>
      <c r="Q703" s="81"/>
      <c r="R703" s="81"/>
      <c r="S703" s="81"/>
      <c r="T703" s="81"/>
      <c r="U703" s="81"/>
      <c r="V703" s="81"/>
      <c r="W703" s="81"/>
      <c r="X703" s="81"/>
      <c r="Y703" s="81"/>
    </row>
    <row r="704" customFormat="false" ht="12" hidden="false" customHeight="true" outlineLevel="0" collapsed="false">
      <c r="A704" s="91"/>
      <c r="B704" s="81"/>
      <c r="C704" s="81"/>
      <c r="D704" s="81"/>
      <c r="E704" s="81"/>
      <c r="F704" s="173"/>
      <c r="G704" s="173"/>
      <c r="H704" s="173"/>
      <c r="I704" s="173"/>
      <c r="J704" s="173"/>
      <c r="K704" s="173"/>
      <c r="L704" s="80"/>
      <c r="M704" s="81"/>
      <c r="N704" s="102"/>
      <c r="O704" s="102"/>
      <c r="P704" s="81"/>
      <c r="Q704" s="81"/>
      <c r="R704" s="81"/>
      <c r="S704" s="81"/>
      <c r="T704" s="81"/>
      <c r="U704" s="81"/>
      <c r="V704" s="81"/>
      <c r="W704" s="81"/>
      <c r="X704" s="81"/>
      <c r="Y704" s="81"/>
    </row>
    <row r="705" customFormat="false" ht="12" hidden="false" customHeight="true" outlineLevel="0" collapsed="false">
      <c r="A705" s="91"/>
      <c r="B705" s="81"/>
      <c r="C705" s="81"/>
      <c r="D705" s="81"/>
      <c r="E705" s="81"/>
      <c r="F705" s="173"/>
      <c r="G705" s="173"/>
      <c r="H705" s="173"/>
      <c r="I705" s="173"/>
      <c r="J705" s="173"/>
      <c r="K705" s="173"/>
      <c r="L705" s="80"/>
      <c r="M705" s="81"/>
      <c r="N705" s="102"/>
      <c r="O705" s="102"/>
      <c r="P705" s="81"/>
      <c r="Q705" s="81"/>
      <c r="R705" s="81"/>
      <c r="S705" s="81"/>
      <c r="T705" s="81"/>
      <c r="U705" s="81"/>
      <c r="V705" s="81"/>
      <c r="W705" s="81"/>
      <c r="X705" s="81"/>
      <c r="Y705" s="81"/>
    </row>
    <row r="706" customFormat="false" ht="12" hidden="false" customHeight="true" outlineLevel="0" collapsed="false">
      <c r="A706" s="91"/>
      <c r="B706" s="81"/>
      <c r="C706" s="81"/>
      <c r="D706" s="81"/>
      <c r="E706" s="81"/>
      <c r="F706" s="173"/>
      <c r="G706" s="173"/>
      <c r="H706" s="173"/>
      <c r="I706" s="173"/>
      <c r="J706" s="173"/>
      <c r="K706" s="173"/>
      <c r="L706" s="80"/>
      <c r="M706" s="81"/>
      <c r="N706" s="102"/>
      <c r="O706" s="102"/>
      <c r="P706" s="81"/>
      <c r="Q706" s="81"/>
      <c r="R706" s="81"/>
      <c r="S706" s="81"/>
      <c r="T706" s="81"/>
      <c r="U706" s="81"/>
      <c r="V706" s="81"/>
      <c r="W706" s="81"/>
      <c r="X706" s="81"/>
      <c r="Y706" s="81"/>
    </row>
    <row r="707" customFormat="false" ht="12" hidden="false" customHeight="true" outlineLevel="0" collapsed="false">
      <c r="A707" s="91"/>
      <c r="B707" s="81"/>
      <c r="C707" s="81"/>
      <c r="D707" s="81"/>
      <c r="E707" s="81"/>
      <c r="F707" s="173"/>
      <c r="G707" s="173"/>
      <c r="H707" s="173"/>
      <c r="I707" s="173"/>
      <c r="J707" s="173"/>
      <c r="K707" s="173"/>
      <c r="L707" s="80"/>
      <c r="M707" s="81"/>
      <c r="N707" s="102"/>
      <c r="O707" s="102"/>
      <c r="P707" s="81"/>
      <c r="Q707" s="81"/>
      <c r="R707" s="81"/>
      <c r="S707" s="81"/>
      <c r="T707" s="81"/>
      <c r="U707" s="81"/>
      <c r="V707" s="81"/>
      <c r="W707" s="81"/>
      <c r="X707" s="81"/>
      <c r="Y707" s="81"/>
    </row>
    <row r="708" customFormat="false" ht="12" hidden="false" customHeight="true" outlineLevel="0" collapsed="false">
      <c r="A708" s="91"/>
      <c r="B708" s="81"/>
      <c r="C708" s="81"/>
      <c r="D708" s="81"/>
      <c r="E708" s="81"/>
      <c r="F708" s="173"/>
      <c r="G708" s="173"/>
      <c r="H708" s="173"/>
      <c r="I708" s="173"/>
      <c r="J708" s="173"/>
      <c r="K708" s="173"/>
      <c r="L708" s="80"/>
      <c r="M708" s="81"/>
      <c r="N708" s="102"/>
      <c r="O708" s="102"/>
      <c r="P708" s="81"/>
      <c r="Q708" s="81"/>
      <c r="R708" s="81"/>
      <c r="S708" s="81"/>
      <c r="T708" s="81"/>
      <c r="U708" s="81"/>
      <c r="V708" s="81"/>
      <c r="W708" s="81"/>
      <c r="X708" s="81"/>
      <c r="Y708" s="81"/>
    </row>
    <row r="709" customFormat="false" ht="12" hidden="false" customHeight="true" outlineLevel="0" collapsed="false">
      <c r="A709" s="91"/>
      <c r="B709" s="81"/>
      <c r="C709" s="81"/>
      <c r="D709" s="81"/>
      <c r="E709" s="81"/>
      <c r="F709" s="173"/>
      <c r="G709" s="173"/>
      <c r="H709" s="173"/>
      <c r="I709" s="173"/>
      <c r="J709" s="173"/>
      <c r="K709" s="173"/>
      <c r="L709" s="80"/>
      <c r="M709" s="81"/>
      <c r="N709" s="102"/>
      <c r="O709" s="102"/>
      <c r="P709" s="81"/>
      <c r="Q709" s="81"/>
      <c r="R709" s="81"/>
      <c r="S709" s="81"/>
      <c r="T709" s="81"/>
      <c r="U709" s="81"/>
      <c r="V709" s="81"/>
      <c r="W709" s="81"/>
      <c r="X709" s="81"/>
      <c r="Y709" s="81"/>
    </row>
    <row r="710" customFormat="false" ht="12" hidden="false" customHeight="true" outlineLevel="0" collapsed="false">
      <c r="A710" s="91"/>
      <c r="B710" s="81"/>
      <c r="C710" s="81"/>
      <c r="D710" s="81"/>
      <c r="E710" s="81"/>
      <c r="F710" s="173"/>
      <c r="G710" s="173"/>
      <c r="H710" s="173"/>
      <c r="I710" s="173"/>
      <c r="J710" s="173"/>
      <c r="K710" s="173"/>
      <c r="L710" s="80"/>
      <c r="M710" s="81"/>
      <c r="N710" s="102"/>
      <c r="O710" s="102"/>
      <c r="P710" s="81"/>
      <c r="Q710" s="81"/>
      <c r="R710" s="81"/>
      <c r="S710" s="81"/>
      <c r="T710" s="81"/>
      <c r="U710" s="81"/>
      <c r="V710" s="81"/>
      <c r="W710" s="81"/>
      <c r="X710" s="81"/>
      <c r="Y710" s="81"/>
    </row>
    <row r="711" customFormat="false" ht="12" hidden="false" customHeight="true" outlineLevel="0" collapsed="false">
      <c r="A711" s="91"/>
      <c r="B711" s="81"/>
      <c r="C711" s="81"/>
      <c r="D711" s="81"/>
      <c r="E711" s="81"/>
      <c r="F711" s="173"/>
      <c r="G711" s="173"/>
      <c r="H711" s="173"/>
      <c r="I711" s="173"/>
      <c r="J711" s="173"/>
      <c r="K711" s="173"/>
      <c r="L711" s="80"/>
      <c r="M711" s="81"/>
      <c r="N711" s="102"/>
      <c r="O711" s="102"/>
      <c r="P711" s="81"/>
      <c r="Q711" s="81"/>
      <c r="R711" s="81"/>
      <c r="S711" s="81"/>
      <c r="T711" s="81"/>
      <c r="U711" s="81"/>
      <c r="V711" s="81"/>
      <c r="W711" s="81"/>
      <c r="X711" s="81"/>
      <c r="Y711" s="81"/>
    </row>
    <row r="712" customFormat="false" ht="12" hidden="false" customHeight="true" outlineLevel="0" collapsed="false">
      <c r="A712" s="91"/>
      <c r="B712" s="81"/>
      <c r="C712" s="81"/>
      <c r="D712" s="81"/>
      <c r="E712" s="81"/>
      <c r="F712" s="173"/>
      <c r="G712" s="173"/>
      <c r="H712" s="173"/>
      <c r="I712" s="173"/>
      <c r="J712" s="173"/>
      <c r="K712" s="173"/>
      <c r="L712" s="80"/>
      <c r="M712" s="81"/>
      <c r="N712" s="102"/>
      <c r="O712" s="102"/>
      <c r="P712" s="81"/>
      <c r="Q712" s="81"/>
      <c r="R712" s="81"/>
      <c r="S712" s="81"/>
      <c r="T712" s="81"/>
      <c r="U712" s="81"/>
      <c r="V712" s="81"/>
      <c r="W712" s="81"/>
      <c r="X712" s="81"/>
      <c r="Y712" s="81"/>
    </row>
    <row r="713" customFormat="false" ht="12" hidden="false" customHeight="true" outlineLevel="0" collapsed="false">
      <c r="A713" s="91"/>
      <c r="B713" s="81"/>
      <c r="C713" s="81"/>
      <c r="D713" s="81"/>
      <c r="E713" s="81"/>
      <c r="F713" s="173"/>
      <c r="G713" s="173"/>
      <c r="H713" s="173"/>
      <c r="I713" s="173"/>
      <c r="J713" s="173"/>
      <c r="K713" s="173"/>
      <c r="L713" s="80"/>
      <c r="M713" s="81"/>
      <c r="N713" s="102"/>
      <c r="O713" s="102"/>
      <c r="P713" s="81"/>
      <c r="Q713" s="81"/>
      <c r="R713" s="81"/>
      <c r="S713" s="81"/>
      <c r="T713" s="81"/>
      <c r="U713" s="81"/>
      <c r="V713" s="81"/>
      <c r="W713" s="81"/>
      <c r="X713" s="81"/>
      <c r="Y713" s="81"/>
    </row>
    <row r="714" customFormat="false" ht="12" hidden="false" customHeight="true" outlineLevel="0" collapsed="false">
      <c r="A714" s="91"/>
      <c r="B714" s="81"/>
      <c r="C714" s="81"/>
      <c r="D714" s="81"/>
      <c r="E714" s="81"/>
      <c r="F714" s="173"/>
      <c r="G714" s="173"/>
      <c r="H714" s="173"/>
      <c r="I714" s="173"/>
      <c r="J714" s="173"/>
      <c r="K714" s="173"/>
      <c r="L714" s="80"/>
      <c r="M714" s="81"/>
      <c r="N714" s="102"/>
      <c r="O714" s="102"/>
      <c r="P714" s="81"/>
      <c r="Q714" s="81"/>
      <c r="R714" s="81"/>
      <c r="S714" s="81"/>
      <c r="T714" s="81"/>
      <c r="U714" s="81"/>
      <c r="V714" s="81"/>
      <c r="W714" s="81"/>
      <c r="X714" s="81"/>
      <c r="Y714" s="81"/>
    </row>
    <row r="715" customFormat="false" ht="12" hidden="false" customHeight="true" outlineLevel="0" collapsed="false">
      <c r="A715" s="91"/>
      <c r="B715" s="81"/>
      <c r="C715" s="81"/>
      <c r="D715" s="81"/>
      <c r="E715" s="81"/>
      <c r="F715" s="173"/>
      <c r="G715" s="173"/>
      <c r="H715" s="173"/>
      <c r="I715" s="173"/>
      <c r="J715" s="173"/>
      <c r="K715" s="173"/>
      <c r="L715" s="80"/>
      <c r="M715" s="81"/>
      <c r="N715" s="102"/>
      <c r="O715" s="102"/>
      <c r="P715" s="81"/>
      <c r="Q715" s="81"/>
      <c r="R715" s="81"/>
      <c r="S715" s="81"/>
      <c r="T715" s="81"/>
      <c r="U715" s="81"/>
      <c r="V715" s="81"/>
      <c r="W715" s="81"/>
      <c r="X715" s="81"/>
      <c r="Y715" s="81"/>
    </row>
    <row r="716" customFormat="false" ht="12" hidden="false" customHeight="true" outlineLevel="0" collapsed="false">
      <c r="A716" s="91"/>
      <c r="B716" s="81"/>
      <c r="C716" s="81"/>
      <c r="D716" s="81"/>
      <c r="E716" s="81"/>
      <c r="F716" s="173"/>
      <c r="G716" s="173"/>
      <c r="H716" s="173"/>
      <c r="I716" s="173"/>
      <c r="J716" s="173"/>
      <c r="K716" s="173"/>
      <c r="L716" s="80"/>
      <c r="M716" s="81"/>
      <c r="N716" s="102"/>
      <c r="O716" s="102"/>
      <c r="P716" s="81"/>
      <c r="Q716" s="81"/>
      <c r="R716" s="81"/>
      <c r="S716" s="81"/>
      <c r="T716" s="81"/>
      <c r="U716" s="81"/>
      <c r="V716" s="81"/>
      <c r="W716" s="81"/>
      <c r="X716" s="81"/>
      <c r="Y716" s="81"/>
    </row>
    <row r="717" customFormat="false" ht="12" hidden="false" customHeight="true" outlineLevel="0" collapsed="false">
      <c r="A717" s="91"/>
      <c r="B717" s="81"/>
      <c r="C717" s="81"/>
      <c r="D717" s="81"/>
      <c r="E717" s="81"/>
      <c r="F717" s="173"/>
      <c r="G717" s="173"/>
      <c r="H717" s="173"/>
      <c r="I717" s="173"/>
      <c r="J717" s="173"/>
      <c r="K717" s="173"/>
      <c r="L717" s="80"/>
      <c r="M717" s="81"/>
      <c r="N717" s="102"/>
      <c r="O717" s="102"/>
      <c r="P717" s="81"/>
      <c r="Q717" s="81"/>
      <c r="R717" s="81"/>
      <c r="S717" s="81"/>
      <c r="T717" s="81"/>
      <c r="U717" s="81"/>
      <c r="V717" s="81"/>
      <c r="W717" s="81"/>
      <c r="X717" s="81"/>
      <c r="Y717" s="81"/>
    </row>
    <row r="718" customFormat="false" ht="12" hidden="false" customHeight="true" outlineLevel="0" collapsed="false">
      <c r="A718" s="91"/>
      <c r="B718" s="81"/>
      <c r="C718" s="81"/>
      <c r="D718" s="81"/>
      <c r="E718" s="81"/>
      <c r="F718" s="173"/>
      <c r="G718" s="173"/>
      <c r="H718" s="173"/>
      <c r="I718" s="173"/>
      <c r="J718" s="173"/>
      <c r="K718" s="173"/>
      <c r="L718" s="80"/>
      <c r="M718" s="81"/>
      <c r="N718" s="102"/>
      <c r="O718" s="102"/>
      <c r="P718" s="81"/>
      <c r="Q718" s="81"/>
      <c r="R718" s="81"/>
      <c r="S718" s="81"/>
      <c r="T718" s="81"/>
      <c r="U718" s="81"/>
      <c r="V718" s="81"/>
      <c r="W718" s="81"/>
      <c r="X718" s="81"/>
      <c r="Y718" s="81"/>
    </row>
    <row r="719" customFormat="false" ht="12" hidden="false" customHeight="true" outlineLevel="0" collapsed="false">
      <c r="A719" s="91"/>
      <c r="B719" s="81"/>
      <c r="C719" s="81"/>
      <c r="D719" s="81"/>
      <c r="E719" s="81"/>
      <c r="F719" s="173"/>
      <c r="G719" s="173"/>
      <c r="H719" s="173"/>
      <c r="I719" s="173"/>
      <c r="J719" s="173"/>
      <c r="K719" s="173"/>
      <c r="L719" s="80"/>
      <c r="M719" s="81"/>
      <c r="N719" s="102"/>
      <c r="O719" s="102"/>
      <c r="P719" s="81"/>
      <c r="Q719" s="81"/>
      <c r="R719" s="81"/>
      <c r="S719" s="81"/>
      <c r="T719" s="81"/>
      <c r="U719" s="81"/>
      <c r="V719" s="81"/>
      <c r="W719" s="81"/>
      <c r="X719" s="81"/>
      <c r="Y719" s="81"/>
    </row>
    <row r="720" customFormat="false" ht="12" hidden="false" customHeight="true" outlineLevel="0" collapsed="false">
      <c r="A720" s="91"/>
      <c r="B720" s="81"/>
      <c r="C720" s="81"/>
      <c r="D720" s="81"/>
      <c r="E720" s="81"/>
      <c r="F720" s="173"/>
      <c r="G720" s="173"/>
      <c r="H720" s="173"/>
      <c r="I720" s="173"/>
      <c r="J720" s="173"/>
      <c r="K720" s="173"/>
      <c r="L720" s="80"/>
      <c r="M720" s="81"/>
      <c r="N720" s="102"/>
      <c r="O720" s="102"/>
      <c r="P720" s="81"/>
      <c r="Q720" s="81"/>
      <c r="R720" s="81"/>
      <c r="S720" s="81"/>
      <c r="T720" s="81"/>
      <c r="U720" s="81"/>
      <c r="V720" s="81"/>
      <c r="W720" s="81"/>
      <c r="X720" s="81"/>
      <c r="Y720" s="81"/>
    </row>
    <row r="721" customFormat="false" ht="12" hidden="false" customHeight="true" outlineLevel="0" collapsed="false">
      <c r="A721" s="91"/>
      <c r="B721" s="81"/>
      <c r="C721" s="81"/>
      <c r="D721" s="81"/>
      <c r="E721" s="81"/>
      <c r="F721" s="173"/>
      <c r="G721" s="173"/>
      <c r="H721" s="173"/>
      <c r="I721" s="173"/>
      <c r="J721" s="173"/>
      <c r="K721" s="173"/>
      <c r="L721" s="80"/>
      <c r="M721" s="81"/>
      <c r="N721" s="102"/>
      <c r="O721" s="102"/>
      <c r="P721" s="81"/>
      <c r="Q721" s="81"/>
      <c r="R721" s="81"/>
      <c r="S721" s="81"/>
      <c r="T721" s="81"/>
      <c r="U721" s="81"/>
      <c r="V721" s="81"/>
      <c r="W721" s="81"/>
      <c r="X721" s="81"/>
      <c r="Y721" s="81"/>
    </row>
    <row r="722" customFormat="false" ht="12" hidden="false" customHeight="true" outlineLevel="0" collapsed="false">
      <c r="A722" s="91"/>
      <c r="B722" s="81"/>
      <c r="C722" s="81"/>
      <c r="D722" s="81"/>
      <c r="E722" s="81"/>
      <c r="F722" s="173"/>
      <c r="G722" s="173"/>
      <c r="H722" s="173"/>
      <c r="I722" s="173"/>
      <c r="J722" s="173"/>
      <c r="K722" s="173"/>
      <c r="L722" s="80"/>
      <c r="M722" s="81"/>
      <c r="N722" s="102"/>
      <c r="O722" s="102"/>
      <c r="P722" s="81"/>
      <c r="Q722" s="81"/>
      <c r="R722" s="81"/>
      <c r="S722" s="81"/>
      <c r="T722" s="81"/>
      <c r="U722" s="81"/>
      <c r="V722" s="81"/>
      <c r="W722" s="81"/>
      <c r="X722" s="81"/>
      <c r="Y722" s="81"/>
    </row>
    <row r="723" customFormat="false" ht="12" hidden="false" customHeight="true" outlineLevel="0" collapsed="false">
      <c r="A723" s="91"/>
      <c r="B723" s="81"/>
      <c r="C723" s="81"/>
      <c r="D723" s="81"/>
      <c r="E723" s="81"/>
      <c r="F723" s="173"/>
      <c r="G723" s="173"/>
      <c r="H723" s="173"/>
      <c r="I723" s="173"/>
      <c r="J723" s="173"/>
      <c r="K723" s="173"/>
      <c r="L723" s="80"/>
      <c r="M723" s="81"/>
      <c r="N723" s="102"/>
      <c r="O723" s="102"/>
      <c r="P723" s="81"/>
      <c r="Q723" s="81"/>
      <c r="R723" s="81"/>
      <c r="S723" s="81"/>
      <c r="T723" s="81"/>
      <c r="U723" s="81"/>
      <c r="V723" s="81"/>
      <c r="W723" s="81"/>
      <c r="X723" s="81"/>
      <c r="Y723" s="81"/>
    </row>
    <row r="724" customFormat="false" ht="12" hidden="false" customHeight="true" outlineLevel="0" collapsed="false">
      <c r="A724" s="91"/>
      <c r="B724" s="81"/>
      <c r="C724" s="81"/>
      <c r="D724" s="81"/>
      <c r="E724" s="81"/>
      <c r="F724" s="173"/>
      <c r="G724" s="173"/>
      <c r="H724" s="173"/>
      <c r="I724" s="173"/>
      <c r="J724" s="173"/>
      <c r="K724" s="173"/>
      <c r="L724" s="80"/>
      <c r="M724" s="81"/>
      <c r="N724" s="102"/>
      <c r="O724" s="102"/>
      <c r="P724" s="81"/>
      <c r="Q724" s="81"/>
      <c r="R724" s="81"/>
      <c r="S724" s="81"/>
      <c r="T724" s="81"/>
      <c r="U724" s="81"/>
      <c r="V724" s="81"/>
      <c r="W724" s="81"/>
      <c r="X724" s="81"/>
      <c r="Y724" s="81"/>
    </row>
    <row r="725" customFormat="false" ht="12" hidden="false" customHeight="true" outlineLevel="0" collapsed="false">
      <c r="A725" s="91"/>
      <c r="B725" s="81"/>
      <c r="C725" s="81"/>
      <c r="D725" s="81"/>
      <c r="E725" s="81"/>
      <c r="F725" s="173"/>
      <c r="G725" s="173"/>
      <c r="H725" s="173"/>
      <c r="I725" s="173"/>
      <c r="J725" s="173"/>
      <c r="K725" s="173"/>
      <c r="L725" s="80"/>
      <c r="M725" s="81"/>
      <c r="N725" s="102"/>
      <c r="O725" s="102"/>
      <c r="P725" s="81"/>
      <c r="Q725" s="81"/>
      <c r="R725" s="81"/>
      <c r="S725" s="81"/>
      <c r="T725" s="81"/>
      <c r="U725" s="81"/>
      <c r="V725" s="81"/>
      <c r="W725" s="81"/>
      <c r="X725" s="81"/>
      <c r="Y725" s="81"/>
    </row>
    <row r="726" customFormat="false" ht="12" hidden="false" customHeight="true" outlineLevel="0" collapsed="false">
      <c r="A726" s="91"/>
      <c r="B726" s="81"/>
      <c r="C726" s="81"/>
      <c r="D726" s="81"/>
      <c r="E726" s="81"/>
      <c r="F726" s="173"/>
      <c r="G726" s="173"/>
      <c r="H726" s="173"/>
      <c r="I726" s="173"/>
      <c r="J726" s="173"/>
      <c r="K726" s="173"/>
      <c r="L726" s="80"/>
      <c r="M726" s="81"/>
      <c r="N726" s="102"/>
      <c r="O726" s="102"/>
      <c r="P726" s="81"/>
      <c r="Q726" s="81"/>
      <c r="R726" s="81"/>
      <c r="S726" s="81"/>
      <c r="T726" s="81"/>
      <c r="U726" s="81"/>
      <c r="V726" s="81"/>
      <c r="W726" s="81"/>
      <c r="X726" s="81"/>
      <c r="Y726" s="81"/>
    </row>
    <row r="727" customFormat="false" ht="12" hidden="false" customHeight="true" outlineLevel="0" collapsed="false">
      <c r="A727" s="91"/>
      <c r="B727" s="81"/>
      <c r="C727" s="81"/>
      <c r="D727" s="81"/>
      <c r="E727" s="81"/>
      <c r="F727" s="173"/>
      <c r="G727" s="173"/>
      <c r="H727" s="173"/>
      <c r="I727" s="173"/>
      <c r="J727" s="173"/>
      <c r="K727" s="173"/>
      <c r="L727" s="80"/>
      <c r="M727" s="81"/>
      <c r="N727" s="102"/>
      <c r="O727" s="102"/>
      <c r="P727" s="81"/>
      <c r="Q727" s="81"/>
      <c r="R727" s="81"/>
      <c r="S727" s="81"/>
      <c r="T727" s="81"/>
      <c r="U727" s="81"/>
      <c r="V727" s="81"/>
      <c r="W727" s="81"/>
      <c r="X727" s="81"/>
      <c r="Y727" s="81"/>
    </row>
    <row r="728" customFormat="false" ht="12" hidden="false" customHeight="true" outlineLevel="0" collapsed="false">
      <c r="A728" s="91"/>
      <c r="B728" s="81"/>
      <c r="C728" s="81"/>
      <c r="D728" s="81"/>
      <c r="E728" s="81"/>
      <c r="F728" s="173"/>
      <c r="G728" s="173"/>
      <c r="H728" s="173"/>
      <c r="I728" s="173"/>
      <c r="J728" s="173"/>
      <c r="K728" s="173"/>
      <c r="L728" s="80"/>
      <c r="M728" s="81"/>
      <c r="N728" s="102"/>
      <c r="O728" s="102"/>
      <c r="P728" s="81"/>
      <c r="Q728" s="81"/>
      <c r="R728" s="81"/>
      <c r="S728" s="81"/>
      <c r="T728" s="81"/>
      <c r="U728" s="81"/>
      <c r="V728" s="81"/>
      <c r="W728" s="81"/>
      <c r="X728" s="81"/>
      <c r="Y728" s="81"/>
    </row>
    <row r="729" customFormat="false" ht="12" hidden="false" customHeight="true" outlineLevel="0" collapsed="false">
      <c r="A729" s="91"/>
      <c r="B729" s="81"/>
      <c r="C729" s="81"/>
      <c r="D729" s="81"/>
      <c r="E729" s="81"/>
      <c r="F729" s="173"/>
      <c r="G729" s="173"/>
      <c r="H729" s="173"/>
      <c r="I729" s="173"/>
      <c r="J729" s="173"/>
      <c r="K729" s="173"/>
      <c r="L729" s="80"/>
      <c r="M729" s="81"/>
      <c r="N729" s="102"/>
      <c r="O729" s="102"/>
      <c r="P729" s="81"/>
      <c r="Q729" s="81"/>
      <c r="R729" s="81"/>
      <c r="S729" s="81"/>
      <c r="T729" s="81"/>
      <c r="U729" s="81"/>
      <c r="V729" s="81"/>
      <c r="W729" s="81"/>
      <c r="X729" s="81"/>
      <c r="Y729" s="81"/>
    </row>
    <row r="730" customFormat="false" ht="12" hidden="false" customHeight="true" outlineLevel="0" collapsed="false">
      <c r="A730" s="91"/>
      <c r="B730" s="81"/>
      <c r="C730" s="81"/>
      <c r="D730" s="81"/>
      <c r="E730" s="81"/>
      <c r="F730" s="173"/>
      <c r="G730" s="173"/>
      <c r="H730" s="173"/>
      <c r="I730" s="173"/>
      <c r="J730" s="173"/>
      <c r="K730" s="173"/>
      <c r="L730" s="80"/>
      <c r="M730" s="81"/>
      <c r="N730" s="102"/>
      <c r="O730" s="102"/>
      <c r="P730" s="81"/>
      <c r="Q730" s="81"/>
      <c r="R730" s="81"/>
      <c r="S730" s="81"/>
      <c r="T730" s="81"/>
      <c r="U730" s="81"/>
      <c r="V730" s="81"/>
      <c r="W730" s="81"/>
      <c r="X730" s="81"/>
      <c r="Y730" s="81"/>
    </row>
    <row r="731" customFormat="false" ht="12" hidden="false" customHeight="true" outlineLevel="0" collapsed="false">
      <c r="A731" s="91"/>
      <c r="B731" s="81"/>
      <c r="C731" s="81"/>
      <c r="D731" s="81"/>
      <c r="E731" s="81"/>
      <c r="F731" s="173"/>
      <c r="G731" s="173"/>
      <c r="H731" s="173"/>
      <c r="I731" s="173"/>
      <c r="J731" s="173"/>
      <c r="K731" s="173"/>
      <c r="L731" s="80"/>
      <c r="M731" s="81"/>
      <c r="N731" s="102"/>
      <c r="O731" s="102"/>
      <c r="P731" s="81"/>
      <c r="Q731" s="81"/>
      <c r="R731" s="81"/>
      <c r="S731" s="81"/>
      <c r="T731" s="81"/>
      <c r="U731" s="81"/>
      <c r="V731" s="81"/>
      <c r="W731" s="81"/>
      <c r="X731" s="81"/>
      <c r="Y731" s="81"/>
    </row>
    <row r="732" customFormat="false" ht="12" hidden="false" customHeight="true" outlineLevel="0" collapsed="false">
      <c r="A732" s="91"/>
      <c r="B732" s="81"/>
      <c r="C732" s="81"/>
      <c r="D732" s="81"/>
      <c r="E732" s="81"/>
      <c r="F732" s="173"/>
      <c r="G732" s="173"/>
      <c r="H732" s="173"/>
      <c r="I732" s="173"/>
      <c r="J732" s="173"/>
      <c r="K732" s="173"/>
      <c r="L732" s="80"/>
      <c r="M732" s="81"/>
      <c r="N732" s="102"/>
      <c r="O732" s="102"/>
      <c r="P732" s="81"/>
      <c r="Q732" s="81"/>
      <c r="R732" s="81"/>
      <c r="S732" s="81"/>
      <c r="T732" s="81"/>
      <c r="U732" s="81"/>
      <c r="V732" s="81"/>
      <c r="W732" s="81"/>
      <c r="X732" s="81"/>
      <c r="Y732" s="81"/>
    </row>
    <row r="733" customFormat="false" ht="12" hidden="false" customHeight="true" outlineLevel="0" collapsed="false">
      <c r="A733" s="91"/>
      <c r="B733" s="81"/>
      <c r="C733" s="81"/>
      <c r="D733" s="81"/>
      <c r="E733" s="81"/>
      <c r="F733" s="173"/>
      <c r="G733" s="173"/>
      <c r="H733" s="173"/>
      <c r="I733" s="173"/>
      <c r="J733" s="173"/>
      <c r="K733" s="173"/>
      <c r="L733" s="80"/>
      <c r="M733" s="81"/>
      <c r="N733" s="102"/>
      <c r="O733" s="102"/>
      <c r="P733" s="81"/>
      <c r="Q733" s="81"/>
      <c r="R733" s="81"/>
      <c r="S733" s="81"/>
      <c r="T733" s="81"/>
      <c r="U733" s="81"/>
      <c r="V733" s="81"/>
      <c r="W733" s="81"/>
      <c r="X733" s="81"/>
      <c r="Y733" s="81"/>
    </row>
    <row r="734" customFormat="false" ht="12" hidden="false" customHeight="true" outlineLevel="0" collapsed="false">
      <c r="A734" s="91"/>
      <c r="B734" s="81"/>
      <c r="C734" s="81"/>
      <c r="D734" s="81"/>
      <c r="E734" s="81"/>
      <c r="F734" s="173"/>
      <c r="G734" s="173"/>
      <c r="H734" s="173"/>
      <c r="I734" s="173"/>
      <c r="J734" s="173"/>
      <c r="K734" s="173"/>
      <c r="L734" s="80"/>
      <c r="M734" s="81"/>
      <c r="N734" s="102"/>
      <c r="O734" s="102"/>
      <c r="P734" s="81"/>
      <c r="Q734" s="81"/>
      <c r="R734" s="81"/>
      <c r="S734" s="81"/>
      <c r="T734" s="81"/>
      <c r="U734" s="81"/>
      <c r="V734" s="81"/>
      <c r="W734" s="81"/>
      <c r="X734" s="81"/>
      <c r="Y734" s="81"/>
    </row>
    <row r="735" customFormat="false" ht="12" hidden="false" customHeight="true" outlineLevel="0" collapsed="false">
      <c r="A735" s="91"/>
      <c r="B735" s="81"/>
      <c r="C735" s="81"/>
      <c r="D735" s="81"/>
      <c r="E735" s="81"/>
      <c r="F735" s="173"/>
      <c r="G735" s="173"/>
      <c r="H735" s="173"/>
      <c r="I735" s="173"/>
      <c r="J735" s="173"/>
      <c r="K735" s="173"/>
      <c r="L735" s="80"/>
      <c r="M735" s="81"/>
      <c r="N735" s="102"/>
      <c r="O735" s="102"/>
      <c r="P735" s="81"/>
      <c r="Q735" s="81"/>
      <c r="R735" s="81"/>
      <c r="S735" s="81"/>
      <c r="T735" s="81"/>
      <c r="U735" s="81"/>
      <c r="V735" s="81"/>
      <c r="W735" s="81"/>
      <c r="X735" s="81"/>
      <c r="Y735" s="81"/>
    </row>
    <row r="736" customFormat="false" ht="12" hidden="false" customHeight="true" outlineLevel="0" collapsed="false">
      <c r="A736" s="91"/>
      <c r="B736" s="81"/>
      <c r="C736" s="81"/>
      <c r="D736" s="81"/>
      <c r="E736" s="81"/>
      <c r="F736" s="173"/>
      <c r="G736" s="173"/>
      <c r="H736" s="173"/>
      <c r="I736" s="173"/>
      <c r="J736" s="173"/>
      <c r="K736" s="173"/>
      <c r="L736" s="80"/>
      <c r="M736" s="81"/>
      <c r="N736" s="102"/>
      <c r="O736" s="102"/>
      <c r="P736" s="81"/>
      <c r="Q736" s="81"/>
      <c r="R736" s="81"/>
      <c r="S736" s="81"/>
      <c r="T736" s="81"/>
      <c r="U736" s="81"/>
      <c r="V736" s="81"/>
      <c r="W736" s="81"/>
      <c r="X736" s="81"/>
      <c r="Y736" s="81"/>
    </row>
    <row r="737" customFormat="false" ht="12" hidden="false" customHeight="true" outlineLevel="0" collapsed="false">
      <c r="A737" s="91"/>
      <c r="B737" s="81"/>
      <c r="C737" s="81"/>
      <c r="D737" s="81"/>
      <c r="E737" s="81"/>
      <c r="F737" s="173"/>
      <c r="G737" s="173"/>
      <c r="H737" s="173"/>
      <c r="I737" s="173"/>
      <c r="J737" s="173"/>
      <c r="K737" s="173"/>
      <c r="L737" s="80"/>
      <c r="M737" s="81"/>
      <c r="N737" s="102"/>
      <c r="O737" s="102"/>
      <c r="P737" s="81"/>
      <c r="Q737" s="81"/>
      <c r="R737" s="81"/>
      <c r="S737" s="81"/>
      <c r="T737" s="81"/>
      <c r="U737" s="81"/>
      <c r="V737" s="81"/>
      <c r="W737" s="81"/>
      <c r="X737" s="81"/>
      <c r="Y737" s="81"/>
    </row>
    <row r="738" customFormat="false" ht="12" hidden="false" customHeight="true" outlineLevel="0" collapsed="false">
      <c r="A738" s="91"/>
      <c r="B738" s="81"/>
      <c r="C738" s="81"/>
      <c r="D738" s="81"/>
      <c r="E738" s="81"/>
      <c r="F738" s="173"/>
      <c r="G738" s="173"/>
      <c r="H738" s="173"/>
      <c r="I738" s="173"/>
      <c r="J738" s="173"/>
      <c r="K738" s="173"/>
      <c r="L738" s="80"/>
      <c r="M738" s="81"/>
      <c r="N738" s="102"/>
      <c r="O738" s="102"/>
      <c r="P738" s="81"/>
      <c r="Q738" s="81"/>
      <c r="R738" s="81"/>
      <c r="S738" s="81"/>
      <c r="T738" s="81"/>
      <c r="U738" s="81"/>
      <c r="V738" s="81"/>
      <c r="W738" s="81"/>
      <c r="X738" s="81"/>
      <c r="Y738" s="81"/>
    </row>
    <row r="739" customFormat="false" ht="12" hidden="false" customHeight="true" outlineLevel="0" collapsed="false">
      <c r="A739" s="91"/>
      <c r="B739" s="81"/>
      <c r="C739" s="81"/>
      <c r="D739" s="81"/>
      <c r="E739" s="81"/>
      <c r="F739" s="173"/>
      <c r="G739" s="173"/>
      <c r="H739" s="173"/>
      <c r="I739" s="173"/>
      <c r="J739" s="173"/>
      <c r="K739" s="173"/>
      <c r="L739" s="80"/>
      <c r="M739" s="81"/>
      <c r="N739" s="102"/>
      <c r="O739" s="102"/>
      <c r="P739" s="81"/>
      <c r="Q739" s="81"/>
      <c r="R739" s="81"/>
      <c r="S739" s="81"/>
      <c r="T739" s="81"/>
      <c r="U739" s="81"/>
      <c r="V739" s="81"/>
      <c r="W739" s="81"/>
      <c r="X739" s="81"/>
      <c r="Y739" s="81"/>
    </row>
    <row r="740" customFormat="false" ht="12" hidden="false" customHeight="true" outlineLevel="0" collapsed="false">
      <c r="A740" s="91"/>
      <c r="B740" s="81"/>
      <c r="C740" s="81"/>
      <c r="D740" s="81"/>
      <c r="E740" s="81"/>
      <c r="F740" s="173"/>
      <c r="G740" s="173"/>
      <c r="H740" s="173"/>
      <c r="I740" s="173"/>
      <c r="J740" s="173"/>
      <c r="K740" s="173"/>
      <c r="L740" s="80"/>
      <c r="M740" s="81"/>
      <c r="N740" s="102"/>
      <c r="O740" s="102"/>
      <c r="P740" s="81"/>
      <c r="Q740" s="81"/>
      <c r="R740" s="81"/>
      <c r="S740" s="81"/>
      <c r="T740" s="81"/>
      <c r="U740" s="81"/>
      <c r="V740" s="81"/>
      <c r="W740" s="81"/>
      <c r="X740" s="81"/>
      <c r="Y740" s="81"/>
    </row>
    <row r="741" customFormat="false" ht="12" hidden="false" customHeight="true" outlineLevel="0" collapsed="false">
      <c r="A741" s="91"/>
      <c r="B741" s="81"/>
      <c r="C741" s="81"/>
      <c r="D741" s="81"/>
      <c r="E741" s="81"/>
      <c r="F741" s="173"/>
      <c r="G741" s="173"/>
      <c r="H741" s="173"/>
      <c r="I741" s="173"/>
      <c r="J741" s="173"/>
      <c r="K741" s="173"/>
      <c r="L741" s="80"/>
      <c r="M741" s="81"/>
      <c r="N741" s="102"/>
      <c r="O741" s="102"/>
      <c r="P741" s="81"/>
      <c r="Q741" s="81"/>
      <c r="R741" s="81"/>
      <c r="S741" s="81"/>
      <c r="T741" s="81"/>
      <c r="U741" s="81"/>
      <c r="V741" s="81"/>
      <c r="W741" s="81"/>
      <c r="X741" s="81"/>
      <c r="Y741" s="81"/>
    </row>
    <row r="742" customFormat="false" ht="12" hidden="false" customHeight="true" outlineLevel="0" collapsed="false">
      <c r="A742" s="91"/>
      <c r="B742" s="81"/>
      <c r="C742" s="81"/>
      <c r="D742" s="81"/>
      <c r="E742" s="81"/>
      <c r="F742" s="173"/>
      <c r="G742" s="173"/>
      <c r="H742" s="173"/>
      <c r="I742" s="173"/>
      <c r="J742" s="173"/>
      <c r="K742" s="173"/>
      <c r="L742" s="80"/>
      <c r="M742" s="81"/>
      <c r="N742" s="102"/>
      <c r="O742" s="102"/>
      <c r="P742" s="81"/>
      <c r="Q742" s="81"/>
      <c r="R742" s="81"/>
      <c r="S742" s="81"/>
      <c r="T742" s="81"/>
      <c r="U742" s="81"/>
      <c r="V742" s="81"/>
      <c r="W742" s="81"/>
      <c r="X742" s="81"/>
      <c r="Y742" s="81"/>
    </row>
    <row r="743" customFormat="false" ht="12" hidden="false" customHeight="true" outlineLevel="0" collapsed="false">
      <c r="A743" s="91"/>
      <c r="B743" s="81"/>
      <c r="C743" s="81"/>
      <c r="D743" s="81"/>
      <c r="E743" s="81"/>
      <c r="F743" s="173"/>
      <c r="G743" s="173"/>
      <c r="H743" s="173"/>
      <c r="I743" s="173"/>
      <c r="J743" s="173"/>
      <c r="K743" s="173"/>
      <c r="L743" s="80"/>
      <c r="M743" s="81"/>
      <c r="N743" s="102"/>
      <c r="O743" s="102"/>
      <c r="P743" s="81"/>
      <c r="Q743" s="81"/>
      <c r="R743" s="81"/>
      <c r="S743" s="81"/>
      <c r="T743" s="81"/>
      <c r="U743" s="81"/>
      <c r="V743" s="81"/>
      <c r="W743" s="81"/>
      <c r="X743" s="81"/>
      <c r="Y743" s="81"/>
    </row>
    <row r="744" customFormat="false" ht="12" hidden="false" customHeight="true" outlineLevel="0" collapsed="false">
      <c r="A744" s="91"/>
      <c r="B744" s="81"/>
      <c r="C744" s="81"/>
      <c r="D744" s="81"/>
      <c r="E744" s="81"/>
      <c r="F744" s="173"/>
      <c r="G744" s="173"/>
      <c r="H744" s="173"/>
      <c r="I744" s="173"/>
      <c r="J744" s="173"/>
      <c r="K744" s="173"/>
      <c r="L744" s="80"/>
      <c r="M744" s="81"/>
      <c r="N744" s="102"/>
      <c r="O744" s="102"/>
      <c r="P744" s="81"/>
      <c r="Q744" s="81"/>
      <c r="R744" s="81"/>
      <c r="S744" s="81"/>
      <c r="T744" s="81"/>
      <c r="U744" s="81"/>
      <c r="V744" s="81"/>
      <c r="W744" s="81"/>
      <c r="X744" s="81"/>
      <c r="Y744" s="81"/>
    </row>
    <row r="745" customFormat="false" ht="12" hidden="false" customHeight="true" outlineLevel="0" collapsed="false">
      <c r="A745" s="91"/>
      <c r="B745" s="81"/>
      <c r="C745" s="81"/>
      <c r="D745" s="81"/>
      <c r="E745" s="81"/>
      <c r="F745" s="173"/>
      <c r="G745" s="173"/>
      <c r="H745" s="173"/>
      <c r="I745" s="173"/>
      <c r="J745" s="173"/>
      <c r="K745" s="173"/>
      <c r="L745" s="80"/>
      <c r="M745" s="81"/>
      <c r="N745" s="102"/>
      <c r="O745" s="102"/>
      <c r="P745" s="81"/>
      <c r="Q745" s="81"/>
      <c r="R745" s="81"/>
      <c r="S745" s="81"/>
      <c r="T745" s="81"/>
      <c r="U745" s="81"/>
      <c r="V745" s="81"/>
      <c r="W745" s="81"/>
      <c r="X745" s="81"/>
      <c r="Y745" s="81"/>
    </row>
    <row r="746" customFormat="false" ht="12" hidden="false" customHeight="true" outlineLevel="0" collapsed="false">
      <c r="A746" s="91"/>
      <c r="B746" s="81"/>
      <c r="C746" s="81"/>
      <c r="D746" s="81"/>
      <c r="E746" s="81"/>
      <c r="F746" s="173"/>
      <c r="G746" s="173"/>
      <c r="H746" s="173"/>
      <c r="I746" s="173"/>
      <c r="J746" s="173"/>
      <c r="K746" s="173"/>
      <c r="L746" s="80"/>
      <c r="M746" s="81"/>
      <c r="N746" s="102"/>
      <c r="O746" s="102"/>
      <c r="P746" s="81"/>
      <c r="Q746" s="81"/>
      <c r="R746" s="81"/>
      <c r="S746" s="81"/>
      <c r="T746" s="81"/>
      <c r="U746" s="81"/>
      <c r="V746" s="81"/>
      <c r="W746" s="81"/>
      <c r="X746" s="81"/>
      <c r="Y746" s="81"/>
    </row>
    <row r="747" customFormat="false" ht="12" hidden="false" customHeight="true" outlineLevel="0" collapsed="false">
      <c r="A747" s="91"/>
      <c r="B747" s="81"/>
      <c r="C747" s="81"/>
      <c r="D747" s="81"/>
      <c r="E747" s="81"/>
      <c r="F747" s="173"/>
      <c r="G747" s="173"/>
      <c r="H747" s="173"/>
      <c r="I747" s="173"/>
      <c r="J747" s="173"/>
      <c r="K747" s="173"/>
      <c r="L747" s="80"/>
      <c r="M747" s="81"/>
      <c r="N747" s="102"/>
      <c r="O747" s="102"/>
      <c r="P747" s="81"/>
      <c r="Q747" s="81"/>
      <c r="R747" s="81"/>
      <c r="S747" s="81"/>
      <c r="T747" s="81"/>
      <c r="U747" s="81"/>
      <c r="V747" s="81"/>
      <c r="W747" s="81"/>
      <c r="X747" s="81"/>
      <c r="Y747" s="81"/>
    </row>
    <row r="748" customFormat="false" ht="12" hidden="false" customHeight="true" outlineLevel="0" collapsed="false">
      <c r="A748" s="91"/>
      <c r="B748" s="81"/>
      <c r="C748" s="81"/>
      <c r="D748" s="81"/>
      <c r="E748" s="81"/>
      <c r="F748" s="173"/>
      <c r="G748" s="173"/>
      <c r="H748" s="173"/>
      <c r="I748" s="173"/>
      <c r="J748" s="173"/>
      <c r="K748" s="173"/>
      <c r="L748" s="80"/>
      <c r="M748" s="81"/>
      <c r="N748" s="102"/>
      <c r="O748" s="102"/>
      <c r="P748" s="81"/>
      <c r="Q748" s="81"/>
      <c r="R748" s="81"/>
      <c r="S748" s="81"/>
      <c r="T748" s="81"/>
      <c r="U748" s="81"/>
      <c r="V748" s="81"/>
      <c r="W748" s="81"/>
      <c r="X748" s="81"/>
      <c r="Y748" s="81"/>
    </row>
    <row r="749" customFormat="false" ht="12" hidden="false" customHeight="true" outlineLevel="0" collapsed="false">
      <c r="A749" s="91"/>
      <c r="B749" s="81"/>
      <c r="C749" s="81"/>
      <c r="D749" s="81"/>
      <c r="E749" s="81"/>
      <c r="F749" s="173"/>
      <c r="G749" s="173"/>
      <c r="H749" s="173"/>
      <c r="I749" s="173"/>
      <c r="J749" s="173"/>
      <c r="K749" s="173"/>
      <c r="L749" s="80"/>
      <c r="M749" s="81"/>
      <c r="N749" s="102"/>
      <c r="O749" s="102"/>
      <c r="P749" s="81"/>
      <c r="Q749" s="81"/>
      <c r="R749" s="81"/>
      <c r="S749" s="81"/>
      <c r="T749" s="81"/>
      <c r="U749" s="81"/>
      <c r="V749" s="81"/>
      <c r="W749" s="81"/>
      <c r="X749" s="81"/>
      <c r="Y749" s="81"/>
    </row>
    <row r="750" customFormat="false" ht="12" hidden="false" customHeight="true" outlineLevel="0" collapsed="false">
      <c r="A750" s="91"/>
      <c r="B750" s="81"/>
      <c r="C750" s="81"/>
      <c r="D750" s="81"/>
      <c r="E750" s="81"/>
      <c r="F750" s="173"/>
      <c r="G750" s="173"/>
      <c r="H750" s="173"/>
      <c r="I750" s="173"/>
      <c r="J750" s="173"/>
      <c r="K750" s="173"/>
      <c r="L750" s="80"/>
      <c r="M750" s="81"/>
      <c r="N750" s="102"/>
      <c r="O750" s="102"/>
      <c r="P750" s="81"/>
      <c r="Q750" s="81"/>
      <c r="R750" s="81"/>
      <c r="S750" s="81"/>
      <c r="T750" s="81"/>
      <c r="U750" s="81"/>
      <c r="V750" s="81"/>
      <c r="W750" s="81"/>
      <c r="X750" s="81"/>
      <c r="Y750" s="81"/>
    </row>
    <row r="751" customFormat="false" ht="12" hidden="false" customHeight="true" outlineLevel="0" collapsed="false">
      <c r="A751" s="91"/>
      <c r="B751" s="81"/>
      <c r="C751" s="81"/>
      <c r="D751" s="81"/>
      <c r="E751" s="81"/>
      <c r="F751" s="173"/>
      <c r="G751" s="173"/>
      <c r="H751" s="173"/>
      <c r="I751" s="173"/>
      <c r="J751" s="173"/>
      <c r="K751" s="173"/>
      <c r="L751" s="80"/>
      <c r="M751" s="81"/>
      <c r="N751" s="102"/>
      <c r="O751" s="102"/>
      <c r="P751" s="81"/>
      <c r="Q751" s="81"/>
      <c r="R751" s="81"/>
      <c r="S751" s="81"/>
      <c r="T751" s="81"/>
      <c r="U751" s="81"/>
      <c r="V751" s="81"/>
      <c r="W751" s="81"/>
      <c r="X751" s="81"/>
      <c r="Y751" s="81"/>
    </row>
    <row r="752" customFormat="false" ht="12" hidden="false" customHeight="true" outlineLevel="0" collapsed="false">
      <c r="A752" s="91"/>
      <c r="B752" s="81"/>
      <c r="C752" s="81"/>
      <c r="D752" s="81"/>
      <c r="E752" s="81"/>
      <c r="F752" s="173"/>
      <c r="G752" s="173"/>
      <c r="H752" s="173"/>
      <c r="I752" s="173"/>
      <c r="J752" s="173"/>
      <c r="K752" s="173"/>
      <c r="L752" s="80"/>
      <c r="M752" s="81"/>
      <c r="N752" s="102"/>
      <c r="O752" s="102"/>
      <c r="P752" s="81"/>
      <c r="Q752" s="81"/>
      <c r="R752" s="81"/>
      <c r="S752" s="81"/>
      <c r="T752" s="81"/>
      <c r="U752" s="81"/>
      <c r="V752" s="81"/>
      <c r="W752" s="81"/>
      <c r="X752" s="81"/>
      <c r="Y752" s="81"/>
    </row>
    <row r="753" customFormat="false" ht="12" hidden="false" customHeight="true" outlineLevel="0" collapsed="false">
      <c r="A753" s="91"/>
      <c r="B753" s="81"/>
      <c r="C753" s="81"/>
      <c r="D753" s="81"/>
      <c r="E753" s="81"/>
      <c r="F753" s="173"/>
      <c r="G753" s="173"/>
      <c r="H753" s="173"/>
      <c r="I753" s="173"/>
      <c r="J753" s="173"/>
      <c r="K753" s="173"/>
      <c r="L753" s="80"/>
      <c r="M753" s="81"/>
      <c r="N753" s="102"/>
      <c r="O753" s="102"/>
      <c r="P753" s="81"/>
      <c r="Q753" s="81"/>
      <c r="R753" s="81"/>
      <c r="S753" s="81"/>
      <c r="T753" s="81"/>
      <c r="U753" s="81"/>
      <c r="V753" s="81"/>
      <c r="W753" s="81"/>
      <c r="X753" s="81"/>
      <c r="Y753" s="81"/>
    </row>
    <row r="754" customFormat="false" ht="12" hidden="false" customHeight="true" outlineLevel="0" collapsed="false">
      <c r="A754" s="91"/>
      <c r="B754" s="81"/>
      <c r="C754" s="81"/>
      <c r="D754" s="81"/>
      <c r="E754" s="81"/>
      <c r="F754" s="173"/>
      <c r="G754" s="173"/>
      <c r="H754" s="173"/>
      <c r="I754" s="173"/>
      <c r="J754" s="173"/>
      <c r="K754" s="173"/>
      <c r="L754" s="80"/>
      <c r="M754" s="81"/>
      <c r="N754" s="102"/>
      <c r="O754" s="102"/>
      <c r="P754" s="81"/>
      <c r="Q754" s="81"/>
      <c r="R754" s="81"/>
      <c r="S754" s="81"/>
      <c r="T754" s="81"/>
      <c r="U754" s="81"/>
      <c r="V754" s="81"/>
      <c r="W754" s="81"/>
      <c r="X754" s="81"/>
      <c r="Y754" s="81"/>
    </row>
    <row r="755" customFormat="false" ht="12" hidden="false" customHeight="true" outlineLevel="0" collapsed="false">
      <c r="A755" s="91"/>
      <c r="B755" s="81"/>
      <c r="C755" s="81"/>
      <c r="D755" s="81"/>
      <c r="E755" s="81"/>
      <c r="F755" s="173"/>
      <c r="G755" s="173"/>
      <c r="H755" s="173"/>
      <c r="I755" s="173"/>
      <c r="J755" s="173"/>
      <c r="K755" s="173"/>
      <c r="L755" s="80"/>
      <c r="M755" s="81"/>
      <c r="N755" s="102"/>
      <c r="O755" s="102"/>
      <c r="P755" s="81"/>
      <c r="Q755" s="81"/>
      <c r="R755" s="81"/>
      <c r="S755" s="81"/>
      <c r="T755" s="81"/>
      <c r="U755" s="81"/>
      <c r="V755" s="81"/>
      <c r="W755" s="81"/>
      <c r="X755" s="81"/>
      <c r="Y755" s="81"/>
    </row>
    <row r="756" customFormat="false" ht="12" hidden="false" customHeight="true" outlineLevel="0" collapsed="false">
      <c r="A756" s="91"/>
      <c r="B756" s="81"/>
      <c r="C756" s="81"/>
      <c r="D756" s="81"/>
      <c r="E756" s="81"/>
      <c r="F756" s="173"/>
      <c r="G756" s="173"/>
      <c r="H756" s="173"/>
      <c r="I756" s="173"/>
      <c r="J756" s="173"/>
      <c r="K756" s="173"/>
      <c r="L756" s="80"/>
      <c r="M756" s="81"/>
      <c r="N756" s="102"/>
      <c r="O756" s="102"/>
      <c r="P756" s="81"/>
      <c r="Q756" s="81"/>
      <c r="R756" s="81"/>
      <c r="S756" s="81"/>
      <c r="T756" s="81"/>
      <c r="U756" s="81"/>
      <c r="V756" s="81"/>
      <c r="W756" s="81"/>
      <c r="X756" s="81"/>
      <c r="Y756" s="81"/>
    </row>
    <row r="757" customFormat="false" ht="12" hidden="false" customHeight="true" outlineLevel="0" collapsed="false">
      <c r="A757" s="91"/>
      <c r="B757" s="81"/>
      <c r="C757" s="81"/>
      <c r="D757" s="81"/>
      <c r="E757" s="81"/>
      <c r="F757" s="173"/>
      <c r="G757" s="173"/>
      <c r="H757" s="173"/>
      <c r="I757" s="173"/>
      <c r="J757" s="173"/>
      <c r="K757" s="173"/>
      <c r="L757" s="80"/>
      <c r="M757" s="81"/>
      <c r="N757" s="102"/>
      <c r="O757" s="102"/>
      <c r="P757" s="81"/>
      <c r="Q757" s="81"/>
      <c r="R757" s="81"/>
      <c r="S757" s="81"/>
      <c r="T757" s="81"/>
      <c r="U757" s="81"/>
      <c r="V757" s="81"/>
      <c r="W757" s="81"/>
      <c r="X757" s="81"/>
      <c r="Y757" s="81"/>
    </row>
    <row r="758" customFormat="false" ht="12" hidden="false" customHeight="true" outlineLevel="0" collapsed="false">
      <c r="A758" s="91"/>
      <c r="B758" s="81"/>
      <c r="C758" s="81"/>
      <c r="D758" s="81"/>
      <c r="E758" s="81"/>
      <c r="F758" s="173"/>
      <c r="G758" s="173"/>
      <c r="H758" s="173"/>
      <c r="I758" s="173"/>
      <c r="J758" s="173"/>
      <c r="K758" s="173"/>
      <c r="L758" s="80"/>
      <c r="M758" s="81"/>
      <c r="N758" s="102"/>
      <c r="O758" s="102"/>
      <c r="P758" s="81"/>
      <c r="Q758" s="81"/>
      <c r="R758" s="81"/>
      <c r="S758" s="81"/>
      <c r="T758" s="81"/>
      <c r="U758" s="81"/>
      <c r="V758" s="81"/>
      <c r="W758" s="81"/>
      <c r="X758" s="81"/>
      <c r="Y758" s="81"/>
    </row>
    <row r="759" customFormat="false" ht="12" hidden="false" customHeight="true" outlineLevel="0" collapsed="false">
      <c r="A759" s="91"/>
      <c r="B759" s="81"/>
      <c r="C759" s="81"/>
      <c r="D759" s="81"/>
      <c r="E759" s="81"/>
      <c r="F759" s="173"/>
      <c r="G759" s="173"/>
      <c r="H759" s="173"/>
      <c r="I759" s="173"/>
      <c r="J759" s="173"/>
      <c r="K759" s="173"/>
      <c r="L759" s="80"/>
      <c r="M759" s="81"/>
      <c r="N759" s="102"/>
      <c r="O759" s="102"/>
      <c r="P759" s="81"/>
      <c r="Q759" s="81"/>
      <c r="R759" s="81"/>
      <c r="S759" s="81"/>
      <c r="T759" s="81"/>
      <c r="U759" s="81"/>
      <c r="V759" s="81"/>
      <c r="W759" s="81"/>
      <c r="X759" s="81"/>
      <c r="Y759" s="81"/>
    </row>
    <row r="760" customFormat="false" ht="12" hidden="false" customHeight="true" outlineLevel="0" collapsed="false">
      <c r="A760" s="91"/>
      <c r="B760" s="81"/>
      <c r="C760" s="81"/>
      <c r="D760" s="81"/>
      <c r="E760" s="81"/>
      <c r="F760" s="173"/>
      <c r="G760" s="173"/>
      <c r="H760" s="173"/>
      <c r="I760" s="173"/>
      <c r="J760" s="173"/>
      <c r="K760" s="173"/>
      <c r="L760" s="80"/>
      <c r="M760" s="81"/>
      <c r="N760" s="102"/>
      <c r="O760" s="102"/>
      <c r="P760" s="81"/>
      <c r="Q760" s="81"/>
      <c r="R760" s="81"/>
      <c r="S760" s="81"/>
      <c r="T760" s="81"/>
      <c r="U760" s="81"/>
      <c r="V760" s="81"/>
      <c r="W760" s="81"/>
      <c r="X760" s="81"/>
      <c r="Y760" s="81"/>
    </row>
    <row r="761" customFormat="false" ht="12" hidden="false" customHeight="true" outlineLevel="0" collapsed="false">
      <c r="A761" s="91"/>
      <c r="B761" s="81"/>
      <c r="C761" s="81"/>
      <c r="D761" s="81"/>
      <c r="E761" s="81"/>
      <c r="F761" s="173"/>
      <c r="G761" s="173"/>
      <c r="H761" s="173"/>
      <c r="I761" s="173"/>
      <c r="J761" s="173"/>
      <c r="K761" s="173"/>
      <c r="L761" s="80"/>
      <c r="M761" s="81"/>
      <c r="N761" s="102"/>
      <c r="O761" s="102"/>
      <c r="P761" s="81"/>
      <c r="Q761" s="81"/>
      <c r="R761" s="81"/>
      <c r="S761" s="81"/>
      <c r="T761" s="81"/>
      <c r="U761" s="81"/>
      <c r="V761" s="81"/>
      <c r="W761" s="81"/>
      <c r="X761" s="81"/>
      <c r="Y761" s="81"/>
    </row>
    <row r="762" customFormat="false" ht="12" hidden="false" customHeight="true" outlineLevel="0" collapsed="false">
      <c r="A762" s="91"/>
      <c r="B762" s="81"/>
      <c r="C762" s="81"/>
      <c r="D762" s="81"/>
      <c r="E762" s="81"/>
      <c r="F762" s="173"/>
      <c r="G762" s="173"/>
      <c r="H762" s="173"/>
      <c r="I762" s="173"/>
      <c r="J762" s="173"/>
      <c r="K762" s="173"/>
      <c r="L762" s="80"/>
      <c r="M762" s="81"/>
      <c r="N762" s="102"/>
      <c r="O762" s="102"/>
      <c r="P762" s="81"/>
      <c r="Q762" s="81"/>
      <c r="R762" s="81"/>
      <c r="S762" s="81"/>
      <c r="T762" s="81"/>
      <c r="U762" s="81"/>
      <c r="V762" s="81"/>
      <c r="W762" s="81"/>
      <c r="X762" s="81"/>
      <c r="Y762" s="81"/>
    </row>
    <row r="763" customFormat="false" ht="12" hidden="false" customHeight="true" outlineLevel="0" collapsed="false">
      <c r="A763" s="91"/>
      <c r="B763" s="81"/>
      <c r="C763" s="81"/>
      <c r="D763" s="81"/>
      <c r="E763" s="81"/>
      <c r="F763" s="173"/>
      <c r="G763" s="173"/>
      <c r="H763" s="173"/>
      <c r="I763" s="173"/>
      <c r="J763" s="173"/>
      <c r="K763" s="173"/>
      <c r="L763" s="80"/>
      <c r="M763" s="81"/>
      <c r="N763" s="102"/>
      <c r="O763" s="102"/>
      <c r="P763" s="81"/>
      <c r="Q763" s="81"/>
      <c r="R763" s="81"/>
      <c r="S763" s="81"/>
      <c r="T763" s="81"/>
      <c r="U763" s="81"/>
      <c r="V763" s="81"/>
      <c r="W763" s="81"/>
      <c r="X763" s="81"/>
      <c r="Y763" s="81"/>
    </row>
    <row r="764" customFormat="false" ht="12" hidden="false" customHeight="true" outlineLevel="0" collapsed="false">
      <c r="A764" s="91"/>
      <c r="B764" s="81"/>
      <c r="C764" s="81"/>
      <c r="D764" s="81"/>
      <c r="E764" s="81"/>
      <c r="F764" s="173"/>
      <c r="G764" s="173"/>
      <c r="H764" s="173"/>
      <c r="I764" s="173"/>
      <c r="J764" s="173"/>
      <c r="K764" s="173"/>
      <c r="L764" s="80"/>
      <c r="M764" s="81"/>
      <c r="N764" s="102"/>
      <c r="O764" s="102"/>
      <c r="P764" s="81"/>
      <c r="Q764" s="81"/>
      <c r="R764" s="81"/>
      <c r="S764" s="81"/>
      <c r="T764" s="81"/>
      <c r="U764" s="81"/>
      <c r="V764" s="81"/>
      <c r="W764" s="81"/>
      <c r="X764" s="81"/>
      <c r="Y764" s="81"/>
    </row>
    <row r="765" customFormat="false" ht="12" hidden="false" customHeight="true" outlineLevel="0" collapsed="false">
      <c r="A765" s="91"/>
      <c r="B765" s="81"/>
      <c r="C765" s="81"/>
      <c r="D765" s="81"/>
      <c r="E765" s="81"/>
      <c r="F765" s="173"/>
      <c r="G765" s="173"/>
      <c r="H765" s="173"/>
      <c r="I765" s="173"/>
      <c r="J765" s="173"/>
      <c r="K765" s="173"/>
      <c r="L765" s="80"/>
      <c r="M765" s="81"/>
      <c r="N765" s="102"/>
      <c r="O765" s="102"/>
      <c r="P765" s="81"/>
      <c r="Q765" s="81"/>
      <c r="R765" s="81"/>
      <c r="S765" s="81"/>
      <c r="T765" s="81"/>
      <c r="U765" s="81"/>
      <c r="V765" s="81"/>
      <c r="W765" s="81"/>
      <c r="X765" s="81"/>
      <c r="Y765" s="81"/>
    </row>
    <row r="766" customFormat="false" ht="12" hidden="false" customHeight="true" outlineLevel="0" collapsed="false">
      <c r="A766" s="91"/>
      <c r="B766" s="81"/>
      <c r="C766" s="81"/>
      <c r="D766" s="81"/>
      <c r="E766" s="81"/>
      <c r="F766" s="173"/>
      <c r="G766" s="173"/>
      <c r="H766" s="173"/>
      <c r="I766" s="173"/>
      <c r="J766" s="173"/>
      <c r="K766" s="173"/>
      <c r="L766" s="80"/>
      <c r="M766" s="81"/>
      <c r="N766" s="102"/>
      <c r="O766" s="102"/>
      <c r="P766" s="81"/>
      <c r="Q766" s="81"/>
      <c r="R766" s="81"/>
      <c r="S766" s="81"/>
      <c r="T766" s="81"/>
      <c r="U766" s="81"/>
      <c r="V766" s="81"/>
      <c r="W766" s="81"/>
      <c r="X766" s="81"/>
      <c r="Y766" s="81"/>
    </row>
    <row r="767" customFormat="false" ht="12" hidden="false" customHeight="true" outlineLevel="0" collapsed="false">
      <c r="A767" s="91"/>
      <c r="B767" s="81"/>
      <c r="C767" s="81"/>
      <c r="D767" s="81"/>
      <c r="E767" s="81"/>
      <c r="F767" s="173"/>
      <c r="G767" s="173"/>
      <c r="H767" s="173"/>
      <c r="I767" s="173"/>
      <c r="J767" s="173"/>
      <c r="K767" s="173"/>
      <c r="L767" s="80"/>
      <c r="M767" s="81"/>
      <c r="N767" s="102"/>
      <c r="O767" s="102"/>
      <c r="P767" s="81"/>
      <c r="Q767" s="81"/>
      <c r="R767" s="81"/>
      <c r="S767" s="81"/>
      <c r="T767" s="81"/>
      <c r="U767" s="81"/>
      <c r="V767" s="81"/>
      <c r="W767" s="81"/>
      <c r="X767" s="81"/>
      <c r="Y767" s="81"/>
    </row>
    <row r="768" customFormat="false" ht="12" hidden="false" customHeight="true" outlineLevel="0" collapsed="false">
      <c r="A768" s="91"/>
      <c r="B768" s="81"/>
      <c r="C768" s="81"/>
      <c r="D768" s="81"/>
      <c r="E768" s="81"/>
      <c r="F768" s="173"/>
      <c r="G768" s="173"/>
      <c r="H768" s="173"/>
      <c r="I768" s="173"/>
      <c r="J768" s="173"/>
      <c r="K768" s="173"/>
      <c r="L768" s="80"/>
      <c r="M768" s="81"/>
      <c r="N768" s="102"/>
      <c r="O768" s="102"/>
      <c r="P768" s="81"/>
      <c r="Q768" s="81"/>
      <c r="R768" s="81"/>
      <c r="S768" s="81"/>
      <c r="T768" s="81"/>
      <c r="U768" s="81"/>
      <c r="V768" s="81"/>
      <c r="W768" s="81"/>
      <c r="X768" s="81"/>
      <c r="Y768" s="81"/>
    </row>
    <row r="769" customFormat="false" ht="12" hidden="false" customHeight="true" outlineLevel="0" collapsed="false">
      <c r="A769" s="91"/>
      <c r="B769" s="81"/>
      <c r="C769" s="81"/>
      <c r="D769" s="81"/>
      <c r="E769" s="81"/>
      <c r="F769" s="173"/>
      <c r="G769" s="173"/>
      <c r="H769" s="173"/>
      <c r="I769" s="173"/>
      <c r="J769" s="173"/>
      <c r="K769" s="173"/>
      <c r="L769" s="80"/>
      <c r="M769" s="81"/>
      <c r="N769" s="102"/>
      <c r="O769" s="102"/>
      <c r="P769" s="81"/>
      <c r="Q769" s="81"/>
      <c r="R769" s="81"/>
      <c r="S769" s="81"/>
      <c r="T769" s="81"/>
      <c r="U769" s="81"/>
      <c r="V769" s="81"/>
      <c r="W769" s="81"/>
      <c r="X769" s="81"/>
      <c r="Y769" s="81"/>
    </row>
    <row r="770" customFormat="false" ht="12" hidden="false" customHeight="true" outlineLevel="0" collapsed="false">
      <c r="A770" s="91"/>
      <c r="B770" s="81"/>
      <c r="C770" s="81"/>
      <c r="D770" s="81"/>
      <c r="E770" s="81"/>
      <c r="F770" s="173"/>
      <c r="G770" s="173"/>
      <c r="H770" s="173"/>
      <c r="I770" s="173"/>
      <c r="J770" s="173"/>
      <c r="K770" s="173"/>
      <c r="L770" s="80"/>
      <c r="M770" s="81"/>
      <c r="N770" s="102"/>
      <c r="O770" s="102"/>
      <c r="P770" s="81"/>
      <c r="Q770" s="81"/>
      <c r="R770" s="81"/>
      <c r="S770" s="81"/>
      <c r="T770" s="81"/>
      <c r="U770" s="81"/>
      <c r="V770" s="81"/>
      <c r="W770" s="81"/>
      <c r="X770" s="81"/>
      <c r="Y770" s="81"/>
    </row>
    <row r="771" customFormat="false" ht="12" hidden="false" customHeight="true" outlineLevel="0" collapsed="false">
      <c r="A771" s="91"/>
      <c r="B771" s="81"/>
      <c r="C771" s="81"/>
      <c r="D771" s="81"/>
      <c r="E771" s="81"/>
      <c r="F771" s="173"/>
      <c r="G771" s="173"/>
      <c r="H771" s="173"/>
      <c r="I771" s="173"/>
      <c r="J771" s="173"/>
      <c r="K771" s="173"/>
      <c r="L771" s="80"/>
      <c r="M771" s="81"/>
      <c r="N771" s="102"/>
      <c r="O771" s="102"/>
      <c r="P771" s="81"/>
      <c r="Q771" s="81"/>
      <c r="R771" s="81"/>
      <c r="S771" s="81"/>
      <c r="T771" s="81"/>
      <c r="U771" s="81"/>
      <c r="V771" s="81"/>
      <c r="W771" s="81"/>
      <c r="X771" s="81"/>
      <c r="Y771" s="81"/>
    </row>
    <row r="772" customFormat="false" ht="12" hidden="false" customHeight="true" outlineLevel="0" collapsed="false">
      <c r="A772" s="91"/>
      <c r="B772" s="81"/>
      <c r="C772" s="81"/>
      <c r="D772" s="81"/>
      <c r="E772" s="81"/>
      <c r="F772" s="173"/>
      <c r="G772" s="173"/>
      <c r="H772" s="173"/>
      <c r="I772" s="173"/>
      <c r="J772" s="173"/>
      <c r="K772" s="173"/>
      <c r="L772" s="80"/>
      <c r="M772" s="81"/>
      <c r="N772" s="102"/>
      <c r="O772" s="102"/>
      <c r="P772" s="81"/>
      <c r="Q772" s="81"/>
      <c r="R772" s="81"/>
      <c r="S772" s="81"/>
      <c r="T772" s="81"/>
      <c r="U772" s="81"/>
      <c r="V772" s="81"/>
      <c r="W772" s="81"/>
      <c r="X772" s="81"/>
      <c r="Y772" s="81"/>
    </row>
    <row r="773" customFormat="false" ht="12" hidden="false" customHeight="true" outlineLevel="0" collapsed="false">
      <c r="A773" s="91"/>
      <c r="B773" s="81"/>
      <c r="C773" s="81"/>
      <c r="D773" s="81"/>
      <c r="E773" s="81"/>
      <c r="F773" s="173"/>
      <c r="G773" s="173"/>
      <c r="H773" s="173"/>
      <c r="I773" s="173"/>
      <c r="J773" s="173"/>
      <c r="K773" s="173"/>
      <c r="L773" s="80"/>
      <c r="M773" s="81"/>
      <c r="N773" s="102"/>
      <c r="O773" s="102"/>
      <c r="P773" s="81"/>
      <c r="Q773" s="81"/>
      <c r="R773" s="81"/>
      <c r="S773" s="81"/>
      <c r="T773" s="81"/>
      <c r="U773" s="81"/>
      <c r="V773" s="81"/>
      <c r="W773" s="81"/>
      <c r="X773" s="81"/>
      <c r="Y773" s="81"/>
    </row>
    <row r="774" customFormat="false" ht="12" hidden="false" customHeight="true" outlineLevel="0" collapsed="false">
      <c r="A774" s="91"/>
      <c r="B774" s="81"/>
      <c r="C774" s="81"/>
      <c r="D774" s="81"/>
      <c r="E774" s="81"/>
      <c r="F774" s="173"/>
      <c r="G774" s="173"/>
      <c r="H774" s="173"/>
      <c r="I774" s="173"/>
      <c r="J774" s="173"/>
      <c r="K774" s="173"/>
      <c r="L774" s="80"/>
      <c r="M774" s="81"/>
      <c r="N774" s="102"/>
      <c r="O774" s="102"/>
      <c r="P774" s="81"/>
      <c r="Q774" s="81"/>
      <c r="R774" s="81"/>
      <c r="S774" s="81"/>
      <c r="T774" s="81"/>
      <c r="U774" s="81"/>
      <c r="V774" s="81"/>
      <c r="W774" s="81"/>
      <c r="X774" s="81"/>
      <c r="Y774" s="81"/>
    </row>
    <row r="775" customFormat="false" ht="12" hidden="false" customHeight="true" outlineLevel="0" collapsed="false">
      <c r="A775" s="91"/>
      <c r="B775" s="81"/>
      <c r="C775" s="81"/>
      <c r="D775" s="81"/>
      <c r="E775" s="81"/>
      <c r="F775" s="173"/>
      <c r="G775" s="173"/>
      <c r="H775" s="173"/>
      <c r="I775" s="173"/>
      <c r="J775" s="173"/>
      <c r="K775" s="173"/>
      <c r="L775" s="80"/>
      <c r="M775" s="81"/>
      <c r="N775" s="102"/>
      <c r="O775" s="102"/>
      <c r="P775" s="81"/>
      <c r="Q775" s="81"/>
      <c r="R775" s="81"/>
      <c r="S775" s="81"/>
      <c r="T775" s="81"/>
      <c r="U775" s="81"/>
      <c r="V775" s="81"/>
      <c r="W775" s="81"/>
      <c r="X775" s="81"/>
      <c r="Y775" s="81"/>
    </row>
    <row r="776" customFormat="false" ht="12" hidden="false" customHeight="true" outlineLevel="0" collapsed="false">
      <c r="A776" s="91"/>
      <c r="B776" s="81"/>
      <c r="C776" s="81"/>
      <c r="D776" s="81"/>
      <c r="E776" s="81"/>
      <c r="F776" s="173"/>
      <c r="G776" s="173"/>
      <c r="H776" s="173"/>
      <c r="I776" s="173"/>
      <c r="J776" s="173"/>
      <c r="K776" s="173"/>
      <c r="L776" s="80"/>
      <c r="M776" s="81"/>
      <c r="N776" s="102"/>
      <c r="O776" s="102"/>
      <c r="P776" s="81"/>
      <c r="Q776" s="81"/>
      <c r="R776" s="81"/>
      <c r="S776" s="81"/>
      <c r="T776" s="81"/>
      <c r="U776" s="81"/>
      <c r="V776" s="81"/>
      <c r="W776" s="81"/>
      <c r="X776" s="81"/>
      <c r="Y776" s="81"/>
    </row>
    <row r="777" customFormat="false" ht="12" hidden="false" customHeight="true" outlineLevel="0" collapsed="false">
      <c r="A777" s="91"/>
      <c r="B777" s="81"/>
      <c r="C777" s="81"/>
      <c r="D777" s="81"/>
      <c r="E777" s="81"/>
      <c r="F777" s="173"/>
      <c r="G777" s="173"/>
      <c r="H777" s="173"/>
      <c r="I777" s="173"/>
      <c r="J777" s="173"/>
      <c r="K777" s="173"/>
      <c r="L777" s="80"/>
      <c r="M777" s="81"/>
      <c r="N777" s="102"/>
      <c r="O777" s="102"/>
      <c r="P777" s="81"/>
      <c r="Q777" s="81"/>
      <c r="R777" s="81"/>
      <c r="S777" s="81"/>
      <c r="T777" s="81"/>
      <c r="U777" s="81"/>
      <c r="V777" s="81"/>
      <c r="W777" s="81"/>
      <c r="X777" s="81"/>
      <c r="Y777" s="81"/>
    </row>
    <row r="778" customFormat="false" ht="12" hidden="false" customHeight="true" outlineLevel="0" collapsed="false">
      <c r="A778" s="91"/>
      <c r="B778" s="81"/>
      <c r="C778" s="81"/>
      <c r="D778" s="81"/>
      <c r="E778" s="81"/>
      <c r="F778" s="173"/>
      <c r="G778" s="173"/>
      <c r="H778" s="173"/>
      <c r="I778" s="173"/>
      <c r="J778" s="173"/>
      <c r="K778" s="173"/>
      <c r="L778" s="80"/>
      <c r="M778" s="81"/>
      <c r="N778" s="102"/>
      <c r="O778" s="102"/>
      <c r="P778" s="81"/>
      <c r="Q778" s="81"/>
      <c r="R778" s="81"/>
      <c r="S778" s="81"/>
      <c r="T778" s="81"/>
      <c r="U778" s="81"/>
      <c r="V778" s="81"/>
      <c r="W778" s="81"/>
      <c r="X778" s="81"/>
      <c r="Y778" s="81"/>
    </row>
    <row r="779" customFormat="false" ht="12" hidden="false" customHeight="true" outlineLevel="0" collapsed="false">
      <c r="A779" s="91"/>
      <c r="B779" s="81"/>
      <c r="C779" s="81"/>
      <c r="D779" s="81"/>
      <c r="E779" s="81"/>
      <c r="F779" s="173"/>
      <c r="G779" s="173"/>
      <c r="H779" s="173"/>
      <c r="I779" s="173"/>
      <c r="J779" s="173"/>
      <c r="K779" s="173"/>
      <c r="L779" s="80"/>
      <c r="M779" s="81"/>
      <c r="N779" s="102"/>
      <c r="O779" s="102"/>
      <c r="P779" s="81"/>
      <c r="Q779" s="81"/>
      <c r="R779" s="81"/>
      <c r="S779" s="81"/>
      <c r="T779" s="81"/>
      <c r="U779" s="81"/>
      <c r="V779" s="81"/>
      <c r="W779" s="81"/>
      <c r="X779" s="81"/>
      <c r="Y779" s="81"/>
    </row>
    <row r="780" customFormat="false" ht="12" hidden="false" customHeight="true" outlineLevel="0" collapsed="false">
      <c r="A780" s="91"/>
      <c r="B780" s="81"/>
      <c r="C780" s="81"/>
      <c r="D780" s="81"/>
      <c r="E780" s="81"/>
      <c r="F780" s="173"/>
      <c r="G780" s="173"/>
      <c r="H780" s="173"/>
      <c r="I780" s="173"/>
      <c r="J780" s="173"/>
      <c r="K780" s="173"/>
      <c r="L780" s="80"/>
      <c r="M780" s="81"/>
      <c r="N780" s="102"/>
      <c r="O780" s="102"/>
      <c r="P780" s="81"/>
      <c r="Q780" s="81"/>
      <c r="R780" s="81"/>
      <c r="S780" s="81"/>
      <c r="T780" s="81"/>
      <c r="U780" s="81"/>
      <c r="V780" s="81"/>
      <c r="W780" s="81"/>
      <c r="X780" s="81"/>
      <c r="Y780" s="81"/>
    </row>
    <row r="781" customFormat="false" ht="12" hidden="false" customHeight="true" outlineLevel="0" collapsed="false">
      <c r="A781" s="91"/>
      <c r="B781" s="81"/>
      <c r="C781" s="81"/>
      <c r="D781" s="81"/>
      <c r="E781" s="81"/>
      <c r="F781" s="173"/>
      <c r="G781" s="173"/>
      <c r="H781" s="173"/>
      <c r="I781" s="173"/>
      <c r="J781" s="173"/>
      <c r="K781" s="173"/>
      <c r="L781" s="80"/>
      <c r="M781" s="81"/>
      <c r="N781" s="102"/>
      <c r="O781" s="102"/>
      <c r="P781" s="81"/>
      <c r="Q781" s="81"/>
      <c r="R781" s="81"/>
      <c r="S781" s="81"/>
      <c r="T781" s="81"/>
      <c r="U781" s="81"/>
      <c r="V781" s="81"/>
      <c r="W781" s="81"/>
      <c r="X781" s="81"/>
      <c r="Y781" s="81"/>
    </row>
    <row r="782" customFormat="false" ht="12" hidden="false" customHeight="true" outlineLevel="0" collapsed="false">
      <c r="A782" s="91"/>
      <c r="B782" s="81"/>
      <c r="C782" s="81"/>
      <c r="D782" s="81"/>
      <c r="E782" s="81"/>
      <c r="F782" s="173"/>
      <c r="G782" s="173"/>
      <c r="H782" s="173"/>
      <c r="I782" s="173"/>
      <c r="J782" s="173"/>
      <c r="K782" s="173"/>
      <c r="L782" s="80"/>
      <c r="M782" s="81"/>
      <c r="N782" s="102"/>
      <c r="O782" s="102"/>
      <c r="P782" s="81"/>
      <c r="Q782" s="81"/>
      <c r="R782" s="81"/>
      <c r="S782" s="81"/>
      <c r="T782" s="81"/>
      <c r="U782" s="81"/>
      <c r="V782" s="81"/>
      <c r="W782" s="81"/>
      <c r="X782" s="81"/>
      <c r="Y782" s="81"/>
    </row>
    <row r="783" customFormat="false" ht="12" hidden="false" customHeight="true" outlineLevel="0" collapsed="false">
      <c r="A783" s="91"/>
      <c r="B783" s="81"/>
      <c r="C783" s="81"/>
      <c r="D783" s="81"/>
      <c r="E783" s="81"/>
      <c r="F783" s="173"/>
      <c r="G783" s="173"/>
      <c r="H783" s="173"/>
      <c r="I783" s="173"/>
      <c r="J783" s="173"/>
      <c r="K783" s="173"/>
      <c r="L783" s="80"/>
      <c r="M783" s="81"/>
      <c r="N783" s="102"/>
      <c r="O783" s="102"/>
      <c r="P783" s="81"/>
      <c r="Q783" s="81"/>
      <c r="R783" s="81"/>
      <c r="S783" s="81"/>
      <c r="T783" s="81"/>
      <c r="U783" s="81"/>
      <c r="V783" s="81"/>
      <c r="W783" s="81"/>
      <c r="X783" s="81"/>
      <c r="Y783" s="81"/>
    </row>
    <row r="784" customFormat="false" ht="12" hidden="false" customHeight="true" outlineLevel="0" collapsed="false">
      <c r="A784" s="91"/>
      <c r="B784" s="81"/>
      <c r="C784" s="81"/>
      <c r="D784" s="81"/>
      <c r="E784" s="81"/>
      <c r="F784" s="173"/>
      <c r="G784" s="173"/>
      <c r="H784" s="173"/>
      <c r="I784" s="173"/>
      <c r="J784" s="173"/>
      <c r="K784" s="173"/>
      <c r="L784" s="80"/>
      <c r="M784" s="81"/>
      <c r="N784" s="102"/>
      <c r="O784" s="102"/>
      <c r="P784" s="81"/>
      <c r="Q784" s="81"/>
      <c r="R784" s="81"/>
      <c r="S784" s="81"/>
      <c r="T784" s="81"/>
      <c r="U784" s="81"/>
      <c r="V784" s="81"/>
      <c r="W784" s="81"/>
      <c r="X784" s="81"/>
      <c r="Y784" s="81"/>
    </row>
    <row r="785" customFormat="false" ht="12" hidden="false" customHeight="true" outlineLevel="0" collapsed="false">
      <c r="A785" s="91"/>
      <c r="B785" s="81"/>
      <c r="C785" s="81"/>
      <c r="D785" s="81"/>
      <c r="E785" s="81"/>
      <c r="F785" s="173"/>
      <c r="G785" s="173"/>
      <c r="H785" s="173"/>
      <c r="I785" s="173"/>
      <c r="J785" s="173"/>
      <c r="K785" s="173"/>
      <c r="L785" s="80"/>
      <c r="M785" s="81"/>
      <c r="N785" s="102"/>
      <c r="O785" s="102"/>
      <c r="P785" s="81"/>
      <c r="Q785" s="81"/>
      <c r="R785" s="81"/>
      <c r="S785" s="81"/>
      <c r="T785" s="81"/>
      <c r="U785" s="81"/>
      <c r="V785" s="81"/>
      <c r="W785" s="81"/>
      <c r="X785" s="81"/>
      <c r="Y785" s="81"/>
    </row>
    <row r="786" customFormat="false" ht="12" hidden="false" customHeight="true" outlineLevel="0" collapsed="false">
      <c r="A786" s="91"/>
      <c r="B786" s="81"/>
      <c r="C786" s="81"/>
      <c r="D786" s="81"/>
      <c r="E786" s="81"/>
      <c r="F786" s="173"/>
      <c r="G786" s="173"/>
      <c r="H786" s="173"/>
      <c r="I786" s="173"/>
      <c r="J786" s="173"/>
      <c r="K786" s="173"/>
      <c r="L786" s="80"/>
      <c r="M786" s="81"/>
      <c r="N786" s="102"/>
      <c r="O786" s="102"/>
      <c r="P786" s="81"/>
      <c r="Q786" s="81"/>
      <c r="R786" s="81"/>
      <c r="S786" s="81"/>
      <c r="T786" s="81"/>
      <c r="U786" s="81"/>
      <c r="V786" s="81"/>
      <c r="W786" s="81"/>
      <c r="X786" s="81"/>
      <c r="Y786" s="81"/>
    </row>
    <row r="787" customFormat="false" ht="12" hidden="false" customHeight="true" outlineLevel="0" collapsed="false">
      <c r="A787" s="91"/>
      <c r="B787" s="81"/>
      <c r="C787" s="81"/>
      <c r="D787" s="81"/>
      <c r="E787" s="81"/>
      <c r="F787" s="173"/>
      <c r="G787" s="173"/>
      <c r="H787" s="173"/>
      <c r="I787" s="173"/>
      <c r="J787" s="173"/>
      <c r="K787" s="173"/>
      <c r="L787" s="80"/>
      <c r="M787" s="81"/>
      <c r="N787" s="102"/>
      <c r="O787" s="102"/>
      <c r="P787" s="81"/>
      <c r="Q787" s="81"/>
      <c r="R787" s="81"/>
      <c r="S787" s="81"/>
      <c r="T787" s="81"/>
      <c r="U787" s="81"/>
      <c r="V787" s="81"/>
      <c r="W787" s="81"/>
      <c r="X787" s="81"/>
      <c r="Y787" s="81"/>
    </row>
    <row r="788" customFormat="false" ht="12" hidden="false" customHeight="true" outlineLevel="0" collapsed="false">
      <c r="A788" s="91"/>
      <c r="B788" s="81"/>
      <c r="C788" s="81"/>
      <c r="D788" s="81"/>
      <c r="E788" s="81"/>
      <c r="F788" s="173"/>
      <c r="G788" s="173"/>
      <c r="H788" s="173"/>
      <c r="I788" s="173"/>
      <c r="J788" s="173"/>
      <c r="K788" s="173"/>
      <c r="L788" s="80"/>
      <c r="M788" s="81"/>
      <c r="N788" s="102"/>
      <c r="O788" s="102"/>
      <c r="P788" s="81"/>
      <c r="Q788" s="81"/>
      <c r="R788" s="81"/>
      <c r="S788" s="81"/>
      <c r="T788" s="81"/>
      <c r="U788" s="81"/>
      <c r="V788" s="81"/>
      <c r="W788" s="81"/>
      <c r="X788" s="81"/>
      <c r="Y788" s="81"/>
    </row>
    <row r="789" customFormat="false" ht="12" hidden="false" customHeight="true" outlineLevel="0" collapsed="false">
      <c r="A789" s="91"/>
      <c r="B789" s="81"/>
      <c r="C789" s="81"/>
      <c r="D789" s="81"/>
      <c r="E789" s="81"/>
      <c r="F789" s="173"/>
      <c r="G789" s="173"/>
      <c r="H789" s="173"/>
      <c r="I789" s="173"/>
      <c r="J789" s="173"/>
      <c r="K789" s="173"/>
      <c r="L789" s="80"/>
      <c r="M789" s="81"/>
      <c r="N789" s="102"/>
      <c r="O789" s="102"/>
      <c r="P789" s="81"/>
      <c r="Q789" s="81"/>
      <c r="R789" s="81"/>
      <c r="S789" s="81"/>
      <c r="T789" s="81"/>
      <c r="U789" s="81"/>
      <c r="V789" s="81"/>
      <c r="W789" s="81"/>
      <c r="X789" s="81"/>
      <c r="Y789" s="81"/>
    </row>
    <row r="790" customFormat="false" ht="12" hidden="false" customHeight="true" outlineLevel="0" collapsed="false">
      <c r="A790" s="91"/>
      <c r="B790" s="81"/>
      <c r="C790" s="81"/>
      <c r="D790" s="81"/>
      <c r="E790" s="81"/>
      <c r="F790" s="173"/>
      <c r="G790" s="173"/>
      <c r="H790" s="173"/>
      <c r="I790" s="173"/>
      <c r="J790" s="173"/>
      <c r="K790" s="173"/>
      <c r="L790" s="80"/>
      <c r="M790" s="81"/>
      <c r="N790" s="102"/>
      <c r="O790" s="102"/>
      <c r="P790" s="81"/>
      <c r="Q790" s="81"/>
      <c r="R790" s="81"/>
      <c r="S790" s="81"/>
      <c r="T790" s="81"/>
      <c r="U790" s="81"/>
      <c r="V790" s="81"/>
      <c r="W790" s="81"/>
      <c r="X790" s="81"/>
      <c r="Y790" s="81"/>
    </row>
    <row r="791" customFormat="false" ht="12" hidden="false" customHeight="true" outlineLevel="0" collapsed="false">
      <c r="A791" s="91"/>
      <c r="B791" s="81"/>
      <c r="C791" s="81"/>
      <c r="D791" s="81"/>
      <c r="E791" s="81"/>
      <c r="F791" s="173"/>
      <c r="G791" s="173"/>
      <c r="H791" s="173"/>
      <c r="I791" s="173"/>
      <c r="J791" s="173"/>
      <c r="K791" s="173"/>
      <c r="L791" s="80"/>
      <c r="M791" s="81"/>
      <c r="N791" s="102"/>
      <c r="O791" s="102"/>
      <c r="P791" s="81"/>
      <c r="Q791" s="81"/>
      <c r="R791" s="81"/>
      <c r="S791" s="81"/>
      <c r="T791" s="81"/>
      <c r="U791" s="81"/>
      <c r="V791" s="81"/>
      <c r="W791" s="81"/>
      <c r="X791" s="81"/>
      <c r="Y791" s="81"/>
    </row>
    <row r="792" customFormat="false" ht="12" hidden="false" customHeight="true" outlineLevel="0" collapsed="false">
      <c r="A792" s="91"/>
      <c r="B792" s="81"/>
      <c r="C792" s="81"/>
      <c r="D792" s="81"/>
      <c r="E792" s="81"/>
      <c r="F792" s="173"/>
      <c r="G792" s="173"/>
      <c r="H792" s="173"/>
      <c r="I792" s="173"/>
      <c r="J792" s="173"/>
      <c r="K792" s="173"/>
      <c r="L792" s="80"/>
      <c r="M792" s="81"/>
      <c r="N792" s="102"/>
      <c r="O792" s="102"/>
      <c r="P792" s="81"/>
      <c r="Q792" s="81"/>
      <c r="R792" s="81"/>
      <c r="S792" s="81"/>
      <c r="T792" s="81"/>
      <c r="U792" s="81"/>
      <c r="V792" s="81"/>
      <c r="W792" s="81"/>
      <c r="X792" s="81"/>
      <c r="Y792" s="81"/>
    </row>
    <row r="793" customFormat="false" ht="12" hidden="false" customHeight="true" outlineLevel="0" collapsed="false">
      <c r="A793" s="91"/>
      <c r="B793" s="81"/>
      <c r="C793" s="81"/>
      <c r="D793" s="81"/>
      <c r="E793" s="81"/>
      <c r="F793" s="173"/>
      <c r="G793" s="173"/>
      <c r="H793" s="173"/>
      <c r="I793" s="173"/>
      <c r="J793" s="173"/>
      <c r="K793" s="173"/>
      <c r="L793" s="80"/>
      <c r="M793" s="81"/>
      <c r="N793" s="102"/>
      <c r="O793" s="102"/>
      <c r="P793" s="81"/>
      <c r="Q793" s="81"/>
      <c r="R793" s="81"/>
      <c r="S793" s="81"/>
      <c r="T793" s="81"/>
      <c r="U793" s="81"/>
      <c r="V793" s="81"/>
      <c r="W793" s="81"/>
      <c r="X793" s="81"/>
      <c r="Y793" s="81"/>
    </row>
    <row r="794" customFormat="false" ht="12" hidden="false" customHeight="true" outlineLevel="0" collapsed="false">
      <c r="A794" s="91"/>
      <c r="B794" s="81"/>
      <c r="C794" s="81"/>
      <c r="D794" s="81"/>
      <c r="E794" s="81"/>
      <c r="F794" s="173"/>
      <c r="G794" s="173"/>
      <c r="H794" s="173"/>
      <c r="I794" s="173"/>
      <c r="J794" s="173"/>
      <c r="K794" s="173"/>
      <c r="L794" s="80"/>
      <c r="M794" s="81"/>
      <c r="N794" s="102"/>
      <c r="O794" s="102"/>
      <c r="P794" s="81"/>
      <c r="Q794" s="81"/>
      <c r="R794" s="81"/>
      <c r="S794" s="81"/>
      <c r="T794" s="81"/>
      <c r="U794" s="81"/>
      <c r="V794" s="81"/>
      <c r="W794" s="81"/>
      <c r="X794" s="81"/>
      <c r="Y794" s="81"/>
    </row>
    <row r="795" customFormat="false" ht="12" hidden="false" customHeight="true" outlineLevel="0" collapsed="false">
      <c r="A795" s="91"/>
      <c r="B795" s="81"/>
      <c r="C795" s="81"/>
      <c r="D795" s="81"/>
      <c r="E795" s="81"/>
      <c r="F795" s="173"/>
      <c r="G795" s="173"/>
      <c r="H795" s="173"/>
      <c r="I795" s="173"/>
      <c r="J795" s="173"/>
      <c r="K795" s="173"/>
      <c r="L795" s="80"/>
      <c r="M795" s="81"/>
      <c r="N795" s="102"/>
      <c r="O795" s="102"/>
      <c r="P795" s="81"/>
      <c r="Q795" s="81"/>
      <c r="R795" s="81"/>
      <c r="S795" s="81"/>
      <c r="T795" s="81"/>
      <c r="U795" s="81"/>
      <c r="V795" s="81"/>
      <c r="W795" s="81"/>
      <c r="X795" s="81"/>
      <c r="Y795" s="81"/>
    </row>
    <row r="796" customFormat="false" ht="12" hidden="false" customHeight="true" outlineLevel="0" collapsed="false">
      <c r="A796" s="91"/>
      <c r="B796" s="81"/>
      <c r="C796" s="81"/>
      <c r="D796" s="81"/>
      <c r="E796" s="81"/>
      <c r="F796" s="173"/>
      <c r="G796" s="173"/>
      <c r="H796" s="173"/>
      <c r="I796" s="173"/>
      <c r="J796" s="173"/>
      <c r="K796" s="173"/>
      <c r="L796" s="80"/>
      <c r="M796" s="81"/>
      <c r="N796" s="102"/>
      <c r="O796" s="102"/>
      <c r="P796" s="81"/>
      <c r="Q796" s="81"/>
      <c r="R796" s="81"/>
      <c r="S796" s="81"/>
      <c r="T796" s="81"/>
      <c r="U796" s="81"/>
      <c r="V796" s="81"/>
      <c r="W796" s="81"/>
      <c r="X796" s="81"/>
      <c r="Y796" s="81"/>
    </row>
    <row r="797" customFormat="false" ht="12" hidden="false" customHeight="true" outlineLevel="0" collapsed="false">
      <c r="A797" s="91"/>
      <c r="B797" s="81"/>
      <c r="C797" s="81"/>
      <c r="D797" s="81"/>
      <c r="E797" s="81"/>
      <c r="F797" s="173"/>
      <c r="G797" s="173"/>
      <c r="H797" s="173"/>
      <c r="I797" s="173"/>
      <c r="J797" s="173"/>
      <c r="K797" s="173"/>
      <c r="L797" s="80"/>
      <c r="M797" s="81"/>
      <c r="N797" s="102"/>
      <c r="O797" s="102"/>
      <c r="P797" s="81"/>
      <c r="Q797" s="81"/>
      <c r="R797" s="81"/>
      <c r="S797" s="81"/>
      <c r="T797" s="81"/>
      <c r="U797" s="81"/>
      <c r="V797" s="81"/>
      <c r="W797" s="81"/>
      <c r="X797" s="81"/>
      <c r="Y797" s="81"/>
    </row>
    <row r="798" customFormat="false" ht="12" hidden="false" customHeight="true" outlineLevel="0" collapsed="false">
      <c r="A798" s="91"/>
      <c r="B798" s="81"/>
      <c r="C798" s="81"/>
      <c r="D798" s="81"/>
      <c r="E798" s="81"/>
      <c r="F798" s="173"/>
      <c r="G798" s="173"/>
      <c r="H798" s="173"/>
      <c r="I798" s="173"/>
      <c r="J798" s="173"/>
      <c r="K798" s="173"/>
      <c r="L798" s="80"/>
      <c r="M798" s="81"/>
      <c r="N798" s="102"/>
      <c r="O798" s="102"/>
      <c r="P798" s="81"/>
      <c r="Q798" s="81"/>
      <c r="R798" s="81"/>
      <c r="S798" s="81"/>
      <c r="T798" s="81"/>
      <c r="U798" s="81"/>
      <c r="V798" s="81"/>
      <c r="W798" s="81"/>
      <c r="X798" s="81"/>
      <c r="Y798" s="81"/>
    </row>
    <row r="799" customFormat="false" ht="12" hidden="false" customHeight="true" outlineLevel="0" collapsed="false">
      <c r="A799" s="91"/>
      <c r="B799" s="81"/>
      <c r="C799" s="81"/>
      <c r="D799" s="81"/>
      <c r="E799" s="81"/>
      <c r="F799" s="173"/>
      <c r="G799" s="173"/>
      <c r="H799" s="173"/>
      <c r="I799" s="173"/>
      <c r="J799" s="173"/>
      <c r="K799" s="173"/>
      <c r="L799" s="80"/>
      <c r="M799" s="81"/>
      <c r="N799" s="102"/>
      <c r="O799" s="102"/>
      <c r="P799" s="81"/>
      <c r="Q799" s="81"/>
      <c r="R799" s="81"/>
      <c r="S799" s="81"/>
      <c r="T799" s="81"/>
      <c r="U799" s="81"/>
      <c r="V799" s="81"/>
      <c r="W799" s="81"/>
      <c r="X799" s="81"/>
      <c r="Y799" s="81"/>
    </row>
    <row r="800" customFormat="false" ht="12" hidden="false" customHeight="true" outlineLevel="0" collapsed="false">
      <c r="A800" s="91"/>
      <c r="B800" s="81"/>
      <c r="C800" s="81"/>
      <c r="D800" s="81"/>
      <c r="E800" s="81"/>
      <c r="F800" s="173"/>
      <c r="G800" s="173"/>
      <c r="H800" s="173"/>
      <c r="I800" s="173"/>
      <c r="J800" s="173"/>
      <c r="K800" s="173"/>
      <c r="L800" s="80"/>
      <c r="M800" s="81"/>
      <c r="N800" s="102"/>
      <c r="O800" s="102"/>
      <c r="P800" s="81"/>
      <c r="Q800" s="81"/>
      <c r="R800" s="81"/>
      <c r="S800" s="81"/>
      <c r="T800" s="81"/>
      <c r="U800" s="81"/>
      <c r="V800" s="81"/>
      <c r="W800" s="81"/>
      <c r="X800" s="81"/>
      <c r="Y800" s="81"/>
    </row>
    <row r="801" customFormat="false" ht="12" hidden="false" customHeight="true" outlineLevel="0" collapsed="false">
      <c r="A801" s="91"/>
      <c r="B801" s="81"/>
      <c r="C801" s="81"/>
      <c r="D801" s="81"/>
      <c r="E801" s="81"/>
      <c r="F801" s="173"/>
      <c r="G801" s="173"/>
      <c r="H801" s="173"/>
      <c r="I801" s="173"/>
      <c r="J801" s="173"/>
      <c r="K801" s="173"/>
      <c r="L801" s="80"/>
      <c r="M801" s="81"/>
      <c r="N801" s="102"/>
      <c r="O801" s="102"/>
      <c r="P801" s="81"/>
      <c r="Q801" s="81"/>
      <c r="R801" s="81"/>
      <c r="S801" s="81"/>
      <c r="T801" s="81"/>
      <c r="U801" s="81"/>
      <c r="V801" s="81"/>
      <c r="W801" s="81"/>
      <c r="X801" s="81"/>
      <c r="Y801" s="81"/>
    </row>
    <row r="802" customFormat="false" ht="12" hidden="false" customHeight="true" outlineLevel="0" collapsed="false">
      <c r="A802" s="91"/>
      <c r="B802" s="81"/>
      <c r="C802" s="81"/>
      <c r="D802" s="81"/>
      <c r="E802" s="81"/>
      <c r="F802" s="173"/>
      <c r="G802" s="173"/>
      <c r="H802" s="173"/>
      <c r="I802" s="173"/>
      <c r="J802" s="173"/>
      <c r="K802" s="173"/>
      <c r="L802" s="80"/>
      <c r="M802" s="81"/>
      <c r="N802" s="102"/>
      <c r="O802" s="102"/>
      <c r="P802" s="81"/>
      <c r="Q802" s="81"/>
      <c r="R802" s="81"/>
      <c r="S802" s="81"/>
      <c r="T802" s="81"/>
      <c r="U802" s="81"/>
      <c r="V802" s="81"/>
      <c r="W802" s="81"/>
      <c r="X802" s="81"/>
      <c r="Y802" s="81"/>
    </row>
    <row r="803" customFormat="false" ht="12" hidden="false" customHeight="true" outlineLevel="0" collapsed="false">
      <c r="A803" s="91"/>
      <c r="B803" s="81"/>
      <c r="C803" s="81"/>
      <c r="D803" s="81"/>
      <c r="E803" s="81"/>
      <c r="F803" s="173"/>
      <c r="G803" s="173"/>
      <c r="H803" s="173"/>
      <c r="I803" s="173"/>
      <c r="J803" s="173"/>
      <c r="K803" s="173"/>
      <c r="L803" s="80"/>
      <c r="M803" s="81"/>
      <c r="N803" s="102"/>
      <c r="O803" s="102"/>
      <c r="P803" s="81"/>
      <c r="Q803" s="81"/>
      <c r="R803" s="81"/>
      <c r="S803" s="81"/>
      <c r="T803" s="81"/>
      <c r="U803" s="81"/>
      <c r="V803" s="81"/>
      <c r="W803" s="81"/>
      <c r="X803" s="81"/>
      <c r="Y803" s="81"/>
    </row>
    <row r="804" customFormat="false" ht="12" hidden="false" customHeight="true" outlineLevel="0" collapsed="false">
      <c r="A804" s="91"/>
      <c r="B804" s="81"/>
      <c r="C804" s="81"/>
      <c r="D804" s="81"/>
      <c r="E804" s="81"/>
      <c r="F804" s="173"/>
      <c r="G804" s="173"/>
      <c r="H804" s="173"/>
      <c r="I804" s="173"/>
      <c r="J804" s="173"/>
      <c r="K804" s="173"/>
      <c r="L804" s="80"/>
      <c r="M804" s="81"/>
      <c r="N804" s="102"/>
      <c r="O804" s="102"/>
      <c r="P804" s="81"/>
      <c r="Q804" s="81"/>
      <c r="R804" s="81"/>
      <c r="S804" s="81"/>
      <c r="T804" s="81"/>
      <c r="U804" s="81"/>
      <c r="V804" s="81"/>
      <c r="W804" s="81"/>
      <c r="X804" s="81"/>
      <c r="Y804" s="81"/>
    </row>
    <row r="805" customFormat="false" ht="12" hidden="false" customHeight="true" outlineLevel="0" collapsed="false">
      <c r="A805" s="91"/>
      <c r="B805" s="81"/>
      <c r="C805" s="81"/>
      <c r="D805" s="81"/>
      <c r="E805" s="81"/>
      <c r="F805" s="173"/>
      <c r="G805" s="173"/>
      <c r="H805" s="173"/>
      <c r="I805" s="173"/>
      <c r="J805" s="173"/>
      <c r="K805" s="173"/>
      <c r="L805" s="80"/>
      <c r="M805" s="81"/>
      <c r="N805" s="102"/>
      <c r="O805" s="102"/>
      <c r="P805" s="81"/>
      <c r="Q805" s="81"/>
      <c r="R805" s="81"/>
      <c r="S805" s="81"/>
      <c r="T805" s="81"/>
      <c r="U805" s="81"/>
      <c r="V805" s="81"/>
      <c r="W805" s="81"/>
      <c r="X805" s="81"/>
      <c r="Y805" s="81"/>
    </row>
    <row r="806" customFormat="false" ht="12" hidden="false" customHeight="true" outlineLevel="0" collapsed="false">
      <c r="A806" s="91"/>
      <c r="B806" s="81"/>
      <c r="C806" s="81"/>
      <c r="D806" s="81"/>
      <c r="E806" s="81"/>
      <c r="F806" s="173"/>
      <c r="G806" s="173"/>
      <c r="H806" s="173"/>
      <c r="I806" s="173"/>
      <c r="J806" s="173"/>
      <c r="K806" s="173"/>
      <c r="L806" s="80"/>
      <c r="M806" s="81"/>
      <c r="N806" s="102"/>
      <c r="O806" s="102"/>
      <c r="P806" s="81"/>
      <c r="Q806" s="81"/>
      <c r="R806" s="81"/>
      <c r="S806" s="81"/>
      <c r="T806" s="81"/>
      <c r="U806" s="81"/>
      <c r="V806" s="81"/>
      <c r="W806" s="81"/>
      <c r="X806" s="81"/>
      <c r="Y806" s="81"/>
    </row>
    <row r="807" customFormat="false" ht="12" hidden="false" customHeight="true" outlineLevel="0" collapsed="false">
      <c r="A807" s="91"/>
      <c r="B807" s="81"/>
      <c r="C807" s="81"/>
      <c r="D807" s="81"/>
      <c r="E807" s="81"/>
      <c r="F807" s="173"/>
      <c r="G807" s="173"/>
      <c r="H807" s="173"/>
      <c r="I807" s="173"/>
      <c r="J807" s="173"/>
      <c r="K807" s="173"/>
      <c r="L807" s="80"/>
      <c r="M807" s="81"/>
      <c r="N807" s="102"/>
      <c r="O807" s="102"/>
      <c r="P807" s="81"/>
      <c r="Q807" s="81"/>
      <c r="R807" s="81"/>
      <c r="S807" s="81"/>
      <c r="T807" s="81"/>
      <c r="U807" s="81"/>
      <c r="V807" s="81"/>
      <c r="W807" s="81"/>
      <c r="X807" s="81"/>
      <c r="Y807" s="81"/>
    </row>
    <row r="808" customFormat="false" ht="12" hidden="false" customHeight="true" outlineLevel="0" collapsed="false">
      <c r="A808" s="91"/>
      <c r="B808" s="81"/>
      <c r="C808" s="81"/>
      <c r="D808" s="81"/>
      <c r="E808" s="81"/>
      <c r="F808" s="173"/>
      <c r="G808" s="173"/>
      <c r="H808" s="173"/>
      <c r="I808" s="173"/>
      <c r="J808" s="173"/>
      <c r="K808" s="173"/>
      <c r="L808" s="80"/>
      <c r="M808" s="81"/>
      <c r="N808" s="102"/>
      <c r="O808" s="102"/>
      <c r="P808" s="81"/>
      <c r="Q808" s="81"/>
      <c r="R808" s="81"/>
      <c r="S808" s="81"/>
      <c r="T808" s="81"/>
      <c r="U808" s="81"/>
      <c r="V808" s="81"/>
      <c r="W808" s="81"/>
      <c r="X808" s="81"/>
      <c r="Y808" s="81"/>
    </row>
    <row r="809" customFormat="false" ht="12" hidden="false" customHeight="true" outlineLevel="0" collapsed="false">
      <c r="A809" s="91"/>
      <c r="B809" s="81"/>
      <c r="C809" s="81"/>
      <c r="D809" s="81"/>
      <c r="E809" s="81"/>
      <c r="F809" s="173"/>
      <c r="G809" s="173"/>
      <c r="H809" s="173"/>
      <c r="I809" s="173"/>
      <c r="J809" s="173"/>
      <c r="K809" s="173"/>
      <c r="L809" s="80"/>
      <c r="M809" s="81"/>
      <c r="N809" s="102"/>
      <c r="O809" s="102"/>
      <c r="P809" s="81"/>
      <c r="Q809" s="81"/>
      <c r="R809" s="81"/>
      <c r="S809" s="81"/>
      <c r="T809" s="81"/>
      <c r="U809" s="81"/>
      <c r="V809" s="81"/>
      <c r="W809" s="81"/>
      <c r="X809" s="81"/>
      <c r="Y809" s="81"/>
    </row>
    <row r="810" customFormat="false" ht="12" hidden="false" customHeight="true" outlineLevel="0" collapsed="false">
      <c r="A810" s="91"/>
      <c r="B810" s="81"/>
      <c r="C810" s="81"/>
      <c r="D810" s="81"/>
      <c r="E810" s="81"/>
      <c r="F810" s="173"/>
      <c r="G810" s="173"/>
      <c r="H810" s="173"/>
      <c r="I810" s="173"/>
      <c r="J810" s="173"/>
      <c r="K810" s="173"/>
      <c r="L810" s="80"/>
      <c r="M810" s="81"/>
      <c r="N810" s="102"/>
      <c r="O810" s="102"/>
      <c r="P810" s="81"/>
      <c r="Q810" s="81"/>
      <c r="R810" s="81"/>
      <c r="S810" s="81"/>
      <c r="T810" s="81"/>
      <c r="U810" s="81"/>
      <c r="V810" s="81"/>
      <c r="W810" s="81"/>
      <c r="X810" s="81"/>
      <c r="Y810" s="81"/>
    </row>
    <row r="811" customFormat="false" ht="12" hidden="false" customHeight="true" outlineLevel="0" collapsed="false">
      <c r="A811" s="91"/>
      <c r="B811" s="81"/>
      <c r="C811" s="81"/>
      <c r="D811" s="81"/>
      <c r="E811" s="81"/>
      <c r="F811" s="173"/>
      <c r="G811" s="173"/>
      <c r="H811" s="173"/>
      <c r="I811" s="173"/>
      <c r="J811" s="173"/>
      <c r="K811" s="173"/>
      <c r="L811" s="80"/>
      <c r="M811" s="81"/>
      <c r="N811" s="102"/>
      <c r="O811" s="102"/>
      <c r="P811" s="81"/>
      <c r="Q811" s="81"/>
      <c r="R811" s="81"/>
      <c r="S811" s="81"/>
      <c r="T811" s="81"/>
      <c r="U811" s="81"/>
      <c r="V811" s="81"/>
      <c r="W811" s="81"/>
      <c r="X811" s="81"/>
      <c r="Y811" s="81"/>
    </row>
    <row r="812" customFormat="false" ht="12" hidden="false" customHeight="true" outlineLevel="0" collapsed="false">
      <c r="A812" s="91"/>
      <c r="B812" s="81"/>
      <c r="C812" s="81"/>
      <c r="D812" s="81"/>
      <c r="E812" s="81"/>
      <c r="F812" s="173"/>
      <c r="G812" s="173"/>
      <c r="H812" s="173"/>
      <c r="I812" s="173"/>
      <c r="J812" s="173"/>
      <c r="K812" s="173"/>
      <c r="L812" s="80"/>
      <c r="M812" s="81"/>
      <c r="N812" s="102"/>
      <c r="O812" s="102"/>
      <c r="P812" s="81"/>
      <c r="Q812" s="81"/>
      <c r="R812" s="81"/>
      <c r="S812" s="81"/>
      <c r="T812" s="81"/>
      <c r="U812" s="81"/>
      <c r="V812" s="81"/>
      <c r="W812" s="81"/>
      <c r="X812" s="81"/>
      <c r="Y812" s="81"/>
    </row>
    <row r="813" customFormat="false" ht="12" hidden="false" customHeight="true" outlineLevel="0" collapsed="false">
      <c r="A813" s="91"/>
      <c r="B813" s="81"/>
      <c r="C813" s="81"/>
      <c r="D813" s="81"/>
      <c r="E813" s="81"/>
      <c r="F813" s="173"/>
      <c r="G813" s="173"/>
      <c r="H813" s="173"/>
      <c r="I813" s="173"/>
      <c r="J813" s="173"/>
      <c r="K813" s="173"/>
      <c r="L813" s="80"/>
      <c r="M813" s="81"/>
      <c r="N813" s="102"/>
      <c r="O813" s="102"/>
      <c r="P813" s="81"/>
      <c r="Q813" s="81"/>
      <c r="R813" s="81"/>
      <c r="S813" s="81"/>
      <c r="T813" s="81"/>
      <c r="U813" s="81"/>
      <c r="V813" s="81"/>
      <c r="W813" s="81"/>
      <c r="X813" s="81"/>
      <c r="Y813" s="81"/>
    </row>
    <row r="814" customFormat="false" ht="12" hidden="false" customHeight="true" outlineLevel="0" collapsed="false">
      <c r="A814" s="91"/>
      <c r="B814" s="81"/>
      <c r="C814" s="81"/>
      <c r="D814" s="81"/>
      <c r="E814" s="81"/>
      <c r="F814" s="173"/>
      <c r="G814" s="173"/>
      <c r="H814" s="173"/>
      <c r="I814" s="173"/>
      <c r="J814" s="173"/>
      <c r="K814" s="173"/>
      <c r="L814" s="80"/>
      <c r="M814" s="81"/>
      <c r="N814" s="102"/>
      <c r="O814" s="102"/>
      <c r="P814" s="81"/>
      <c r="Q814" s="81"/>
      <c r="R814" s="81"/>
      <c r="S814" s="81"/>
      <c r="T814" s="81"/>
      <c r="U814" s="81"/>
      <c r="V814" s="81"/>
      <c r="W814" s="81"/>
      <c r="X814" s="81"/>
      <c r="Y814" s="81"/>
    </row>
    <row r="815" customFormat="false" ht="12" hidden="false" customHeight="true" outlineLevel="0" collapsed="false">
      <c r="A815" s="91"/>
      <c r="B815" s="81"/>
      <c r="C815" s="81"/>
      <c r="D815" s="81"/>
      <c r="E815" s="81"/>
      <c r="F815" s="173"/>
      <c r="G815" s="173"/>
      <c r="H815" s="173"/>
      <c r="I815" s="173"/>
      <c r="J815" s="173"/>
      <c r="K815" s="173"/>
      <c r="L815" s="80"/>
      <c r="M815" s="81"/>
      <c r="N815" s="102"/>
      <c r="O815" s="102"/>
      <c r="P815" s="81"/>
      <c r="Q815" s="81"/>
      <c r="R815" s="81"/>
      <c r="S815" s="81"/>
      <c r="T815" s="81"/>
      <c r="U815" s="81"/>
      <c r="V815" s="81"/>
      <c r="W815" s="81"/>
      <c r="X815" s="81"/>
      <c r="Y815" s="81"/>
    </row>
    <row r="816" customFormat="false" ht="12" hidden="false" customHeight="true" outlineLevel="0" collapsed="false">
      <c r="A816" s="91"/>
      <c r="B816" s="81"/>
      <c r="C816" s="81"/>
      <c r="D816" s="81"/>
      <c r="E816" s="81"/>
      <c r="F816" s="173"/>
      <c r="G816" s="173"/>
      <c r="H816" s="173"/>
      <c r="I816" s="173"/>
      <c r="J816" s="173"/>
      <c r="K816" s="173"/>
      <c r="L816" s="80"/>
      <c r="M816" s="81"/>
      <c r="N816" s="102"/>
      <c r="O816" s="102"/>
      <c r="P816" s="81"/>
      <c r="Q816" s="81"/>
      <c r="R816" s="81"/>
      <c r="S816" s="81"/>
      <c r="T816" s="81"/>
      <c r="U816" s="81"/>
      <c r="V816" s="81"/>
      <c r="W816" s="81"/>
      <c r="X816" s="81"/>
      <c r="Y816" s="81"/>
    </row>
    <row r="817" customFormat="false" ht="12" hidden="false" customHeight="true" outlineLevel="0" collapsed="false">
      <c r="A817" s="91"/>
      <c r="B817" s="81"/>
      <c r="C817" s="81"/>
      <c r="D817" s="81"/>
      <c r="E817" s="81"/>
      <c r="F817" s="173"/>
      <c r="G817" s="173"/>
      <c r="H817" s="173"/>
      <c r="I817" s="173"/>
      <c r="J817" s="173"/>
      <c r="K817" s="173"/>
      <c r="L817" s="80"/>
      <c r="M817" s="81"/>
      <c r="N817" s="102"/>
      <c r="O817" s="102"/>
      <c r="P817" s="81"/>
      <c r="Q817" s="81"/>
      <c r="R817" s="81"/>
      <c r="S817" s="81"/>
      <c r="T817" s="81"/>
      <c r="U817" s="81"/>
      <c r="V817" s="81"/>
      <c r="W817" s="81"/>
      <c r="X817" s="81"/>
      <c r="Y817" s="81"/>
    </row>
    <row r="818" customFormat="false" ht="12" hidden="false" customHeight="true" outlineLevel="0" collapsed="false">
      <c r="A818" s="91"/>
      <c r="B818" s="81"/>
      <c r="C818" s="81"/>
      <c r="D818" s="81"/>
      <c r="E818" s="81"/>
      <c r="F818" s="173"/>
      <c r="G818" s="173"/>
      <c r="H818" s="173"/>
      <c r="I818" s="173"/>
      <c r="J818" s="173"/>
      <c r="K818" s="173"/>
      <c r="L818" s="80"/>
      <c r="M818" s="81"/>
      <c r="N818" s="102"/>
      <c r="O818" s="102"/>
      <c r="P818" s="81"/>
      <c r="Q818" s="81"/>
      <c r="R818" s="81"/>
      <c r="S818" s="81"/>
      <c r="T818" s="81"/>
      <c r="U818" s="81"/>
      <c r="V818" s="81"/>
      <c r="W818" s="81"/>
      <c r="X818" s="81"/>
      <c r="Y818" s="81"/>
    </row>
    <row r="819" customFormat="false" ht="12" hidden="false" customHeight="true" outlineLevel="0" collapsed="false">
      <c r="A819" s="91"/>
      <c r="B819" s="81"/>
      <c r="C819" s="81"/>
      <c r="D819" s="81"/>
      <c r="E819" s="81"/>
      <c r="F819" s="173"/>
      <c r="G819" s="173"/>
      <c r="H819" s="173"/>
      <c r="I819" s="173"/>
      <c r="J819" s="173"/>
      <c r="K819" s="173"/>
      <c r="L819" s="80"/>
      <c r="M819" s="81"/>
      <c r="N819" s="102"/>
      <c r="O819" s="102"/>
      <c r="P819" s="81"/>
      <c r="Q819" s="81"/>
      <c r="R819" s="81"/>
      <c r="S819" s="81"/>
      <c r="T819" s="81"/>
      <c r="U819" s="81"/>
      <c r="V819" s="81"/>
      <c r="W819" s="81"/>
      <c r="X819" s="81"/>
      <c r="Y819" s="81"/>
    </row>
    <row r="820" customFormat="false" ht="12" hidden="false" customHeight="true" outlineLevel="0" collapsed="false">
      <c r="A820" s="91"/>
      <c r="B820" s="81"/>
      <c r="C820" s="81"/>
      <c r="D820" s="81"/>
      <c r="E820" s="81"/>
      <c r="F820" s="173"/>
      <c r="G820" s="173"/>
      <c r="H820" s="173"/>
      <c r="I820" s="173"/>
      <c r="J820" s="173"/>
      <c r="K820" s="173"/>
      <c r="L820" s="80"/>
      <c r="M820" s="81"/>
      <c r="N820" s="102"/>
      <c r="O820" s="102"/>
      <c r="P820" s="81"/>
      <c r="Q820" s="81"/>
      <c r="R820" s="81"/>
      <c r="S820" s="81"/>
      <c r="T820" s="81"/>
      <c r="U820" s="81"/>
      <c r="V820" s="81"/>
      <c r="W820" s="81"/>
      <c r="X820" s="81"/>
      <c r="Y820" s="81"/>
    </row>
    <row r="821" customFormat="false" ht="12" hidden="false" customHeight="true" outlineLevel="0" collapsed="false">
      <c r="A821" s="91"/>
      <c r="B821" s="81"/>
      <c r="C821" s="81"/>
      <c r="D821" s="81"/>
      <c r="E821" s="81"/>
      <c r="F821" s="173"/>
      <c r="G821" s="173"/>
      <c r="H821" s="173"/>
      <c r="I821" s="173"/>
      <c r="J821" s="173"/>
      <c r="K821" s="173"/>
      <c r="L821" s="80"/>
      <c r="M821" s="81"/>
      <c r="N821" s="102"/>
      <c r="O821" s="102"/>
      <c r="P821" s="81"/>
      <c r="Q821" s="81"/>
      <c r="R821" s="81"/>
      <c r="S821" s="81"/>
      <c r="T821" s="81"/>
      <c r="U821" s="81"/>
      <c r="V821" s="81"/>
      <c r="W821" s="81"/>
      <c r="X821" s="81"/>
      <c r="Y821" s="81"/>
    </row>
    <row r="822" customFormat="false" ht="12" hidden="false" customHeight="true" outlineLevel="0" collapsed="false">
      <c r="A822" s="91"/>
      <c r="B822" s="81"/>
      <c r="C822" s="81"/>
      <c r="D822" s="81"/>
      <c r="E822" s="81"/>
      <c r="F822" s="173"/>
      <c r="G822" s="173"/>
      <c r="H822" s="173"/>
      <c r="I822" s="173"/>
      <c r="J822" s="173"/>
      <c r="K822" s="173"/>
      <c r="L822" s="80"/>
      <c r="M822" s="81"/>
      <c r="N822" s="102"/>
      <c r="O822" s="102"/>
      <c r="P822" s="81"/>
      <c r="Q822" s="81"/>
      <c r="R822" s="81"/>
      <c r="S822" s="81"/>
      <c r="T822" s="81"/>
      <c r="U822" s="81"/>
      <c r="V822" s="81"/>
      <c r="W822" s="81"/>
      <c r="X822" s="81"/>
      <c r="Y822" s="81"/>
    </row>
    <row r="823" customFormat="false" ht="12" hidden="false" customHeight="true" outlineLevel="0" collapsed="false">
      <c r="A823" s="91"/>
      <c r="B823" s="81"/>
      <c r="C823" s="81"/>
      <c r="D823" s="81"/>
      <c r="E823" s="81"/>
      <c r="F823" s="173"/>
      <c r="G823" s="173"/>
      <c r="H823" s="173"/>
      <c r="I823" s="173"/>
      <c r="J823" s="173"/>
      <c r="K823" s="173"/>
      <c r="L823" s="80"/>
      <c r="M823" s="81"/>
      <c r="N823" s="102"/>
      <c r="O823" s="102"/>
      <c r="P823" s="81"/>
      <c r="Q823" s="81"/>
      <c r="R823" s="81"/>
      <c r="S823" s="81"/>
      <c r="T823" s="81"/>
      <c r="U823" s="81"/>
      <c r="V823" s="81"/>
      <c r="W823" s="81"/>
      <c r="X823" s="81"/>
      <c r="Y823" s="81"/>
    </row>
    <row r="824" customFormat="false" ht="12" hidden="false" customHeight="true" outlineLevel="0" collapsed="false">
      <c r="A824" s="91"/>
      <c r="B824" s="81"/>
      <c r="C824" s="81"/>
      <c r="D824" s="81"/>
      <c r="E824" s="81"/>
      <c r="F824" s="173"/>
      <c r="G824" s="173"/>
      <c r="H824" s="173"/>
      <c r="I824" s="173"/>
      <c r="J824" s="173"/>
      <c r="K824" s="173"/>
      <c r="L824" s="80"/>
      <c r="M824" s="81"/>
      <c r="N824" s="102"/>
      <c r="O824" s="102"/>
      <c r="P824" s="81"/>
      <c r="Q824" s="81"/>
      <c r="R824" s="81"/>
      <c r="S824" s="81"/>
      <c r="T824" s="81"/>
      <c r="U824" s="81"/>
      <c r="V824" s="81"/>
      <c r="W824" s="81"/>
      <c r="X824" s="81"/>
      <c r="Y824" s="81"/>
    </row>
    <row r="825" customFormat="false" ht="12" hidden="false" customHeight="true" outlineLevel="0" collapsed="false">
      <c r="A825" s="91"/>
      <c r="B825" s="81"/>
      <c r="C825" s="81"/>
      <c r="D825" s="81"/>
      <c r="E825" s="81"/>
      <c r="F825" s="173"/>
      <c r="G825" s="173"/>
      <c r="H825" s="173"/>
      <c r="I825" s="173"/>
      <c r="J825" s="173"/>
      <c r="K825" s="173"/>
      <c r="L825" s="80"/>
      <c r="M825" s="81"/>
      <c r="N825" s="102"/>
      <c r="O825" s="102"/>
      <c r="P825" s="81"/>
      <c r="Q825" s="81"/>
      <c r="R825" s="81"/>
      <c r="S825" s="81"/>
      <c r="T825" s="81"/>
      <c r="U825" s="81"/>
      <c r="V825" s="81"/>
      <c r="W825" s="81"/>
      <c r="X825" s="81"/>
      <c r="Y825" s="81"/>
    </row>
    <row r="826" customFormat="false" ht="12" hidden="false" customHeight="true" outlineLevel="0" collapsed="false">
      <c r="A826" s="91"/>
      <c r="B826" s="81"/>
      <c r="C826" s="81"/>
      <c r="D826" s="81"/>
      <c r="E826" s="81"/>
      <c r="F826" s="173"/>
      <c r="G826" s="173"/>
      <c r="H826" s="173"/>
      <c r="I826" s="173"/>
      <c r="J826" s="173"/>
      <c r="K826" s="173"/>
      <c r="L826" s="80"/>
      <c r="M826" s="81"/>
      <c r="N826" s="102"/>
      <c r="O826" s="102"/>
      <c r="P826" s="81"/>
      <c r="Q826" s="81"/>
      <c r="R826" s="81"/>
      <c r="S826" s="81"/>
      <c r="T826" s="81"/>
      <c r="U826" s="81"/>
      <c r="V826" s="81"/>
      <c r="W826" s="81"/>
      <c r="X826" s="81"/>
      <c r="Y826" s="81"/>
    </row>
    <row r="827" customFormat="false" ht="12" hidden="false" customHeight="true" outlineLevel="0" collapsed="false">
      <c r="A827" s="91"/>
      <c r="B827" s="81"/>
      <c r="C827" s="81"/>
      <c r="D827" s="81"/>
      <c r="E827" s="81"/>
      <c r="F827" s="173"/>
      <c r="G827" s="173"/>
      <c r="H827" s="173"/>
      <c r="I827" s="173"/>
      <c r="J827" s="173"/>
      <c r="K827" s="173"/>
      <c r="L827" s="80"/>
      <c r="M827" s="81"/>
      <c r="N827" s="102"/>
      <c r="O827" s="102"/>
      <c r="P827" s="81"/>
      <c r="Q827" s="81"/>
      <c r="R827" s="81"/>
      <c r="S827" s="81"/>
      <c r="T827" s="81"/>
      <c r="U827" s="81"/>
      <c r="V827" s="81"/>
      <c r="W827" s="81"/>
      <c r="X827" s="81"/>
      <c r="Y827" s="81"/>
    </row>
    <row r="828" customFormat="false" ht="12" hidden="false" customHeight="true" outlineLevel="0" collapsed="false">
      <c r="A828" s="91"/>
      <c r="B828" s="81"/>
      <c r="C828" s="81"/>
      <c r="D828" s="81"/>
      <c r="E828" s="81"/>
      <c r="F828" s="173"/>
      <c r="G828" s="173"/>
      <c r="H828" s="173"/>
      <c r="I828" s="173"/>
      <c r="J828" s="173"/>
      <c r="K828" s="173"/>
      <c r="L828" s="80"/>
      <c r="M828" s="81"/>
      <c r="N828" s="102"/>
      <c r="O828" s="102"/>
      <c r="P828" s="81"/>
      <c r="Q828" s="81"/>
      <c r="R828" s="81"/>
      <c r="S828" s="81"/>
      <c r="T828" s="81"/>
      <c r="U828" s="81"/>
      <c r="V828" s="81"/>
      <c r="W828" s="81"/>
      <c r="X828" s="81"/>
      <c r="Y828" s="81"/>
    </row>
    <row r="829" customFormat="false" ht="12" hidden="false" customHeight="true" outlineLevel="0" collapsed="false">
      <c r="A829" s="91"/>
      <c r="B829" s="81"/>
      <c r="C829" s="81"/>
      <c r="D829" s="81"/>
      <c r="E829" s="81"/>
      <c r="F829" s="173"/>
      <c r="G829" s="173"/>
      <c r="H829" s="173"/>
      <c r="I829" s="173"/>
      <c r="J829" s="173"/>
      <c r="K829" s="173"/>
      <c r="L829" s="80"/>
      <c r="M829" s="81"/>
      <c r="N829" s="102"/>
      <c r="O829" s="102"/>
      <c r="P829" s="81"/>
      <c r="Q829" s="81"/>
      <c r="R829" s="81"/>
      <c r="S829" s="81"/>
      <c r="T829" s="81"/>
      <c r="U829" s="81"/>
      <c r="V829" s="81"/>
      <c r="W829" s="81"/>
      <c r="X829" s="81"/>
      <c r="Y829" s="81"/>
    </row>
    <row r="830" customFormat="false" ht="12" hidden="false" customHeight="true" outlineLevel="0" collapsed="false">
      <c r="A830" s="91"/>
      <c r="B830" s="81"/>
      <c r="C830" s="81"/>
      <c r="D830" s="81"/>
      <c r="E830" s="81"/>
      <c r="F830" s="173"/>
      <c r="G830" s="173"/>
      <c r="H830" s="173"/>
      <c r="I830" s="173"/>
      <c r="J830" s="173"/>
      <c r="K830" s="173"/>
      <c r="L830" s="80"/>
      <c r="M830" s="81"/>
      <c r="N830" s="102"/>
      <c r="O830" s="102"/>
      <c r="P830" s="81"/>
      <c r="Q830" s="81"/>
      <c r="R830" s="81"/>
      <c r="S830" s="81"/>
      <c r="T830" s="81"/>
      <c r="U830" s="81"/>
      <c r="V830" s="81"/>
      <c r="W830" s="81"/>
      <c r="X830" s="81"/>
      <c r="Y830" s="81"/>
    </row>
    <row r="831" customFormat="false" ht="12" hidden="false" customHeight="true" outlineLevel="0" collapsed="false">
      <c r="A831" s="91"/>
      <c r="B831" s="81"/>
      <c r="C831" s="81"/>
      <c r="D831" s="81"/>
      <c r="E831" s="81"/>
      <c r="F831" s="173"/>
      <c r="G831" s="173"/>
      <c r="H831" s="173"/>
      <c r="I831" s="173"/>
      <c r="J831" s="173"/>
      <c r="K831" s="173"/>
      <c r="L831" s="80"/>
      <c r="M831" s="81"/>
      <c r="N831" s="102"/>
      <c r="O831" s="102"/>
      <c r="P831" s="81"/>
      <c r="Q831" s="81"/>
      <c r="R831" s="81"/>
      <c r="S831" s="81"/>
      <c r="T831" s="81"/>
      <c r="U831" s="81"/>
      <c r="V831" s="81"/>
      <c r="W831" s="81"/>
      <c r="X831" s="81"/>
      <c r="Y831" s="81"/>
    </row>
    <row r="832" customFormat="false" ht="12" hidden="false" customHeight="true" outlineLevel="0" collapsed="false">
      <c r="A832" s="91"/>
      <c r="B832" s="81"/>
      <c r="C832" s="81"/>
      <c r="D832" s="81"/>
      <c r="E832" s="81"/>
      <c r="F832" s="173"/>
      <c r="G832" s="173"/>
      <c r="H832" s="173"/>
      <c r="I832" s="173"/>
      <c r="J832" s="173"/>
      <c r="K832" s="173"/>
      <c r="L832" s="80"/>
      <c r="M832" s="81"/>
      <c r="N832" s="102"/>
      <c r="O832" s="102"/>
      <c r="P832" s="81"/>
      <c r="Q832" s="81"/>
      <c r="R832" s="81"/>
      <c r="S832" s="81"/>
      <c r="T832" s="81"/>
      <c r="U832" s="81"/>
      <c r="V832" s="81"/>
      <c r="W832" s="81"/>
      <c r="X832" s="81"/>
      <c r="Y832" s="81"/>
    </row>
    <row r="833" customFormat="false" ht="12" hidden="false" customHeight="true" outlineLevel="0" collapsed="false">
      <c r="A833" s="91"/>
      <c r="B833" s="81"/>
      <c r="C833" s="81"/>
      <c r="D833" s="81"/>
      <c r="E833" s="81"/>
      <c r="F833" s="173"/>
      <c r="G833" s="173"/>
      <c r="H833" s="173"/>
      <c r="I833" s="173"/>
      <c r="J833" s="173"/>
      <c r="K833" s="173"/>
      <c r="L833" s="80"/>
      <c r="M833" s="81"/>
      <c r="N833" s="102"/>
      <c r="O833" s="102"/>
      <c r="P833" s="81"/>
      <c r="Q833" s="81"/>
      <c r="R833" s="81"/>
      <c r="S833" s="81"/>
      <c r="T833" s="81"/>
      <c r="U833" s="81"/>
      <c r="V833" s="81"/>
      <c r="W833" s="81"/>
      <c r="X833" s="81"/>
      <c r="Y833" s="81"/>
    </row>
    <row r="834" customFormat="false" ht="12" hidden="false" customHeight="true" outlineLevel="0" collapsed="false">
      <c r="A834" s="91"/>
      <c r="B834" s="81"/>
      <c r="C834" s="81"/>
      <c r="D834" s="81"/>
      <c r="E834" s="81"/>
      <c r="F834" s="173"/>
      <c r="G834" s="173"/>
      <c r="H834" s="173"/>
      <c r="I834" s="173"/>
      <c r="J834" s="173"/>
      <c r="K834" s="173"/>
      <c r="L834" s="80"/>
      <c r="M834" s="81"/>
      <c r="N834" s="102"/>
      <c r="O834" s="102"/>
      <c r="P834" s="81"/>
      <c r="Q834" s="81"/>
      <c r="R834" s="81"/>
      <c r="S834" s="81"/>
      <c r="T834" s="81"/>
      <c r="U834" s="81"/>
      <c r="V834" s="81"/>
      <c r="W834" s="81"/>
      <c r="X834" s="81"/>
      <c r="Y834" s="81"/>
    </row>
    <row r="835" customFormat="false" ht="12" hidden="false" customHeight="true" outlineLevel="0" collapsed="false">
      <c r="A835" s="91"/>
      <c r="B835" s="81"/>
      <c r="C835" s="81"/>
      <c r="D835" s="81"/>
      <c r="E835" s="81"/>
      <c r="F835" s="173"/>
      <c r="G835" s="173"/>
      <c r="H835" s="173"/>
      <c r="I835" s="173"/>
      <c r="J835" s="173"/>
      <c r="K835" s="173"/>
      <c r="L835" s="80"/>
      <c r="M835" s="81"/>
      <c r="N835" s="102"/>
      <c r="O835" s="102"/>
      <c r="P835" s="81"/>
      <c r="Q835" s="81"/>
      <c r="R835" s="81"/>
      <c r="S835" s="81"/>
      <c r="T835" s="81"/>
      <c r="U835" s="81"/>
      <c r="V835" s="81"/>
      <c r="W835" s="81"/>
      <c r="X835" s="81"/>
      <c r="Y835" s="81"/>
    </row>
    <row r="836" customFormat="false" ht="12" hidden="false" customHeight="true" outlineLevel="0" collapsed="false">
      <c r="A836" s="91"/>
      <c r="B836" s="81"/>
      <c r="C836" s="81"/>
      <c r="D836" s="81"/>
      <c r="E836" s="81"/>
      <c r="F836" s="173"/>
      <c r="G836" s="173"/>
      <c r="H836" s="173"/>
      <c r="I836" s="173"/>
      <c r="J836" s="173"/>
      <c r="K836" s="173"/>
      <c r="L836" s="80"/>
      <c r="M836" s="81"/>
      <c r="N836" s="102"/>
      <c r="O836" s="102"/>
      <c r="P836" s="81"/>
      <c r="Q836" s="81"/>
      <c r="R836" s="81"/>
      <c r="S836" s="81"/>
      <c r="T836" s="81"/>
      <c r="U836" s="81"/>
      <c r="V836" s="81"/>
      <c r="W836" s="81"/>
      <c r="X836" s="81"/>
      <c r="Y836" s="81"/>
    </row>
    <row r="837" customFormat="false" ht="12" hidden="false" customHeight="true" outlineLevel="0" collapsed="false">
      <c r="A837" s="91"/>
      <c r="B837" s="81"/>
      <c r="C837" s="81"/>
      <c r="D837" s="81"/>
      <c r="E837" s="81"/>
      <c r="F837" s="173"/>
      <c r="G837" s="173"/>
      <c r="H837" s="173"/>
      <c r="I837" s="173"/>
      <c r="J837" s="173"/>
      <c r="K837" s="173"/>
      <c r="L837" s="80"/>
      <c r="M837" s="81"/>
      <c r="N837" s="102"/>
      <c r="O837" s="102"/>
      <c r="P837" s="81"/>
      <c r="Q837" s="81"/>
      <c r="R837" s="81"/>
      <c r="S837" s="81"/>
      <c r="T837" s="81"/>
      <c r="U837" s="81"/>
      <c r="V837" s="81"/>
      <c r="W837" s="81"/>
      <c r="X837" s="81"/>
      <c r="Y837" s="81"/>
    </row>
    <row r="838" customFormat="false" ht="12" hidden="false" customHeight="true" outlineLevel="0" collapsed="false">
      <c r="A838" s="91"/>
      <c r="B838" s="81"/>
      <c r="C838" s="81"/>
      <c r="D838" s="81"/>
      <c r="E838" s="81"/>
      <c r="F838" s="173"/>
      <c r="G838" s="173"/>
      <c r="H838" s="173"/>
      <c r="I838" s="173"/>
      <c r="J838" s="173"/>
      <c r="K838" s="173"/>
      <c r="L838" s="80"/>
      <c r="M838" s="81"/>
      <c r="N838" s="102"/>
      <c r="O838" s="102"/>
      <c r="P838" s="81"/>
      <c r="Q838" s="81"/>
      <c r="R838" s="81"/>
      <c r="S838" s="81"/>
      <c r="T838" s="81"/>
      <c r="U838" s="81"/>
      <c r="V838" s="81"/>
      <c r="W838" s="81"/>
      <c r="X838" s="81"/>
      <c r="Y838" s="81"/>
    </row>
    <row r="839" customFormat="false" ht="12" hidden="false" customHeight="true" outlineLevel="0" collapsed="false">
      <c r="A839" s="91"/>
      <c r="B839" s="81"/>
      <c r="C839" s="81"/>
      <c r="D839" s="81"/>
      <c r="E839" s="81"/>
      <c r="F839" s="173"/>
      <c r="G839" s="173"/>
      <c r="H839" s="173"/>
      <c r="I839" s="173"/>
      <c r="J839" s="173"/>
      <c r="K839" s="173"/>
      <c r="L839" s="80"/>
      <c r="M839" s="81"/>
      <c r="N839" s="102"/>
      <c r="O839" s="102"/>
      <c r="P839" s="81"/>
      <c r="Q839" s="81"/>
      <c r="R839" s="81"/>
      <c r="S839" s="81"/>
      <c r="T839" s="81"/>
      <c r="U839" s="81"/>
      <c r="V839" s="81"/>
      <c r="W839" s="81"/>
      <c r="X839" s="81"/>
      <c r="Y839" s="81"/>
    </row>
    <row r="840" customFormat="false" ht="12" hidden="false" customHeight="true" outlineLevel="0" collapsed="false">
      <c r="A840" s="91"/>
      <c r="B840" s="81"/>
      <c r="C840" s="81"/>
      <c r="D840" s="81"/>
      <c r="E840" s="81"/>
      <c r="F840" s="173"/>
      <c r="G840" s="173"/>
      <c r="H840" s="173"/>
      <c r="I840" s="173"/>
      <c r="J840" s="173"/>
      <c r="K840" s="173"/>
      <c r="L840" s="80"/>
      <c r="M840" s="81"/>
      <c r="N840" s="102"/>
      <c r="O840" s="102"/>
      <c r="P840" s="81"/>
      <c r="Q840" s="81"/>
      <c r="R840" s="81"/>
      <c r="S840" s="81"/>
      <c r="T840" s="81"/>
      <c r="U840" s="81"/>
      <c r="V840" s="81"/>
      <c r="W840" s="81"/>
      <c r="X840" s="81"/>
      <c r="Y840" s="81"/>
    </row>
    <row r="841" customFormat="false" ht="12" hidden="false" customHeight="true" outlineLevel="0" collapsed="false">
      <c r="A841" s="91"/>
      <c r="B841" s="81"/>
      <c r="C841" s="81"/>
      <c r="D841" s="81"/>
      <c r="E841" s="81"/>
      <c r="F841" s="173"/>
      <c r="G841" s="173"/>
      <c r="H841" s="173"/>
      <c r="I841" s="173"/>
      <c r="J841" s="173"/>
      <c r="K841" s="173"/>
      <c r="L841" s="80"/>
      <c r="M841" s="81"/>
      <c r="N841" s="102"/>
      <c r="O841" s="102"/>
      <c r="P841" s="81"/>
      <c r="Q841" s="81"/>
      <c r="R841" s="81"/>
      <c r="S841" s="81"/>
      <c r="T841" s="81"/>
      <c r="U841" s="81"/>
      <c r="V841" s="81"/>
      <c r="W841" s="81"/>
      <c r="X841" s="81"/>
      <c r="Y841" s="81"/>
    </row>
    <row r="842" customFormat="false" ht="12" hidden="false" customHeight="true" outlineLevel="0" collapsed="false">
      <c r="A842" s="91"/>
      <c r="B842" s="81"/>
      <c r="C842" s="81"/>
      <c r="D842" s="81"/>
      <c r="E842" s="81"/>
      <c r="F842" s="173"/>
      <c r="G842" s="173"/>
      <c r="H842" s="173"/>
      <c r="I842" s="173"/>
      <c r="J842" s="173"/>
      <c r="K842" s="173"/>
      <c r="L842" s="80"/>
      <c r="M842" s="81"/>
      <c r="N842" s="102"/>
      <c r="O842" s="102"/>
      <c r="P842" s="81"/>
      <c r="Q842" s="81"/>
      <c r="R842" s="81"/>
      <c r="S842" s="81"/>
      <c r="T842" s="81"/>
      <c r="U842" s="81"/>
      <c r="V842" s="81"/>
      <c r="W842" s="81"/>
      <c r="X842" s="81"/>
      <c r="Y842" s="81"/>
    </row>
    <row r="843" customFormat="false" ht="12" hidden="false" customHeight="true" outlineLevel="0" collapsed="false">
      <c r="A843" s="91"/>
      <c r="B843" s="81"/>
      <c r="C843" s="81"/>
      <c r="D843" s="81"/>
      <c r="E843" s="81"/>
      <c r="F843" s="173"/>
      <c r="G843" s="173"/>
      <c r="H843" s="173"/>
      <c r="I843" s="173"/>
      <c r="J843" s="173"/>
      <c r="K843" s="173"/>
      <c r="L843" s="80"/>
      <c r="M843" s="81"/>
      <c r="N843" s="102"/>
      <c r="O843" s="102"/>
      <c r="P843" s="81"/>
      <c r="Q843" s="81"/>
      <c r="R843" s="81"/>
      <c r="S843" s="81"/>
      <c r="T843" s="81"/>
      <c r="U843" s="81"/>
      <c r="V843" s="81"/>
      <c r="W843" s="81"/>
      <c r="X843" s="81"/>
      <c r="Y843" s="81"/>
    </row>
    <row r="844" customFormat="false" ht="12" hidden="false" customHeight="true" outlineLevel="0" collapsed="false">
      <c r="A844" s="91"/>
      <c r="B844" s="81"/>
      <c r="C844" s="81"/>
      <c r="D844" s="81"/>
      <c r="E844" s="81"/>
      <c r="F844" s="173"/>
      <c r="G844" s="173"/>
      <c r="H844" s="173"/>
      <c r="I844" s="173"/>
      <c r="J844" s="173"/>
      <c r="K844" s="173"/>
      <c r="L844" s="80"/>
      <c r="M844" s="81"/>
      <c r="N844" s="102"/>
      <c r="O844" s="102"/>
      <c r="P844" s="81"/>
      <c r="Q844" s="81"/>
      <c r="R844" s="81"/>
      <c r="S844" s="81"/>
      <c r="T844" s="81"/>
      <c r="U844" s="81"/>
      <c r="V844" s="81"/>
      <c r="W844" s="81"/>
      <c r="X844" s="81"/>
      <c r="Y844" s="81"/>
    </row>
    <row r="845" customFormat="false" ht="12" hidden="false" customHeight="true" outlineLevel="0" collapsed="false">
      <c r="A845" s="91"/>
      <c r="B845" s="81"/>
      <c r="C845" s="81"/>
      <c r="D845" s="81"/>
      <c r="E845" s="81"/>
      <c r="F845" s="173"/>
      <c r="G845" s="173"/>
      <c r="H845" s="173"/>
      <c r="I845" s="173"/>
      <c r="J845" s="173"/>
      <c r="K845" s="173"/>
      <c r="L845" s="80"/>
      <c r="M845" s="81"/>
      <c r="N845" s="102"/>
      <c r="O845" s="102"/>
      <c r="P845" s="81"/>
      <c r="Q845" s="81"/>
      <c r="R845" s="81"/>
      <c r="S845" s="81"/>
      <c r="T845" s="81"/>
      <c r="U845" s="81"/>
      <c r="V845" s="81"/>
      <c r="W845" s="81"/>
      <c r="X845" s="81"/>
      <c r="Y845" s="81"/>
    </row>
    <row r="846" customFormat="false" ht="12" hidden="false" customHeight="true" outlineLevel="0" collapsed="false">
      <c r="A846" s="91"/>
      <c r="B846" s="81"/>
      <c r="C846" s="81"/>
      <c r="D846" s="81"/>
      <c r="E846" s="81"/>
      <c r="F846" s="173"/>
      <c r="G846" s="173"/>
      <c r="H846" s="173"/>
      <c r="I846" s="173"/>
      <c r="J846" s="173"/>
      <c r="K846" s="173"/>
      <c r="L846" s="80"/>
      <c r="M846" s="81"/>
      <c r="N846" s="102"/>
      <c r="O846" s="102"/>
      <c r="P846" s="81"/>
      <c r="Q846" s="81"/>
      <c r="R846" s="81"/>
      <c r="S846" s="81"/>
      <c r="T846" s="81"/>
      <c r="U846" s="81"/>
      <c r="V846" s="81"/>
      <c r="W846" s="81"/>
      <c r="X846" s="81"/>
      <c r="Y846" s="81"/>
    </row>
    <row r="847" customFormat="false" ht="12" hidden="false" customHeight="true" outlineLevel="0" collapsed="false">
      <c r="A847" s="91"/>
      <c r="B847" s="81"/>
      <c r="C847" s="81"/>
      <c r="D847" s="81"/>
      <c r="E847" s="81"/>
      <c r="F847" s="173"/>
      <c r="G847" s="173"/>
      <c r="H847" s="173"/>
      <c r="I847" s="173"/>
      <c r="J847" s="173"/>
      <c r="K847" s="173"/>
      <c r="L847" s="80"/>
      <c r="M847" s="81"/>
      <c r="N847" s="102"/>
      <c r="O847" s="102"/>
      <c r="P847" s="81"/>
      <c r="Q847" s="81"/>
      <c r="R847" s="81"/>
      <c r="S847" s="81"/>
      <c r="T847" s="81"/>
      <c r="U847" s="81"/>
      <c r="V847" s="81"/>
      <c r="W847" s="81"/>
      <c r="X847" s="81"/>
      <c r="Y847" s="81"/>
    </row>
    <row r="848" customFormat="false" ht="12" hidden="false" customHeight="true" outlineLevel="0" collapsed="false">
      <c r="A848" s="91"/>
      <c r="B848" s="81"/>
      <c r="C848" s="81"/>
      <c r="D848" s="81"/>
      <c r="E848" s="81"/>
      <c r="F848" s="173"/>
      <c r="G848" s="173"/>
      <c r="H848" s="173"/>
      <c r="I848" s="173"/>
      <c r="J848" s="173"/>
      <c r="K848" s="173"/>
      <c r="L848" s="80"/>
      <c r="M848" s="81"/>
      <c r="N848" s="102"/>
      <c r="O848" s="102"/>
      <c r="P848" s="81"/>
      <c r="Q848" s="81"/>
      <c r="R848" s="81"/>
      <c r="S848" s="81"/>
      <c r="T848" s="81"/>
      <c r="U848" s="81"/>
      <c r="V848" s="81"/>
      <c r="W848" s="81"/>
      <c r="X848" s="81"/>
      <c r="Y848" s="81"/>
    </row>
    <row r="849" customFormat="false" ht="12" hidden="false" customHeight="true" outlineLevel="0" collapsed="false">
      <c r="A849" s="91"/>
      <c r="B849" s="81"/>
      <c r="C849" s="81"/>
      <c r="D849" s="81"/>
      <c r="E849" s="81"/>
      <c r="F849" s="173"/>
      <c r="G849" s="173"/>
      <c r="H849" s="173"/>
      <c r="I849" s="173"/>
      <c r="J849" s="173"/>
      <c r="K849" s="173"/>
      <c r="L849" s="80"/>
      <c r="M849" s="81"/>
      <c r="N849" s="102"/>
      <c r="O849" s="102"/>
      <c r="P849" s="81"/>
      <c r="Q849" s="81"/>
      <c r="R849" s="81"/>
      <c r="S849" s="81"/>
      <c r="T849" s="81"/>
      <c r="U849" s="81"/>
      <c r="V849" s="81"/>
      <c r="W849" s="81"/>
      <c r="X849" s="81"/>
      <c r="Y849" s="81"/>
    </row>
    <row r="850" customFormat="false" ht="12" hidden="false" customHeight="true" outlineLevel="0" collapsed="false">
      <c r="A850" s="91"/>
      <c r="B850" s="81"/>
      <c r="C850" s="81"/>
      <c r="D850" s="81"/>
      <c r="E850" s="81"/>
      <c r="F850" s="173"/>
      <c r="G850" s="173"/>
      <c r="H850" s="173"/>
      <c r="I850" s="173"/>
      <c r="J850" s="173"/>
      <c r="K850" s="173"/>
      <c r="L850" s="80"/>
      <c r="M850" s="81"/>
      <c r="N850" s="102"/>
      <c r="O850" s="102"/>
      <c r="P850" s="81"/>
      <c r="Q850" s="81"/>
      <c r="R850" s="81"/>
      <c r="S850" s="81"/>
      <c r="T850" s="81"/>
      <c r="U850" s="81"/>
      <c r="V850" s="81"/>
      <c r="W850" s="81"/>
      <c r="X850" s="81"/>
      <c r="Y850" s="81"/>
    </row>
    <row r="851" customFormat="false" ht="12" hidden="false" customHeight="true" outlineLevel="0" collapsed="false">
      <c r="A851" s="91"/>
      <c r="B851" s="81"/>
      <c r="C851" s="81"/>
      <c r="D851" s="81"/>
      <c r="E851" s="81"/>
      <c r="F851" s="173"/>
      <c r="G851" s="173"/>
      <c r="H851" s="173"/>
      <c r="I851" s="173"/>
      <c r="J851" s="173"/>
      <c r="K851" s="173"/>
      <c r="L851" s="80"/>
      <c r="M851" s="81"/>
      <c r="N851" s="102"/>
      <c r="O851" s="102"/>
      <c r="P851" s="81"/>
      <c r="Q851" s="81"/>
      <c r="R851" s="81"/>
      <c r="S851" s="81"/>
      <c r="T851" s="81"/>
      <c r="U851" s="81"/>
      <c r="V851" s="81"/>
      <c r="W851" s="81"/>
      <c r="X851" s="81"/>
      <c r="Y851" s="81"/>
    </row>
    <row r="852" customFormat="false" ht="12" hidden="false" customHeight="true" outlineLevel="0" collapsed="false">
      <c r="A852" s="91"/>
      <c r="B852" s="81"/>
      <c r="C852" s="81"/>
      <c r="D852" s="81"/>
      <c r="E852" s="81"/>
      <c r="F852" s="173"/>
      <c r="G852" s="173"/>
      <c r="H852" s="173"/>
      <c r="I852" s="173"/>
      <c r="J852" s="173"/>
      <c r="K852" s="173"/>
      <c r="L852" s="80"/>
      <c r="M852" s="81"/>
      <c r="N852" s="102"/>
      <c r="O852" s="102"/>
      <c r="P852" s="81"/>
      <c r="Q852" s="81"/>
      <c r="R852" s="81"/>
      <c r="S852" s="81"/>
      <c r="T852" s="81"/>
      <c r="U852" s="81"/>
      <c r="V852" s="81"/>
      <c r="W852" s="81"/>
      <c r="X852" s="81"/>
      <c r="Y852" s="81"/>
    </row>
    <row r="853" customFormat="false" ht="12" hidden="false" customHeight="true" outlineLevel="0" collapsed="false">
      <c r="A853" s="91"/>
      <c r="B853" s="81"/>
      <c r="C853" s="81"/>
      <c r="D853" s="81"/>
      <c r="E853" s="81"/>
      <c r="F853" s="173"/>
      <c r="G853" s="173"/>
      <c r="H853" s="173"/>
      <c r="I853" s="173"/>
      <c r="J853" s="173"/>
      <c r="K853" s="173"/>
      <c r="L853" s="80"/>
      <c r="M853" s="81"/>
      <c r="N853" s="102"/>
      <c r="O853" s="102"/>
      <c r="P853" s="81"/>
      <c r="Q853" s="81"/>
      <c r="R853" s="81"/>
      <c r="S853" s="81"/>
      <c r="T853" s="81"/>
      <c r="U853" s="81"/>
      <c r="V853" s="81"/>
      <c r="W853" s="81"/>
      <c r="X853" s="81"/>
      <c r="Y853" s="81"/>
    </row>
    <row r="854" customFormat="false" ht="12" hidden="false" customHeight="true" outlineLevel="0" collapsed="false">
      <c r="A854" s="91"/>
      <c r="B854" s="81"/>
      <c r="C854" s="81"/>
      <c r="D854" s="81"/>
      <c r="E854" s="81"/>
      <c r="F854" s="173"/>
      <c r="G854" s="173"/>
      <c r="H854" s="173"/>
      <c r="I854" s="173"/>
      <c r="J854" s="173"/>
      <c r="K854" s="173"/>
      <c r="L854" s="80"/>
      <c r="M854" s="81"/>
      <c r="N854" s="102"/>
      <c r="O854" s="102"/>
      <c r="P854" s="81"/>
      <c r="Q854" s="81"/>
      <c r="R854" s="81"/>
      <c r="S854" s="81"/>
      <c r="T854" s="81"/>
      <c r="U854" s="81"/>
      <c r="V854" s="81"/>
      <c r="W854" s="81"/>
      <c r="X854" s="81"/>
      <c r="Y854" s="81"/>
    </row>
    <row r="855" customFormat="false" ht="12" hidden="false" customHeight="true" outlineLevel="0" collapsed="false">
      <c r="A855" s="91"/>
      <c r="B855" s="81"/>
      <c r="C855" s="81"/>
      <c r="D855" s="81"/>
      <c r="E855" s="81"/>
      <c r="F855" s="173"/>
      <c r="G855" s="173"/>
      <c r="H855" s="173"/>
      <c r="I855" s="173"/>
      <c r="J855" s="173"/>
      <c r="K855" s="173"/>
      <c r="L855" s="80"/>
      <c r="M855" s="81"/>
      <c r="N855" s="102"/>
      <c r="O855" s="102"/>
      <c r="P855" s="81"/>
      <c r="Q855" s="81"/>
      <c r="R855" s="81"/>
      <c r="S855" s="81"/>
      <c r="T855" s="81"/>
      <c r="U855" s="81"/>
      <c r="V855" s="81"/>
      <c r="W855" s="81"/>
      <c r="X855" s="81"/>
      <c r="Y855" s="81"/>
    </row>
    <row r="856" customFormat="false" ht="12" hidden="false" customHeight="true" outlineLevel="0" collapsed="false">
      <c r="A856" s="91"/>
      <c r="B856" s="81"/>
      <c r="C856" s="81"/>
      <c r="D856" s="81"/>
      <c r="E856" s="81"/>
      <c r="F856" s="173"/>
      <c r="G856" s="173"/>
      <c r="H856" s="173"/>
      <c r="I856" s="173"/>
      <c r="J856" s="173"/>
      <c r="K856" s="173"/>
      <c r="L856" s="80"/>
      <c r="M856" s="81"/>
      <c r="N856" s="102"/>
      <c r="O856" s="102"/>
      <c r="P856" s="81"/>
      <c r="Q856" s="81"/>
      <c r="R856" s="81"/>
      <c r="S856" s="81"/>
      <c r="T856" s="81"/>
      <c r="U856" s="81"/>
      <c r="V856" s="81"/>
      <c r="W856" s="81"/>
      <c r="X856" s="81"/>
      <c r="Y856" s="81"/>
    </row>
    <row r="857" customFormat="false" ht="12" hidden="false" customHeight="true" outlineLevel="0" collapsed="false">
      <c r="A857" s="91"/>
      <c r="B857" s="81"/>
      <c r="C857" s="81"/>
      <c r="D857" s="81"/>
      <c r="E857" s="81"/>
      <c r="F857" s="173"/>
      <c r="G857" s="173"/>
      <c r="H857" s="173"/>
      <c r="I857" s="173"/>
      <c r="J857" s="173"/>
      <c r="K857" s="173"/>
      <c r="L857" s="80"/>
      <c r="M857" s="81"/>
      <c r="N857" s="102"/>
      <c r="O857" s="102"/>
      <c r="P857" s="81"/>
      <c r="Q857" s="81"/>
      <c r="R857" s="81"/>
      <c r="S857" s="81"/>
      <c r="T857" s="81"/>
      <c r="U857" s="81"/>
      <c r="V857" s="81"/>
      <c r="W857" s="81"/>
      <c r="X857" s="81"/>
      <c r="Y857" s="81"/>
    </row>
    <row r="858" customFormat="false" ht="12" hidden="false" customHeight="true" outlineLevel="0" collapsed="false">
      <c r="A858" s="91"/>
      <c r="B858" s="81"/>
      <c r="C858" s="81"/>
      <c r="D858" s="81"/>
      <c r="E858" s="81"/>
      <c r="F858" s="173"/>
      <c r="G858" s="173"/>
      <c r="H858" s="173"/>
      <c r="I858" s="173"/>
      <c r="J858" s="173"/>
      <c r="K858" s="173"/>
      <c r="L858" s="80"/>
      <c r="M858" s="81"/>
      <c r="N858" s="102"/>
      <c r="O858" s="102"/>
      <c r="P858" s="81"/>
      <c r="Q858" s="81"/>
      <c r="R858" s="81"/>
      <c r="S858" s="81"/>
      <c r="T858" s="81"/>
      <c r="U858" s="81"/>
      <c r="V858" s="81"/>
      <c r="W858" s="81"/>
      <c r="X858" s="81"/>
      <c r="Y858" s="81"/>
    </row>
    <row r="859" customFormat="false" ht="12" hidden="false" customHeight="true" outlineLevel="0" collapsed="false">
      <c r="A859" s="91"/>
      <c r="B859" s="81"/>
      <c r="C859" s="81"/>
      <c r="D859" s="81"/>
      <c r="E859" s="81"/>
      <c r="F859" s="173"/>
      <c r="G859" s="173"/>
      <c r="H859" s="173"/>
      <c r="I859" s="173"/>
      <c r="J859" s="173"/>
      <c r="K859" s="173"/>
      <c r="L859" s="80"/>
      <c r="M859" s="81"/>
      <c r="N859" s="102"/>
      <c r="O859" s="102"/>
      <c r="P859" s="81"/>
      <c r="Q859" s="81"/>
      <c r="R859" s="81"/>
      <c r="S859" s="81"/>
      <c r="T859" s="81"/>
      <c r="U859" s="81"/>
      <c r="V859" s="81"/>
      <c r="W859" s="81"/>
      <c r="X859" s="81"/>
      <c r="Y859" s="81"/>
    </row>
    <row r="860" customFormat="false" ht="12" hidden="false" customHeight="true" outlineLevel="0" collapsed="false">
      <c r="A860" s="91"/>
      <c r="B860" s="81"/>
      <c r="C860" s="81"/>
      <c r="D860" s="81"/>
      <c r="E860" s="81"/>
      <c r="F860" s="173"/>
      <c r="G860" s="173"/>
      <c r="H860" s="173"/>
      <c r="I860" s="173"/>
      <c r="J860" s="173"/>
      <c r="K860" s="173"/>
      <c r="L860" s="80"/>
      <c r="M860" s="81"/>
      <c r="N860" s="102"/>
      <c r="O860" s="102"/>
      <c r="P860" s="81"/>
      <c r="Q860" s="81"/>
      <c r="R860" s="81"/>
      <c r="S860" s="81"/>
      <c r="T860" s="81"/>
      <c r="U860" s="81"/>
      <c r="V860" s="81"/>
      <c r="W860" s="81"/>
      <c r="X860" s="81"/>
      <c r="Y860" s="81"/>
    </row>
    <row r="861" customFormat="false" ht="12" hidden="false" customHeight="true" outlineLevel="0" collapsed="false">
      <c r="A861" s="91"/>
      <c r="B861" s="81"/>
      <c r="C861" s="81"/>
      <c r="D861" s="81"/>
      <c r="E861" s="81"/>
      <c r="F861" s="173"/>
      <c r="G861" s="173"/>
      <c r="H861" s="173"/>
      <c r="I861" s="173"/>
      <c r="J861" s="173"/>
      <c r="K861" s="173"/>
      <c r="L861" s="80"/>
      <c r="M861" s="81"/>
      <c r="N861" s="102"/>
      <c r="O861" s="102"/>
      <c r="P861" s="81"/>
      <c r="Q861" s="81"/>
      <c r="R861" s="81"/>
      <c r="S861" s="81"/>
      <c r="T861" s="81"/>
      <c r="U861" s="81"/>
      <c r="V861" s="81"/>
      <c r="W861" s="81"/>
      <c r="X861" s="81"/>
      <c r="Y861" s="81"/>
    </row>
    <row r="862" customFormat="false" ht="12" hidden="false" customHeight="true" outlineLevel="0" collapsed="false">
      <c r="A862" s="91"/>
      <c r="B862" s="81"/>
      <c r="C862" s="81"/>
      <c r="D862" s="81"/>
      <c r="E862" s="81"/>
      <c r="F862" s="173"/>
      <c r="G862" s="173"/>
      <c r="H862" s="173"/>
      <c r="I862" s="173"/>
      <c r="J862" s="173"/>
      <c r="K862" s="173"/>
      <c r="L862" s="80"/>
      <c r="M862" s="81"/>
      <c r="N862" s="102"/>
      <c r="O862" s="102"/>
      <c r="P862" s="81"/>
      <c r="Q862" s="81"/>
      <c r="R862" s="81"/>
      <c r="S862" s="81"/>
      <c r="T862" s="81"/>
      <c r="U862" s="81"/>
      <c r="V862" s="81"/>
      <c r="W862" s="81"/>
      <c r="X862" s="81"/>
      <c r="Y862" s="81"/>
    </row>
    <row r="863" customFormat="false" ht="12" hidden="false" customHeight="true" outlineLevel="0" collapsed="false">
      <c r="A863" s="91"/>
      <c r="B863" s="81"/>
      <c r="C863" s="81"/>
      <c r="D863" s="81"/>
      <c r="E863" s="81"/>
      <c r="F863" s="173"/>
      <c r="G863" s="173"/>
      <c r="H863" s="173"/>
      <c r="I863" s="173"/>
      <c r="J863" s="173"/>
      <c r="K863" s="173"/>
      <c r="L863" s="80"/>
      <c r="M863" s="81"/>
      <c r="N863" s="102"/>
      <c r="O863" s="102"/>
      <c r="P863" s="81"/>
      <c r="Q863" s="81"/>
      <c r="R863" s="81"/>
      <c r="S863" s="81"/>
      <c r="T863" s="81"/>
      <c r="U863" s="81"/>
      <c r="V863" s="81"/>
      <c r="W863" s="81"/>
      <c r="X863" s="81"/>
      <c r="Y863" s="81"/>
    </row>
    <row r="864" customFormat="false" ht="12" hidden="false" customHeight="true" outlineLevel="0" collapsed="false">
      <c r="A864" s="91"/>
      <c r="B864" s="81"/>
      <c r="C864" s="81"/>
      <c r="D864" s="81"/>
      <c r="E864" s="81"/>
      <c r="F864" s="173"/>
      <c r="G864" s="173"/>
      <c r="H864" s="173"/>
      <c r="I864" s="173"/>
      <c r="J864" s="173"/>
      <c r="K864" s="173"/>
      <c r="L864" s="80"/>
      <c r="M864" s="81"/>
      <c r="N864" s="102"/>
      <c r="O864" s="102"/>
      <c r="P864" s="81"/>
      <c r="Q864" s="81"/>
      <c r="R864" s="81"/>
      <c r="S864" s="81"/>
      <c r="T864" s="81"/>
      <c r="U864" s="81"/>
      <c r="V864" s="81"/>
      <c r="W864" s="81"/>
      <c r="X864" s="81"/>
      <c r="Y864" s="81"/>
    </row>
    <row r="865" customFormat="false" ht="12" hidden="false" customHeight="true" outlineLevel="0" collapsed="false">
      <c r="A865" s="91"/>
      <c r="B865" s="81"/>
      <c r="C865" s="81"/>
      <c r="D865" s="81"/>
      <c r="E865" s="81"/>
      <c r="F865" s="173"/>
      <c r="G865" s="173"/>
      <c r="H865" s="173"/>
      <c r="I865" s="173"/>
      <c r="J865" s="173"/>
      <c r="K865" s="173"/>
      <c r="L865" s="80"/>
      <c r="M865" s="81"/>
      <c r="N865" s="102"/>
      <c r="O865" s="102"/>
      <c r="P865" s="81"/>
      <c r="Q865" s="81"/>
      <c r="R865" s="81"/>
      <c r="S865" s="81"/>
      <c r="T865" s="81"/>
      <c r="U865" s="81"/>
      <c r="V865" s="81"/>
      <c r="W865" s="81"/>
      <c r="X865" s="81"/>
      <c r="Y865" s="81"/>
    </row>
    <row r="866" customFormat="false" ht="12" hidden="false" customHeight="true" outlineLevel="0" collapsed="false">
      <c r="A866" s="91"/>
      <c r="B866" s="81"/>
      <c r="C866" s="81"/>
      <c r="D866" s="81"/>
      <c r="E866" s="81"/>
      <c r="F866" s="173"/>
      <c r="G866" s="173"/>
      <c r="H866" s="173"/>
      <c r="I866" s="173"/>
      <c r="J866" s="173"/>
      <c r="K866" s="173"/>
      <c r="L866" s="80"/>
      <c r="M866" s="81"/>
      <c r="N866" s="102"/>
      <c r="O866" s="102"/>
      <c r="P866" s="81"/>
      <c r="Q866" s="81"/>
      <c r="R866" s="81"/>
      <c r="S866" s="81"/>
      <c r="T866" s="81"/>
      <c r="U866" s="81"/>
      <c r="V866" s="81"/>
      <c r="W866" s="81"/>
      <c r="X866" s="81"/>
      <c r="Y866" s="81"/>
    </row>
    <row r="867" customFormat="false" ht="12" hidden="false" customHeight="true" outlineLevel="0" collapsed="false">
      <c r="A867" s="91"/>
      <c r="B867" s="81"/>
      <c r="C867" s="81"/>
      <c r="D867" s="81"/>
      <c r="E867" s="81"/>
      <c r="F867" s="173"/>
      <c r="G867" s="173"/>
      <c r="H867" s="173"/>
      <c r="I867" s="173"/>
      <c r="J867" s="173"/>
      <c r="K867" s="173"/>
      <c r="L867" s="80"/>
      <c r="M867" s="81"/>
      <c r="N867" s="102"/>
      <c r="O867" s="102"/>
      <c r="P867" s="81"/>
      <c r="Q867" s="81"/>
      <c r="R867" s="81"/>
      <c r="S867" s="81"/>
      <c r="T867" s="81"/>
      <c r="U867" s="81"/>
      <c r="V867" s="81"/>
      <c r="W867" s="81"/>
      <c r="X867" s="81"/>
      <c r="Y867" s="81"/>
    </row>
    <row r="868" customFormat="false" ht="12" hidden="false" customHeight="true" outlineLevel="0" collapsed="false">
      <c r="A868" s="91"/>
      <c r="B868" s="81"/>
      <c r="C868" s="81"/>
      <c r="D868" s="81"/>
      <c r="E868" s="81"/>
      <c r="F868" s="173"/>
      <c r="G868" s="173"/>
      <c r="H868" s="173"/>
      <c r="I868" s="173"/>
      <c r="J868" s="173"/>
      <c r="K868" s="173"/>
      <c r="L868" s="80"/>
      <c r="M868" s="81"/>
      <c r="N868" s="102"/>
      <c r="O868" s="102"/>
      <c r="P868" s="81"/>
      <c r="Q868" s="81"/>
      <c r="R868" s="81"/>
      <c r="S868" s="81"/>
      <c r="T868" s="81"/>
      <c r="U868" s="81"/>
      <c r="V868" s="81"/>
      <c r="W868" s="81"/>
      <c r="X868" s="81"/>
      <c r="Y868" s="81"/>
    </row>
    <row r="869" customFormat="false" ht="12" hidden="false" customHeight="true" outlineLevel="0" collapsed="false">
      <c r="A869" s="91"/>
      <c r="B869" s="81"/>
      <c r="C869" s="81"/>
      <c r="D869" s="81"/>
      <c r="E869" s="81"/>
      <c r="F869" s="173"/>
      <c r="G869" s="173"/>
      <c r="H869" s="173"/>
      <c r="I869" s="173"/>
      <c r="J869" s="173"/>
      <c r="K869" s="173"/>
      <c r="L869" s="80"/>
      <c r="M869" s="81"/>
      <c r="N869" s="102"/>
      <c r="O869" s="102"/>
      <c r="P869" s="81"/>
      <c r="Q869" s="81"/>
      <c r="R869" s="81"/>
      <c r="S869" s="81"/>
      <c r="T869" s="81"/>
      <c r="U869" s="81"/>
      <c r="V869" s="81"/>
      <c r="W869" s="81"/>
      <c r="X869" s="81"/>
      <c r="Y869" s="81"/>
    </row>
    <row r="870" customFormat="false" ht="12" hidden="false" customHeight="true" outlineLevel="0" collapsed="false">
      <c r="A870" s="91"/>
      <c r="B870" s="81"/>
      <c r="C870" s="81"/>
      <c r="D870" s="81"/>
      <c r="E870" s="81"/>
      <c r="F870" s="173"/>
      <c r="G870" s="173"/>
      <c r="H870" s="173"/>
      <c r="I870" s="173"/>
      <c r="J870" s="173"/>
      <c r="K870" s="173"/>
      <c r="L870" s="80"/>
      <c r="M870" s="81"/>
      <c r="N870" s="102"/>
      <c r="O870" s="102"/>
      <c r="P870" s="81"/>
      <c r="Q870" s="81"/>
      <c r="R870" s="81"/>
      <c r="S870" s="81"/>
      <c r="T870" s="81"/>
      <c r="U870" s="81"/>
      <c r="V870" s="81"/>
      <c r="W870" s="81"/>
      <c r="X870" s="81"/>
      <c r="Y870" s="81"/>
    </row>
    <row r="871" customFormat="false" ht="12" hidden="false" customHeight="true" outlineLevel="0" collapsed="false">
      <c r="A871" s="91"/>
      <c r="B871" s="81"/>
      <c r="C871" s="81"/>
      <c r="D871" s="81"/>
      <c r="E871" s="81"/>
      <c r="F871" s="173"/>
      <c r="G871" s="173"/>
      <c r="H871" s="173"/>
      <c r="I871" s="173"/>
      <c r="J871" s="173"/>
      <c r="K871" s="173"/>
      <c r="L871" s="80"/>
      <c r="M871" s="81"/>
      <c r="N871" s="102"/>
      <c r="O871" s="102"/>
      <c r="P871" s="81"/>
      <c r="Q871" s="81"/>
      <c r="R871" s="81"/>
      <c r="S871" s="81"/>
      <c r="T871" s="81"/>
      <c r="U871" s="81"/>
      <c r="V871" s="81"/>
      <c r="W871" s="81"/>
      <c r="X871" s="81"/>
      <c r="Y871" s="81"/>
    </row>
    <row r="872" customFormat="false" ht="12" hidden="false" customHeight="true" outlineLevel="0" collapsed="false">
      <c r="A872" s="91"/>
      <c r="B872" s="81"/>
      <c r="C872" s="81"/>
      <c r="D872" s="81"/>
      <c r="E872" s="81"/>
      <c r="F872" s="173"/>
      <c r="G872" s="173"/>
      <c r="H872" s="173"/>
      <c r="I872" s="173"/>
      <c r="J872" s="173"/>
      <c r="K872" s="173"/>
      <c r="L872" s="80"/>
      <c r="M872" s="81"/>
      <c r="N872" s="102"/>
      <c r="O872" s="102"/>
      <c r="P872" s="81"/>
      <c r="Q872" s="81"/>
      <c r="R872" s="81"/>
      <c r="S872" s="81"/>
      <c r="T872" s="81"/>
      <c r="U872" s="81"/>
      <c r="V872" s="81"/>
      <c r="W872" s="81"/>
      <c r="X872" s="81"/>
      <c r="Y872" s="81"/>
    </row>
    <row r="873" customFormat="false" ht="12" hidden="false" customHeight="true" outlineLevel="0" collapsed="false">
      <c r="A873" s="91"/>
      <c r="B873" s="81"/>
      <c r="C873" s="81"/>
      <c r="D873" s="81"/>
      <c r="E873" s="81"/>
      <c r="F873" s="173"/>
      <c r="G873" s="173"/>
      <c r="H873" s="173"/>
      <c r="I873" s="173"/>
      <c r="J873" s="173"/>
      <c r="K873" s="173"/>
      <c r="L873" s="80"/>
      <c r="M873" s="81"/>
      <c r="N873" s="102"/>
      <c r="O873" s="102"/>
      <c r="P873" s="81"/>
      <c r="Q873" s="81"/>
      <c r="R873" s="81"/>
      <c r="S873" s="81"/>
      <c r="T873" s="81"/>
      <c r="U873" s="81"/>
      <c r="V873" s="81"/>
      <c r="W873" s="81"/>
      <c r="X873" s="81"/>
      <c r="Y873" s="81"/>
    </row>
    <row r="874" customFormat="false" ht="12" hidden="false" customHeight="true" outlineLevel="0" collapsed="false">
      <c r="A874" s="91"/>
      <c r="B874" s="81"/>
      <c r="C874" s="81"/>
      <c r="D874" s="81"/>
      <c r="E874" s="81"/>
      <c r="F874" s="173"/>
      <c r="G874" s="173"/>
      <c r="H874" s="173"/>
      <c r="I874" s="173"/>
      <c r="J874" s="173"/>
      <c r="K874" s="173"/>
      <c r="L874" s="80"/>
      <c r="M874" s="81"/>
      <c r="N874" s="102"/>
      <c r="O874" s="102"/>
      <c r="P874" s="81"/>
      <c r="Q874" s="81"/>
      <c r="R874" s="81"/>
      <c r="S874" s="81"/>
      <c r="T874" s="81"/>
      <c r="U874" s="81"/>
      <c r="V874" s="81"/>
      <c r="W874" s="81"/>
      <c r="X874" s="81"/>
      <c r="Y874" s="81"/>
    </row>
    <row r="875" customFormat="false" ht="12" hidden="false" customHeight="true" outlineLevel="0" collapsed="false">
      <c r="A875" s="91"/>
      <c r="B875" s="81"/>
      <c r="C875" s="81"/>
      <c r="D875" s="81"/>
      <c r="E875" s="81"/>
      <c r="F875" s="173"/>
      <c r="G875" s="173"/>
      <c r="H875" s="173"/>
      <c r="I875" s="173"/>
      <c r="J875" s="173"/>
      <c r="K875" s="173"/>
      <c r="L875" s="80"/>
      <c r="M875" s="81"/>
      <c r="N875" s="102"/>
      <c r="O875" s="102"/>
      <c r="P875" s="81"/>
      <c r="Q875" s="81"/>
      <c r="R875" s="81"/>
      <c r="S875" s="81"/>
      <c r="T875" s="81"/>
      <c r="U875" s="81"/>
      <c r="V875" s="81"/>
      <c r="W875" s="81"/>
      <c r="X875" s="81"/>
      <c r="Y875" s="81"/>
    </row>
    <row r="876" customFormat="false" ht="12" hidden="false" customHeight="true" outlineLevel="0" collapsed="false">
      <c r="A876" s="91"/>
      <c r="B876" s="81"/>
      <c r="C876" s="81"/>
      <c r="D876" s="81"/>
      <c r="E876" s="81"/>
      <c r="F876" s="173"/>
      <c r="G876" s="173"/>
      <c r="H876" s="173"/>
      <c r="I876" s="173"/>
      <c r="J876" s="173"/>
      <c r="K876" s="173"/>
      <c r="L876" s="80"/>
      <c r="M876" s="81"/>
      <c r="N876" s="102"/>
      <c r="O876" s="102"/>
      <c r="P876" s="81"/>
      <c r="Q876" s="81"/>
      <c r="R876" s="81"/>
      <c r="S876" s="81"/>
      <c r="T876" s="81"/>
      <c r="U876" s="81"/>
      <c r="V876" s="81"/>
      <c r="W876" s="81"/>
      <c r="X876" s="81"/>
      <c r="Y876" s="81"/>
    </row>
    <row r="877" customFormat="false" ht="12" hidden="false" customHeight="true" outlineLevel="0" collapsed="false">
      <c r="A877" s="91"/>
      <c r="B877" s="81"/>
      <c r="C877" s="81"/>
      <c r="D877" s="81"/>
      <c r="E877" s="81"/>
      <c r="F877" s="173"/>
      <c r="G877" s="173"/>
      <c r="H877" s="173"/>
      <c r="I877" s="173"/>
      <c r="J877" s="173"/>
      <c r="K877" s="173"/>
      <c r="L877" s="80"/>
      <c r="M877" s="81"/>
      <c r="N877" s="102"/>
      <c r="O877" s="102"/>
      <c r="P877" s="81"/>
      <c r="Q877" s="81"/>
      <c r="R877" s="81"/>
      <c r="S877" s="81"/>
      <c r="T877" s="81"/>
      <c r="U877" s="81"/>
      <c r="V877" s="81"/>
      <c r="W877" s="81"/>
      <c r="X877" s="81"/>
      <c r="Y877" s="81"/>
    </row>
    <row r="878" customFormat="false" ht="12" hidden="false" customHeight="true" outlineLevel="0" collapsed="false">
      <c r="A878" s="91"/>
      <c r="B878" s="81"/>
      <c r="C878" s="81"/>
      <c r="D878" s="81"/>
      <c r="E878" s="81"/>
      <c r="F878" s="173"/>
      <c r="G878" s="173"/>
      <c r="H878" s="173"/>
      <c r="I878" s="173"/>
      <c r="J878" s="173"/>
      <c r="K878" s="173"/>
      <c r="L878" s="80"/>
      <c r="M878" s="81"/>
      <c r="N878" s="102"/>
      <c r="O878" s="102"/>
      <c r="P878" s="81"/>
      <c r="Q878" s="81"/>
      <c r="R878" s="81"/>
      <c r="S878" s="81"/>
      <c r="T878" s="81"/>
      <c r="U878" s="81"/>
      <c r="V878" s="81"/>
      <c r="W878" s="81"/>
      <c r="X878" s="81"/>
      <c r="Y878" s="81"/>
    </row>
    <row r="879" customFormat="false" ht="12" hidden="false" customHeight="true" outlineLevel="0" collapsed="false">
      <c r="A879" s="91"/>
      <c r="B879" s="81"/>
      <c r="C879" s="81"/>
      <c r="D879" s="81"/>
      <c r="E879" s="81"/>
      <c r="F879" s="173"/>
      <c r="G879" s="173"/>
      <c r="H879" s="173"/>
      <c r="I879" s="173"/>
      <c r="J879" s="173"/>
      <c r="K879" s="173"/>
      <c r="L879" s="80"/>
      <c r="M879" s="81"/>
      <c r="N879" s="102"/>
      <c r="O879" s="102"/>
      <c r="P879" s="81"/>
      <c r="Q879" s="81"/>
      <c r="R879" s="81"/>
      <c r="S879" s="81"/>
      <c r="T879" s="81"/>
      <c r="U879" s="81"/>
      <c r="V879" s="81"/>
      <c r="W879" s="81"/>
      <c r="X879" s="81"/>
      <c r="Y879" s="81"/>
    </row>
    <row r="880" customFormat="false" ht="12" hidden="false" customHeight="true" outlineLevel="0" collapsed="false">
      <c r="A880" s="91"/>
      <c r="B880" s="81"/>
      <c r="C880" s="81"/>
      <c r="D880" s="81"/>
      <c r="E880" s="81"/>
      <c r="F880" s="173"/>
      <c r="G880" s="173"/>
      <c r="H880" s="173"/>
      <c r="I880" s="173"/>
      <c r="J880" s="173"/>
      <c r="K880" s="173"/>
      <c r="L880" s="80"/>
      <c r="M880" s="81"/>
      <c r="N880" s="102"/>
      <c r="O880" s="102"/>
      <c r="P880" s="81"/>
      <c r="Q880" s="81"/>
      <c r="R880" s="81"/>
      <c r="S880" s="81"/>
      <c r="T880" s="81"/>
      <c r="U880" s="81"/>
      <c r="V880" s="81"/>
      <c r="W880" s="81"/>
      <c r="X880" s="81"/>
      <c r="Y880" s="81"/>
    </row>
    <row r="881" customFormat="false" ht="12" hidden="false" customHeight="true" outlineLevel="0" collapsed="false">
      <c r="A881" s="91"/>
      <c r="B881" s="81"/>
      <c r="C881" s="81"/>
      <c r="D881" s="81"/>
      <c r="E881" s="81"/>
      <c r="F881" s="173"/>
      <c r="G881" s="173"/>
      <c r="H881" s="173"/>
      <c r="I881" s="173"/>
      <c r="J881" s="173"/>
      <c r="K881" s="173"/>
      <c r="L881" s="80"/>
      <c r="M881" s="81"/>
      <c r="N881" s="102"/>
      <c r="O881" s="102"/>
      <c r="P881" s="81"/>
      <c r="Q881" s="81"/>
      <c r="R881" s="81"/>
      <c r="S881" s="81"/>
      <c r="T881" s="81"/>
      <c r="U881" s="81"/>
      <c r="V881" s="81"/>
      <c r="W881" s="81"/>
      <c r="X881" s="81"/>
      <c r="Y881" s="81"/>
    </row>
    <row r="882" customFormat="false" ht="12" hidden="false" customHeight="true" outlineLevel="0" collapsed="false">
      <c r="A882" s="91"/>
      <c r="B882" s="81"/>
      <c r="C882" s="81"/>
      <c r="D882" s="81"/>
      <c r="E882" s="81"/>
      <c r="F882" s="173"/>
      <c r="G882" s="173"/>
      <c r="H882" s="173"/>
      <c r="I882" s="173"/>
      <c r="J882" s="173"/>
      <c r="K882" s="173"/>
      <c r="L882" s="80"/>
      <c r="M882" s="81"/>
      <c r="N882" s="102"/>
      <c r="O882" s="102"/>
      <c r="P882" s="81"/>
      <c r="Q882" s="81"/>
      <c r="R882" s="81"/>
      <c r="S882" s="81"/>
      <c r="T882" s="81"/>
      <c r="U882" s="81"/>
      <c r="V882" s="81"/>
      <c r="W882" s="81"/>
      <c r="X882" s="81"/>
      <c r="Y882" s="81"/>
    </row>
    <row r="883" customFormat="false" ht="12" hidden="false" customHeight="true" outlineLevel="0" collapsed="false">
      <c r="A883" s="91"/>
      <c r="B883" s="81"/>
      <c r="C883" s="81"/>
      <c r="D883" s="81"/>
      <c r="E883" s="81"/>
      <c r="F883" s="173"/>
      <c r="G883" s="173"/>
      <c r="H883" s="173"/>
      <c r="I883" s="173"/>
      <c r="J883" s="173"/>
      <c r="K883" s="173"/>
      <c r="L883" s="80"/>
      <c r="M883" s="81"/>
      <c r="N883" s="102"/>
      <c r="O883" s="102"/>
      <c r="P883" s="81"/>
      <c r="Q883" s="81"/>
      <c r="R883" s="81"/>
      <c r="S883" s="81"/>
      <c r="T883" s="81"/>
      <c r="U883" s="81"/>
      <c r="V883" s="81"/>
      <c r="W883" s="81"/>
      <c r="X883" s="81"/>
      <c r="Y883" s="81"/>
    </row>
    <row r="884" customFormat="false" ht="12" hidden="false" customHeight="true" outlineLevel="0" collapsed="false">
      <c r="A884" s="91"/>
      <c r="B884" s="81"/>
      <c r="C884" s="81"/>
      <c r="D884" s="81"/>
      <c r="E884" s="81"/>
      <c r="F884" s="173"/>
      <c r="G884" s="173"/>
      <c r="H884" s="173"/>
      <c r="I884" s="173"/>
      <c r="J884" s="173"/>
      <c r="K884" s="173"/>
      <c r="L884" s="80"/>
      <c r="M884" s="81"/>
      <c r="N884" s="102"/>
      <c r="O884" s="102"/>
      <c r="P884" s="81"/>
      <c r="Q884" s="81"/>
      <c r="R884" s="81"/>
      <c r="S884" s="81"/>
      <c r="T884" s="81"/>
      <c r="U884" s="81"/>
      <c r="V884" s="81"/>
      <c r="W884" s="81"/>
      <c r="X884" s="81"/>
      <c r="Y884" s="81"/>
    </row>
    <row r="885" customFormat="false" ht="12" hidden="false" customHeight="true" outlineLevel="0" collapsed="false">
      <c r="A885" s="91"/>
      <c r="B885" s="81"/>
      <c r="C885" s="81"/>
      <c r="D885" s="81"/>
      <c r="E885" s="81"/>
      <c r="F885" s="173"/>
      <c r="G885" s="173"/>
      <c r="H885" s="173"/>
      <c r="I885" s="173"/>
      <c r="J885" s="173"/>
      <c r="K885" s="173"/>
      <c r="L885" s="80"/>
      <c r="M885" s="81"/>
      <c r="N885" s="102"/>
      <c r="O885" s="102"/>
      <c r="P885" s="81"/>
      <c r="Q885" s="81"/>
      <c r="R885" s="81"/>
      <c r="S885" s="81"/>
      <c r="T885" s="81"/>
      <c r="U885" s="81"/>
      <c r="V885" s="81"/>
      <c r="W885" s="81"/>
      <c r="X885" s="81"/>
      <c r="Y885" s="81"/>
    </row>
    <row r="886" customFormat="false" ht="12" hidden="false" customHeight="true" outlineLevel="0" collapsed="false">
      <c r="A886" s="91"/>
      <c r="B886" s="81"/>
      <c r="C886" s="81"/>
      <c r="D886" s="81"/>
      <c r="E886" s="81"/>
      <c r="F886" s="173"/>
      <c r="G886" s="173"/>
      <c r="H886" s="173"/>
      <c r="I886" s="173"/>
      <c r="J886" s="173"/>
      <c r="K886" s="173"/>
      <c r="L886" s="80"/>
      <c r="M886" s="81"/>
      <c r="N886" s="102"/>
      <c r="O886" s="102"/>
      <c r="P886" s="81"/>
      <c r="Q886" s="81"/>
      <c r="R886" s="81"/>
      <c r="S886" s="81"/>
      <c r="T886" s="81"/>
      <c r="U886" s="81"/>
      <c r="V886" s="81"/>
      <c r="W886" s="81"/>
      <c r="X886" s="81"/>
      <c r="Y886" s="81"/>
    </row>
    <row r="887" customFormat="false" ht="12" hidden="false" customHeight="true" outlineLevel="0" collapsed="false">
      <c r="A887" s="91"/>
      <c r="B887" s="81"/>
      <c r="C887" s="81"/>
      <c r="D887" s="81"/>
      <c r="E887" s="81"/>
      <c r="F887" s="173"/>
      <c r="G887" s="173"/>
      <c r="H887" s="173"/>
      <c r="I887" s="173"/>
      <c r="J887" s="173"/>
      <c r="K887" s="173"/>
      <c r="L887" s="80"/>
      <c r="M887" s="81"/>
      <c r="N887" s="102"/>
      <c r="O887" s="102"/>
      <c r="P887" s="81"/>
      <c r="Q887" s="81"/>
      <c r="R887" s="81"/>
      <c r="S887" s="81"/>
      <c r="T887" s="81"/>
      <c r="U887" s="81"/>
      <c r="V887" s="81"/>
      <c r="W887" s="81"/>
      <c r="X887" s="81"/>
      <c r="Y887" s="81"/>
    </row>
    <row r="888" customFormat="false" ht="12" hidden="false" customHeight="true" outlineLevel="0" collapsed="false">
      <c r="A888" s="91"/>
      <c r="B888" s="81"/>
      <c r="C888" s="81"/>
      <c r="D888" s="81"/>
      <c r="E888" s="81"/>
      <c r="F888" s="173"/>
      <c r="G888" s="173"/>
      <c r="H888" s="173"/>
      <c r="I888" s="173"/>
      <c r="J888" s="173"/>
      <c r="K888" s="173"/>
      <c r="L888" s="80"/>
      <c r="M888" s="81"/>
      <c r="N888" s="102"/>
      <c r="O888" s="102"/>
      <c r="P888" s="81"/>
      <c r="Q888" s="81"/>
      <c r="R888" s="81"/>
      <c r="S888" s="81"/>
      <c r="T888" s="81"/>
      <c r="U888" s="81"/>
      <c r="V888" s="81"/>
      <c r="W888" s="81"/>
      <c r="X888" s="81"/>
      <c r="Y888" s="81"/>
    </row>
    <row r="889" customFormat="false" ht="12" hidden="false" customHeight="true" outlineLevel="0" collapsed="false">
      <c r="A889" s="91"/>
      <c r="B889" s="81"/>
      <c r="C889" s="81"/>
      <c r="D889" s="81"/>
      <c r="E889" s="81"/>
      <c r="F889" s="173"/>
      <c r="G889" s="173"/>
      <c r="H889" s="173"/>
      <c r="I889" s="173"/>
      <c r="J889" s="173"/>
      <c r="K889" s="173"/>
      <c r="L889" s="80"/>
      <c r="M889" s="81"/>
      <c r="N889" s="102"/>
      <c r="O889" s="102"/>
      <c r="P889" s="81"/>
      <c r="Q889" s="81"/>
      <c r="R889" s="81"/>
      <c r="S889" s="81"/>
      <c r="T889" s="81"/>
      <c r="U889" s="81"/>
      <c r="V889" s="81"/>
      <c r="W889" s="81"/>
      <c r="X889" s="81"/>
      <c r="Y889" s="81"/>
    </row>
    <row r="890" customFormat="false" ht="12" hidden="false" customHeight="true" outlineLevel="0" collapsed="false">
      <c r="A890" s="91"/>
      <c r="B890" s="81"/>
      <c r="C890" s="81"/>
      <c r="D890" s="81"/>
      <c r="E890" s="81"/>
      <c r="F890" s="173"/>
      <c r="G890" s="173"/>
      <c r="H890" s="173"/>
      <c r="I890" s="173"/>
      <c r="J890" s="173"/>
      <c r="K890" s="173"/>
      <c r="L890" s="80"/>
      <c r="M890" s="81"/>
      <c r="N890" s="102"/>
      <c r="O890" s="102"/>
      <c r="P890" s="81"/>
      <c r="Q890" s="81"/>
      <c r="R890" s="81"/>
      <c r="S890" s="81"/>
      <c r="T890" s="81"/>
      <c r="U890" s="81"/>
      <c r="V890" s="81"/>
      <c r="W890" s="81"/>
      <c r="X890" s="81"/>
      <c r="Y890" s="81"/>
    </row>
    <row r="891" customFormat="false" ht="12" hidden="false" customHeight="true" outlineLevel="0" collapsed="false">
      <c r="A891" s="91"/>
      <c r="B891" s="81"/>
      <c r="C891" s="81"/>
      <c r="D891" s="81"/>
      <c r="E891" s="81"/>
      <c r="F891" s="173"/>
      <c r="G891" s="173"/>
      <c r="H891" s="173"/>
      <c r="I891" s="173"/>
      <c r="J891" s="173"/>
      <c r="K891" s="173"/>
      <c r="L891" s="80"/>
      <c r="M891" s="81"/>
      <c r="N891" s="102"/>
      <c r="O891" s="102"/>
      <c r="P891" s="81"/>
      <c r="Q891" s="81"/>
      <c r="R891" s="81"/>
      <c r="S891" s="81"/>
      <c r="T891" s="81"/>
      <c r="U891" s="81"/>
      <c r="V891" s="81"/>
      <c r="W891" s="81"/>
      <c r="X891" s="81"/>
      <c r="Y891" s="81"/>
    </row>
    <row r="892" customFormat="false" ht="12" hidden="false" customHeight="true" outlineLevel="0" collapsed="false">
      <c r="A892" s="91"/>
      <c r="B892" s="81"/>
      <c r="C892" s="81"/>
      <c r="D892" s="81"/>
      <c r="E892" s="81"/>
      <c r="F892" s="173"/>
      <c r="G892" s="173"/>
      <c r="H892" s="173"/>
      <c r="I892" s="173"/>
      <c r="J892" s="173"/>
      <c r="K892" s="173"/>
      <c r="L892" s="80"/>
      <c r="M892" s="81"/>
      <c r="N892" s="102"/>
      <c r="O892" s="102"/>
      <c r="P892" s="81"/>
      <c r="Q892" s="81"/>
      <c r="R892" s="81"/>
      <c r="S892" s="81"/>
      <c r="T892" s="81"/>
      <c r="U892" s="81"/>
      <c r="V892" s="81"/>
      <c r="W892" s="81"/>
      <c r="X892" s="81"/>
      <c r="Y892" s="81"/>
    </row>
    <row r="893" customFormat="false" ht="12" hidden="false" customHeight="true" outlineLevel="0" collapsed="false">
      <c r="A893" s="91"/>
      <c r="B893" s="81"/>
      <c r="C893" s="81"/>
      <c r="D893" s="81"/>
      <c r="E893" s="81"/>
      <c r="F893" s="173"/>
      <c r="G893" s="173"/>
      <c r="H893" s="173"/>
      <c r="I893" s="173"/>
      <c r="J893" s="173"/>
      <c r="K893" s="173"/>
      <c r="L893" s="80"/>
      <c r="M893" s="81"/>
      <c r="N893" s="102"/>
      <c r="O893" s="102"/>
      <c r="P893" s="81"/>
      <c r="Q893" s="81"/>
      <c r="R893" s="81"/>
      <c r="S893" s="81"/>
      <c r="T893" s="81"/>
      <c r="U893" s="81"/>
      <c r="V893" s="81"/>
      <c r="W893" s="81"/>
      <c r="X893" s="81"/>
      <c r="Y893" s="81"/>
    </row>
    <row r="894" customFormat="false" ht="12" hidden="false" customHeight="true" outlineLevel="0" collapsed="false">
      <c r="A894" s="91"/>
      <c r="B894" s="81"/>
      <c r="C894" s="81"/>
      <c r="D894" s="81"/>
      <c r="E894" s="81"/>
      <c r="F894" s="173"/>
      <c r="G894" s="173"/>
      <c r="H894" s="173"/>
      <c r="I894" s="173"/>
      <c r="J894" s="173"/>
      <c r="K894" s="173"/>
      <c r="L894" s="80"/>
      <c r="M894" s="81"/>
      <c r="N894" s="102"/>
      <c r="O894" s="102"/>
      <c r="P894" s="81"/>
      <c r="Q894" s="81"/>
      <c r="R894" s="81"/>
      <c r="S894" s="81"/>
      <c r="T894" s="81"/>
      <c r="U894" s="81"/>
      <c r="V894" s="81"/>
      <c r="W894" s="81"/>
      <c r="X894" s="81"/>
      <c r="Y894" s="81"/>
    </row>
    <row r="895" customFormat="false" ht="12" hidden="false" customHeight="true" outlineLevel="0" collapsed="false">
      <c r="A895" s="91"/>
      <c r="B895" s="81"/>
      <c r="C895" s="81"/>
      <c r="D895" s="81"/>
      <c r="E895" s="81"/>
      <c r="F895" s="173"/>
      <c r="G895" s="173"/>
      <c r="H895" s="173"/>
      <c r="I895" s="173"/>
      <c r="J895" s="173"/>
      <c r="K895" s="173"/>
      <c r="L895" s="80"/>
      <c r="M895" s="81"/>
      <c r="N895" s="102"/>
      <c r="O895" s="102"/>
      <c r="P895" s="81"/>
      <c r="Q895" s="81"/>
      <c r="R895" s="81"/>
      <c r="S895" s="81"/>
      <c r="T895" s="81"/>
      <c r="U895" s="81"/>
      <c r="V895" s="81"/>
      <c r="W895" s="81"/>
      <c r="X895" s="81"/>
      <c r="Y895" s="81"/>
    </row>
    <row r="896" customFormat="false" ht="12" hidden="false" customHeight="true" outlineLevel="0" collapsed="false">
      <c r="A896" s="91"/>
      <c r="B896" s="81"/>
      <c r="C896" s="81"/>
      <c r="D896" s="81"/>
      <c r="E896" s="81"/>
      <c r="F896" s="173"/>
      <c r="G896" s="173"/>
      <c r="H896" s="173"/>
      <c r="I896" s="173"/>
      <c r="J896" s="173"/>
      <c r="K896" s="173"/>
      <c r="L896" s="80"/>
      <c r="M896" s="81"/>
      <c r="N896" s="102"/>
      <c r="O896" s="102"/>
      <c r="P896" s="81"/>
      <c r="Q896" s="81"/>
      <c r="R896" s="81"/>
      <c r="S896" s="81"/>
      <c r="T896" s="81"/>
      <c r="U896" s="81"/>
      <c r="V896" s="81"/>
      <c r="W896" s="81"/>
      <c r="X896" s="81"/>
      <c r="Y896" s="81"/>
    </row>
    <row r="897" customFormat="false" ht="12" hidden="false" customHeight="true" outlineLevel="0" collapsed="false">
      <c r="A897" s="91"/>
      <c r="B897" s="81"/>
      <c r="C897" s="81"/>
      <c r="D897" s="81"/>
      <c r="E897" s="81"/>
      <c r="F897" s="173"/>
      <c r="G897" s="173"/>
      <c r="H897" s="173"/>
      <c r="I897" s="173"/>
      <c r="J897" s="173"/>
      <c r="K897" s="173"/>
      <c r="L897" s="80"/>
      <c r="M897" s="81"/>
      <c r="N897" s="102"/>
      <c r="O897" s="102"/>
      <c r="P897" s="81"/>
      <c r="Q897" s="81"/>
      <c r="R897" s="81"/>
      <c r="S897" s="81"/>
      <c r="T897" s="81"/>
      <c r="U897" s="81"/>
      <c r="V897" s="81"/>
      <c r="W897" s="81"/>
      <c r="X897" s="81"/>
      <c r="Y897" s="81"/>
    </row>
    <row r="898" customFormat="false" ht="12" hidden="false" customHeight="true" outlineLevel="0" collapsed="false">
      <c r="A898" s="91"/>
      <c r="B898" s="81"/>
      <c r="C898" s="81"/>
      <c r="D898" s="81"/>
      <c r="E898" s="81"/>
      <c r="F898" s="173"/>
      <c r="G898" s="173"/>
      <c r="H898" s="173"/>
      <c r="I898" s="173"/>
      <c r="J898" s="173"/>
      <c r="K898" s="173"/>
      <c r="L898" s="80"/>
      <c r="M898" s="81"/>
      <c r="N898" s="102"/>
      <c r="O898" s="102"/>
      <c r="P898" s="81"/>
      <c r="Q898" s="81"/>
      <c r="R898" s="81"/>
      <c r="S898" s="81"/>
      <c r="T898" s="81"/>
      <c r="U898" s="81"/>
      <c r="V898" s="81"/>
      <c r="W898" s="81"/>
      <c r="X898" s="81"/>
      <c r="Y898" s="81"/>
    </row>
    <row r="899" customFormat="false" ht="12" hidden="false" customHeight="true" outlineLevel="0" collapsed="false">
      <c r="A899" s="91"/>
      <c r="B899" s="81"/>
      <c r="C899" s="81"/>
      <c r="D899" s="81"/>
      <c r="E899" s="81"/>
      <c r="F899" s="173"/>
      <c r="G899" s="173"/>
      <c r="H899" s="173"/>
      <c r="I899" s="173"/>
      <c r="J899" s="173"/>
      <c r="K899" s="173"/>
      <c r="L899" s="80"/>
      <c r="M899" s="81"/>
      <c r="N899" s="102"/>
      <c r="O899" s="102"/>
      <c r="P899" s="81"/>
      <c r="Q899" s="81"/>
      <c r="R899" s="81"/>
      <c r="S899" s="81"/>
      <c r="T899" s="81"/>
      <c r="U899" s="81"/>
      <c r="V899" s="81"/>
      <c r="W899" s="81"/>
      <c r="X899" s="81"/>
      <c r="Y899" s="81"/>
    </row>
    <row r="900" customFormat="false" ht="12" hidden="false" customHeight="true" outlineLevel="0" collapsed="false">
      <c r="A900" s="91"/>
      <c r="B900" s="81"/>
      <c r="C900" s="81"/>
      <c r="D900" s="81"/>
      <c r="E900" s="81"/>
      <c r="F900" s="173"/>
      <c r="G900" s="173"/>
      <c r="H900" s="173"/>
      <c r="I900" s="173"/>
      <c r="J900" s="173"/>
      <c r="K900" s="173"/>
      <c r="L900" s="80"/>
      <c r="M900" s="81"/>
      <c r="N900" s="102"/>
      <c r="O900" s="102"/>
      <c r="P900" s="81"/>
      <c r="Q900" s="81"/>
      <c r="R900" s="81"/>
      <c r="S900" s="81"/>
      <c r="T900" s="81"/>
      <c r="U900" s="81"/>
      <c r="V900" s="81"/>
      <c r="W900" s="81"/>
      <c r="X900" s="81"/>
      <c r="Y900" s="81"/>
    </row>
    <row r="901" customFormat="false" ht="12" hidden="false" customHeight="true" outlineLevel="0" collapsed="false">
      <c r="A901" s="91"/>
      <c r="B901" s="81"/>
      <c r="C901" s="81"/>
      <c r="D901" s="81"/>
      <c r="E901" s="81"/>
      <c r="F901" s="173"/>
      <c r="G901" s="173"/>
      <c r="H901" s="173"/>
      <c r="I901" s="173"/>
      <c r="J901" s="173"/>
      <c r="K901" s="173"/>
      <c r="L901" s="80"/>
      <c r="M901" s="81"/>
      <c r="N901" s="102"/>
      <c r="O901" s="102"/>
      <c r="P901" s="81"/>
      <c r="Q901" s="81"/>
      <c r="R901" s="81"/>
      <c r="S901" s="81"/>
      <c r="T901" s="81"/>
      <c r="U901" s="81"/>
      <c r="V901" s="81"/>
      <c r="W901" s="81"/>
      <c r="X901" s="81"/>
      <c r="Y901" s="81"/>
    </row>
    <row r="902" customFormat="false" ht="12" hidden="false" customHeight="true" outlineLevel="0" collapsed="false">
      <c r="A902" s="91"/>
      <c r="B902" s="81"/>
      <c r="C902" s="81"/>
      <c r="D902" s="81"/>
      <c r="E902" s="81"/>
      <c r="F902" s="173"/>
      <c r="G902" s="173"/>
      <c r="H902" s="173"/>
      <c r="I902" s="173"/>
      <c r="J902" s="173"/>
      <c r="K902" s="173"/>
      <c r="L902" s="80"/>
      <c r="M902" s="81"/>
      <c r="N902" s="102"/>
      <c r="O902" s="102"/>
      <c r="P902" s="81"/>
      <c r="Q902" s="81"/>
      <c r="R902" s="81"/>
      <c r="S902" s="81"/>
      <c r="T902" s="81"/>
      <c r="U902" s="81"/>
      <c r="V902" s="81"/>
      <c r="W902" s="81"/>
      <c r="X902" s="81"/>
      <c r="Y902" s="81"/>
    </row>
    <row r="903" customFormat="false" ht="12" hidden="false" customHeight="true" outlineLevel="0" collapsed="false">
      <c r="A903" s="91"/>
      <c r="B903" s="81"/>
      <c r="C903" s="81"/>
      <c r="D903" s="81"/>
      <c r="E903" s="81"/>
      <c r="F903" s="173"/>
      <c r="G903" s="173"/>
      <c r="H903" s="173"/>
      <c r="I903" s="173"/>
      <c r="J903" s="173"/>
      <c r="K903" s="173"/>
      <c r="L903" s="80"/>
      <c r="M903" s="81"/>
      <c r="N903" s="102"/>
      <c r="O903" s="102"/>
      <c r="P903" s="81"/>
      <c r="Q903" s="81"/>
      <c r="R903" s="81"/>
      <c r="S903" s="81"/>
      <c r="T903" s="81"/>
      <c r="U903" s="81"/>
      <c r="V903" s="81"/>
      <c r="W903" s="81"/>
      <c r="X903" s="81"/>
      <c r="Y903" s="81"/>
    </row>
    <row r="904" customFormat="false" ht="12" hidden="false" customHeight="true" outlineLevel="0" collapsed="false">
      <c r="A904" s="91"/>
      <c r="B904" s="81"/>
      <c r="C904" s="81"/>
      <c r="D904" s="81"/>
      <c r="E904" s="81"/>
      <c r="F904" s="173"/>
      <c r="G904" s="173"/>
      <c r="H904" s="173"/>
      <c r="I904" s="173"/>
      <c r="J904" s="173"/>
      <c r="K904" s="173"/>
      <c r="L904" s="80"/>
      <c r="M904" s="81"/>
      <c r="N904" s="102"/>
      <c r="O904" s="102"/>
      <c r="P904" s="81"/>
      <c r="Q904" s="81"/>
      <c r="R904" s="81"/>
      <c r="S904" s="81"/>
      <c r="T904" s="81"/>
      <c r="U904" s="81"/>
      <c r="V904" s="81"/>
      <c r="W904" s="81"/>
      <c r="X904" s="81"/>
      <c r="Y904" s="81"/>
    </row>
    <row r="905" customFormat="false" ht="12" hidden="false" customHeight="true" outlineLevel="0" collapsed="false">
      <c r="A905" s="91"/>
      <c r="B905" s="81"/>
      <c r="C905" s="81"/>
      <c r="D905" s="81"/>
      <c r="E905" s="81"/>
      <c r="F905" s="173"/>
      <c r="G905" s="173"/>
      <c r="H905" s="173"/>
      <c r="I905" s="173"/>
      <c r="J905" s="173"/>
      <c r="K905" s="173"/>
      <c r="L905" s="80"/>
      <c r="M905" s="81"/>
      <c r="N905" s="102"/>
      <c r="O905" s="102"/>
      <c r="P905" s="81"/>
      <c r="Q905" s="81"/>
      <c r="R905" s="81"/>
      <c r="S905" s="81"/>
      <c r="T905" s="81"/>
      <c r="U905" s="81"/>
      <c r="V905" s="81"/>
      <c r="W905" s="81"/>
      <c r="X905" s="81"/>
      <c r="Y905" s="81"/>
    </row>
    <row r="906" customFormat="false" ht="12" hidden="false" customHeight="true" outlineLevel="0" collapsed="false">
      <c r="A906" s="91"/>
      <c r="B906" s="81"/>
      <c r="C906" s="81"/>
      <c r="D906" s="81"/>
      <c r="E906" s="81"/>
      <c r="F906" s="173"/>
      <c r="G906" s="173"/>
      <c r="H906" s="173"/>
      <c r="I906" s="173"/>
      <c r="J906" s="173"/>
      <c r="K906" s="173"/>
      <c r="L906" s="80"/>
      <c r="M906" s="81"/>
      <c r="N906" s="102"/>
      <c r="O906" s="102"/>
      <c r="P906" s="81"/>
      <c r="Q906" s="81"/>
      <c r="R906" s="81"/>
      <c r="S906" s="81"/>
      <c r="T906" s="81"/>
      <c r="U906" s="81"/>
      <c r="V906" s="81"/>
      <c r="W906" s="81"/>
      <c r="X906" s="81"/>
      <c r="Y906" s="81"/>
    </row>
    <row r="907" customFormat="false" ht="12" hidden="false" customHeight="true" outlineLevel="0" collapsed="false">
      <c r="A907" s="91"/>
      <c r="B907" s="81"/>
      <c r="C907" s="81"/>
      <c r="D907" s="81"/>
      <c r="E907" s="81"/>
      <c r="F907" s="173"/>
      <c r="G907" s="173"/>
      <c r="H907" s="173"/>
      <c r="I907" s="173"/>
      <c r="J907" s="173"/>
      <c r="K907" s="173"/>
      <c r="L907" s="80"/>
      <c r="M907" s="81"/>
      <c r="N907" s="102"/>
      <c r="O907" s="102"/>
      <c r="P907" s="81"/>
      <c r="Q907" s="81"/>
      <c r="R907" s="81"/>
      <c r="S907" s="81"/>
      <c r="T907" s="81"/>
      <c r="U907" s="81"/>
      <c r="V907" s="81"/>
      <c r="W907" s="81"/>
      <c r="X907" s="81"/>
      <c r="Y907" s="81"/>
    </row>
    <row r="908" customFormat="false" ht="12" hidden="false" customHeight="true" outlineLevel="0" collapsed="false">
      <c r="A908" s="91"/>
      <c r="B908" s="81"/>
      <c r="C908" s="81"/>
      <c r="D908" s="81"/>
      <c r="E908" s="81"/>
      <c r="F908" s="173"/>
      <c r="G908" s="173"/>
      <c r="H908" s="173"/>
      <c r="I908" s="173"/>
      <c r="J908" s="173"/>
      <c r="K908" s="173"/>
      <c r="L908" s="80"/>
      <c r="M908" s="81"/>
      <c r="N908" s="102"/>
      <c r="O908" s="102"/>
      <c r="P908" s="81"/>
      <c r="Q908" s="81"/>
      <c r="R908" s="81"/>
      <c r="S908" s="81"/>
      <c r="T908" s="81"/>
      <c r="U908" s="81"/>
      <c r="V908" s="81"/>
      <c r="W908" s="81"/>
      <c r="X908" s="81"/>
      <c r="Y908" s="81"/>
    </row>
    <row r="909" customFormat="false" ht="12" hidden="false" customHeight="true" outlineLevel="0" collapsed="false">
      <c r="A909" s="91"/>
      <c r="B909" s="81"/>
      <c r="C909" s="81"/>
      <c r="D909" s="81"/>
      <c r="E909" s="81"/>
      <c r="F909" s="173"/>
      <c r="G909" s="173"/>
      <c r="H909" s="173"/>
      <c r="I909" s="173"/>
      <c r="J909" s="173"/>
      <c r="K909" s="173"/>
      <c r="L909" s="80"/>
      <c r="M909" s="81"/>
      <c r="N909" s="102"/>
      <c r="O909" s="102"/>
      <c r="P909" s="81"/>
      <c r="Q909" s="81"/>
      <c r="R909" s="81"/>
      <c r="S909" s="81"/>
      <c r="T909" s="81"/>
      <c r="U909" s="81"/>
      <c r="V909" s="81"/>
      <c r="W909" s="81"/>
      <c r="X909" s="81"/>
      <c r="Y909" s="81"/>
    </row>
    <row r="910" customFormat="false" ht="12" hidden="false" customHeight="true" outlineLevel="0" collapsed="false">
      <c r="A910" s="91"/>
      <c r="B910" s="81"/>
      <c r="C910" s="81"/>
      <c r="D910" s="81"/>
      <c r="E910" s="81"/>
      <c r="F910" s="173"/>
      <c r="G910" s="173"/>
      <c r="H910" s="173"/>
      <c r="I910" s="173"/>
      <c r="J910" s="173"/>
      <c r="K910" s="173"/>
      <c r="L910" s="80"/>
      <c r="M910" s="81"/>
      <c r="N910" s="102"/>
      <c r="O910" s="102"/>
      <c r="P910" s="81"/>
      <c r="Q910" s="81"/>
      <c r="R910" s="81"/>
      <c r="S910" s="81"/>
      <c r="T910" s="81"/>
      <c r="U910" s="81"/>
      <c r="V910" s="81"/>
      <c r="W910" s="81"/>
      <c r="X910" s="81"/>
      <c r="Y910" s="81"/>
    </row>
    <row r="911" customFormat="false" ht="12" hidden="false" customHeight="true" outlineLevel="0" collapsed="false">
      <c r="A911" s="91"/>
      <c r="B911" s="81"/>
      <c r="C911" s="81"/>
      <c r="D911" s="81"/>
      <c r="E911" s="81"/>
      <c r="F911" s="173"/>
      <c r="G911" s="173"/>
      <c r="H911" s="173"/>
      <c r="I911" s="173"/>
      <c r="J911" s="173"/>
      <c r="K911" s="173"/>
      <c r="L911" s="80"/>
      <c r="M911" s="81"/>
      <c r="N911" s="102"/>
      <c r="O911" s="102"/>
      <c r="P911" s="81"/>
      <c r="Q911" s="81"/>
      <c r="R911" s="81"/>
      <c r="S911" s="81"/>
      <c r="T911" s="81"/>
      <c r="U911" s="81"/>
      <c r="V911" s="81"/>
      <c r="W911" s="81"/>
      <c r="X911" s="81"/>
      <c r="Y911" s="81"/>
    </row>
    <row r="912" customFormat="false" ht="12" hidden="false" customHeight="true" outlineLevel="0" collapsed="false">
      <c r="A912" s="91"/>
      <c r="B912" s="81"/>
      <c r="C912" s="81"/>
      <c r="D912" s="81"/>
      <c r="E912" s="81"/>
      <c r="F912" s="173"/>
      <c r="G912" s="173"/>
      <c r="H912" s="173"/>
      <c r="I912" s="173"/>
      <c r="J912" s="173"/>
      <c r="K912" s="173"/>
      <c r="L912" s="80"/>
      <c r="M912" s="81"/>
      <c r="N912" s="102"/>
      <c r="O912" s="102"/>
      <c r="P912" s="81"/>
      <c r="Q912" s="81"/>
      <c r="R912" s="81"/>
      <c r="S912" s="81"/>
      <c r="T912" s="81"/>
      <c r="U912" s="81"/>
      <c r="V912" s="81"/>
      <c r="W912" s="81"/>
      <c r="X912" s="81"/>
      <c r="Y912" s="81"/>
    </row>
    <row r="913" customFormat="false" ht="12" hidden="false" customHeight="true" outlineLevel="0" collapsed="false">
      <c r="A913" s="91"/>
      <c r="B913" s="81"/>
      <c r="C913" s="81"/>
      <c r="D913" s="81"/>
      <c r="E913" s="81"/>
      <c r="F913" s="173"/>
      <c r="G913" s="173"/>
      <c r="H913" s="173"/>
      <c r="I913" s="173"/>
      <c r="J913" s="173"/>
      <c r="K913" s="173"/>
      <c r="L913" s="80"/>
      <c r="M913" s="81"/>
      <c r="N913" s="102"/>
      <c r="O913" s="102"/>
      <c r="P913" s="81"/>
      <c r="Q913" s="81"/>
      <c r="R913" s="81"/>
      <c r="S913" s="81"/>
      <c r="T913" s="81"/>
      <c r="U913" s="81"/>
      <c r="V913" s="81"/>
      <c r="W913" s="81"/>
      <c r="X913" s="81"/>
      <c r="Y913" s="81"/>
    </row>
    <row r="914" customFormat="false" ht="12" hidden="false" customHeight="true" outlineLevel="0" collapsed="false">
      <c r="A914" s="91"/>
      <c r="B914" s="81"/>
      <c r="C914" s="81"/>
      <c r="D914" s="81"/>
      <c r="E914" s="81"/>
      <c r="F914" s="173"/>
      <c r="G914" s="173"/>
      <c r="H914" s="173"/>
      <c r="I914" s="173"/>
      <c r="J914" s="173"/>
      <c r="K914" s="173"/>
      <c r="L914" s="80"/>
      <c r="M914" s="81"/>
      <c r="N914" s="102"/>
      <c r="O914" s="102"/>
      <c r="P914" s="81"/>
      <c r="Q914" s="81"/>
      <c r="R914" s="81"/>
      <c r="S914" s="81"/>
      <c r="T914" s="81"/>
      <c r="U914" s="81"/>
      <c r="V914" s="81"/>
      <c r="W914" s="81"/>
      <c r="X914" s="81"/>
      <c r="Y914" s="81"/>
    </row>
    <row r="915" customFormat="false" ht="12" hidden="false" customHeight="true" outlineLevel="0" collapsed="false">
      <c r="A915" s="91"/>
      <c r="B915" s="81"/>
      <c r="C915" s="81"/>
      <c r="D915" s="81"/>
      <c r="E915" s="81"/>
      <c r="F915" s="173"/>
      <c r="G915" s="173"/>
      <c r="H915" s="173"/>
      <c r="I915" s="173"/>
      <c r="J915" s="173"/>
      <c r="K915" s="173"/>
      <c r="L915" s="80"/>
      <c r="M915" s="81"/>
      <c r="N915" s="102"/>
      <c r="O915" s="102"/>
      <c r="P915" s="81"/>
      <c r="Q915" s="81"/>
      <c r="R915" s="81"/>
      <c r="S915" s="81"/>
      <c r="T915" s="81"/>
      <c r="U915" s="81"/>
      <c r="V915" s="81"/>
      <c r="W915" s="81"/>
      <c r="X915" s="81"/>
      <c r="Y915" s="81"/>
    </row>
    <row r="916" customFormat="false" ht="12" hidden="false" customHeight="true" outlineLevel="0" collapsed="false">
      <c r="A916" s="91"/>
      <c r="B916" s="81"/>
      <c r="C916" s="81"/>
      <c r="D916" s="81"/>
      <c r="E916" s="81"/>
      <c r="F916" s="173"/>
      <c r="G916" s="173"/>
      <c r="H916" s="173"/>
      <c r="I916" s="173"/>
      <c r="J916" s="173"/>
      <c r="K916" s="173"/>
      <c r="L916" s="80"/>
      <c r="M916" s="81"/>
      <c r="N916" s="102"/>
      <c r="O916" s="102"/>
      <c r="P916" s="81"/>
      <c r="Q916" s="81"/>
      <c r="R916" s="81"/>
      <c r="S916" s="81"/>
      <c r="T916" s="81"/>
      <c r="U916" s="81"/>
      <c r="V916" s="81"/>
      <c r="W916" s="81"/>
      <c r="X916" s="81"/>
      <c r="Y916" s="81"/>
    </row>
    <row r="917" customFormat="false" ht="12" hidden="false" customHeight="true" outlineLevel="0" collapsed="false">
      <c r="A917" s="91"/>
      <c r="B917" s="81"/>
      <c r="C917" s="81"/>
      <c r="D917" s="81"/>
      <c r="E917" s="81"/>
      <c r="F917" s="173"/>
      <c r="G917" s="173"/>
      <c r="H917" s="173"/>
      <c r="I917" s="173"/>
      <c r="J917" s="173"/>
      <c r="K917" s="173"/>
      <c r="L917" s="80"/>
      <c r="M917" s="81"/>
      <c r="N917" s="102"/>
      <c r="O917" s="102"/>
      <c r="P917" s="81"/>
      <c r="Q917" s="81"/>
      <c r="R917" s="81"/>
      <c r="S917" s="81"/>
      <c r="T917" s="81"/>
      <c r="U917" s="81"/>
      <c r="V917" s="81"/>
      <c r="W917" s="81"/>
      <c r="X917" s="81"/>
      <c r="Y917" s="81"/>
    </row>
    <row r="918" customFormat="false" ht="12" hidden="false" customHeight="true" outlineLevel="0" collapsed="false">
      <c r="A918" s="91"/>
      <c r="B918" s="81"/>
      <c r="C918" s="81"/>
      <c r="D918" s="81"/>
      <c r="E918" s="81"/>
      <c r="F918" s="173"/>
      <c r="G918" s="173"/>
      <c r="H918" s="173"/>
      <c r="I918" s="173"/>
      <c r="J918" s="173"/>
      <c r="K918" s="173"/>
      <c r="L918" s="80"/>
      <c r="M918" s="81"/>
      <c r="N918" s="102"/>
      <c r="O918" s="102"/>
      <c r="P918" s="81"/>
      <c r="Q918" s="81"/>
      <c r="R918" s="81"/>
      <c r="S918" s="81"/>
      <c r="T918" s="81"/>
      <c r="U918" s="81"/>
      <c r="V918" s="81"/>
      <c r="W918" s="81"/>
      <c r="X918" s="81"/>
      <c r="Y918" s="81"/>
    </row>
    <row r="919" customFormat="false" ht="12" hidden="false" customHeight="true" outlineLevel="0" collapsed="false">
      <c r="A919" s="91"/>
      <c r="B919" s="81"/>
      <c r="C919" s="81"/>
      <c r="D919" s="81"/>
      <c r="E919" s="81"/>
      <c r="F919" s="173"/>
      <c r="G919" s="173"/>
      <c r="H919" s="173"/>
      <c r="I919" s="173"/>
      <c r="J919" s="173"/>
      <c r="K919" s="173"/>
      <c r="L919" s="80"/>
      <c r="M919" s="81"/>
      <c r="N919" s="102"/>
      <c r="O919" s="102"/>
      <c r="P919" s="81"/>
      <c r="Q919" s="81"/>
      <c r="R919" s="81"/>
      <c r="S919" s="81"/>
      <c r="T919" s="81"/>
      <c r="U919" s="81"/>
      <c r="V919" s="81"/>
      <c r="W919" s="81"/>
      <c r="X919" s="81"/>
      <c r="Y919" s="81"/>
    </row>
    <row r="920" customFormat="false" ht="12" hidden="false" customHeight="true" outlineLevel="0" collapsed="false">
      <c r="A920" s="91"/>
      <c r="B920" s="81"/>
      <c r="C920" s="81"/>
      <c r="D920" s="81"/>
      <c r="E920" s="81"/>
      <c r="F920" s="173"/>
      <c r="G920" s="173"/>
      <c r="H920" s="173"/>
      <c r="I920" s="173"/>
      <c r="J920" s="173"/>
      <c r="K920" s="173"/>
      <c r="L920" s="80"/>
      <c r="M920" s="81"/>
      <c r="N920" s="102"/>
      <c r="O920" s="102"/>
      <c r="P920" s="81"/>
      <c r="Q920" s="81"/>
      <c r="R920" s="81"/>
      <c r="S920" s="81"/>
      <c r="T920" s="81"/>
      <c r="U920" s="81"/>
      <c r="V920" s="81"/>
      <c r="W920" s="81"/>
      <c r="X920" s="81"/>
      <c r="Y920" s="81"/>
    </row>
    <row r="921" customFormat="false" ht="12" hidden="false" customHeight="true" outlineLevel="0" collapsed="false">
      <c r="A921" s="91"/>
      <c r="B921" s="81"/>
      <c r="C921" s="81"/>
      <c r="D921" s="81"/>
      <c r="E921" s="81"/>
      <c r="F921" s="173"/>
      <c r="G921" s="173"/>
      <c r="H921" s="173"/>
      <c r="I921" s="173"/>
      <c r="J921" s="173"/>
      <c r="K921" s="173"/>
      <c r="L921" s="80"/>
      <c r="M921" s="81"/>
      <c r="N921" s="102"/>
      <c r="O921" s="102"/>
      <c r="P921" s="81"/>
      <c r="Q921" s="81"/>
      <c r="R921" s="81"/>
      <c r="S921" s="81"/>
      <c r="T921" s="81"/>
      <c r="U921" s="81"/>
      <c r="V921" s="81"/>
      <c r="W921" s="81"/>
      <c r="X921" s="81"/>
      <c r="Y921" s="81"/>
    </row>
    <row r="922" customFormat="false" ht="12" hidden="false" customHeight="true" outlineLevel="0" collapsed="false">
      <c r="A922" s="91"/>
      <c r="B922" s="81"/>
      <c r="C922" s="81"/>
      <c r="D922" s="81"/>
      <c r="E922" s="81"/>
      <c r="F922" s="173"/>
      <c r="G922" s="173"/>
      <c r="H922" s="173"/>
      <c r="I922" s="173"/>
      <c r="J922" s="173"/>
      <c r="K922" s="173"/>
      <c r="L922" s="80"/>
      <c r="M922" s="81"/>
      <c r="N922" s="102"/>
      <c r="O922" s="102"/>
      <c r="P922" s="81"/>
      <c r="Q922" s="81"/>
      <c r="R922" s="81"/>
      <c r="S922" s="81"/>
      <c r="T922" s="81"/>
      <c r="U922" s="81"/>
      <c r="V922" s="81"/>
      <c r="W922" s="81"/>
      <c r="X922" s="81"/>
      <c r="Y922" s="81"/>
    </row>
    <row r="923" customFormat="false" ht="12" hidden="false" customHeight="true" outlineLevel="0" collapsed="false">
      <c r="A923" s="91"/>
      <c r="B923" s="81"/>
      <c r="C923" s="81"/>
      <c r="D923" s="81"/>
      <c r="E923" s="81"/>
      <c r="F923" s="173"/>
      <c r="G923" s="173"/>
      <c r="H923" s="173"/>
      <c r="I923" s="173"/>
      <c r="J923" s="173"/>
      <c r="K923" s="173"/>
      <c r="L923" s="80"/>
      <c r="M923" s="81"/>
      <c r="N923" s="102"/>
      <c r="O923" s="102"/>
      <c r="P923" s="81"/>
      <c r="Q923" s="81"/>
      <c r="R923" s="81"/>
      <c r="S923" s="81"/>
      <c r="T923" s="81"/>
      <c r="U923" s="81"/>
      <c r="V923" s="81"/>
      <c r="W923" s="81"/>
      <c r="X923" s="81"/>
      <c r="Y923" s="81"/>
    </row>
    <row r="924" customFormat="false" ht="12" hidden="false" customHeight="true" outlineLevel="0" collapsed="false">
      <c r="A924" s="91"/>
      <c r="B924" s="81"/>
      <c r="C924" s="81"/>
      <c r="D924" s="81"/>
      <c r="E924" s="81"/>
      <c r="F924" s="173"/>
      <c r="G924" s="173"/>
      <c r="H924" s="173"/>
      <c r="I924" s="173"/>
      <c r="J924" s="173"/>
      <c r="K924" s="173"/>
      <c r="L924" s="80"/>
      <c r="M924" s="81"/>
      <c r="N924" s="102"/>
      <c r="O924" s="102"/>
      <c r="P924" s="81"/>
      <c r="Q924" s="81"/>
      <c r="R924" s="81"/>
      <c r="S924" s="81"/>
      <c r="T924" s="81"/>
      <c r="U924" s="81"/>
      <c r="V924" s="81"/>
      <c r="W924" s="81"/>
      <c r="X924" s="81"/>
      <c r="Y924" s="81"/>
    </row>
    <row r="925" customFormat="false" ht="12" hidden="false" customHeight="true" outlineLevel="0" collapsed="false">
      <c r="A925" s="91"/>
      <c r="B925" s="81"/>
      <c r="C925" s="81"/>
      <c r="D925" s="81"/>
      <c r="E925" s="81"/>
      <c r="F925" s="173"/>
      <c r="G925" s="173"/>
      <c r="H925" s="173"/>
      <c r="I925" s="173"/>
      <c r="J925" s="173"/>
      <c r="K925" s="173"/>
      <c r="L925" s="80"/>
      <c r="M925" s="81"/>
      <c r="N925" s="102"/>
      <c r="O925" s="102"/>
      <c r="P925" s="81"/>
      <c r="Q925" s="81"/>
      <c r="R925" s="81"/>
      <c r="S925" s="81"/>
      <c r="T925" s="81"/>
      <c r="U925" s="81"/>
      <c r="V925" s="81"/>
      <c r="W925" s="81"/>
      <c r="X925" s="81"/>
      <c r="Y925" s="81"/>
    </row>
    <row r="926" customFormat="false" ht="12" hidden="false" customHeight="true" outlineLevel="0" collapsed="false">
      <c r="A926" s="91"/>
      <c r="B926" s="81"/>
      <c r="C926" s="81"/>
      <c r="D926" s="81"/>
      <c r="E926" s="81"/>
      <c r="F926" s="173"/>
      <c r="G926" s="173"/>
      <c r="H926" s="173"/>
      <c r="I926" s="173"/>
      <c r="J926" s="173"/>
      <c r="K926" s="173"/>
      <c r="L926" s="80"/>
      <c r="M926" s="81"/>
      <c r="N926" s="102"/>
      <c r="O926" s="102"/>
      <c r="P926" s="81"/>
      <c r="Q926" s="81"/>
      <c r="R926" s="81"/>
      <c r="S926" s="81"/>
      <c r="T926" s="81"/>
      <c r="U926" s="81"/>
      <c r="V926" s="81"/>
      <c r="W926" s="81"/>
      <c r="X926" s="81"/>
      <c r="Y926" s="81"/>
    </row>
    <row r="927" customFormat="false" ht="12" hidden="false" customHeight="true" outlineLevel="0" collapsed="false">
      <c r="A927" s="91"/>
      <c r="B927" s="81"/>
      <c r="C927" s="81"/>
      <c r="D927" s="81"/>
      <c r="E927" s="81"/>
      <c r="F927" s="173"/>
      <c r="G927" s="173"/>
      <c r="H927" s="173"/>
      <c r="I927" s="173"/>
      <c r="J927" s="173"/>
      <c r="K927" s="173"/>
      <c r="L927" s="80"/>
      <c r="M927" s="81"/>
      <c r="N927" s="102"/>
      <c r="O927" s="102"/>
      <c r="P927" s="81"/>
      <c r="Q927" s="81"/>
      <c r="R927" s="81"/>
      <c r="S927" s="81"/>
      <c r="T927" s="81"/>
      <c r="U927" s="81"/>
      <c r="V927" s="81"/>
      <c r="W927" s="81"/>
      <c r="X927" s="81"/>
      <c r="Y927" s="81"/>
    </row>
    <row r="928" customFormat="false" ht="12" hidden="false" customHeight="true" outlineLevel="0" collapsed="false">
      <c r="A928" s="91"/>
      <c r="B928" s="81"/>
      <c r="C928" s="81"/>
      <c r="D928" s="81"/>
      <c r="E928" s="81"/>
      <c r="F928" s="173"/>
      <c r="G928" s="173"/>
      <c r="H928" s="173"/>
      <c r="I928" s="173"/>
      <c r="J928" s="173"/>
      <c r="K928" s="173"/>
      <c r="L928" s="80"/>
      <c r="M928" s="81"/>
      <c r="N928" s="102"/>
      <c r="O928" s="102"/>
      <c r="P928" s="81"/>
      <c r="Q928" s="81"/>
      <c r="R928" s="81"/>
      <c r="S928" s="81"/>
      <c r="T928" s="81"/>
      <c r="U928" s="81"/>
      <c r="V928" s="81"/>
      <c r="W928" s="81"/>
      <c r="X928" s="81"/>
      <c r="Y928" s="81"/>
    </row>
    <row r="929" customFormat="false" ht="12" hidden="false" customHeight="true" outlineLevel="0" collapsed="false">
      <c r="A929" s="91"/>
      <c r="B929" s="81"/>
      <c r="C929" s="81"/>
      <c r="D929" s="81"/>
      <c r="E929" s="81"/>
      <c r="F929" s="173"/>
      <c r="G929" s="173"/>
      <c r="H929" s="173"/>
      <c r="I929" s="173"/>
      <c r="J929" s="173"/>
      <c r="K929" s="173"/>
      <c r="L929" s="80"/>
      <c r="M929" s="81"/>
      <c r="N929" s="102"/>
      <c r="O929" s="102"/>
      <c r="P929" s="81"/>
      <c r="Q929" s="81"/>
      <c r="R929" s="81"/>
      <c r="S929" s="81"/>
      <c r="T929" s="81"/>
      <c r="U929" s="81"/>
      <c r="V929" s="81"/>
      <c r="W929" s="81"/>
      <c r="X929" s="81"/>
      <c r="Y929" s="81"/>
    </row>
    <row r="930" customFormat="false" ht="12" hidden="false" customHeight="true" outlineLevel="0" collapsed="false">
      <c r="A930" s="91"/>
      <c r="B930" s="81"/>
      <c r="C930" s="81"/>
      <c r="D930" s="81"/>
      <c r="E930" s="81"/>
      <c r="F930" s="173"/>
      <c r="G930" s="173"/>
      <c r="H930" s="173"/>
      <c r="I930" s="173"/>
      <c r="J930" s="173"/>
      <c r="K930" s="173"/>
      <c r="L930" s="80"/>
      <c r="M930" s="81"/>
      <c r="N930" s="102"/>
      <c r="O930" s="102"/>
      <c r="P930" s="81"/>
      <c r="Q930" s="81"/>
      <c r="R930" s="81"/>
      <c r="S930" s="81"/>
      <c r="T930" s="81"/>
      <c r="U930" s="81"/>
      <c r="V930" s="81"/>
      <c r="W930" s="81"/>
      <c r="X930" s="81"/>
      <c r="Y930" s="81"/>
    </row>
    <row r="931" customFormat="false" ht="12" hidden="false" customHeight="true" outlineLevel="0" collapsed="false">
      <c r="A931" s="91"/>
      <c r="B931" s="81"/>
      <c r="C931" s="81"/>
      <c r="D931" s="81"/>
      <c r="E931" s="81"/>
      <c r="F931" s="173"/>
      <c r="G931" s="173"/>
      <c r="H931" s="173"/>
      <c r="I931" s="173"/>
      <c r="J931" s="173"/>
      <c r="K931" s="173"/>
      <c r="L931" s="80"/>
      <c r="M931" s="81"/>
      <c r="N931" s="102"/>
      <c r="O931" s="102"/>
      <c r="P931" s="81"/>
      <c r="Q931" s="81"/>
      <c r="R931" s="81"/>
      <c r="S931" s="81"/>
      <c r="T931" s="81"/>
      <c r="U931" s="81"/>
      <c r="V931" s="81"/>
      <c r="W931" s="81"/>
      <c r="X931" s="81"/>
      <c r="Y931" s="81"/>
    </row>
    <row r="932" customFormat="false" ht="12" hidden="false" customHeight="true" outlineLevel="0" collapsed="false">
      <c r="A932" s="91"/>
      <c r="B932" s="81"/>
      <c r="C932" s="81"/>
      <c r="D932" s="81"/>
      <c r="E932" s="81"/>
      <c r="F932" s="173"/>
      <c r="G932" s="173"/>
      <c r="H932" s="173"/>
      <c r="I932" s="173"/>
      <c r="J932" s="173"/>
      <c r="K932" s="173"/>
      <c r="L932" s="80"/>
      <c r="M932" s="81"/>
      <c r="N932" s="102"/>
      <c r="O932" s="102"/>
      <c r="P932" s="81"/>
      <c r="Q932" s="81"/>
      <c r="R932" s="81"/>
      <c r="S932" s="81"/>
      <c r="T932" s="81"/>
      <c r="U932" s="81"/>
      <c r="V932" s="81"/>
      <c r="W932" s="81"/>
      <c r="X932" s="81"/>
      <c r="Y932" s="81"/>
    </row>
    <row r="933" customFormat="false" ht="12" hidden="false" customHeight="true" outlineLevel="0" collapsed="false">
      <c r="A933" s="91"/>
      <c r="B933" s="81"/>
      <c r="C933" s="81"/>
      <c r="D933" s="81"/>
      <c r="E933" s="81"/>
      <c r="F933" s="173"/>
      <c r="G933" s="173"/>
      <c r="H933" s="173"/>
      <c r="I933" s="173"/>
      <c r="J933" s="173"/>
      <c r="K933" s="173"/>
      <c r="L933" s="80"/>
      <c r="M933" s="81"/>
      <c r="N933" s="102"/>
      <c r="O933" s="102"/>
      <c r="P933" s="81"/>
      <c r="Q933" s="81"/>
      <c r="R933" s="81"/>
      <c r="S933" s="81"/>
      <c r="T933" s="81"/>
      <c r="U933" s="81"/>
      <c r="V933" s="81"/>
      <c r="W933" s="81"/>
      <c r="X933" s="81"/>
      <c r="Y933" s="81"/>
    </row>
    <row r="934" customFormat="false" ht="12" hidden="false" customHeight="true" outlineLevel="0" collapsed="false">
      <c r="A934" s="91"/>
      <c r="B934" s="81"/>
      <c r="C934" s="81"/>
      <c r="D934" s="81"/>
      <c r="E934" s="81"/>
      <c r="F934" s="173"/>
      <c r="G934" s="173"/>
      <c r="H934" s="173"/>
      <c r="I934" s="173"/>
      <c r="J934" s="173"/>
      <c r="K934" s="173"/>
      <c r="L934" s="80"/>
      <c r="M934" s="81"/>
      <c r="N934" s="102"/>
      <c r="O934" s="102"/>
      <c r="P934" s="81"/>
      <c r="Q934" s="81"/>
      <c r="R934" s="81"/>
      <c r="S934" s="81"/>
      <c r="T934" s="81"/>
      <c r="U934" s="81"/>
      <c r="V934" s="81"/>
      <c r="W934" s="81"/>
      <c r="X934" s="81"/>
      <c r="Y934" s="81"/>
    </row>
    <row r="935" customFormat="false" ht="12" hidden="false" customHeight="true" outlineLevel="0" collapsed="false">
      <c r="A935" s="91"/>
      <c r="B935" s="81"/>
      <c r="C935" s="81"/>
      <c r="D935" s="81"/>
      <c r="E935" s="81"/>
      <c r="F935" s="173"/>
      <c r="G935" s="173"/>
      <c r="H935" s="173"/>
      <c r="I935" s="173"/>
      <c r="J935" s="173"/>
      <c r="K935" s="173"/>
      <c r="L935" s="80"/>
      <c r="M935" s="81"/>
      <c r="N935" s="102"/>
      <c r="O935" s="102"/>
      <c r="P935" s="81"/>
      <c r="Q935" s="81"/>
      <c r="R935" s="81"/>
      <c r="S935" s="81"/>
      <c r="T935" s="81"/>
      <c r="U935" s="81"/>
      <c r="V935" s="81"/>
      <c r="W935" s="81"/>
      <c r="X935" s="81"/>
      <c r="Y935" s="81"/>
    </row>
    <row r="936" customFormat="false" ht="12" hidden="false" customHeight="true" outlineLevel="0" collapsed="false">
      <c r="A936" s="91"/>
      <c r="B936" s="81"/>
      <c r="C936" s="81"/>
      <c r="D936" s="81"/>
      <c r="E936" s="81"/>
      <c r="F936" s="173"/>
      <c r="G936" s="173"/>
      <c r="H936" s="173"/>
      <c r="I936" s="173"/>
      <c r="J936" s="173"/>
      <c r="K936" s="173"/>
      <c r="L936" s="80"/>
      <c r="M936" s="81"/>
      <c r="N936" s="102"/>
      <c r="O936" s="102"/>
      <c r="P936" s="81"/>
      <c r="Q936" s="81"/>
      <c r="R936" s="81"/>
      <c r="S936" s="81"/>
      <c r="T936" s="81"/>
      <c r="U936" s="81"/>
      <c r="V936" s="81"/>
      <c r="W936" s="81"/>
      <c r="X936" s="81"/>
      <c r="Y936" s="81"/>
    </row>
    <row r="937" customFormat="false" ht="12" hidden="false" customHeight="true" outlineLevel="0" collapsed="false">
      <c r="A937" s="91"/>
      <c r="B937" s="81"/>
      <c r="C937" s="81"/>
      <c r="D937" s="81"/>
      <c r="E937" s="81"/>
      <c r="F937" s="173"/>
      <c r="G937" s="173"/>
      <c r="H937" s="173"/>
      <c r="I937" s="173"/>
      <c r="J937" s="173"/>
      <c r="K937" s="173"/>
      <c r="L937" s="80"/>
      <c r="M937" s="81"/>
      <c r="N937" s="102"/>
      <c r="O937" s="102"/>
      <c r="P937" s="81"/>
      <c r="Q937" s="81"/>
      <c r="R937" s="81"/>
      <c r="S937" s="81"/>
      <c r="T937" s="81"/>
      <c r="U937" s="81"/>
      <c r="V937" s="81"/>
      <c r="W937" s="81"/>
      <c r="X937" s="81"/>
      <c r="Y937" s="81"/>
    </row>
    <row r="938" customFormat="false" ht="12" hidden="false" customHeight="true" outlineLevel="0" collapsed="false">
      <c r="A938" s="91"/>
      <c r="B938" s="81"/>
      <c r="C938" s="81"/>
      <c r="D938" s="81"/>
      <c r="E938" s="81"/>
      <c r="F938" s="173"/>
      <c r="G938" s="173"/>
      <c r="H938" s="173"/>
      <c r="I938" s="173"/>
      <c r="J938" s="173"/>
      <c r="K938" s="173"/>
      <c r="L938" s="80"/>
      <c r="M938" s="81"/>
      <c r="N938" s="102"/>
      <c r="O938" s="102"/>
      <c r="P938" s="81"/>
      <c r="Q938" s="81"/>
      <c r="R938" s="81"/>
      <c r="S938" s="81"/>
      <c r="T938" s="81"/>
      <c r="U938" s="81"/>
      <c r="V938" s="81"/>
      <c r="W938" s="81"/>
      <c r="X938" s="81"/>
      <c r="Y938" s="81"/>
    </row>
    <row r="939" customFormat="false" ht="12" hidden="false" customHeight="true" outlineLevel="0" collapsed="false">
      <c r="A939" s="91"/>
      <c r="B939" s="81"/>
      <c r="C939" s="81"/>
      <c r="D939" s="81"/>
      <c r="E939" s="81"/>
      <c r="F939" s="173"/>
      <c r="G939" s="173"/>
      <c r="H939" s="173"/>
      <c r="I939" s="173"/>
      <c r="J939" s="173"/>
      <c r="K939" s="173"/>
      <c r="L939" s="80"/>
      <c r="M939" s="81"/>
      <c r="N939" s="102"/>
      <c r="O939" s="102"/>
      <c r="P939" s="81"/>
      <c r="Q939" s="81"/>
      <c r="R939" s="81"/>
      <c r="S939" s="81"/>
      <c r="T939" s="81"/>
      <c r="U939" s="81"/>
      <c r="V939" s="81"/>
      <c r="W939" s="81"/>
      <c r="X939" s="81"/>
      <c r="Y939" s="81"/>
    </row>
    <row r="940" customFormat="false" ht="12" hidden="false" customHeight="true" outlineLevel="0" collapsed="false">
      <c r="A940" s="91"/>
      <c r="B940" s="81"/>
      <c r="C940" s="81"/>
      <c r="D940" s="81"/>
      <c r="E940" s="81"/>
      <c r="F940" s="173"/>
      <c r="G940" s="173"/>
      <c r="H940" s="173"/>
      <c r="I940" s="173"/>
      <c r="J940" s="173"/>
      <c r="K940" s="173"/>
      <c r="L940" s="80"/>
      <c r="M940" s="81"/>
      <c r="N940" s="102"/>
      <c r="O940" s="102"/>
      <c r="P940" s="81"/>
      <c r="Q940" s="81"/>
      <c r="R940" s="81"/>
      <c r="S940" s="81"/>
      <c r="T940" s="81"/>
      <c r="U940" s="81"/>
      <c r="V940" s="81"/>
      <c r="W940" s="81"/>
      <c r="X940" s="81"/>
      <c r="Y940" s="81"/>
    </row>
    <row r="941" customFormat="false" ht="12" hidden="false" customHeight="true" outlineLevel="0" collapsed="false">
      <c r="A941" s="91"/>
      <c r="B941" s="81"/>
      <c r="C941" s="81"/>
      <c r="D941" s="81"/>
      <c r="E941" s="81"/>
      <c r="F941" s="173"/>
      <c r="G941" s="173"/>
      <c r="H941" s="173"/>
      <c r="I941" s="173"/>
      <c r="J941" s="173"/>
      <c r="K941" s="173"/>
      <c r="L941" s="80"/>
      <c r="M941" s="81"/>
      <c r="N941" s="102"/>
      <c r="O941" s="102"/>
      <c r="P941" s="81"/>
      <c r="Q941" s="81"/>
      <c r="R941" s="81"/>
      <c r="S941" s="81"/>
      <c r="T941" s="81"/>
      <c r="U941" s="81"/>
      <c r="V941" s="81"/>
      <c r="W941" s="81"/>
      <c r="X941" s="81"/>
      <c r="Y941" s="81"/>
    </row>
    <row r="942" customFormat="false" ht="12" hidden="false" customHeight="true" outlineLevel="0" collapsed="false">
      <c r="A942" s="91"/>
      <c r="B942" s="81"/>
      <c r="C942" s="81"/>
      <c r="D942" s="81"/>
      <c r="E942" s="81"/>
      <c r="F942" s="173"/>
      <c r="G942" s="173"/>
      <c r="H942" s="173"/>
      <c r="I942" s="173"/>
      <c r="J942" s="173"/>
      <c r="K942" s="173"/>
      <c r="L942" s="80"/>
      <c r="M942" s="81"/>
      <c r="N942" s="102"/>
      <c r="O942" s="102"/>
      <c r="P942" s="81"/>
      <c r="Q942" s="81"/>
      <c r="R942" s="81"/>
      <c r="S942" s="81"/>
      <c r="T942" s="81"/>
      <c r="U942" s="81"/>
      <c r="V942" s="81"/>
      <c r="W942" s="81"/>
      <c r="X942" s="81"/>
      <c r="Y942" s="81"/>
    </row>
    <row r="943" customFormat="false" ht="12" hidden="false" customHeight="true" outlineLevel="0" collapsed="false">
      <c r="A943" s="91"/>
      <c r="B943" s="81"/>
      <c r="C943" s="81"/>
      <c r="D943" s="81"/>
      <c r="E943" s="81"/>
      <c r="F943" s="173"/>
      <c r="G943" s="173"/>
      <c r="H943" s="173"/>
      <c r="I943" s="173"/>
      <c r="J943" s="173"/>
      <c r="K943" s="173"/>
      <c r="L943" s="80"/>
      <c r="M943" s="81"/>
      <c r="N943" s="102"/>
      <c r="O943" s="102"/>
      <c r="P943" s="81"/>
      <c r="Q943" s="81"/>
      <c r="R943" s="81"/>
      <c r="S943" s="81"/>
      <c r="T943" s="81"/>
      <c r="U943" s="81"/>
      <c r="V943" s="81"/>
      <c r="W943" s="81"/>
      <c r="X943" s="81"/>
      <c r="Y943" s="81"/>
    </row>
    <row r="944" customFormat="false" ht="12" hidden="false" customHeight="true" outlineLevel="0" collapsed="false">
      <c r="A944" s="91"/>
      <c r="B944" s="81"/>
      <c r="C944" s="81"/>
      <c r="D944" s="81"/>
      <c r="E944" s="81"/>
      <c r="F944" s="173"/>
      <c r="G944" s="173"/>
      <c r="H944" s="173"/>
      <c r="I944" s="173"/>
      <c r="J944" s="173"/>
      <c r="K944" s="173"/>
      <c r="L944" s="80"/>
      <c r="M944" s="81"/>
      <c r="N944" s="102"/>
      <c r="O944" s="102"/>
      <c r="P944" s="81"/>
      <c r="Q944" s="81"/>
      <c r="R944" s="81"/>
      <c r="S944" s="81"/>
      <c r="T944" s="81"/>
      <c r="U944" s="81"/>
      <c r="V944" s="81"/>
      <c r="W944" s="81"/>
      <c r="X944" s="81"/>
      <c r="Y944" s="81"/>
    </row>
    <row r="945" customFormat="false" ht="12" hidden="false" customHeight="true" outlineLevel="0" collapsed="false">
      <c r="A945" s="91"/>
      <c r="B945" s="81"/>
      <c r="C945" s="81"/>
      <c r="D945" s="81"/>
      <c r="E945" s="81"/>
      <c r="F945" s="173"/>
      <c r="G945" s="173"/>
      <c r="H945" s="173"/>
      <c r="I945" s="173"/>
      <c r="J945" s="173"/>
      <c r="K945" s="173"/>
      <c r="L945" s="80"/>
      <c r="M945" s="81"/>
      <c r="N945" s="102"/>
      <c r="O945" s="102"/>
      <c r="P945" s="81"/>
      <c r="Q945" s="81"/>
      <c r="R945" s="81"/>
      <c r="S945" s="81"/>
      <c r="T945" s="81"/>
      <c r="U945" s="81"/>
      <c r="V945" s="81"/>
      <c r="W945" s="81"/>
      <c r="X945" s="81"/>
      <c r="Y945" s="81"/>
    </row>
    <row r="946" customFormat="false" ht="12" hidden="false" customHeight="true" outlineLevel="0" collapsed="false">
      <c r="A946" s="91"/>
      <c r="B946" s="81"/>
      <c r="C946" s="81"/>
      <c r="D946" s="81"/>
      <c r="E946" s="81"/>
      <c r="F946" s="173"/>
      <c r="G946" s="173"/>
      <c r="H946" s="173"/>
      <c r="I946" s="173"/>
      <c r="J946" s="173"/>
      <c r="K946" s="173"/>
      <c r="L946" s="80"/>
      <c r="M946" s="81"/>
      <c r="N946" s="102"/>
      <c r="O946" s="102"/>
      <c r="P946" s="81"/>
      <c r="Q946" s="81"/>
      <c r="R946" s="81"/>
      <c r="S946" s="81"/>
      <c r="T946" s="81"/>
      <c r="U946" s="81"/>
      <c r="V946" s="81"/>
      <c r="W946" s="81"/>
      <c r="X946" s="81"/>
      <c r="Y946" s="81"/>
    </row>
    <row r="947" customFormat="false" ht="12" hidden="false" customHeight="true" outlineLevel="0" collapsed="false">
      <c r="A947" s="91"/>
      <c r="B947" s="81"/>
      <c r="C947" s="81"/>
      <c r="D947" s="81"/>
      <c r="E947" s="81"/>
      <c r="F947" s="173"/>
      <c r="G947" s="173"/>
      <c r="H947" s="173"/>
      <c r="I947" s="173"/>
      <c r="J947" s="173"/>
      <c r="K947" s="173"/>
      <c r="L947" s="80"/>
      <c r="M947" s="81"/>
      <c r="N947" s="102"/>
      <c r="O947" s="102"/>
      <c r="P947" s="81"/>
      <c r="Q947" s="81"/>
      <c r="R947" s="81"/>
      <c r="S947" s="81"/>
      <c r="T947" s="81"/>
      <c r="U947" s="81"/>
      <c r="V947" s="81"/>
      <c r="W947" s="81"/>
      <c r="X947" s="81"/>
      <c r="Y947" s="81"/>
    </row>
    <row r="948" customFormat="false" ht="12" hidden="false" customHeight="true" outlineLevel="0" collapsed="false">
      <c r="A948" s="91"/>
      <c r="B948" s="81"/>
      <c r="C948" s="81"/>
      <c r="D948" s="81"/>
      <c r="E948" s="81"/>
      <c r="F948" s="173"/>
      <c r="G948" s="173"/>
      <c r="H948" s="173"/>
      <c r="I948" s="173"/>
      <c r="J948" s="173"/>
      <c r="K948" s="173"/>
      <c r="L948" s="80"/>
      <c r="M948" s="81"/>
      <c r="N948" s="102"/>
      <c r="O948" s="102"/>
      <c r="P948" s="81"/>
      <c r="Q948" s="81"/>
      <c r="R948" s="81"/>
      <c r="S948" s="81"/>
      <c r="T948" s="81"/>
      <c r="U948" s="81"/>
      <c r="V948" s="81"/>
      <c r="W948" s="81"/>
      <c r="X948" s="81"/>
      <c r="Y948" s="81"/>
    </row>
    <row r="949" customFormat="false" ht="12" hidden="false" customHeight="true" outlineLevel="0" collapsed="false">
      <c r="A949" s="91"/>
      <c r="B949" s="81"/>
      <c r="C949" s="81"/>
      <c r="D949" s="81"/>
      <c r="E949" s="81"/>
      <c r="F949" s="173"/>
      <c r="G949" s="173"/>
      <c r="H949" s="173"/>
      <c r="I949" s="173"/>
      <c r="J949" s="173"/>
      <c r="K949" s="173"/>
      <c r="L949" s="80"/>
      <c r="M949" s="81"/>
      <c r="N949" s="102"/>
      <c r="O949" s="102"/>
      <c r="P949" s="81"/>
      <c r="Q949" s="81"/>
      <c r="R949" s="81"/>
      <c r="S949" s="81"/>
      <c r="T949" s="81"/>
      <c r="U949" s="81"/>
      <c r="V949" s="81"/>
      <c r="W949" s="81"/>
      <c r="X949" s="81"/>
      <c r="Y949" s="81"/>
    </row>
    <row r="950" customFormat="false" ht="12" hidden="false" customHeight="true" outlineLevel="0" collapsed="false">
      <c r="A950" s="91"/>
      <c r="B950" s="81"/>
      <c r="C950" s="81"/>
      <c r="D950" s="81"/>
      <c r="E950" s="81"/>
      <c r="F950" s="173"/>
      <c r="G950" s="173"/>
      <c r="H950" s="173"/>
      <c r="I950" s="173"/>
      <c r="J950" s="173"/>
      <c r="K950" s="173"/>
      <c r="L950" s="80"/>
      <c r="M950" s="81"/>
      <c r="N950" s="102"/>
      <c r="O950" s="102"/>
      <c r="P950" s="81"/>
      <c r="Q950" s="81"/>
      <c r="R950" s="81"/>
      <c r="S950" s="81"/>
      <c r="T950" s="81"/>
      <c r="U950" s="81"/>
      <c r="V950" s="81"/>
      <c r="W950" s="81"/>
      <c r="X950" s="81"/>
      <c r="Y950" s="81"/>
    </row>
    <row r="951" customFormat="false" ht="12" hidden="false" customHeight="true" outlineLevel="0" collapsed="false">
      <c r="A951" s="91"/>
      <c r="B951" s="81"/>
      <c r="C951" s="81"/>
      <c r="D951" s="81"/>
      <c r="E951" s="81"/>
      <c r="F951" s="173"/>
      <c r="G951" s="173"/>
      <c r="H951" s="173"/>
      <c r="I951" s="173"/>
      <c r="J951" s="173"/>
      <c r="K951" s="173"/>
      <c r="L951" s="80"/>
      <c r="M951" s="81"/>
      <c r="N951" s="102"/>
      <c r="O951" s="102"/>
      <c r="P951" s="81"/>
      <c r="Q951" s="81"/>
      <c r="R951" s="81"/>
      <c r="S951" s="81"/>
      <c r="T951" s="81"/>
      <c r="U951" s="81"/>
      <c r="V951" s="81"/>
      <c r="W951" s="81"/>
      <c r="X951" s="81"/>
      <c r="Y951" s="81"/>
    </row>
    <row r="952" customFormat="false" ht="12" hidden="false" customHeight="true" outlineLevel="0" collapsed="false">
      <c r="A952" s="91"/>
      <c r="B952" s="81"/>
      <c r="C952" s="81"/>
      <c r="D952" s="81"/>
      <c r="E952" s="81"/>
      <c r="F952" s="173"/>
      <c r="G952" s="173"/>
      <c r="H952" s="173"/>
      <c r="I952" s="173"/>
      <c r="J952" s="173"/>
      <c r="K952" s="173"/>
      <c r="L952" s="80"/>
      <c r="M952" s="81"/>
      <c r="N952" s="102"/>
      <c r="O952" s="102"/>
      <c r="P952" s="81"/>
      <c r="Q952" s="81"/>
      <c r="R952" s="81"/>
      <c r="S952" s="81"/>
      <c r="T952" s="81"/>
      <c r="U952" s="81"/>
      <c r="V952" s="81"/>
      <c r="W952" s="81"/>
      <c r="X952" s="81"/>
      <c r="Y952" s="81"/>
    </row>
    <row r="953" customFormat="false" ht="12" hidden="false" customHeight="true" outlineLevel="0" collapsed="false">
      <c r="A953" s="91"/>
      <c r="B953" s="81"/>
      <c r="C953" s="81"/>
      <c r="D953" s="81"/>
      <c r="E953" s="81"/>
      <c r="F953" s="173"/>
      <c r="G953" s="173"/>
      <c r="H953" s="173"/>
      <c r="I953" s="173"/>
      <c r="J953" s="173"/>
      <c r="K953" s="173"/>
      <c r="L953" s="80"/>
      <c r="M953" s="81"/>
      <c r="N953" s="102"/>
      <c r="O953" s="102"/>
      <c r="P953" s="81"/>
      <c r="Q953" s="81"/>
      <c r="R953" s="81"/>
      <c r="S953" s="81"/>
      <c r="T953" s="81"/>
      <c r="U953" s="81"/>
      <c r="V953" s="81"/>
      <c r="W953" s="81"/>
      <c r="X953" s="81"/>
      <c r="Y953" s="81"/>
    </row>
    <row r="954" customFormat="false" ht="12" hidden="false" customHeight="true" outlineLevel="0" collapsed="false">
      <c r="A954" s="91"/>
      <c r="B954" s="81"/>
      <c r="C954" s="81"/>
      <c r="D954" s="81"/>
      <c r="E954" s="81"/>
      <c r="F954" s="173"/>
      <c r="G954" s="173"/>
      <c r="H954" s="173"/>
      <c r="I954" s="173"/>
      <c r="J954" s="173"/>
      <c r="K954" s="173"/>
      <c r="L954" s="80"/>
      <c r="M954" s="81"/>
      <c r="N954" s="102"/>
      <c r="O954" s="102"/>
      <c r="P954" s="81"/>
      <c r="Q954" s="81"/>
      <c r="R954" s="81"/>
      <c r="S954" s="81"/>
      <c r="T954" s="81"/>
      <c r="U954" s="81"/>
      <c r="V954" s="81"/>
      <c r="W954" s="81"/>
      <c r="X954" s="81"/>
      <c r="Y954" s="81"/>
    </row>
    <row r="955" customFormat="false" ht="12" hidden="false" customHeight="true" outlineLevel="0" collapsed="false">
      <c r="A955" s="91"/>
      <c r="B955" s="81"/>
      <c r="C955" s="81"/>
      <c r="D955" s="81"/>
      <c r="E955" s="81"/>
      <c r="F955" s="173"/>
      <c r="G955" s="173"/>
      <c r="H955" s="173"/>
      <c r="I955" s="173"/>
      <c r="J955" s="173"/>
      <c r="K955" s="173"/>
      <c r="L955" s="80"/>
      <c r="M955" s="81"/>
      <c r="N955" s="102"/>
      <c r="O955" s="102"/>
      <c r="P955" s="81"/>
      <c r="Q955" s="81"/>
      <c r="R955" s="81"/>
      <c r="S955" s="81"/>
      <c r="T955" s="81"/>
      <c r="U955" s="81"/>
      <c r="V955" s="81"/>
      <c r="W955" s="81"/>
      <c r="X955" s="81"/>
      <c r="Y955" s="81"/>
    </row>
    <row r="956" customFormat="false" ht="12" hidden="false" customHeight="true" outlineLevel="0" collapsed="false">
      <c r="A956" s="91"/>
      <c r="B956" s="81"/>
      <c r="C956" s="81"/>
      <c r="D956" s="81"/>
      <c r="E956" s="81"/>
      <c r="F956" s="173"/>
      <c r="G956" s="173"/>
      <c r="H956" s="173"/>
      <c r="I956" s="173"/>
      <c r="J956" s="173"/>
      <c r="K956" s="173"/>
      <c r="L956" s="80"/>
      <c r="M956" s="81"/>
      <c r="N956" s="102"/>
      <c r="O956" s="102"/>
      <c r="P956" s="81"/>
      <c r="Q956" s="81"/>
      <c r="R956" s="81"/>
      <c r="S956" s="81"/>
      <c r="T956" s="81"/>
      <c r="U956" s="81"/>
      <c r="V956" s="81"/>
      <c r="W956" s="81"/>
      <c r="X956" s="81"/>
      <c r="Y956" s="81"/>
    </row>
    <row r="957" customFormat="false" ht="12" hidden="false" customHeight="true" outlineLevel="0" collapsed="false">
      <c r="A957" s="91"/>
      <c r="B957" s="81"/>
      <c r="C957" s="81"/>
      <c r="D957" s="81"/>
      <c r="E957" s="81"/>
      <c r="F957" s="173"/>
      <c r="G957" s="173"/>
      <c r="H957" s="173"/>
      <c r="I957" s="173"/>
      <c r="J957" s="173"/>
      <c r="K957" s="173"/>
      <c r="L957" s="80"/>
      <c r="M957" s="81"/>
      <c r="N957" s="102"/>
      <c r="O957" s="102"/>
      <c r="P957" s="81"/>
      <c r="Q957" s="81"/>
      <c r="R957" s="81"/>
      <c r="S957" s="81"/>
      <c r="T957" s="81"/>
      <c r="U957" s="81"/>
      <c r="V957" s="81"/>
      <c r="W957" s="81"/>
      <c r="X957" s="81"/>
      <c r="Y957" s="81"/>
    </row>
    <row r="958" customFormat="false" ht="12" hidden="false" customHeight="true" outlineLevel="0" collapsed="false">
      <c r="A958" s="91"/>
      <c r="B958" s="81"/>
      <c r="C958" s="81"/>
      <c r="D958" s="81"/>
      <c r="E958" s="81"/>
      <c r="F958" s="173"/>
      <c r="G958" s="173"/>
      <c r="H958" s="173"/>
      <c r="I958" s="173"/>
      <c r="J958" s="173"/>
      <c r="K958" s="173"/>
      <c r="L958" s="80"/>
      <c r="M958" s="81"/>
      <c r="N958" s="102"/>
      <c r="O958" s="102"/>
      <c r="P958" s="81"/>
      <c r="Q958" s="81"/>
      <c r="R958" s="81"/>
      <c r="S958" s="81"/>
      <c r="T958" s="81"/>
      <c r="U958" s="81"/>
      <c r="V958" s="81"/>
      <c r="W958" s="81"/>
      <c r="X958" s="81"/>
      <c r="Y958" s="81"/>
    </row>
    <row r="959" customFormat="false" ht="12" hidden="false" customHeight="true" outlineLevel="0" collapsed="false">
      <c r="A959" s="91"/>
      <c r="B959" s="81"/>
      <c r="C959" s="81"/>
      <c r="D959" s="81"/>
      <c r="E959" s="81"/>
      <c r="F959" s="173"/>
      <c r="G959" s="173"/>
      <c r="H959" s="173"/>
      <c r="I959" s="173"/>
      <c r="J959" s="173"/>
      <c r="K959" s="173"/>
      <c r="L959" s="80"/>
      <c r="M959" s="81"/>
      <c r="N959" s="102"/>
      <c r="O959" s="102"/>
      <c r="P959" s="81"/>
      <c r="Q959" s="81"/>
      <c r="R959" s="81"/>
      <c r="S959" s="81"/>
      <c r="T959" s="81"/>
      <c r="U959" s="81"/>
      <c r="V959" s="81"/>
      <c r="W959" s="81"/>
      <c r="X959" s="81"/>
      <c r="Y959" s="81"/>
    </row>
    <row r="960" customFormat="false" ht="12" hidden="false" customHeight="true" outlineLevel="0" collapsed="false">
      <c r="A960" s="91"/>
      <c r="B960" s="81"/>
      <c r="C960" s="81"/>
      <c r="D960" s="81"/>
      <c r="E960" s="81"/>
      <c r="F960" s="173"/>
      <c r="G960" s="173"/>
      <c r="H960" s="173"/>
      <c r="I960" s="173"/>
      <c r="J960" s="173"/>
      <c r="K960" s="173"/>
      <c r="L960" s="80"/>
      <c r="M960" s="81"/>
      <c r="N960" s="102"/>
      <c r="O960" s="102"/>
      <c r="P960" s="81"/>
      <c r="Q960" s="81"/>
      <c r="R960" s="81"/>
      <c r="S960" s="81"/>
      <c r="T960" s="81"/>
      <c r="U960" s="81"/>
      <c r="V960" s="81"/>
      <c r="W960" s="81"/>
      <c r="X960" s="81"/>
      <c r="Y960" s="81"/>
    </row>
    <row r="961" customFormat="false" ht="12" hidden="false" customHeight="true" outlineLevel="0" collapsed="false">
      <c r="A961" s="91"/>
      <c r="B961" s="81"/>
      <c r="C961" s="81"/>
      <c r="D961" s="81"/>
      <c r="E961" s="81"/>
      <c r="F961" s="173"/>
      <c r="G961" s="173"/>
      <c r="H961" s="173"/>
      <c r="I961" s="173"/>
      <c r="J961" s="173"/>
      <c r="K961" s="173"/>
      <c r="L961" s="80"/>
      <c r="M961" s="81"/>
      <c r="N961" s="102"/>
      <c r="O961" s="102"/>
      <c r="P961" s="81"/>
      <c r="Q961" s="81"/>
      <c r="R961" s="81"/>
      <c r="S961" s="81"/>
      <c r="T961" s="81"/>
      <c r="U961" s="81"/>
      <c r="V961" s="81"/>
      <c r="W961" s="81"/>
      <c r="X961" s="81"/>
      <c r="Y961" s="81"/>
    </row>
    <row r="962" customFormat="false" ht="12" hidden="false" customHeight="true" outlineLevel="0" collapsed="false">
      <c r="A962" s="91"/>
      <c r="B962" s="81"/>
      <c r="C962" s="81"/>
      <c r="D962" s="81"/>
      <c r="E962" s="81"/>
      <c r="F962" s="173"/>
      <c r="G962" s="173"/>
      <c r="H962" s="173"/>
      <c r="I962" s="173"/>
      <c r="J962" s="173"/>
      <c r="K962" s="173"/>
      <c r="L962" s="80"/>
      <c r="M962" s="81"/>
      <c r="N962" s="102"/>
      <c r="O962" s="102"/>
      <c r="P962" s="81"/>
      <c r="Q962" s="81"/>
      <c r="R962" s="81"/>
      <c r="S962" s="81"/>
      <c r="T962" s="81"/>
      <c r="U962" s="81"/>
      <c r="V962" s="81"/>
      <c r="W962" s="81"/>
      <c r="X962" s="81"/>
      <c r="Y962" s="81"/>
    </row>
    <row r="963" customFormat="false" ht="12" hidden="false" customHeight="true" outlineLevel="0" collapsed="false">
      <c r="A963" s="91"/>
      <c r="B963" s="81"/>
      <c r="C963" s="81"/>
      <c r="D963" s="81"/>
      <c r="E963" s="81"/>
      <c r="F963" s="173"/>
      <c r="G963" s="173"/>
      <c r="H963" s="173"/>
      <c r="I963" s="173"/>
      <c r="J963" s="173"/>
      <c r="K963" s="173"/>
      <c r="L963" s="80"/>
      <c r="M963" s="81"/>
      <c r="N963" s="102"/>
      <c r="O963" s="102"/>
      <c r="P963" s="81"/>
      <c r="Q963" s="81"/>
      <c r="R963" s="81"/>
      <c r="S963" s="81"/>
      <c r="T963" s="81"/>
      <c r="U963" s="81"/>
      <c r="V963" s="81"/>
      <c r="W963" s="81"/>
      <c r="X963" s="81"/>
      <c r="Y963" s="81"/>
    </row>
    <row r="964" customFormat="false" ht="12" hidden="false" customHeight="true" outlineLevel="0" collapsed="false">
      <c r="A964" s="91"/>
      <c r="B964" s="81"/>
      <c r="C964" s="81"/>
      <c r="D964" s="81"/>
      <c r="E964" s="81"/>
      <c r="F964" s="173"/>
      <c r="G964" s="173"/>
      <c r="H964" s="173"/>
      <c r="I964" s="173"/>
      <c r="J964" s="173"/>
      <c r="K964" s="173"/>
      <c r="L964" s="80"/>
      <c r="M964" s="81"/>
      <c r="N964" s="102"/>
      <c r="O964" s="102"/>
      <c r="P964" s="81"/>
      <c r="Q964" s="81"/>
      <c r="R964" s="81"/>
      <c r="S964" s="81"/>
      <c r="T964" s="81"/>
      <c r="U964" s="81"/>
      <c r="V964" s="81"/>
      <c r="W964" s="81"/>
      <c r="X964" s="81"/>
      <c r="Y964" s="81"/>
    </row>
    <row r="965" customFormat="false" ht="12" hidden="false" customHeight="true" outlineLevel="0" collapsed="false">
      <c r="A965" s="91"/>
      <c r="B965" s="81"/>
      <c r="C965" s="81"/>
      <c r="D965" s="81"/>
      <c r="E965" s="81"/>
      <c r="F965" s="173"/>
      <c r="G965" s="173"/>
      <c r="H965" s="173"/>
      <c r="I965" s="173"/>
      <c r="J965" s="173"/>
      <c r="K965" s="173"/>
      <c r="L965" s="80"/>
      <c r="M965" s="81"/>
      <c r="N965" s="102"/>
      <c r="O965" s="102"/>
      <c r="P965" s="81"/>
      <c r="Q965" s="81"/>
      <c r="R965" s="81"/>
      <c r="S965" s="81"/>
      <c r="T965" s="81"/>
      <c r="U965" s="81"/>
      <c r="V965" s="81"/>
      <c r="W965" s="81"/>
      <c r="X965" s="81"/>
      <c r="Y965" s="81"/>
    </row>
    <row r="966" customFormat="false" ht="12" hidden="false" customHeight="true" outlineLevel="0" collapsed="false">
      <c r="A966" s="91"/>
      <c r="B966" s="81"/>
      <c r="C966" s="81"/>
      <c r="D966" s="81"/>
      <c r="E966" s="81"/>
      <c r="F966" s="173"/>
      <c r="G966" s="173"/>
      <c r="H966" s="173"/>
      <c r="I966" s="173"/>
      <c r="J966" s="173"/>
      <c r="K966" s="173"/>
      <c r="L966" s="80"/>
      <c r="M966" s="81"/>
      <c r="N966" s="102"/>
      <c r="O966" s="102"/>
      <c r="P966" s="81"/>
      <c r="Q966" s="81"/>
      <c r="R966" s="81"/>
      <c r="S966" s="81"/>
      <c r="T966" s="81"/>
      <c r="U966" s="81"/>
      <c r="V966" s="81"/>
      <c r="W966" s="81"/>
      <c r="X966" s="81"/>
      <c r="Y966" s="81"/>
    </row>
    <row r="967" customFormat="false" ht="12" hidden="false" customHeight="true" outlineLevel="0" collapsed="false">
      <c r="A967" s="91"/>
      <c r="B967" s="81"/>
      <c r="C967" s="81"/>
      <c r="D967" s="81"/>
      <c r="E967" s="81"/>
      <c r="F967" s="173"/>
      <c r="G967" s="173"/>
      <c r="H967" s="173"/>
      <c r="I967" s="173"/>
      <c r="J967" s="173"/>
      <c r="K967" s="173"/>
      <c r="L967" s="80"/>
      <c r="M967" s="81"/>
      <c r="N967" s="102"/>
      <c r="O967" s="102"/>
      <c r="P967" s="81"/>
      <c r="Q967" s="81"/>
      <c r="R967" s="81"/>
      <c r="S967" s="81"/>
      <c r="T967" s="81"/>
      <c r="U967" s="81"/>
      <c r="V967" s="81"/>
      <c r="W967" s="81"/>
      <c r="X967" s="81"/>
      <c r="Y967" s="81"/>
    </row>
    <row r="968" customFormat="false" ht="12" hidden="false" customHeight="true" outlineLevel="0" collapsed="false">
      <c r="A968" s="91"/>
      <c r="B968" s="81"/>
      <c r="C968" s="81"/>
      <c r="D968" s="81"/>
      <c r="E968" s="81"/>
      <c r="F968" s="173"/>
      <c r="G968" s="173"/>
      <c r="H968" s="173"/>
      <c r="I968" s="173"/>
      <c r="J968" s="173"/>
      <c r="K968" s="173"/>
      <c r="L968" s="80"/>
      <c r="M968" s="81"/>
      <c r="N968" s="102"/>
      <c r="O968" s="102"/>
      <c r="P968" s="81"/>
      <c r="Q968" s="81"/>
      <c r="R968" s="81"/>
      <c r="S968" s="81"/>
      <c r="T968" s="81"/>
      <c r="U968" s="81"/>
      <c r="V968" s="81"/>
      <c r="W968" s="81"/>
      <c r="X968" s="81"/>
      <c r="Y968" s="81"/>
    </row>
    <row r="969" customFormat="false" ht="12" hidden="false" customHeight="true" outlineLevel="0" collapsed="false">
      <c r="A969" s="91"/>
      <c r="B969" s="81"/>
      <c r="C969" s="81"/>
      <c r="D969" s="81"/>
      <c r="E969" s="81"/>
      <c r="F969" s="173"/>
      <c r="G969" s="173"/>
      <c r="H969" s="173"/>
      <c r="I969" s="173"/>
      <c r="J969" s="173"/>
      <c r="K969" s="173"/>
      <c r="L969" s="80"/>
      <c r="M969" s="81"/>
      <c r="N969" s="102"/>
      <c r="O969" s="102"/>
      <c r="P969" s="81"/>
      <c r="Q969" s="81"/>
      <c r="R969" s="81"/>
      <c r="S969" s="81"/>
      <c r="T969" s="81"/>
      <c r="U969" s="81"/>
      <c r="V969" s="81"/>
      <c r="W969" s="81"/>
      <c r="X969" s="81"/>
      <c r="Y969" s="81"/>
    </row>
    <row r="970" customFormat="false" ht="12" hidden="false" customHeight="true" outlineLevel="0" collapsed="false">
      <c r="A970" s="91"/>
      <c r="B970" s="81"/>
      <c r="C970" s="81"/>
      <c r="D970" s="81"/>
      <c r="E970" s="81"/>
      <c r="F970" s="173"/>
      <c r="G970" s="173"/>
      <c r="H970" s="173"/>
      <c r="I970" s="173"/>
      <c r="J970" s="173"/>
      <c r="K970" s="173"/>
      <c r="L970" s="80"/>
      <c r="M970" s="81"/>
      <c r="N970" s="102"/>
      <c r="O970" s="102"/>
      <c r="P970" s="81"/>
      <c r="Q970" s="81"/>
      <c r="R970" s="81"/>
      <c r="S970" s="81"/>
      <c r="T970" s="81"/>
      <c r="U970" s="81"/>
      <c r="V970" s="81"/>
      <c r="W970" s="81"/>
      <c r="X970" s="81"/>
      <c r="Y970" s="81"/>
    </row>
    <row r="971" customFormat="false" ht="12" hidden="false" customHeight="true" outlineLevel="0" collapsed="false">
      <c r="A971" s="91"/>
      <c r="B971" s="81"/>
      <c r="C971" s="81"/>
      <c r="D971" s="81"/>
      <c r="E971" s="81"/>
      <c r="F971" s="173"/>
      <c r="G971" s="173"/>
      <c r="H971" s="173"/>
      <c r="I971" s="173"/>
      <c r="J971" s="173"/>
      <c r="K971" s="173"/>
      <c r="L971" s="80"/>
      <c r="M971" s="81"/>
      <c r="N971" s="102"/>
      <c r="O971" s="102"/>
      <c r="P971" s="81"/>
      <c r="Q971" s="81"/>
      <c r="R971" s="81"/>
      <c r="S971" s="81"/>
      <c r="T971" s="81"/>
      <c r="U971" s="81"/>
      <c r="V971" s="81"/>
      <c r="W971" s="81"/>
      <c r="X971" s="81"/>
      <c r="Y971" s="81"/>
    </row>
    <row r="972" customFormat="false" ht="12" hidden="false" customHeight="true" outlineLevel="0" collapsed="false">
      <c r="A972" s="91"/>
      <c r="B972" s="81"/>
      <c r="C972" s="81"/>
      <c r="D972" s="81"/>
      <c r="E972" s="81"/>
      <c r="F972" s="173"/>
      <c r="G972" s="173"/>
      <c r="H972" s="173"/>
      <c r="I972" s="173"/>
      <c r="J972" s="173"/>
      <c r="K972" s="173"/>
      <c r="L972" s="80"/>
      <c r="M972" s="81"/>
      <c r="N972" s="102"/>
      <c r="O972" s="102"/>
      <c r="P972" s="81"/>
      <c r="Q972" s="81"/>
      <c r="R972" s="81"/>
      <c r="S972" s="81"/>
      <c r="T972" s="81"/>
      <c r="U972" s="81"/>
      <c r="V972" s="81"/>
      <c r="W972" s="81"/>
      <c r="X972" s="81"/>
      <c r="Y972" s="81"/>
    </row>
    <row r="973" customFormat="false" ht="12" hidden="false" customHeight="true" outlineLevel="0" collapsed="false">
      <c r="A973" s="91"/>
      <c r="B973" s="81"/>
      <c r="C973" s="81"/>
      <c r="D973" s="81"/>
      <c r="E973" s="81"/>
      <c r="F973" s="173"/>
      <c r="G973" s="173"/>
      <c r="H973" s="173"/>
      <c r="I973" s="173"/>
      <c r="J973" s="173"/>
      <c r="K973" s="173"/>
      <c r="L973" s="80"/>
      <c r="M973" s="81"/>
      <c r="N973" s="102"/>
      <c r="O973" s="102"/>
      <c r="P973" s="81"/>
      <c r="Q973" s="81"/>
      <c r="R973" s="81"/>
      <c r="S973" s="81"/>
      <c r="T973" s="81"/>
      <c r="U973" s="81"/>
      <c r="V973" s="81"/>
      <c r="W973" s="81"/>
      <c r="X973" s="81"/>
      <c r="Y973" s="81"/>
    </row>
    <row r="974" customFormat="false" ht="12" hidden="false" customHeight="true" outlineLevel="0" collapsed="false">
      <c r="A974" s="91"/>
      <c r="B974" s="81"/>
      <c r="C974" s="81"/>
      <c r="D974" s="81"/>
      <c r="E974" s="81"/>
      <c r="F974" s="173"/>
      <c r="G974" s="173"/>
      <c r="H974" s="173"/>
      <c r="I974" s="173"/>
      <c r="J974" s="173"/>
      <c r="K974" s="173"/>
      <c r="L974" s="80"/>
      <c r="M974" s="81"/>
      <c r="N974" s="102"/>
      <c r="O974" s="102"/>
      <c r="P974" s="81"/>
      <c r="Q974" s="81"/>
      <c r="R974" s="81"/>
      <c r="S974" s="81"/>
      <c r="T974" s="81"/>
      <c r="U974" s="81"/>
      <c r="V974" s="81"/>
      <c r="W974" s="81"/>
      <c r="X974" s="81"/>
      <c r="Y974" s="81"/>
    </row>
    <row r="975" customFormat="false" ht="12" hidden="false" customHeight="true" outlineLevel="0" collapsed="false">
      <c r="A975" s="91"/>
      <c r="B975" s="81"/>
      <c r="C975" s="81"/>
      <c r="D975" s="81"/>
      <c r="E975" s="81"/>
      <c r="F975" s="173"/>
      <c r="G975" s="173"/>
      <c r="H975" s="173"/>
      <c r="I975" s="173"/>
      <c r="J975" s="173"/>
      <c r="K975" s="173"/>
      <c r="L975" s="80"/>
      <c r="M975" s="81"/>
      <c r="N975" s="102"/>
      <c r="O975" s="102"/>
      <c r="P975" s="81"/>
      <c r="Q975" s="81"/>
      <c r="R975" s="81"/>
      <c r="S975" s="81"/>
      <c r="T975" s="81"/>
      <c r="U975" s="81"/>
      <c r="V975" s="81"/>
      <c r="W975" s="81"/>
      <c r="X975" s="81"/>
      <c r="Y975" s="81"/>
    </row>
    <row r="976" customFormat="false" ht="12" hidden="false" customHeight="true" outlineLevel="0" collapsed="false">
      <c r="A976" s="91"/>
      <c r="B976" s="81"/>
      <c r="C976" s="81"/>
      <c r="D976" s="81"/>
      <c r="E976" s="81"/>
      <c r="F976" s="173"/>
      <c r="G976" s="173"/>
      <c r="H976" s="173"/>
      <c r="I976" s="173"/>
      <c r="J976" s="173"/>
      <c r="K976" s="173"/>
      <c r="L976" s="80"/>
      <c r="M976" s="81"/>
      <c r="N976" s="102"/>
      <c r="O976" s="102"/>
      <c r="P976" s="81"/>
      <c r="Q976" s="81"/>
      <c r="R976" s="81"/>
      <c r="S976" s="81"/>
      <c r="T976" s="81"/>
      <c r="U976" s="81"/>
      <c r="V976" s="81"/>
      <c r="W976" s="81"/>
      <c r="X976" s="81"/>
      <c r="Y976" s="81"/>
    </row>
    <row r="977" customFormat="false" ht="12" hidden="false" customHeight="true" outlineLevel="0" collapsed="false">
      <c r="A977" s="91"/>
      <c r="B977" s="81"/>
      <c r="C977" s="81"/>
      <c r="D977" s="81"/>
      <c r="E977" s="81"/>
      <c r="F977" s="173"/>
      <c r="G977" s="173"/>
      <c r="H977" s="173"/>
      <c r="I977" s="173"/>
      <c r="J977" s="173"/>
      <c r="K977" s="173"/>
      <c r="L977" s="80"/>
      <c r="M977" s="81"/>
      <c r="N977" s="102"/>
      <c r="O977" s="102"/>
      <c r="P977" s="81"/>
      <c r="Q977" s="81"/>
      <c r="R977" s="81"/>
      <c r="S977" s="81"/>
      <c r="T977" s="81"/>
      <c r="U977" s="81"/>
      <c r="V977" s="81"/>
      <c r="W977" s="81"/>
      <c r="X977" s="81"/>
      <c r="Y977" s="81"/>
    </row>
    <row r="978" customFormat="false" ht="12" hidden="false" customHeight="true" outlineLevel="0" collapsed="false">
      <c r="A978" s="91"/>
      <c r="B978" s="81"/>
      <c r="C978" s="81"/>
      <c r="D978" s="81"/>
      <c r="E978" s="81"/>
      <c r="F978" s="173"/>
      <c r="G978" s="173"/>
      <c r="H978" s="173"/>
      <c r="I978" s="173"/>
      <c r="J978" s="173"/>
      <c r="K978" s="173"/>
      <c r="L978" s="80"/>
      <c r="M978" s="81"/>
      <c r="N978" s="102"/>
      <c r="O978" s="102"/>
      <c r="P978" s="81"/>
      <c r="Q978" s="81"/>
      <c r="R978" s="81"/>
      <c r="S978" s="81"/>
      <c r="T978" s="81"/>
      <c r="U978" s="81"/>
      <c r="V978" s="81"/>
      <c r="W978" s="81"/>
      <c r="X978" s="81"/>
      <c r="Y978" s="81"/>
    </row>
    <row r="979" customFormat="false" ht="12" hidden="false" customHeight="true" outlineLevel="0" collapsed="false">
      <c r="A979" s="91"/>
      <c r="B979" s="81"/>
      <c r="C979" s="81"/>
      <c r="D979" s="81"/>
      <c r="E979" s="81"/>
      <c r="F979" s="173"/>
      <c r="G979" s="173"/>
      <c r="H979" s="173"/>
      <c r="I979" s="173"/>
      <c r="J979" s="173"/>
      <c r="K979" s="173"/>
      <c r="L979" s="80"/>
      <c r="M979" s="81"/>
      <c r="N979" s="102"/>
      <c r="O979" s="102"/>
      <c r="P979" s="81"/>
      <c r="Q979" s="81"/>
      <c r="R979" s="81"/>
      <c r="S979" s="81"/>
      <c r="T979" s="81"/>
      <c r="U979" s="81"/>
      <c r="V979" s="81"/>
      <c r="W979" s="81"/>
      <c r="X979" s="81"/>
      <c r="Y979" s="81"/>
    </row>
    <row r="980" customFormat="false" ht="12" hidden="false" customHeight="true" outlineLevel="0" collapsed="false">
      <c r="A980" s="91"/>
      <c r="B980" s="81"/>
      <c r="C980" s="81"/>
      <c r="D980" s="81"/>
      <c r="E980" s="81"/>
      <c r="F980" s="173"/>
      <c r="G980" s="173"/>
      <c r="H980" s="173"/>
      <c r="I980" s="173"/>
      <c r="J980" s="173"/>
      <c r="K980" s="173"/>
      <c r="L980" s="80"/>
      <c r="M980" s="81"/>
      <c r="N980" s="102"/>
      <c r="O980" s="102"/>
      <c r="P980" s="81"/>
      <c r="Q980" s="81"/>
      <c r="R980" s="81"/>
      <c r="S980" s="81"/>
      <c r="T980" s="81"/>
      <c r="U980" s="81"/>
      <c r="V980" s="81"/>
      <c r="W980" s="81"/>
      <c r="X980" s="81"/>
      <c r="Y980" s="81"/>
    </row>
    <row r="981" customFormat="false" ht="12" hidden="false" customHeight="true" outlineLevel="0" collapsed="false">
      <c r="A981" s="91"/>
      <c r="B981" s="81"/>
      <c r="C981" s="81"/>
      <c r="D981" s="81"/>
      <c r="E981" s="81"/>
      <c r="F981" s="173"/>
      <c r="G981" s="173"/>
      <c r="H981" s="173"/>
      <c r="I981" s="173"/>
      <c r="J981" s="173"/>
      <c r="K981" s="173"/>
      <c r="L981" s="80"/>
      <c r="M981" s="81"/>
      <c r="N981" s="102"/>
      <c r="O981" s="102"/>
      <c r="P981" s="81"/>
      <c r="Q981" s="81"/>
      <c r="R981" s="81"/>
      <c r="S981" s="81"/>
      <c r="T981" s="81"/>
      <c r="U981" s="81"/>
      <c r="V981" s="81"/>
      <c r="W981" s="81"/>
      <c r="X981" s="81"/>
      <c r="Y981" s="81"/>
    </row>
    <row r="982" customFormat="false" ht="12" hidden="false" customHeight="true" outlineLevel="0" collapsed="false">
      <c r="A982" s="91"/>
      <c r="B982" s="81"/>
      <c r="C982" s="81"/>
      <c r="D982" s="81"/>
      <c r="E982" s="81"/>
      <c r="F982" s="173"/>
      <c r="G982" s="173"/>
      <c r="H982" s="173"/>
      <c r="I982" s="173"/>
      <c r="J982" s="173"/>
      <c r="K982" s="173"/>
      <c r="L982" s="80"/>
      <c r="M982" s="81"/>
      <c r="N982" s="102"/>
      <c r="O982" s="102"/>
      <c r="P982" s="81"/>
      <c r="Q982" s="81"/>
      <c r="R982" s="81"/>
      <c r="S982" s="81"/>
      <c r="T982" s="81"/>
      <c r="U982" s="81"/>
      <c r="V982" s="81"/>
      <c r="W982" s="81"/>
      <c r="X982" s="81"/>
      <c r="Y982" s="81"/>
    </row>
    <row r="983" customFormat="false" ht="12" hidden="false" customHeight="true" outlineLevel="0" collapsed="false">
      <c r="A983" s="91"/>
      <c r="B983" s="81"/>
      <c r="C983" s="81"/>
      <c r="D983" s="81"/>
      <c r="E983" s="81"/>
      <c r="F983" s="173"/>
      <c r="G983" s="173"/>
      <c r="H983" s="173"/>
      <c r="I983" s="173"/>
      <c r="J983" s="173"/>
      <c r="K983" s="173"/>
      <c r="L983" s="80"/>
      <c r="M983" s="81"/>
      <c r="N983" s="102"/>
      <c r="O983" s="102"/>
      <c r="P983" s="81"/>
      <c r="Q983" s="81"/>
      <c r="R983" s="81"/>
      <c r="S983" s="81"/>
      <c r="T983" s="81"/>
      <c r="U983" s="81"/>
      <c r="V983" s="81"/>
      <c r="W983" s="81"/>
      <c r="X983" s="81"/>
      <c r="Y983" s="81"/>
    </row>
    <row r="984" customFormat="false" ht="12" hidden="false" customHeight="true" outlineLevel="0" collapsed="false">
      <c r="A984" s="91"/>
      <c r="B984" s="81"/>
      <c r="C984" s="81"/>
      <c r="D984" s="81"/>
      <c r="E984" s="81"/>
      <c r="F984" s="173"/>
      <c r="G984" s="173"/>
      <c r="H984" s="173"/>
      <c r="I984" s="173"/>
      <c r="J984" s="173"/>
      <c r="K984" s="173"/>
      <c r="L984" s="80"/>
      <c r="M984" s="81"/>
      <c r="N984" s="102"/>
      <c r="O984" s="102"/>
      <c r="P984" s="81"/>
      <c r="Q984" s="81"/>
      <c r="R984" s="81"/>
      <c r="S984" s="81"/>
      <c r="T984" s="81"/>
      <c r="U984" s="81"/>
      <c r="V984" s="81"/>
      <c r="W984" s="81"/>
      <c r="X984" s="81"/>
      <c r="Y984" s="81"/>
    </row>
    <row r="985" customFormat="false" ht="12" hidden="false" customHeight="true" outlineLevel="0" collapsed="false">
      <c r="A985" s="91"/>
      <c r="B985" s="81"/>
      <c r="C985" s="81"/>
      <c r="D985" s="81"/>
      <c r="E985" s="81"/>
      <c r="F985" s="173"/>
      <c r="G985" s="173"/>
      <c r="H985" s="173"/>
      <c r="I985" s="173"/>
      <c r="J985" s="173"/>
      <c r="K985" s="173"/>
      <c r="L985" s="80"/>
      <c r="M985" s="81"/>
      <c r="N985" s="102"/>
      <c r="O985" s="102"/>
      <c r="P985" s="81"/>
      <c r="Q985" s="81"/>
      <c r="R985" s="81"/>
      <c r="S985" s="81"/>
      <c r="T985" s="81"/>
      <c r="U985" s="81"/>
      <c r="V985" s="81"/>
      <c r="W985" s="81"/>
      <c r="X985" s="81"/>
      <c r="Y985" s="81"/>
    </row>
    <row r="986" customFormat="false" ht="12" hidden="false" customHeight="true" outlineLevel="0" collapsed="false">
      <c r="A986" s="91"/>
      <c r="B986" s="81"/>
      <c r="C986" s="81"/>
      <c r="D986" s="81"/>
      <c r="E986" s="81"/>
      <c r="F986" s="173"/>
      <c r="G986" s="173"/>
      <c r="H986" s="173"/>
      <c r="I986" s="173"/>
      <c r="J986" s="173"/>
      <c r="K986" s="173"/>
      <c r="L986" s="80"/>
      <c r="M986" s="81"/>
      <c r="N986" s="102"/>
      <c r="O986" s="102"/>
      <c r="P986" s="81"/>
      <c r="Q986" s="81"/>
      <c r="R986" s="81"/>
      <c r="S986" s="81"/>
      <c r="T986" s="81"/>
      <c r="U986" s="81"/>
      <c r="V986" s="81"/>
      <c r="W986" s="81"/>
      <c r="X986" s="81"/>
      <c r="Y986" s="81"/>
    </row>
    <row r="987" customFormat="false" ht="12" hidden="false" customHeight="true" outlineLevel="0" collapsed="false">
      <c r="A987" s="91"/>
      <c r="B987" s="81"/>
      <c r="C987" s="81"/>
      <c r="D987" s="81"/>
      <c r="E987" s="81"/>
      <c r="F987" s="173"/>
      <c r="G987" s="173"/>
      <c r="H987" s="173"/>
      <c r="I987" s="173"/>
      <c r="J987" s="173"/>
      <c r="K987" s="173"/>
      <c r="L987" s="80"/>
      <c r="M987" s="81"/>
      <c r="N987" s="102"/>
      <c r="O987" s="102"/>
      <c r="P987" s="81"/>
      <c r="Q987" s="81"/>
      <c r="R987" s="81"/>
      <c r="S987" s="81"/>
      <c r="T987" s="81"/>
      <c r="U987" s="81"/>
      <c r="V987" s="81"/>
      <c r="W987" s="81"/>
      <c r="X987" s="81"/>
      <c r="Y987" s="81"/>
    </row>
    <row r="988" customFormat="false" ht="12" hidden="false" customHeight="true" outlineLevel="0" collapsed="false">
      <c r="A988" s="91"/>
      <c r="B988" s="81"/>
      <c r="C988" s="81"/>
      <c r="D988" s="81"/>
      <c r="E988" s="81"/>
      <c r="F988" s="173"/>
      <c r="G988" s="173"/>
      <c r="H988" s="173"/>
      <c r="I988" s="173"/>
      <c r="J988" s="173"/>
      <c r="K988" s="173"/>
      <c r="L988" s="80"/>
      <c r="M988" s="81"/>
      <c r="N988" s="102"/>
      <c r="O988" s="102"/>
      <c r="P988" s="81"/>
      <c r="Q988" s="81"/>
      <c r="R988" s="81"/>
      <c r="S988" s="81"/>
      <c r="T988" s="81"/>
      <c r="U988" s="81"/>
      <c r="V988" s="81"/>
      <c r="W988" s="81"/>
      <c r="X988" s="81"/>
      <c r="Y988" s="81"/>
    </row>
    <row r="989" customFormat="false" ht="12" hidden="false" customHeight="true" outlineLevel="0" collapsed="false">
      <c r="A989" s="91"/>
      <c r="B989" s="81"/>
      <c r="C989" s="81"/>
      <c r="D989" s="81"/>
      <c r="E989" s="81"/>
      <c r="F989" s="173"/>
      <c r="G989" s="173"/>
      <c r="H989" s="173"/>
      <c r="I989" s="173"/>
      <c r="J989" s="173"/>
      <c r="K989" s="173"/>
      <c r="L989" s="80"/>
      <c r="M989" s="81"/>
      <c r="N989" s="102"/>
      <c r="O989" s="102"/>
      <c r="P989" s="81"/>
      <c r="Q989" s="81"/>
      <c r="R989" s="81"/>
      <c r="S989" s="81"/>
      <c r="T989" s="81"/>
      <c r="U989" s="81"/>
      <c r="V989" s="81"/>
      <c r="W989" s="81"/>
      <c r="X989" s="81"/>
      <c r="Y989" s="81"/>
    </row>
    <row r="990" customFormat="false" ht="12" hidden="false" customHeight="true" outlineLevel="0" collapsed="false">
      <c r="A990" s="91"/>
      <c r="B990" s="81"/>
      <c r="C990" s="81"/>
      <c r="D990" s="81"/>
      <c r="E990" s="81"/>
      <c r="F990" s="173"/>
      <c r="G990" s="173"/>
      <c r="H990" s="173"/>
      <c r="I990" s="173"/>
      <c r="J990" s="173"/>
      <c r="K990" s="173"/>
      <c r="L990" s="80"/>
      <c r="M990" s="81"/>
      <c r="N990" s="102"/>
      <c r="O990" s="102"/>
      <c r="P990" s="81"/>
      <c r="Q990" s="81"/>
      <c r="R990" s="81"/>
      <c r="S990" s="81"/>
      <c r="T990" s="81"/>
      <c r="U990" s="81"/>
      <c r="V990" s="81"/>
      <c r="W990" s="81"/>
      <c r="X990" s="81"/>
      <c r="Y990" s="81"/>
    </row>
    <row r="991" customFormat="false" ht="12" hidden="false" customHeight="true" outlineLevel="0" collapsed="false">
      <c r="A991" s="91"/>
      <c r="B991" s="81"/>
      <c r="C991" s="81"/>
      <c r="D991" s="81"/>
      <c r="E991" s="81"/>
      <c r="F991" s="173"/>
      <c r="G991" s="173"/>
      <c r="H991" s="173"/>
      <c r="I991" s="173"/>
      <c r="J991" s="173"/>
      <c r="K991" s="173"/>
      <c r="L991" s="80"/>
      <c r="M991" s="81"/>
      <c r="N991" s="102"/>
      <c r="O991" s="102"/>
      <c r="P991" s="81"/>
      <c r="Q991" s="81"/>
      <c r="R991" s="81"/>
      <c r="S991" s="81"/>
      <c r="T991" s="81"/>
      <c r="U991" s="81"/>
      <c r="V991" s="81"/>
      <c r="W991" s="81"/>
      <c r="X991" s="81"/>
      <c r="Y991" s="81"/>
    </row>
    <row r="992" customFormat="false" ht="12" hidden="false" customHeight="true" outlineLevel="0" collapsed="false">
      <c r="A992" s="91"/>
      <c r="B992" s="81"/>
      <c r="C992" s="81"/>
      <c r="D992" s="81"/>
      <c r="E992" s="81"/>
      <c r="F992" s="173"/>
      <c r="G992" s="173"/>
      <c r="H992" s="173"/>
      <c r="I992" s="173"/>
      <c r="J992" s="173"/>
      <c r="K992" s="173"/>
      <c r="L992" s="80"/>
      <c r="M992" s="81"/>
      <c r="N992" s="102"/>
      <c r="O992" s="102"/>
      <c r="P992" s="81"/>
      <c r="Q992" s="81"/>
      <c r="R992" s="81"/>
      <c r="S992" s="81"/>
      <c r="T992" s="81"/>
      <c r="U992" s="81"/>
      <c r="V992" s="81"/>
      <c r="W992" s="81"/>
      <c r="X992" s="81"/>
      <c r="Y992" s="81"/>
    </row>
    <row r="993" customFormat="false" ht="12" hidden="false" customHeight="true" outlineLevel="0" collapsed="false">
      <c r="A993" s="91"/>
      <c r="B993" s="81"/>
      <c r="C993" s="81"/>
      <c r="D993" s="81"/>
      <c r="E993" s="81"/>
      <c r="F993" s="173"/>
      <c r="G993" s="173"/>
      <c r="H993" s="173"/>
      <c r="I993" s="173"/>
      <c r="J993" s="173"/>
      <c r="K993" s="173"/>
      <c r="L993" s="80"/>
      <c r="M993" s="81"/>
      <c r="N993" s="102"/>
      <c r="O993" s="102"/>
      <c r="P993" s="81"/>
      <c r="Q993" s="81"/>
      <c r="R993" s="81"/>
      <c r="S993" s="81"/>
      <c r="T993" s="81"/>
      <c r="U993" s="81"/>
      <c r="V993" s="81"/>
      <c r="W993" s="81"/>
      <c r="X993" s="81"/>
      <c r="Y993" s="81"/>
    </row>
    <row r="994" customFormat="false" ht="12" hidden="false" customHeight="true" outlineLevel="0" collapsed="false">
      <c r="A994" s="91"/>
      <c r="B994" s="81"/>
      <c r="C994" s="81"/>
      <c r="D994" s="81"/>
      <c r="E994" s="81"/>
      <c r="F994" s="173"/>
      <c r="G994" s="173"/>
      <c r="H994" s="173"/>
      <c r="I994" s="173"/>
      <c r="J994" s="173"/>
      <c r="K994" s="173"/>
      <c r="L994" s="80"/>
      <c r="M994" s="81"/>
      <c r="N994" s="102"/>
      <c r="O994" s="102"/>
      <c r="P994" s="81"/>
      <c r="Q994" s="81"/>
      <c r="R994" s="81"/>
      <c r="S994" s="81"/>
      <c r="T994" s="81"/>
      <c r="U994" s="81"/>
      <c r="V994" s="81"/>
      <c r="W994" s="81"/>
      <c r="X994" s="81"/>
      <c r="Y994" s="81"/>
    </row>
    <row r="995" customFormat="false" ht="12" hidden="false" customHeight="true" outlineLevel="0" collapsed="false">
      <c r="A995" s="91"/>
      <c r="B995" s="81"/>
      <c r="C995" s="81"/>
      <c r="D995" s="81"/>
      <c r="E995" s="81"/>
      <c r="F995" s="173"/>
      <c r="G995" s="173"/>
      <c r="H995" s="173"/>
      <c r="I995" s="173"/>
      <c r="J995" s="173"/>
      <c r="K995" s="173"/>
      <c r="L995" s="80"/>
      <c r="M995" s="81"/>
      <c r="N995" s="102"/>
      <c r="O995" s="102"/>
      <c r="P995" s="81"/>
      <c r="Q995" s="81"/>
      <c r="R995" s="81"/>
      <c r="S995" s="81"/>
      <c r="T995" s="81"/>
      <c r="U995" s="81"/>
      <c r="V995" s="81"/>
      <c r="W995" s="81"/>
      <c r="X995" s="81"/>
      <c r="Y995" s="81"/>
    </row>
    <row r="996" customFormat="false" ht="12" hidden="false" customHeight="true" outlineLevel="0" collapsed="false">
      <c r="A996" s="91"/>
      <c r="B996" s="81"/>
      <c r="C996" s="81"/>
      <c r="D996" s="81"/>
      <c r="E996" s="81"/>
      <c r="F996" s="173"/>
      <c r="G996" s="173"/>
      <c r="H996" s="173"/>
      <c r="I996" s="173"/>
      <c r="J996" s="173"/>
      <c r="K996" s="173"/>
      <c r="L996" s="80"/>
      <c r="M996" s="81"/>
      <c r="N996" s="102"/>
      <c r="O996" s="102"/>
      <c r="P996" s="81"/>
      <c r="Q996" s="81"/>
      <c r="R996" s="81"/>
      <c r="S996" s="81"/>
      <c r="T996" s="81"/>
      <c r="U996" s="81"/>
      <c r="V996" s="81"/>
      <c r="W996" s="81"/>
      <c r="X996" s="81"/>
      <c r="Y996" s="81"/>
    </row>
    <row r="997" customFormat="false" ht="12" hidden="false" customHeight="true" outlineLevel="0" collapsed="false">
      <c r="A997" s="91"/>
      <c r="B997" s="81"/>
      <c r="C997" s="81"/>
      <c r="D997" s="81"/>
      <c r="E997" s="81"/>
      <c r="F997" s="173"/>
      <c r="G997" s="173"/>
      <c r="H997" s="173"/>
      <c r="I997" s="173"/>
      <c r="J997" s="173"/>
      <c r="K997" s="173"/>
      <c r="L997" s="80"/>
      <c r="M997" s="81"/>
      <c r="N997" s="102"/>
      <c r="O997" s="102"/>
      <c r="P997" s="81"/>
      <c r="Q997" s="81"/>
      <c r="R997" s="81"/>
      <c r="S997" s="81"/>
      <c r="T997" s="81"/>
      <c r="U997" s="81"/>
      <c r="V997" s="81"/>
      <c r="W997" s="81"/>
      <c r="X997" s="81"/>
      <c r="Y997" s="81"/>
    </row>
    <row r="998" customFormat="false" ht="12" hidden="false" customHeight="true" outlineLevel="0" collapsed="false">
      <c r="A998" s="91"/>
      <c r="B998" s="81"/>
      <c r="C998" s="81"/>
      <c r="D998" s="81"/>
      <c r="E998" s="81"/>
      <c r="F998" s="173"/>
      <c r="G998" s="173"/>
      <c r="H998" s="173"/>
      <c r="I998" s="173"/>
      <c r="J998" s="173"/>
      <c r="K998" s="173"/>
      <c r="L998" s="80"/>
      <c r="M998" s="81"/>
      <c r="N998" s="102"/>
      <c r="O998" s="102"/>
      <c r="P998" s="81"/>
      <c r="Q998" s="81"/>
      <c r="R998" s="81"/>
      <c r="S998" s="81"/>
      <c r="T998" s="81"/>
      <c r="U998" s="81"/>
      <c r="V998" s="81"/>
      <c r="W998" s="81"/>
      <c r="X998" s="81"/>
      <c r="Y998" s="81"/>
    </row>
    <row r="999" customFormat="false" ht="12" hidden="false" customHeight="true" outlineLevel="0" collapsed="false">
      <c r="A999" s="91"/>
      <c r="B999" s="81"/>
      <c r="C999" s="81"/>
      <c r="D999" s="81"/>
      <c r="E999" s="81"/>
      <c r="F999" s="173"/>
      <c r="G999" s="173"/>
      <c r="H999" s="173"/>
      <c r="I999" s="173"/>
      <c r="J999" s="173"/>
      <c r="K999" s="173"/>
      <c r="L999" s="80"/>
      <c r="M999" s="81"/>
      <c r="N999" s="102"/>
      <c r="O999" s="102"/>
      <c r="P999" s="81"/>
      <c r="Q999" s="81"/>
      <c r="R999" s="81"/>
      <c r="S999" s="81"/>
      <c r="T999" s="81"/>
      <c r="U999" s="81"/>
      <c r="V999" s="81"/>
      <c r="W999" s="81"/>
      <c r="X999" s="81"/>
      <c r="Y999" s="81"/>
    </row>
    <row r="1000" customFormat="false" ht="12" hidden="false" customHeight="true" outlineLevel="0" collapsed="false">
      <c r="A1000" s="91"/>
      <c r="B1000" s="81"/>
      <c r="C1000" s="81"/>
      <c r="D1000" s="81"/>
      <c r="E1000" s="81"/>
      <c r="F1000" s="173"/>
      <c r="G1000" s="173"/>
      <c r="H1000" s="173"/>
      <c r="I1000" s="173"/>
      <c r="J1000" s="173"/>
      <c r="K1000" s="173"/>
      <c r="L1000" s="80"/>
      <c r="M1000" s="81"/>
      <c r="N1000" s="102"/>
      <c r="O1000" s="102"/>
      <c r="P1000" s="81"/>
      <c r="Q1000" s="81"/>
      <c r="R1000" s="81"/>
      <c r="S1000" s="81"/>
      <c r="T1000" s="81"/>
      <c r="U1000" s="81"/>
      <c r="V1000" s="81"/>
      <c r="W1000" s="81"/>
      <c r="X1000" s="81"/>
      <c r="Y1000" s="81"/>
    </row>
    <row r="1001" customFormat="false" ht="15" hidden="false" customHeight="false" outlineLevel="0" collapsed="false">
      <c r="A1001" s="91"/>
      <c r="B1001" s="81"/>
      <c r="C1001" s="81"/>
      <c r="D1001" s="81"/>
      <c r="E1001" s="81"/>
      <c r="F1001" s="173"/>
      <c r="G1001" s="173"/>
      <c r="H1001" s="173"/>
      <c r="I1001" s="173"/>
      <c r="J1001" s="173"/>
      <c r="K1001" s="173"/>
      <c r="L1001" s="80"/>
      <c r="M1001" s="81"/>
      <c r="N1001" s="102"/>
      <c r="O1001" s="102"/>
      <c r="P1001" s="81"/>
      <c r="Q1001" s="81"/>
      <c r="R1001" s="81"/>
      <c r="S1001" s="81"/>
      <c r="T1001" s="81"/>
      <c r="U1001" s="81"/>
      <c r="V1001" s="81"/>
      <c r="W1001" s="81"/>
      <c r="X1001" s="81"/>
      <c r="Y1001" s="81"/>
    </row>
    <row r="1002" customFormat="false" ht="15" hidden="false" customHeight="false" outlineLevel="0" collapsed="false">
      <c r="A1002" s="91"/>
      <c r="B1002" s="81"/>
      <c r="C1002" s="81"/>
      <c r="D1002" s="81"/>
      <c r="E1002" s="81"/>
      <c r="F1002" s="173"/>
      <c r="G1002" s="173"/>
      <c r="H1002" s="173"/>
      <c r="I1002" s="173"/>
      <c r="J1002" s="173"/>
      <c r="K1002" s="173"/>
      <c r="L1002" s="80"/>
      <c r="M1002" s="81"/>
      <c r="N1002" s="102"/>
      <c r="O1002" s="102"/>
      <c r="P1002" s="81"/>
      <c r="Q1002" s="81"/>
      <c r="R1002" s="81"/>
      <c r="S1002" s="81"/>
      <c r="T1002" s="81"/>
      <c r="U1002" s="81"/>
      <c r="V1002" s="81"/>
      <c r="W1002" s="81"/>
      <c r="X1002" s="81"/>
      <c r="Y1002" s="81"/>
    </row>
    <row r="1003" customFormat="false" ht="15" hidden="false" customHeight="false" outlineLevel="0" collapsed="false">
      <c r="A1003" s="91"/>
      <c r="B1003" s="81"/>
      <c r="C1003" s="81"/>
      <c r="D1003" s="81"/>
      <c r="E1003" s="81"/>
      <c r="F1003" s="173"/>
      <c r="G1003" s="173"/>
      <c r="H1003" s="173"/>
      <c r="I1003" s="173"/>
      <c r="J1003" s="173"/>
      <c r="K1003" s="173"/>
      <c r="L1003" s="80"/>
      <c r="M1003" s="81"/>
      <c r="N1003" s="102"/>
      <c r="O1003" s="102"/>
      <c r="P1003" s="81"/>
      <c r="Q1003" s="81"/>
      <c r="R1003" s="81"/>
      <c r="S1003" s="81"/>
      <c r="T1003" s="81"/>
      <c r="U1003" s="81"/>
      <c r="V1003" s="81"/>
      <c r="W1003" s="81"/>
      <c r="X1003" s="81"/>
      <c r="Y1003" s="81"/>
    </row>
    <row r="1004" customFormat="false" ht="15" hidden="false" customHeight="false" outlineLevel="0" collapsed="false">
      <c r="A1004" s="91"/>
      <c r="B1004" s="81"/>
      <c r="C1004" s="81"/>
      <c r="D1004" s="81"/>
      <c r="E1004" s="81"/>
      <c r="F1004" s="173"/>
      <c r="G1004" s="173"/>
      <c r="H1004" s="173"/>
      <c r="I1004" s="173"/>
      <c r="J1004" s="173"/>
      <c r="K1004" s="173"/>
      <c r="L1004" s="80"/>
      <c r="M1004" s="81"/>
      <c r="N1004" s="102"/>
      <c r="O1004" s="102"/>
      <c r="P1004" s="81"/>
      <c r="Q1004" s="81"/>
      <c r="R1004" s="81"/>
      <c r="S1004" s="81"/>
      <c r="T1004" s="81"/>
      <c r="U1004" s="81"/>
      <c r="V1004" s="81"/>
      <c r="W1004" s="81"/>
      <c r="X1004" s="81"/>
      <c r="Y1004" s="81"/>
    </row>
    <row r="1005" customFormat="false" ht="15" hidden="false" customHeight="false" outlineLevel="0" collapsed="false">
      <c r="A1005" s="91"/>
      <c r="B1005" s="81"/>
      <c r="C1005" s="81"/>
      <c r="D1005" s="81"/>
      <c r="E1005" s="81"/>
      <c r="F1005" s="173"/>
      <c r="G1005" s="173"/>
      <c r="H1005" s="173"/>
      <c r="I1005" s="173"/>
      <c r="J1005" s="173"/>
      <c r="K1005" s="173"/>
      <c r="L1005" s="80"/>
      <c r="M1005" s="81"/>
      <c r="N1005" s="102"/>
      <c r="O1005" s="102"/>
      <c r="P1005" s="81"/>
      <c r="Q1005" s="81"/>
      <c r="R1005" s="81"/>
      <c r="S1005" s="81"/>
      <c r="T1005" s="81"/>
      <c r="U1005" s="81"/>
      <c r="V1005" s="81"/>
      <c r="W1005" s="81"/>
      <c r="X1005" s="81"/>
      <c r="Y1005" s="81"/>
    </row>
    <row r="1006" customFormat="false" ht="15" hidden="false" customHeight="false" outlineLevel="0" collapsed="false">
      <c r="A1006" s="91"/>
      <c r="B1006" s="81"/>
      <c r="C1006" s="81"/>
      <c r="D1006" s="81"/>
      <c r="E1006" s="81"/>
      <c r="F1006" s="173"/>
      <c r="G1006" s="173"/>
      <c r="H1006" s="173"/>
      <c r="I1006" s="173"/>
      <c r="J1006" s="173"/>
      <c r="K1006" s="173"/>
      <c r="L1006" s="80"/>
      <c r="M1006" s="81"/>
      <c r="N1006" s="102"/>
      <c r="O1006" s="102"/>
      <c r="P1006" s="81"/>
      <c r="Q1006" s="81"/>
      <c r="R1006" s="81"/>
      <c r="S1006" s="81"/>
      <c r="T1006" s="81"/>
      <c r="U1006" s="81"/>
      <c r="V1006" s="81"/>
      <c r="W1006" s="81"/>
      <c r="X1006" s="81"/>
      <c r="Y1006" s="81"/>
    </row>
    <row r="1007" customFormat="false" ht="15" hidden="false" customHeight="false" outlineLevel="0" collapsed="false">
      <c r="A1007" s="91"/>
      <c r="B1007" s="81"/>
      <c r="C1007" s="81"/>
      <c r="D1007" s="81"/>
      <c r="E1007" s="81"/>
      <c r="F1007" s="173"/>
      <c r="G1007" s="173"/>
      <c r="H1007" s="173"/>
      <c r="I1007" s="173"/>
      <c r="J1007" s="173"/>
      <c r="K1007" s="173"/>
      <c r="L1007" s="80"/>
      <c r="M1007" s="81"/>
      <c r="N1007" s="102"/>
      <c r="O1007" s="102"/>
      <c r="P1007" s="81"/>
      <c r="Q1007" s="81"/>
      <c r="R1007" s="81"/>
      <c r="S1007" s="81"/>
      <c r="T1007" s="81"/>
      <c r="U1007" s="81"/>
      <c r="V1007" s="81"/>
      <c r="W1007" s="81"/>
      <c r="X1007" s="81"/>
      <c r="Y1007" s="81"/>
    </row>
    <row r="1008" customFormat="false" ht="15" hidden="false" customHeight="false" outlineLevel="0" collapsed="false">
      <c r="A1008" s="91"/>
      <c r="B1008" s="81"/>
      <c r="C1008" s="81"/>
      <c r="D1008" s="81"/>
      <c r="E1008" s="81"/>
      <c r="F1008" s="173"/>
      <c r="G1008" s="173"/>
      <c r="H1008" s="173"/>
      <c r="I1008" s="173"/>
      <c r="J1008" s="173"/>
      <c r="K1008" s="173"/>
      <c r="L1008" s="80"/>
      <c r="M1008" s="81"/>
      <c r="N1008" s="102"/>
      <c r="O1008" s="102"/>
      <c r="P1008" s="81"/>
      <c r="Q1008" s="81"/>
      <c r="R1008" s="81"/>
      <c r="S1008" s="81"/>
      <c r="T1008" s="81"/>
      <c r="U1008" s="81"/>
      <c r="V1008" s="81"/>
      <c r="W1008" s="81"/>
      <c r="X1008" s="81"/>
      <c r="Y1008" s="81"/>
    </row>
    <row r="1009" customFormat="false" ht="15" hidden="false" customHeight="false" outlineLevel="0" collapsed="false">
      <c r="A1009" s="91"/>
      <c r="B1009" s="81"/>
      <c r="C1009" s="81"/>
      <c r="D1009" s="81"/>
      <c r="E1009" s="81"/>
      <c r="F1009" s="173"/>
      <c r="G1009" s="173"/>
      <c r="H1009" s="173"/>
      <c r="I1009" s="173"/>
      <c r="J1009" s="173"/>
      <c r="K1009" s="173"/>
      <c r="L1009" s="80"/>
      <c r="M1009" s="81"/>
      <c r="N1009" s="102"/>
      <c r="O1009" s="102"/>
      <c r="P1009" s="81"/>
      <c r="Q1009" s="81"/>
      <c r="R1009" s="81"/>
      <c r="S1009" s="81"/>
      <c r="T1009" s="81"/>
      <c r="U1009" s="81"/>
      <c r="V1009" s="81"/>
      <c r="W1009" s="81"/>
      <c r="X1009" s="81"/>
      <c r="Y1009" s="81"/>
    </row>
    <row r="1010" customFormat="false" ht="15" hidden="false" customHeight="false" outlineLevel="0" collapsed="false">
      <c r="A1010" s="91"/>
      <c r="B1010" s="81"/>
      <c r="C1010" s="81"/>
      <c r="D1010" s="81"/>
      <c r="E1010" s="81"/>
      <c r="F1010" s="173"/>
      <c r="G1010" s="173"/>
      <c r="H1010" s="173"/>
      <c r="I1010" s="173"/>
      <c r="J1010" s="173"/>
      <c r="K1010" s="173"/>
      <c r="L1010" s="80"/>
      <c r="M1010" s="81"/>
      <c r="N1010" s="102"/>
      <c r="O1010" s="102"/>
      <c r="P1010" s="81"/>
      <c r="Q1010" s="81"/>
      <c r="R1010" s="81"/>
      <c r="S1010" s="81"/>
      <c r="T1010" s="81"/>
      <c r="U1010" s="81"/>
      <c r="V1010" s="81"/>
      <c r="W1010" s="81"/>
      <c r="X1010" s="81"/>
      <c r="Y1010" s="81"/>
    </row>
    <row r="1011" customFormat="false" ht="15" hidden="false" customHeight="false" outlineLevel="0" collapsed="false">
      <c r="A1011" s="91"/>
      <c r="B1011" s="81"/>
      <c r="C1011" s="81"/>
      <c r="D1011" s="81"/>
      <c r="E1011" s="81"/>
      <c r="F1011" s="173"/>
      <c r="G1011" s="173"/>
      <c r="H1011" s="173"/>
      <c r="I1011" s="173"/>
      <c r="J1011" s="173"/>
      <c r="K1011" s="173"/>
      <c r="L1011" s="80"/>
      <c r="M1011" s="81"/>
      <c r="N1011" s="102"/>
      <c r="O1011" s="102"/>
      <c r="P1011" s="81"/>
      <c r="Q1011" s="81"/>
      <c r="R1011" s="81"/>
      <c r="S1011" s="81"/>
      <c r="T1011" s="81"/>
      <c r="U1011" s="81"/>
      <c r="V1011" s="81"/>
      <c r="W1011" s="81"/>
      <c r="X1011" s="81"/>
      <c r="Y1011" s="81"/>
    </row>
    <row r="1012" customFormat="false" ht="15" hidden="false" customHeight="false" outlineLevel="0" collapsed="false">
      <c r="A1012" s="91"/>
      <c r="B1012" s="81"/>
      <c r="C1012" s="81"/>
      <c r="D1012" s="81"/>
      <c r="E1012" s="81"/>
      <c r="F1012" s="173"/>
      <c r="G1012" s="173"/>
      <c r="H1012" s="173"/>
      <c r="I1012" s="173"/>
      <c r="J1012" s="173"/>
      <c r="K1012" s="173"/>
      <c r="L1012" s="80"/>
      <c r="M1012" s="81"/>
      <c r="N1012" s="102"/>
      <c r="O1012" s="102"/>
      <c r="P1012" s="81"/>
      <c r="Q1012" s="81"/>
      <c r="R1012" s="81"/>
      <c r="S1012" s="81"/>
      <c r="T1012" s="81"/>
      <c r="U1012" s="81"/>
      <c r="V1012" s="81"/>
      <c r="W1012" s="81"/>
      <c r="X1012" s="81"/>
      <c r="Y1012" s="81"/>
    </row>
    <row r="1013" customFormat="false" ht="15" hidden="false" customHeight="false" outlineLevel="0" collapsed="false">
      <c r="A1013" s="91"/>
      <c r="B1013" s="81"/>
      <c r="C1013" s="81"/>
      <c r="D1013" s="81"/>
      <c r="E1013" s="81"/>
      <c r="F1013" s="173"/>
      <c r="G1013" s="173"/>
      <c r="H1013" s="173"/>
      <c r="I1013" s="173"/>
      <c r="J1013" s="173"/>
      <c r="K1013" s="173"/>
      <c r="L1013" s="80"/>
      <c r="M1013" s="81"/>
      <c r="N1013" s="102"/>
      <c r="O1013" s="102"/>
      <c r="P1013" s="81"/>
      <c r="Q1013" s="81"/>
      <c r="R1013" s="81"/>
      <c r="S1013" s="81"/>
      <c r="T1013" s="81"/>
      <c r="U1013" s="81"/>
      <c r="V1013" s="81"/>
      <c r="W1013" s="81"/>
      <c r="X1013" s="81"/>
      <c r="Y1013" s="81"/>
    </row>
    <row r="1014" customFormat="false" ht="15" hidden="false" customHeight="false" outlineLevel="0" collapsed="false">
      <c r="A1014" s="91"/>
      <c r="B1014" s="81"/>
      <c r="C1014" s="81"/>
      <c r="D1014" s="81"/>
      <c r="E1014" s="81"/>
      <c r="F1014" s="173"/>
      <c r="G1014" s="173"/>
      <c r="H1014" s="173"/>
      <c r="I1014" s="173"/>
      <c r="J1014" s="173"/>
      <c r="K1014" s="173"/>
      <c r="L1014" s="80"/>
      <c r="M1014" s="81"/>
      <c r="N1014" s="102"/>
      <c r="O1014" s="102"/>
      <c r="P1014" s="81"/>
      <c r="Q1014" s="81"/>
      <c r="R1014" s="81"/>
      <c r="S1014" s="81"/>
      <c r="T1014" s="81"/>
      <c r="U1014" s="81"/>
      <c r="V1014" s="81"/>
      <c r="W1014" s="81"/>
      <c r="X1014" s="81"/>
      <c r="Y1014" s="81"/>
    </row>
  </sheetData>
  <autoFilter ref="A3:V3"/>
  <mergeCells count="2">
    <mergeCell ref="A1:J1"/>
    <mergeCell ref="I2:J2"/>
  </mergeCells>
  <hyperlinks>
    <hyperlink ref="O4" r:id="rId1" display="https://www.allianz.co.uk/news-and-insight/news/allianz-prevents-record-level-of-fraud.html&#10;&#10;https://technopark.in/company-details/5870?company=Allianz%20Services%20%28P%29%20Ltd&#10;&#10;https://www.linkedin.com/posts/allianz-reinsurance_allianz-jio-re-limited-commences-underwriting-activity-7442824086717779969-vY4R &#10;&#10;https://commercial.allianz.com/news-and-insights/news/reel-media-partnership-2026.html&#10;&#10;https://commercial.allianz.com/news-and-insights/news/uk-property-appointments-2026.html&#10;&#10;https://www.etnownews.com/companies/exclusive-allianz-to-merge-agcs-india-business-into-new-jv-with-jio-financial-services-to-meet-irdai-norms-article-152322592&#10;&#10;https://www.linkedin.com/posts/allianz-services-india_hfsindiasummit-gcc-activity-7432301647646859264-FiL6&#10;&#10;https://www.allianz.com/en/mediacenter/news.html (JFSL-Allianz JV binding agreement, 22 Apr 2026)&#10;&#10;https://www.reinsurancene.ws/tag/allianz/ (Allianz Jio Re CEO Sonia Rawal; Q1 2026 results)"/>
    <hyperlink ref="P4" r:id="rId2" display="en-Allianz-fact-sheet.pdf"/>
    <hyperlink ref="O5" r:id="rId3" display="Latest News | Allstate India&#10;&#10;https://undercodenews.com/allstates-india-operations-a-hub-of-innovation-and-efficiency/https://undercodenews.com/allstates-india-operations-a-hub-of-innovation-and-efficiency/&#10;&#10;https://timesofindia.indiatimes.com/technology/times-techies/using-indian-docs-lawyers-engineers-to-serve-us-insurance-allstate-centres-in-pune-bengaluru-are-becoming-critical-hubs/articleshow/118371257.cms&#10;&#10;https://actuary.info/insights/allstate-allie-proprietary-agentic-ai-stack"/>
    <hyperlink ref="P5" r:id="rId4" display="The Allstate Corporation (ALL) Number of Employees 1996-2025"/>
    <hyperlink ref="O6" r:id="rId5" display="https://www.thecompanycheck.com/company/accenture-operations-services-private-limited/U74990KA2009PTC076432&#10;&#10;https://insuranceblog.accenture.com/3-ways-insurance-underwriters-gain-insights-generative-ai&#10;&#10;&#10;https://in.marketscreener.com/quote/stock/ACCENTURE-PLC-11521/news/Accenture-Invests-in-Reserv-to-Transform-Insurance-Claims-Processes-50158529/&#10;&#10;https://ansr.com/press-releases/accenture-invests-in-ansr-and-will-join-its-board-of-directors/&#10;&#10;&#10;https://newsroom.servicenow.com/press-releases/details/2026/ServiceNow-and-Accenture-launch-forward-deployed-engineering-program-to-scale-agentic-AI-across-the-enterprise/default.aspx"/>
    <hyperlink ref="P6" r:id="rId6" display="Accenture Operations Services Private Limited - FY 2026"/>
    <hyperlink ref="O7" r:id="rId7" display="https://www.reinsurancene.ws/leading-indian-life-insurer-to-implement-aons-modelling-platform-pathwise/&#10;&#10;https://aon.mediaroom.com/2026-04-15-Aon-expands-Data-Center-Lifecycle-Insurance-Program-capacity-to-3-5-billion-in-support-of-Digital-Infrastructure-clients&#10;&#10;&#10;https://gccrise.com/aon-appoints-shiney-prasad-as-head-of-global-capability-centers/&#10;https://aon.mediaroom.com/news-releases?item=138603"/>
    <hyperlink ref="O8" r:id="rId8" display="https://in.marketscreener.com/news/admiral-group-plc-reports-earnings-results-for-the-full-year-ended-december-31-2025-ce7e5fdbd88af525&#10;&#10;https://www.londonstockexchange.com/news-article/ADM/admiral-group-completes-acquisition-of-flock/17616667"/>
    <hyperlink ref="P8" r:id="rId9" display="Admiral Solutions | LinkedIn&#10;&#10;https://www.greatplacetowork.in/resources/casestudies/admiral-india-hybrid-workplace-retention/"/>
    <hyperlink ref="O9" r:id="rId10" display="https://www.businesswire.com/news/home/20251027224074/en/Arch-Global-Services-India-Opens-Technology-Hub-in-Hyderabad-to-Accelerate-Innovation?utm_source=chatgpt.com&#10;&#10;https://www.reinsurancene.ws/arch-global-services-india-opens-technology-hub-in-hyderabad/&#10;&#10;&#10;https://www.archgroup.com/arch-capital-group-ltd-reports-2026-first-quarter-results/"/>
    <hyperlink ref="O10" r:id="rId11" display="https://www.prnewswire.com/in/news-releases/axa-global-business-services-embarks-on-a-new-era-of-transformation-as-it-celebrates-30-years-in-india-302375701.html&#10;&#10;https://www.axagbs.com/press-release/axa-unveils-state-of-the-art-office-space-in-pune-expands-its-global-business-services-center&#10;&#10;https://gcc.economictimes.indiatimes.com/news/industry-trends/axa-gbs-driving-innovation-through-strategic-engineering-talent-in-india/125975576&#10;&#10;https://www.reinsurancene.ws/thomas-buberl-reappointed-ceo-of-axa-for-four-year-term/&#10;&#10;https://gcc.economictimes.indiatimes.com/podcast/podcast/the-gcc-show/why-india-matters-to-axa-gbs/125829577"/>
    <hyperlink ref="P10" r:id="rId12" display=" &#10;&#10;AXA Global Business Services Embarks on a New Era of Transformation as it Celebrates 30 Years in India  "/>
    <hyperlink ref="O11" r:id="rId13" display="https://www.itij.com/latest/news/bupa-careconnect-signs-11-new-workplace-healthcare-agreements-global-health-exhibition?utm_source=chatgpt.com&#10;&#10;https://www.insurancebusinessmag.com/au/news/environmental/bupa-targets-preventative-healthcare-through-startup-investments-532873.aspx?utm_source=chatgpt.com&#10;&#10;https://www.abc.net.au/news/2025-06-30/srt-accc-takes-bupa-to-court-for-unconscionable-conduct/105476068?utm_source=chatgpt.com&#10;&#10;&#10;https://economictimes.indiatimes.com/tech/artificial-intelligence/multinationals-set-up-gccs-in-india-to-bypass-ai-talent-war-ft-report/articleshow/122834748.cms&#10;&#10;https://www.falconebiz.com/company/BUPA-CAPABILITY-CENTRE-PRIVATE-LIMITED-U70200HR2025FTC131860&#10;&#10;https://hrtoday.in/bupa-global-capability-centre-appoints-sidharth-gupta-as-head-talent-acquisition-employer-branding-apac-uk/&#10;&#10;https://media.bupa.com.au/bupa-to-acquire-partnered-health-group/"/>
    <hyperlink ref="P11" r:id="rId14" display="Bupa Capability Centre - India Bupa Careers"/>
    <hyperlink ref="O12" r:id="rId15" display="Press Releases | Cigna Healthcare Newsroom | Cigna Newsroom&#10;&#10;https://gcc.economictimes.indiatimes.com/news/gccs-revolutionize-enterprise-value-creation-with-ai-innovation/129902916&#10;&#10;https://jobs.thecignagroup.com/us/en/evernorth-india&#10;&#10;&#10;https://www.expresscomputer.in/exclusives/our-hyderabad-hub-now-drive-end-to-end-delivery-not-just-an-offshore-unit-for-cigna-yadhu-kishore-nandikolla-evernorth-health-services-india/126501/&#10;&#10;&#10;https://marketchameleon.com/Overview/CI/PressReleases/&#10;https://providernewsroom.com/cigna-healthcare/the-cigna-group-appoints-brian-evanko-chief-executive-officer/"/>
    <hyperlink ref="P12" r:id="rId16" display="Cigna Health Solutions India | A Cigna Healthcare Company&#10;&#10;https://www.zaubacorp.com/CIGNA-HEALTH-SOLUTIONS-INDIA-PRIVATE-LIMITED-U93090MH2011FTC213985&#10;&#10;https://www.cignainternational.com/chsi/our-story&#10;&#10;https://www.zaubacorp.com/RAMKUMAR-VENKATACHALAM-08260871&#10;&#10;https://www.cignainternational.com/chsi/our-story&#10;&#10;"/>
    <hyperlink ref="O13" r:id="rId17" display="https://upstox.com/news/business-news/latest-updates/star-union-life-quantum-street-ai-partner-to-launch-ai-led-investment-products/article-118564/?utm_source=chatgpt.com&#10;&#10;https://www.expresscomputer.in/news/star-union-dai-ichi-life-insurances-ai-voice-bot-push-signals-a-larger-shift-in-insurance-cx-playbooks/134259/&#10;https://www.sudlife.in/key-management-persons&#10;&#10;https://www.capgemini.com/news/press-releases/dai-ichi-life-group-and-capgemini-sign-multi-year-agreement-to-establish-a-global-capability-center-in-india-to-drive-international-digital-transformation/&#10;&#10;https://www.thehindubusinessline.com/money-and-banking/dai-ichi-life-to-expand-india-gcc-to-600-employees-taps-local-tech-talent/article69815511.ece&#10;&#10;https://www.daiichilife-group.com/en/news/assets/pdf/2026_index_015.pdf"/>
    <hyperlink ref="O14" r:id="rId18" display="FM Expands Footprint in India with New, Innovative Centre in Bengaluru | FM (US)&#10;&#10;https://www.claimsjournal.com/news/national/2026/02/02/335326.htm&#10;&#10;https://economictimes.indiatimes.com/industry/services/property-/-cstruction/fm-to-set-up-largest-office-outside-us-in-bengaluru/articleshow/122736584.cms&#10;&#10;https://newsroom.fmglobal.com/releases/fm-expands-footprint-in-india-with-new-innovative-centre-in-bengaluru"/>
    <hyperlink ref="O15" r:id="rId19" display="https://www.sahmcapital.com/news/content/a-look-at-first-american-financials-valuation-after-new-title-fraud-monitoring-service-launch-2026-01-21?utm_source=chatgpt.com&#10;&#10; https://www.firstam.com/news/2025/agentnet-assist-gen-ai-tool-20250728.html&#10;&#10;https://www.theofficialboard.com/org-chart/first-american&#10;&#10;https://in.linkedin.com/company/first-american-india-pvt-ltd&#10;&#10;https://www.firstam.co.in/"/>
    <hyperlink ref="O16" r:id="rId20" display="Arthur J. Gallagher &amp; Co. Acquires First Actuarial&#10;&#10;https://hrtoday.in/meenu-agrawal-joins-gallagher-center-of-excellence-as-group-vice-president-talent-acquisition/&#10;&#10;https://investor.ajg.com/news/default.aspx"/>
    <hyperlink ref="O17" r:id="rId21" display="https://news.europawire.eu/hannover-re-unveils-dedicated-cyber-and-digital-business-unit-for-enhanced-reinsurance-expertise/eu-press-release/2024/03/26/10/53/52/133057/?utm.com&#10;&#10;https://reinasia.com/hannover-re-appoints-prateek-maheshwari-as-cfo-for-india-branch/&#10;&#10;https://www.hannover-re.com/en/press/&#10;https://www.reinsurancene.ws/lemonade-enters-into-250m-business-financing-agreement-with-hannover-re/"/>
    <hyperlink ref="O18" r:id="rId22" display="Markel partners with Insurate for AI-driven workers’ com By Investing.com&#10;&#10;https://www.prnewswire.com/news-releases/markel-international-launches-ai-centre-of-enablement-with-appointment-of-head-of-ai-302711437.html&#10;&#10;https://www.reinsurancene.ws/markel-international-adds-jain-as-indias-business-development-distribution-lead/"/>
    <hyperlink ref="O19" r:id="rId23" display="Marsh McLennan and its businesses will brand as Marsh&#10;https://insuranceasia.com/insurance/news/marsh-mclennan-india-names-sanjay-kedia-new-ceo&#10;https://www.corporate.marsh.com/about/leadership.html&#10;https://ffnews.com/newsarticle/hiring/marsh-mclennan-appoints-andrea-bono-as-ceo-india-middle-east-and-africa/&#10;https://www.insurancebusinessmag.com/us/news/technology/marsh-mclennan-agency-tackles-complexity-with-data-platforms-and-targeted-ai-investment-571858.aspx"/>
    <hyperlink ref="P19" r:id="rId24" display="Marsh McLennan and its businesses will brand as Marsh&#10;https://insuranceasia.com/insurance/news/marsh-mclennan-india-names-sanjay-kedia-new-ceo&#10;https://www.corporate.marsh.com/about/leadership.html&#10;https://www.insurancebusinessmag.com/us/news/technology/marsh-mclennan-agency-tackles-complexity-with-data-platforms-and-targeted-ai-investment-571858.aspx&#10;&#10;https://www.marsh.com/en/about/media/marsh-launches-marsh-nexus-captive-solution.html"/>
    <hyperlink ref="O20" r:id="rId25" display="https://www.f1lasvegasgp.com/2025/10/massmutual-accelerates-brand-presence-with-sponsorship-of-the-formula-1-heineken-las-vegas-grand-prix-2025-as-the-official-wealth-management-partner/&#10;&#10;https://www.nerdwallet.com/insurance/life/massmutual-life-insurance-review&#10;https://marquistopexecutives.com/2024/05/06/ravi-tangirala/&#10;https://leadiq.com/c/massmutual-india/617823e9990e636b3ee22fa3/employee-directory&#10;Forbes (Dec 29 2025): MassMutual Moving At ‘Warp Speed’ On AI Efforts&#10;https://www.forbes.com/sites/stevennorton/2025/12/29/massmutual-moving-at-warp-speed-on-ai-efforts/&#10;Telangana Today (GCC CoE expansion):&#10;https://telanganatoday.com/massmutual-to-increase-headcount-in-hyderabad [telanganatoday.com]&#10;enRightPR coverage on GCC technology excellence:&#10;https://www.enrightpr.in/massmutual-to-spur-its-technology-excellence-in-gcc/"/>
    <hyperlink ref="P20" r:id="rId26" display="https://www.corporatereport.com/massmutual/2024/ar/governance/&#10;https://www.corporatereport.com/massmutual/2024/ar/governance/&#10;https://www.corporatereport.com/massmutual/2024/ar/governance/&#10;https://www.massmutual.com/newsroom"/>
    <hyperlink ref="O21" r:id="rId27" display="MetLife Accelerates Digital Transformation with New Global Capability Center - TOH&#10;&#10;https://ssfglobal.in/industry_action/metlife-expands-noida-gcc-with-new-lease-at-oxygen-business-park/&#10;&#10;https://thetimesofhindustan.com/metlife-accelerates-digital-transformation-with-new-global-capability-center/&#10;https://365telugu.com/metlife-gcc-named-among-indias-best-companies-to-work-for-2026/&#10;&#10;&#10;"/>
    <hyperlink ref="P21" r:id="rId28" display="India - Global Capability Center | MetLife Careers&#10;&#10;https://www.thecompanycheck.com/company/metlife-global-operations-support-center-private-limited/U72900DL2008PTC176695"/>
    <hyperlink ref="O22" r:id="rId29" display="India to soon have about 50% of Swiss Re's global tech talent: Amit Kalra | Interviews - Business Standard&#10;&#10;https://www.swissre.com/risk-knowledge/advancing-societal-benefits-digitalisation/how-generative-ai-is-transforming-insurance-claims-claimsgenai.html&#10;&#10;https://asiainsurancepost.com/archives/50595&#10;https://www.linkedin.com/posts/analytics-india-magazine_global-reinsurer-swiss-re-has-officially-activity-7342559467030441984--SGk/&#10;&#10;&#10;&#10;https://theiirm.ac.in/swiss-re-gbs-india-signs-mou/&#10;&#10;https://reinasia.com/zurich-taps-amit-kalra-to-lead-new-global-capability-centre-in-india/ (Kalra departure/Zurich move)&#10;&#10;https://www.reinsurancene.ws/swiss-re-names-ziswiler-as-head-pc-re-southeast-asia-india-hong-kong-taiwan-and-korea/"/>
    <hyperlink ref="P22" r:id="rId30" display="https://www.swissre.com/about-us/our-leadership.html&#10;&#10;&#10;https://en.wikipedia.org/wiki/Swiss_Re"/>
    <hyperlink ref="O23" r:id="rId31" display="https://timesofindia.indiatimes.com/business/india-business/us-insurer-the-standard-expands-india-footprint-with-new-capability-center/articleshow/125431239.cms&#10;&#10;The Standard finalizes Allstate voluntary benefits acquisition | Insurance Business&#10;&#10;https://analyticsindiamag.com/ai-news-updates/the-standard-launches-new-gcc-in-india/&#10;&#10;https://www.standard.com/get-to-know-standard/newsroom/press-releases/standard-and-onedigital-expand-secure-future-pep-nationally&#10;&#10;https://www.standard.com/get-to-know-standard/newsroom/press-releases/standard-promotes-nathan-mckinstry-senior-vice-president-employee-voluntary &#10;&#10;https://www.standard.com/get-to-know-standard/newsroom/press-releases/standard-promotes-paul-freese-assistant-vice-president-loan-operations-stancorp&#10;&#10;https://www.standard.com/get-to-know-standard/newsroom/press-releases/standard-partners-university-texas-dallas-increase-access-actuarial-science&#10;&#10;https://www.standard.com/get-to-know-standard/newsroom/press-releases/standard-names-elice-lee-regional-vice-president-retirement-plans&#10;&#10;https://www.standard.com/get-to-know-standard/newsroom/press-releases/standard-names-rob-kerscher-regional-vice-president-retirement-plans"/>
    <hyperlink ref="P23" r:id="rId32" display="The Standard Expands Global Footprint with New Office and Mohua Sengupta as Country Head in India, ETGCC &#10;&#10;https://www.linkedin.com/company/the-standard/"/>
    <hyperlink ref="O24" r:id="rId33" display="Gaurish Wagh Appointed as Global People Development Lead India at M&amp;G Global Services Private Limited - Global HR News &amp; Updates&#10;&#10;https://www.linkedin.com/company/m&amp;gglobalservicesprivatelimited/posts/?feedView=all&#10;https://group.mandg.com/news-and-insights/press-releases/2026/27-04-2026"/>
    <hyperlink ref="P24" r:id="rId34" display="&#10;&#10;https://www.zaubacorp.com/M-AND-G-GLOBAL-SERVICES-PRIVATE-LIMITED-U74140MH2002PTC137446#google_vignette&#10;&#10;https://www.thecompanycheck.com/company/mg-global-services-private-limited/U74140MH2002PTC137446"/>
    <hyperlink ref="O25" r:id="rId35" display="https://www.moneycontrol.com/banking/global-insurer-chubb-explores-india-re-entry-after-two-decades-article-13891678.html&#10;Chubb launches AI embedded engine; Trucordia acquires 5: Insurance news | Digital Insurance&#10;&#10;https://www.processexcellencenetwork.com/digital-transformation/news/chubb-lays-out-ambitious-digital-transformation-plans-with-focus-on-ai-automation&#10;&#10;https://news.chubb.com/2026-03-11-Chubb-Names-Seshadri-Iyer-to-Lead-Global-Operations,-Technology-and-Digital-Transformation&#10;https://timesofindia.indiatimes.com/city/hyderabad/chubbs-tech-hub-expansion-hyderabad-leads-as-major-global-workforce-center/articleshow/115310608.cms&#10;"/>
    <hyperlink ref="P25" r:id="rId36" display="Chubb's Tech Hub Expansion: Hyderabad Leads as Major Global Workforce Center | Hyderabad News - The Times of India"/>
    <hyperlink ref="O26" r:id="rId37" display="https://yourstory.com/enterprise-story/2025/03/india-gcc-microcosm-guardian-life-insurance-shiney-prasad&#10;&#10;https://gcc.economictimes.indiatimes.com/news/people-culture/guardian-india-names-karunakaran-azhisur-as-new-country-head/126960296&#10;&#10;https://www.guardianlife.com/about-guardian/where-we-work/india"/>
    <hyperlink ref="P26" r:id="rId38" display="‘India GCC is a microcosm of Guardian Life Insurance building tech solutions for the American market’ | YourStory"/>
    <hyperlink ref="O27" r:id="rId39" display="https://www.tiaa.org/public/about-tiaa/news-press/news/2024/07-17&#10;https://www.linkedin.com/posts/val-volkau-4a9a7333_tiaaproud-activity-7435338616417128448-h2jm/&#10;TIAA Global Capabilities Pvt Ltd (formerly known as TIAA Global Business Services (India) Pvt Ltd), a Great Place To Work&#10;&#10;https://www.linkedin.com/feed/update/urn:li:share:7443440723737108480/&#10;&#10;&#10;&#10;https://www.prnewswire.com/news-releases/nuveen-tiaa-and-principal-expand-access-to-guaranteed-lifetime-income-marking-the-milestone-with-bobby-bonilla-on-his-annual-payday-302815828.html&#10;"/>
    <hyperlink ref="P27" r:id="rId40" display="TIAA Careers | Global Capabilities"/>
    <hyperlink ref="O28" r:id="rId41" display="Sun Life Global Solutions India at 20: Driving Enterprise Impact, Innovation and transformation | Sun Life Global Solutions&#10;&#10;https://gcc.economictimes.indiatimes.com/videos/power-talks/gccs-as-growth-engines-inside-sun-life-global-solutions-ai-journey/126136910?utm_source=top_news&amp;utm_medium=tagListing&#10;&#10;https://etedge-insights.com/trending/sun-life-global-solutions-india-marks-20-years-of-transformation-and-innovation/&#10;&#10;https://www.techcircle.in/2025/07/14/significant-rise-in-strategic-leadership-roles-at-sun-life-global-solutions-in-last-5-yrs-ajayan-narayanan&#10;&#10;https://www.expresscomputer.in/exclusives/mirror-operations-shifted-us-from-lift-and-shift-to-transform-and-shift-rajat-vibhas-sun-life-global-solutions-india/127163/&#10;&#10;https://www.linkedin.com/posts/gccpulse_globalcapabilitycentres-gccnews-activity-7431629843320020992-fAJE/&#10;&#10;https://gcc.economictimes.indiatimes.com/news/people-culture/bianca-ilibasic-appointed-managing-director-of-sun-life-global-solutions/131171852"/>
    <hyperlink ref="O29" r:id="rId42" display="https://www.optum.com/en/about-us/news/page.hub5.ai-powered-digital-prior-authorization.html&#10;https://briefglance.com/articles/ansr-and-optum-launch-ai-platform-for-healthcares-in-house-tech-hubs&#10;https://www.optum.com/en/about-us/news/page.hub5.ai-drives-affordability-accelerate-value-based-care-adoption.html&#10;&#10;Optum is advancing AI-powered digital prior authorization to reshape care delivery&#10;&#10;https://www.optum.com/en/about-us/news/page.hub5.ai-drives-affordability-accelerate-value-based-care-adoption.html&#10;&#10;https://www.optum.com/en/about-us/news/page.hub5.improving-provider-experience-across-claims-reimbursement.html&#10;&#10;https://telanganatoday.com/optum-iiit-hyderabad-to-set-up-startup-studio&#10;&#10;https://www.optum.in/about/news/how-gccs-are-shaping-global-strategies-future-leaders.html&#10;https://healthbuzz.in/ansr-launches-ai-powered-healthcare-gcc-accelerator-to-accelerate-digital-transformation/&#10;"/>
    <hyperlink ref="P29" r:id="rId43" display="Work here"/>
    <hyperlink ref="H30" r:id="rId44" location="group-executive-committee-tab" display="Naveen Tahilyani&#10;&#10;https://www.prudentialplc.com/en/newsroom/company-news/2025/prudential-plc-appoints-new-regional-ceo-and-new-eastspring-ceo/&#10;&#10;[Oct'26 re-check] Searched 'Prudential Services India head / country head / hub lead / managing director 2026' (extended) and 'Prudential Services India linkedin head of' (extended): no named site head returned. Only a Bengaluru 'Director - HR Operations, Systems and Shared Services' vacancy surfaced. Recommend sheet shows 'Not publicly disclosed (reports to Anette Bronder, CTOO, Prudential plc)'."/>
    <hyperlink ref="O30" r:id="rId45" display="Prudential Launches Global Services Hub in Bengaluru, India | Prudential plc&#10;&#10;https://hubbis.com/news/prudential-establishes-global-services-hub-in-india-to-drive-innovation&#10;https://www.londonstockexchange.com/news-article/PRU/prudential-plc-repositions-its-india-operations/17595604"/>
    <hyperlink ref="P30" r:id="rId46" display="Prudential Launches Global Services Hub in Bengaluru, India | Prudential plc"/>
    <hyperlink ref="O31" r:id="rId47" display="https://www.linkedin.com/posts/principalglobalservices_we-are-proud-to-announce-that-principal-financial-activity-7249737828945850368-sWEF/&#10;&#10;https://corporateinsight.com/ai-in-life-insurance-principals-feature-and-new-adoption-tools/"/>
    <hyperlink ref="P31" r:id="rId48" display="Worldwide locations | Principal"/>
    <hyperlink ref="O32" r:id="rId49" display="https://news.nationwide.com/kevin-m-strong-named-new-n2g-ceo/&#10;https://n2g.com/about.html&#10;&#10;&#10;https://tta.in/tta-advised-n2g-worldwide-insurance-services-llc-in-relation-to-the-establishment-of-the-gcc/&#10;https://www.barandbench.com/dealstreet/tta-assists-n2g-insurance-on-setting-up-global-capability-center-in-india&#10;"/>
    <hyperlink ref="O33" r:id="rId50" display="http://timesofindia.indiatimes.com/articleshow/123018438.cms?utm_source=contentofinterest&amp;utm_medium=text&amp;utm_campaign=cppst&#10;https://mail.itnewsonline.com/news/ERGO-Group-AG-Launches-3rd-Tech-Hub-of-ERGO-Technology-and-Services-Management-in-Mumbai-India/8428&#10;https://www.greatplacetowork.in/great/company/ergo-technology-services-limited&#10;https://contactout.com/Mehmood-Mansoori-19652218&#10;&#10;https://www.business-standard.com/content/press-releases-ani/india-s-camcom-technologies-announces-strategic-partnership-with-ergo-group-ag-in-landmark-global-ai-deployment-for-insurance-sector-125080200640_1.html&#10;https://www.ergo.com/en/microsite/ergo-technology-services-india&#10;"/>
    <hyperlink ref="O34" r:id="rId51" display="https://timesofindia.indiatimes.com/city/hyderabad/200-year-old-us-insurer-the-hartford-opens-first-india-global-tech-centre-in-hyderabad/articleshow/128727054.cms&#10;&#10;https://www.deccanchronicle.com/business/the-hartford-announces-launch-of-technology-center-in-hyderabad-1903048&#10;&#10;https://www.business-standard.com/content/press-releases-ani/the-hartford-opens-technology-center-in-hyderabad-to-accelerate-ai-innovation-125100100615_1.html&#10;&#10;https://hrtoday.in/pritam-banerjee-joins-the-hartford-india-as-senior-director-to-lead-ai-initiatives-across-business-lines/&#10;"/>
    <hyperlink ref="O40" r:id="rId52" display="Nationwide Launches First International Global Capability Center in Hyderabad, ETGCC&#10;&#10;https://www.moneycontrol.com/news/business/information-technology/us-insurer-nationwide-opens-first-india-gcc-in-hyderabad-13969286.html"/>
    <hyperlink ref="O41" r:id="rId53" display="Genworth India | LinkedIn&#10;&#10;&#10;https://investor.genworth.com/&#10;&#10;https://investor.genworth.com/news-events&#10;&#10;"/>
    <hyperlink ref="P41" r:id="rId54" display="Corporate Leadership :: Genworth Financial, Inc. (GNW)"/>
    <hyperlink ref="O49" r:id="rId55" display="Source Link"/>
    <hyperlink ref="P49" r:id="rId56" display="Source link for Headcount, CE0"/>
    <hyperlink ref="O50" r:id="rId57" display="https://axaxl.com/press-releases/axa-xl-strengthens-team-in-india-with-key-appointments"/>
    <hyperlink ref="O51" r:id="rId58" display="https://tracxn.com/d/legal-entities/india/empower-insurance-brokers-private-limited/__eckhKmSEhPA-mW0w3YCDeh--Y1rqdUEn41Yw2D0EAIY&#10;https://www.thecompanycheck.com/company/empower-insurance-brokers-private-limited/U66220CT2024PTC016865"/>
    <hyperlink ref="O52" r:id="rId59" display="https://www.gicouncil.in/about-the-council/organization-structure/members-of-the-gi-council/&#10;https://www.genre.com/us/aboutus/leadership-team&#10;&#10;"/>
    <hyperlink ref="O53" r:id="rId60" display="Foreign reinsurers can repatriate up to 20% of excess assigned capital, says Irdai&#10;&#10;https://www.thehindubusinessline.com/money-and-banking/lloyds-of-london-to-anchor-global-reinsurance-presence-in-gift-city/article70756724.ece&#10;&#10;https://www.lloyds.com/insights/news/new-local-partner-in-india&#10;&#10;https://www.reinsurancene.ws/lloyds-reported-to-have-applied-to-set-up-in-indias-gift-city/"/>
    <hyperlink ref="P53" r:id="rId61" display="Shefali Sehwani succeeds Shankar Gargipathy as Lloyd’s India CEO - Asia Insurance Post&#10;&#10;&#10;&#10;https://hrtoday.in/manish-bhandari-appointed-as-chief-financial-officer-india-branch-at-lloyds/&#10;&#10;&#10;https://en.wikipedia.org/wiki/Lloyd%27s_of_London"/>
    <hyperlink ref="O54" r:id="rId62" display="Gallagher creates India’s First Pandemic Insurance using parametric triggers Launched by New India Assurance, Reinsured by Munich Re&#10;https://insurancedailynews.com/iir/post/munich-re-integrates-sixfold-ai-into-realytix-zero-platform &#10;https://www.newscase.com/munich-res-ai-integration-and-capital-returns-anchor-strategy-amid-market-volatility/&#10;&#10;&#10;https://www.insurancebusinessmag.com/reinsurance/news/breaking-news/gic-res-dominance-fades-as-global-reinsurers-gain-nearly-half-of-market-share-537349.aspx"/>
    <hyperlink ref="O55" r:id="rId63" display="GenAI adoption accelerates in re/insurance as RGA outlines quarterly advancements | Reinsurance Business&#10;&#10;https://www.insurtechinsights.com/digitalowl-and-rga-form-collaborative-underwriting-technology-partnership/"/>
    <hyperlink ref="O56" r:id="rId64" display="https://www.insurancebusinessmag.com/reinsurance/news/breaking-news/scor-takes-lead-role-in-global-ai-infrastructure-facility-562322.aspx?utm_source=chatgpt.com&#10;&#10;https://www.scor.com/en/news/scor-and-axa-join-forces-launch-lloyds-consortium-ecological-restoration-insurance?utm_source=chatgpt.com&#10;&#10;https://www.scor.com/en/scor-se-india-branch&#10;&#10;https://www.scor.com/en/press-releases-and-news"/>
    <hyperlink ref="O57" r:id="rId65" display="https://www.business-standard.com/amp/companies/news/swiss-grc-targets-revenue-of-10-million-from-indian-market-in-fy25-124020601359_1.html?utm.com&#10;&#10;&#10;https://www.swissre.com/media/press-release/pr-20260119-india-insurance-market-growth-outlook.html&#10;"/>
    <hyperlink ref="P57" r:id="rId66" display="https://www.swissre.com/profile/Amitabha_Ray/ip_88cead&#10;https://www.swissre.com/dam/jcr:8c1d60d9-cd5b-48b6-a14e-c3d4902a73de/NL-42-BOARD%20OF%20DIRECTORS%20&amp;%20KEY%20MANAGEMENT%20PERSONS.pdf"/>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67"/>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4" activeCellId="0" sqref="C4"/>
    </sheetView>
  </sheetViews>
  <sheetFormatPr defaultColWidth="12.62890625" defaultRowHeight="15" zeroHeight="false" outlineLevelRow="0" outlineLevelCol="0"/>
  <cols>
    <col collapsed="false" customWidth="true" hidden="false" outlineLevel="0" max="1" min="1" style="0" width="24.88"/>
    <col collapsed="false" customWidth="true" hidden="false" outlineLevel="0" max="2" min="2" style="0" width="45.88"/>
    <col collapsed="false" customWidth="true" hidden="false" outlineLevel="0" max="3" min="3" style="0" width="24.25"/>
    <col collapsed="false" customWidth="true" hidden="false" outlineLevel="0" max="4" min="4" style="0" width="27.13"/>
    <col collapsed="false" customWidth="true" hidden="false" outlineLevel="0" max="5" min="5" style="0" width="12.88"/>
    <col collapsed="false" customWidth="true" hidden="false" outlineLevel="0" max="6" min="6" style="0" width="18.88"/>
    <col collapsed="false" customWidth="true" hidden="false" outlineLevel="0" max="7" min="7" style="0" width="18.5"/>
    <col collapsed="false" customWidth="true" hidden="false" outlineLevel="0" max="8" min="8" style="0" width="21.88"/>
    <col collapsed="false" customWidth="true" hidden="false" outlineLevel="0" max="9" min="9" style="0" width="42"/>
    <col collapsed="false" customWidth="true" hidden="false" outlineLevel="0" max="10" min="10" style="0" width="77.88"/>
    <col collapsed="false" customWidth="true" hidden="false" outlineLevel="0" max="15" min="11" style="0" width="80.13"/>
    <col collapsed="false" customWidth="true" hidden="false" outlineLevel="0" max="16" min="16" style="0" width="18.5"/>
    <col collapsed="false" customWidth="true" hidden="false" outlineLevel="0" max="17" min="17" style="0" width="19.25"/>
    <col collapsed="false" customWidth="true" hidden="false" outlineLevel="0" max="18" min="18" style="0" width="35"/>
    <col collapsed="false" customWidth="true" hidden="false" outlineLevel="0" max="19" min="19" style="0" width="42.5"/>
    <col collapsed="false" customWidth="true" hidden="false" outlineLevel="0" max="20" min="20" style="0" width="29.12"/>
    <col collapsed="false" customWidth="true" hidden="false" outlineLevel="0" max="26" min="21" style="0" width="8.88"/>
  </cols>
  <sheetData>
    <row r="1" customFormat="false" ht="12" hidden="false" customHeight="true" outlineLevel="0" collapsed="false">
      <c r="A1" s="194" t="s">
        <v>1504</v>
      </c>
      <c r="B1" s="81"/>
      <c r="C1" s="81"/>
      <c r="D1" s="173"/>
      <c r="E1" s="173"/>
      <c r="F1" s="80"/>
      <c r="G1" s="173"/>
      <c r="H1" s="81"/>
      <c r="I1" s="81"/>
      <c r="J1" s="102"/>
      <c r="K1" s="102"/>
      <c r="L1" s="102"/>
      <c r="M1" s="102"/>
      <c r="N1" s="102"/>
      <c r="O1" s="102"/>
      <c r="P1" s="81"/>
      <c r="Q1" s="81"/>
      <c r="R1" s="81"/>
      <c r="S1" s="81"/>
      <c r="T1" s="81"/>
      <c r="U1" s="81"/>
      <c r="V1" s="81"/>
      <c r="W1" s="81"/>
      <c r="X1" s="81"/>
      <c r="Y1" s="81"/>
      <c r="Z1" s="81"/>
    </row>
    <row r="2" customFormat="false" ht="12" hidden="false" customHeight="true" outlineLevel="0" collapsed="false">
      <c r="A2" s="91"/>
      <c r="B2" s="78"/>
      <c r="C2" s="78"/>
      <c r="D2" s="78"/>
      <c r="E2" s="78"/>
      <c r="F2" s="80"/>
      <c r="G2" s="85" t="s">
        <v>1505</v>
      </c>
      <c r="H2" s="85"/>
      <c r="I2" s="85"/>
      <c r="J2" s="80"/>
      <c r="K2" s="80"/>
      <c r="L2" s="80"/>
      <c r="M2" s="80"/>
      <c r="N2" s="80"/>
      <c r="O2" s="80"/>
      <c r="P2" s="78"/>
      <c r="Q2" s="78"/>
      <c r="R2" s="78"/>
      <c r="S2" s="81"/>
      <c r="T2" s="81"/>
      <c r="U2" s="81"/>
      <c r="V2" s="81"/>
      <c r="W2" s="81"/>
      <c r="X2" s="81"/>
      <c r="Y2" s="81"/>
      <c r="Z2" s="81"/>
    </row>
    <row r="3" customFormat="false" ht="12" hidden="false" customHeight="true" outlineLevel="0" collapsed="false">
      <c r="A3" s="86" t="s">
        <v>6</v>
      </c>
      <c r="B3" s="89" t="s">
        <v>702</v>
      </c>
      <c r="C3" s="89" t="s">
        <v>1506</v>
      </c>
      <c r="D3" s="89" t="s">
        <v>709</v>
      </c>
      <c r="E3" s="89" t="s">
        <v>711</v>
      </c>
      <c r="F3" s="89" t="s">
        <v>165</v>
      </c>
      <c r="G3" s="86" t="s">
        <v>166</v>
      </c>
      <c r="H3" s="86" t="s">
        <v>167</v>
      </c>
      <c r="I3" s="86" t="s">
        <v>168</v>
      </c>
      <c r="J3" s="89" t="s">
        <v>170</v>
      </c>
      <c r="K3" s="89" t="s">
        <v>331</v>
      </c>
      <c r="L3" s="89" t="s">
        <v>1507</v>
      </c>
      <c r="M3" s="89" t="s">
        <v>1508</v>
      </c>
      <c r="N3" s="89" t="s">
        <v>1509</v>
      </c>
      <c r="O3" s="89" t="s">
        <v>1510</v>
      </c>
      <c r="P3" s="86" t="s">
        <v>713</v>
      </c>
      <c r="Q3" s="86" t="s">
        <v>714</v>
      </c>
      <c r="R3" s="86" t="s">
        <v>715</v>
      </c>
      <c r="S3" s="91"/>
      <c r="T3" s="91"/>
      <c r="U3" s="91"/>
      <c r="V3" s="91"/>
      <c r="W3" s="91"/>
      <c r="X3" s="91"/>
      <c r="Y3" s="91"/>
      <c r="Z3" s="91"/>
    </row>
    <row r="4" customFormat="false" ht="216.75" hidden="false" customHeight="true" outlineLevel="0" collapsed="false">
      <c r="A4" s="195" t="n">
        <v>1</v>
      </c>
      <c r="B4" s="196" t="s">
        <v>1511</v>
      </c>
      <c r="C4" s="93" t="s">
        <v>1512</v>
      </c>
      <c r="D4" s="197" t="s">
        <v>1513</v>
      </c>
      <c r="E4" s="92" t="n">
        <v>1984</v>
      </c>
      <c r="F4" s="99" t="s">
        <v>1514</v>
      </c>
      <c r="G4" s="99" t="s">
        <v>175</v>
      </c>
      <c r="H4" s="99" t="s">
        <v>569</v>
      </c>
      <c r="I4" s="93" t="s">
        <v>1515</v>
      </c>
      <c r="J4" s="93" t="s">
        <v>1516</v>
      </c>
      <c r="K4" s="181" t="s">
        <v>1517</v>
      </c>
      <c r="L4" s="198" t="s">
        <v>1518</v>
      </c>
      <c r="M4" s="198" t="s">
        <v>1519</v>
      </c>
      <c r="N4" s="198" t="s">
        <v>17</v>
      </c>
      <c r="O4" s="198" t="s">
        <v>17</v>
      </c>
      <c r="P4" s="114" t="s">
        <v>1520</v>
      </c>
      <c r="Q4" s="199" t="s">
        <v>1521</v>
      </c>
      <c r="R4" s="114" t="s">
        <v>1522</v>
      </c>
      <c r="S4" s="81"/>
      <c r="T4" s="81"/>
      <c r="U4" s="81"/>
      <c r="V4" s="81"/>
      <c r="W4" s="81"/>
      <c r="X4" s="81"/>
      <c r="Y4" s="81"/>
      <c r="Z4" s="81"/>
    </row>
    <row r="5" customFormat="false" ht="161.25" hidden="false" customHeight="true" outlineLevel="0" collapsed="false">
      <c r="A5" s="195" t="n">
        <v>2</v>
      </c>
      <c r="B5" s="196" t="s">
        <v>1523</v>
      </c>
      <c r="C5" s="93" t="s">
        <v>1524</v>
      </c>
      <c r="D5" s="92" t="s">
        <v>1525</v>
      </c>
      <c r="E5" s="92" t="n">
        <v>1961</v>
      </c>
      <c r="F5" s="99" t="s">
        <v>1526</v>
      </c>
      <c r="G5" s="99" t="s">
        <v>175</v>
      </c>
      <c r="H5" s="99" t="s">
        <v>479</v>
      </c>
      <c r="I5" s="93" t="s">
        <v>1515</v>
      </c>
      <c r="J5" s="116" t="s">
        <v>1527</v>
      </c>
      <c r="K5" s="200" t="s">
        <v>1528</v>
      </c>
      <c r="L5" s="198" t="s">
        <v>1518</v>
      </c>
      <c r="M5" s="198" t="s">
        <v>17</v>
      </c>
      <c r="N5" s="198" t="s">
        <v>17</v>
      </c>
      <c r="O5" s="198" t="s">
        <v>17</v>
      </c>
      <c r="P5" s="114" t="s">
        <v>1529</v>
      </c>
      <c r="Q5" s="114" t="s">
        <v>1530</v>
      </c>
      <c r="R5" s="114" t="s">
        <v>732</v>
      </c>
      <c r="S5" s="81"/>
      <c r="T5" s="81"/>
      <c r="U5" s="81"/>
      <c r="V5" s="81"/>
      <c r="W5" s="81"/>
      <c r="X5" s="81"/>
      <c r="Y5" s="81"/>
      <c r="Z5" s="81"/>
    </row>
    <row r="6" customFormat="false" ht="12" hidden="false" customHeight="true" outlineLevel="0" collapsed="false">
      <c r="A6" s="195" t="n">
        <v>3</v>
      </c>
      <c r="B6" s="196" t="s">
        <v>1531</v>
      </c>
      <c r="C6" s="93" t="s">
        <v>1532</v>
      </c>
      <c r="D6" s="92" t="s">
        <v>1533</v>
      </c>
      <c r="E6" s="92" t="n">
        <v>1937</v>
      </c>
      <c r="F6" s="99" t="s">
        <v>495</v>
      </c>
      <c r="G6" s="99" t="s">
        <v>175</v>
      </c>
      <c r="H6" s="99" t="s">
        <v>1534</v>
      </c>
      <c r="I6" s="99" t="s">
        <v>446</v>
      </c>
      <c r="J6" s="116" t="s">
        <v>1535</v>
      </c>
      <c r="K6" s="200" t="s">
        <v>1536</v>
      </c>
      <c r="L6" s="198" t="s">
        <v>1518</v>
      </c>
      <c r="M6" s="198" t="s">
        <v>17</v>
      </c>
      <c r="N6" s="198" t="s">
        <v>17</v>
      </c>
      <c r="O6" s="198" t="s">
        <v>17</v>
      </c>
      <c r="P6" s="114" t="s">
        <v>1537</v>
      </c>
      <c r="Q6" s="114" t="s">
        <v>1538</v>
      </c>
      <c r="R6" s="114" t="s">
        <v>732</v>
      </c>
      <c r="S6" s="81"/>
      <c r="T6" s="81"/>
      <c r="U6" s="81"/>
      <c r="V6" s="81"/>
      <c r="W6" s="81"/>
      <c r="X6" s="81"/>
      <c r="Y6" s="81"/>
      <c r="Z6" s="81"/>
    </row>
    <row r="7" customFormat="false" ht="141" hidden="false" customHeight="true" outlineLevel="0" collapsed="false">
      <c r="A7" s="195" t="n">
        <v>4</v>
      </c>
      <c r="B7" s="196" t="s">
        <v>1539</v>
      </c>
      <c r="C7" s="93" t="s">
        <v>1540</v>
      </c>
      <c r="D7" s="92" t="s">
        <v>1541</v>
      </c>
      <c r="E7" s="92" t="n">
        <v>1922</v>
      </c>
      <c r="F7" s="99" t="s">
        <v>501</v>
      </c>
      <c r="G7" s="99" t="s">
        <v>175</v>
      </c>
      <c r="H7" s="99" t="s">
        <v>502</v>
      </c>
      <c r="I7" s="93" t="s">
        <v>1542</v>
      </c>
      <c r="J7" s="116" t="s">
        <v>1543</v>
      </c>
      <c r="K7" s="200" t="s">
        <v>1544</v>
      </c>
      <c r="L7" s="198" t="s">
        <v>1518</v>
      </c>
      <c r="M7" s="198" t="s">
        <v>17</v>
      </c>
      <c r="N7" s="198" t="s">
        <v>17</v>
      </c>
      <c r="O7" s="198" t="s">
        <v>17</v>
      </c>
      <c r="P7" s="114" t="s">
        <v>732</v>
      </c>
      <c r="Q7" s="201" t="s">
        <v>1545</v>
      </c>
      <c r="R7" s="201" t="s">
        <v>1546</v>
      </c>
      <c r="S7" s="81"/>
      <c r="T7" s="81"/>
      <c r="U7" s="81"/>
      <c r="V7" s="81"/>
      <c r="W7" s="81"/>
      <c r="X7" s="81"/>
      <c r="Y7" s="81"/>
      <c r="Z7" s="81"/>
    </row>
    <row r="8" customFormat="false" ht="150.75" hidden="false" customHeight="true" outlineLevel="0" collapsed="false">
      <c r="A8" s="195" t="n">
        <v>5</v>
      </c>
      <c r="B8" s="196" t="s">
        <v>1547</v>
      </c>
      <c r="C8" s="93" t="s">
        <v>1548</v>
      </c>
      <c r="D8" s="92" t="s">
        <v>1549</v>
      </c>
      <c r="E8" s="92" t="n">
        <v>1936</v>
      </c>
      <c r="F8" s="99" t="s">
        <v>1550</v>
      </c>
      <c r="G8" s="99" t="s">
        <v>175</v>
      </c>
      <c r="H8" s="99" t="s">
        <v>461</v>
      </c>
      <c r="I8" s="93" t="s">
        <v>1542</v>
      </c>
      <c r="J8" s="116" t="s">
        <v>1551</v>
      </c>
      <c r="K8" s="200" t="s">
        <v>1552</v>
      </c>
      <c r="L8" s="198" t="s">
        <v>1518</v>
      </c>
      <c r="M8" s="198" t="s">
        <v>17</v>
      </c>
      <c r="N8" s="198" t="s">
        <v>17</v>
      </c>
      <c r="O8" s="198" t="s">
        <v>17</v>
      </c>
      <c r="P8" s="114" t="s">
        <v>732</v>
      </c>
      <c r="Q8" s="114" t="s">
        <v>1553</v>
      </c>
      <c r="R8" s="114" t="s">
        <v>732</v>
      </c>
      <c r="S8" s="81"/>
      <c r="T8" s="81"/>
      <c r="U8" s="81"/>
      <c r="V8" s="81"/>
      <c r="W8" s="81"/>
      <c r="X8" s="81"/>
      <c r="Y8" s="81"/>
      <c r="Z8" s="81"/>
    </row>
    <row r="9" customFormat="false" ht="12" hidden="false" customHeight="true" outlineLevel="0" collapsed="false">
      <c r="A9" s="195" t="n">
        <v>6</v>
      </c>
      <c r="B9" s="196" t="s">
        <v>1554</v>
      </c>
      <c r="C9" s="93" t="s">
        <v>1555</v>
      </c>
      <c r="D9" s="92" t="s">
        <v>1556</v>
      </c>
      <c r="E9" s="92" t="n">
        <v>1879</v>
      </c>
      <c r="F9" s="99" t="s">
        <v>1557</v>
      </c>
      <c r="G9" s="99" t="s">
        <v>175</v>
      </c>
      <c r="H9" s="99" t="s">
        <v>1558</v>
      </c>
      <c r="I9" s="93" t="s">
        <v>1542</v>
      </c>
      <c r="J9" s="116" t="s">
        <v>1559</v>
      </c>
      <c r="K9" s="200" t="s">
        <v>1560</v>
      </c>
      <c r="L9" s="195" t="s">
        <v>1561</v>
      </c>
      <c r="M9" s="202" t="s">
        <v>1562</v>
      </c>
      <c r="N9" s="195" t="s">
        <v>1518</v>
      </c>
      <c r="O9" s="93" t="s">
        <v>1563</v>
      </c>
      <c r="P9" s="114" t="s">
        <v>732</v>
      </c>
      <c r="Q9" s="114" t="s">
        <v>1564</v>
      </c>
      <c r="R9" s="114" t="s">
        <v>732</v>
      </c>
      <c r="S9" s="81"/>
      <c r="T9" s="81"/>
      <c r="U9" s="81"/>
      <c r="V9" s="81"/>
      <c r="W9" s="81"/>
      <c r="X9" s="81"/>
      <c r="Y9" s="81"/>
      <c r="Z9" s="81"/>
    </row>
    <row r="10" customFormat="false" ht="12" hidden="false" customHeight="true" outlineLevel="0" collapsed="false">
      <c r="A10" s="195" t="n">
        <v>7</v>
      </c>
      <c r="B10" s="196" t="s">
        <v>1565</v>
      </c>
      <c r="C10" s="93" t="s">
        <v>1566</v>
      </c>
      <c r="D10" s="92" t="s">
        <v>1567</v>
      </c>
      <c r="E10" s="92" t="n">
        <v>1853</v>
      </c>
      <c r="F10" s="99" t="s">
        <v>504</v>
      </c>
      <c r="G10" s="99" t="s">
        <v>175</v>
      </c>
      <c r="H10" s="99" t="s">
        <v>1568</v>
      </c>
      <c r="I10" s="93" t="s">
        <v>1569</v>
      </c>
      <c r="J10" s="116" t="s">
        <v>1570</v>
      </c>
      <c r="K10" s="200" t="s">
        <v>1571</v>
      </c>
      <c r="L10" s="195" t="s">
        <v>1518</v>
      </c>
      <c r="M10" s="195" t="s">
        <v>17</v>
      </c>
      <c r="N10" s="195" t="s">
        <v>1518</v>
      </c>
      <c r="O10" s="195" t="s">
        <v>17</v>
      </c>
      <c r="P10" s="114" t="s">
        <v>732</v>
      </c>
      <c r="Q10" s="114" t="s">
        <v>1572</v>
      </c>
      <c r="R10" s="114" t="s">
        <v>1573</v>
      </c>
      <c r="S10" s="81"/>
      <c r="T10" s="81"/>
      <c r="U10" s="81"/>
      <c r="V10" s="81"/>
      <c r="W10" s="81"/>
      <c r="X10" s="81"/>
      <c r="Y10" s="81"/>
      <c r="Z10" s="81"/>
    </row>
    <row r="11" customFormat="false" ht="12" hidden="false" customHeight="true" outlineLevel="0" collapsed="false">
      <c r="A11" s="195" t="n">
        <v>8</v>
      </c>
      <c r="B11" s="203" t="s">
        <v>1574</v>
      </c>
      <c r="C11" s="93" t="s">
        <v>1575</v>
      </c>
      <c r="D11" s="92" t="s">
        <v>1576</v>
      </c>
      <c r="E11" s="92" t="n">
        <v>1919</v>
      </c>
      <c r="F11" s="99" t="s">
        <v>1577</v>
      </c>
      <c r="G11" s="99" t="s">
        <v>175</v>
      </c>
      <c r="H11" s="99" t="s">
        <v>457</v>
      </c>
      <c r="I11" s="93" t="s">
        <v>1578</v>
      </c>
      <c r="J11" s="93" t="s">
        <v>1579</v>
      </c>
      <c r="K11" s="196" t="s">
        <v>1580</v>
      </c>
      <c r="L11" s="195" t="s">
        <v>1518</v>
      </c>
      <c r="M11" s="198" t="s">
        <v>17</v>
      </c>
      <c r="N11" s="195" t="s">
        <v>1518</v>
      </c>
      <c r="O11" s="116" t="s">
        <v>17</v>
      </c>
      <c r="P11" s="114" t="s">
        <v>732</v>
      </c>
      <c r="Q11" s="114" t="s">
        <v>1581</v>
      </c>
      <c r="R11" s="114" t="s">
        <v>1582</v>
      </c>
      <c r="S11" s="81"/>
      <c r="T11" s="204" t="s">
        <v>1583</v>
      </c>
      <c r="U11" s="81"/>
      <c r="V11" s="81"/>
      <c r="W11" s="81"/>
      <c r="X11" s="81"/>
      <c r="Y11" s="81"/>
      <c r="Z11" s="81"/>
    </row>
    <row r="12" customFormat="false" ht="12" hidden="false" customHeight="true" outlineLevel="0" collapsed="false">
      <c r="A12" s="195" t="n">
        <v>9</v>
      </c>
      <c r="B12" s="196" t="s">
        <v>1584</v>
      </c>
      <c r="C12" s="93" t="s">
        <v>1585</v>
      </c>
      <c r="D12" s="92" t="s">
        <v>1576</v>
      </c>
      <c r="E12" s="92" t="n">
        <v>1930</v>
      </c>
      <c r="F12" s="99" t="s">
        <v>1586</v>
      </c>
      <c r="G12" s="99" t="s">
        <v>175</v>
      </c>
      <c r="H12" s="99" t="s">
        <v>1587</v>
      </c>
      <c r="I12" s="93" t="s">
        <v>1588</v>
      </c>
      <c r="J12" s="116" t="s">
        <v>1589</v>
      </c>
      <c r="K12" s="205" t="s">
        <v>1590</v>
      </c>
      <c r="L12" s="195" t="s">
        <v>1561</v>
      </c>
      <c r="M12" s="198" t="s">
        <v>1591</v>
      </c>
      <c r="N12" s="195" t="s">
        <v>17</v>
      </c>
      <c r="O12" s="114" t="s">
        <v>1592</v>
      </c>
      <c r="P12" s="114" t="s">
        <v>732</v>
      </c>
      <c r="Q12" s="114" t="s">
        <v>1593</v>
      </c>
      <c r="R12" s="114" t="s">
        <v>1594</v>
      </c>
      <c r="S12" s="81"/>
      <c r="T12" s="81"/>
      <c r="U12" s="81"/>
      <c r="V12" s="81"/>
      <c r="W12" s="81"/>
      <c r="X12" s="81"/>
      <c r="Y12" s="81"/>
      <c r="Z12" s="81"/>
    </row>
    <row r="13" customFormat="false" ht="12" hidden="false" customHeight="true" outlineLevel="0" collapsed="false">
      <c r="A13" s="195" t="n">
        <v>10</v>
      </c>
      <c r="B13" s="196" t="s">
        <v>551</v>
      </c>
      <c r="C13" s="93" t="s">
        <v>1595</v>
      </c>
      <c r="D13" s="92" t="s">
        <v>1596</v>
      </c>
      <c r="E13" s="92" t="n">
        <v>1845</v>
      </c>
      <c r="F13" s="99" t="s">
        <v>1597</v>
      </c>
      <c r="G13" s="99" t="s">
        <v>175</v>
      </c>
      <c r="H13" s="99" t="s">
        <v>552</v>
      </c>
      <c r="I13" s="93" t="s">
        <v>1598</v>
      </c>
      <c r="J13" s="116" t="s">
        <v>1599</v>
      </c>
      <c r="K13" s="116" t="s">
        <v>1600</v>
      </c>
      <c r="L13" s="195" t="s">
        <v>1518</v>
      </c>
      <c r="M13" s="195" t="s">
        <v>17</v>
      </c>
      <c r="N13" s="195" t="s">
        <v>1518</v>
      </c>
      <c r="O13" s="195" t="s">
        <v>17</v>
      </c>
      <c r="P13" s="114" t="s">
        <v>732</v>
      </c>
      <c r="Q13" s="114" t="s">
        <v>1601</v>
      </c>
      <c r="R13" s="114" t="s">
        <v>1602</v>
      </c>
      <c r="S13" s="81"/>
      <c r="T13" s="81"/>
      <c r="U13" s="81"/>
      <c r="V13" s="81"/>
      <c r="W13" s="81"/>
      <c r="X13" s="81"/>
      <c r="Y13" s="81"/>
      <c r="Z13" s="81"/>
    </row>
    <row r="14" customFormat="false" ht="12" hidden="false" customHeight="true" outlineLevel="0" collapsed="false">
      <c r="A14" s="195" t="n">
        <v>11</v>
      </c>
      <c r="B14" s="196" t="s">
        <v>1603</v>
      </c>
      <c r="C14" s="181" t="s">
        <v>1604</v>
      </c>
      <c r="D14" s="92" t="s">
        <v>1605</v>
      </c>
      <c r="E14" s="92" t="n">
        <v>1929</v>
      </c>
      <c r="F14" s="99" t="s">
        <v>1606</v>
      </c>
      <c r="G14" s="99" t="s">
        <v>175</v>
      </c>
      <c r="H14" s="99" t="s">
        <v>461</v>
      </c>
      <c r="I14" s="93" t="s">
        <v>1542</v>
      </c>
      <c r="J14" s="116" t="s">
        <v>1607</v>
      </c>
      <c r="K14" s="116" t="s">
        <v>1608</v>
      </c>
      <c r="L14" s="195" t="s">
        <v>1518</v>
      </c>
      <c r="M14" s="195" t="s">
        <v>17</v>
      </c>
      <c r="N14" s="195" t="s">
        <v>1518</v>
      </c>
      <c r="O14" s="195" t="s">
        <v>17</v>
      </c>
      <c r="P14" s="114" t="s">
        <v>1609</v>
      </c>
      <c r="Q14" s="114" t="s">
        <v>1610</v>
      </c>
      <c r="R14" s="114" t="s">
        <v>732</v>
      </c>
      <c r="S14" s="81"/>
      <c r="T14" s="81"/>
      <c r="U14" s="81"/>
      <c r="V14" s="81"/>
      <c r="W14" s="81"/>
      <c r="X14" s="81"/>
      <c r="Y14" s="81"/>
      <c r="Z14" s="81"/>
    </row>
    <row r="15" customFormat="false" ht="253.5" hidden="false" customHeight="true" outlineLevel="0" collapsed="false">
      <c r="A15" s="195" t="n">
        <v>12</v>
      </c>
      <c r="B15" s="196" t="s">
        <v>1611</v>
      </c>
      <c r="C15" s="93" t="s">
        <v>1612</v>
      </c>
      <c r="D15" s="92" t="s">
        <v>1613</v>
      </c>
      <c r="E15" s="92" t="n">
        <v>1955</v>
      </c>
      <c r="F15" s="99" t="s">
        <v>1614</v>
      </c>
      <c r="G15" s="99" t="s">
        <v>175</v>
      </c>
      <c r="H15" s="99" t="s">
        <v>445</v>
      </c>
      <c r="I15" s="99" t="s">
        <v>446</v>
      </c>
      <c r="J15" s="116" t="s">
        <v>1615</v>
      </c>
      <c r="K15" s="116" t="s">
        <v>1616</v>
      </c>
      <c r="L15" s="195" t="s">
        <v>1518</v>
      </c>
      <c r="M15" s="195" t="s">
        <v>1518</v>
      </c>
      <c r="N15" s="206" t="s">
        <v>1617</v>
      </c>
      <c r="O15" s="92" t="s">
        <v>1518</v>
      </c>
      <c r="P15" s="114" t="s">
        <v>732</v>
      </c>
      <c r="Q15" s="114" t="s">
        <v>1618</v>
      </c>
      <c r="R15" s="114" t="s">
        <v>732</v>
      </c>
      <c r="S15" s="81"/>
      <c r="T15" s="81"/>
      <c r="U15" s="81"/>
      <c r="V15" s="81"/>
      <c r="W15" s="81"/>
      <c r="X15" s="81"/>
      <c r="Y15" s="81"/>
      <c r="Z15" s="81"/>
    </row>
    <row r="16" customFormat="false" ht="12" hidden="false" customHeight="true" outlineLevel="0" collapsed="false">
      <c r="A16" s="195" t="n">
        <v>13</v>
      </c>
      <c r="B16" s="196" t="s">
        <v>1619</v>
      </c>
      <c r="C16" s="93" t="s">
        <v>1620</v>
      </c>
      <c r="D16" s="92" t="s">
        <v>1621</v>
      </c>
      <c r="E16" s="92" t="n">
        <v>1946</v>
      </c>
      <c r="F16" s="99" t="s">
        <v>1622</v>
      </c>
      <c r="G16" s="99" t="s">
        <v>175</v>
      </c>
      <c r="H16" s="99" t="s">
        <v>1623</v>
      </c>
      <c r="I16" s="99" t="s">
        <v>446</v>
      </c>
      <c r="J16" s="207" t="s">
        <v>1624</v>
      </c>
      <c r="K16" s="208" t="s">
        <v>1625</v>
      </c>
      <c r="L16" s="198" t="s">
        <v>1518</v>
      </c>
      <c r="M16" s="195" t="s">
        <v>17</v>
      </c>
      <c r="N16" s="195" t="s">
        <v>1518</v>
      </c>
      <c r="O16" s="195" t="s">
        <v>17</v>
      </c>
      <c r="P16" s="114" t="s">
        <v>1626</v>
      </c>
      <c r="Q16" s="114" t="s">
        <v>1627</v>
      </c>
      <c r="R16" s="114" t="s">
        <v>732</v>
      </c>
      <c r="S16" s="81"/>
      <c r="T16" s="81"/>
      <c r="U16" s="81"/>
      <c r="V16" s="81"/>
      <c r="W16" s="81"/>
      <c r="X16" s="81"/>
      <c r="Y16" s="81"/>
      <c r="Z16" s="81"/>
    </row>
    <row r="17" customFormat="false" ht="110.25" hidden="false" customHeight="true" outlineLevel="0" collapsed="false">
      <c r="A17" s="195" t="n">
        <v>14</v>
      </c>
      <c r="B17" s="196" t="s">
        <v>451</v>
      </c>
      <c r="C17" s="93" t="s">
        <v>1628</v>
      </c>
      <c r="D17" s="92" t="n">
        <v>10500</v>
      </c>
      <c r="E17" s="92" t="n">
        <v>1927</v>
      </c>
      <c r="F17" s="99" t="s">
        <v>453</v>
      </c>
      <c r="G17" s="99" t="s">
        <v>175</v>
      </c>
      <c r="H17" s="99" t="s">
        <v>454</v>
      </c>
      <c r="I17" s="93" t="s">
        <v>1317</v>
      </c>
      <c r="J17" s="116" t="s">
        <v>1629</v>
      </c>
      <c r="K17" s="208" t="s">
        <v>1630</v>
      </c>
      <c r="L17" s="195" t="s">
        <v>1518</v>
      </c>
      <c r="M17" s="195" t="s">
        <v>17</v>
      </c>
      <c r="N17" s="195" t="s">
        <v>1518</v>
      </c>
      <c r="O17" s="195" t="s">
        <v>17</v>
      </c>
      <c r="P17" s="114" t="s">
        <v>732</v>
      </c>
      <c r="Q17" s="114" t="s">
        <v>1631</v>
      </c>
      <c r="R17" s="114" t="s">
        <v>1632</v>
      </c>
      <c r="S17" s="81"/>
      <c r="T17" s="81"/>
      <c r="U17" s="81"/>
      <c r="V17" s="81"/>
      <c r="W17" s="81"/>
      <c r="X17" s="81"/>
      <c r="Y17" s="81"/>
      <c r="Z17" s="81"/>
    </row>
    <row r="18" customFormat="false" ht="12" hidden="false" customHeight="true" outlineLevel="0" collapsed="false">
      <c r="A18" s="195" t="n">
        <v>15</v>
      </c>
      <c r="B18" s="196" t="s">
        <v>1633</v>
      </c>
      <c r="C18" s="93" t="s">
        <v>1634</v>
      </c>
      <c r="D18" s="92" t="s">
        <v>1635</v>
      </c>
      <c r="E18" s="92" t="n">
        <v>1905</v>
      </c>
      <c r="F18" s="99" t="s">
        <v>1636</v>
      </c>
      <c r="G18" s="99" t="s">
        <v>190</v>
      </c>
      <c r="H18" s="99" t="s">
        <v>546</v>
      </c>
      <c r="I18" s="93" t="s">
        <v>1637</v>
      </c>
      <c r="J18" s="116" t="s">
        <v>1638</v>
      </c>
      <c r="K18" s="208" t="s">
        <v>1639</v>
      </c>
      <c r="L18" s="195" t="s">
        <v>1518</v>
      </c>
      <c r="M18" s="195" t="s">
        <v>17</v>
      </c>
      <c r="N18" s="195" t="s">
        <v>1518</v>
      </c>
      <c r="O18" s="195" t="s">
        <v>17</v>
      </c>
      <c r="P18" s="114" t="s">
        <v>732</v>
      </c>
      <c r="Q18" s="114" t="s">
        <v>1640</v>
      </c>
      <c r="R18" s="114" t="s">
        <v>1641</v>
      </c>
      <c r="S18" s="81"/>
      <c r="T18" s="81"/>
      <c r="U18" s="81"/>
      <c r="V18" s="81"/>
      <c r="W18" s="81"/>
      <c r="X18" s="81"/>
      <c r="Y18" s="81"/>
      <c r="Z18" s="81"/>
    </row>
    <row r="19" customFormat="false" ht="12" hidden="false" customHeight="true" outlineLevel="0" collapsed="false">
      <c r="A19" s="195" t="n">
        <v>16</v>
      </c>
      <c r="B19" s="196" t="s">
        <v>1642</v>
      </c>
      <c r="C19" s="93" t="s">
        <v>1643</v>
      </c>
      <c r="D19" s="92" t="s">
        <v>1635</v>
      </c>
      <c r="E19" s="92" t="n">
        <v>1923</v>
      </c>
      <c r="F19" s="99" t="s">
        <v>1644</v>
      </c>
      <c r="G19" s="99" t="s">
        <v>175</v>
      </c>
      <c r="H19" s="99" t="s">
        <v>1534</v>
      </c>
      <c r="I19" s="93" t="s">
        <v>446</v>
      </c>
      <c r="J19" s="116" t="s">
        <v>1645</v>
      </c>
      <c r="K19" s="208" t="s">
        <v>1646</v>
      </c>
      <c r="L19" s="195" t="s">
        <v>1518</v>
      </c>
      <c r="M19" s="195" t="s">
        <v>17</v>
      </c>
      <c r="N19" s="195" t="s">
        <v>1518</v>
      </c>
      <c r="O19" s="195" t="s">
        <v>17</v>
      </c>
      <c r="P19" s="114" t="s">
        <v>732</v>
      </c>
      <c r="Q19" s="114" t="s">
        <v>1647</v>
      </c>
      <c r="R19" s="114" t="s">
        <v>732</v>
      </c>
      <c r="S19" s="81"/>
      <c r="T19" s="81"/>
      <c r="U19" s="81"/>
      <c r="V19" s="81"/>
      <c r="W19" s="81"/>
      <c r="X19" s="81"/>
      <c r="Y19" s="81"/>
      <c r="Z19" s="81"/>
    </row>
    <row r="20" customFormat="false" ht="12" hidden="false" customHeight="true" outlineLevel="0" collapsed="false">
      <c r="A20" s="195" t="n">
        <v>17</v>
      </c>
      <c r="B20" s="196" t="s">
        <v>1648</v>
      </c>
      <c r="C20" s="93" t="s">
        <v>1649</v>
      </c>
      <c r="D20" s="92" t="s">
        <v>1635</v>
      </c>
      <c r="E20" s="92" t="n">
        <v>1889</v>
      </c>
      <c r="F20" s="99" t="s">
        <v>1650</v>
      </c>
      <c r="G20" s="99" t="s">
        <v>175</v>
      </c>
      <c r="H20" s="99" t="s">
        <v>1651</v>
      </c>
      <c r="I20" s="93" t="s">
        <v>1317</v>
      </c>
      <c r="J20" s="116" t="s">
        <v>1652</v>
      </c>
      <c r="K20" s="208" t="s">
        <v>1653</v>
      </c>
      <c r="L20" s="195" t="s">
        <v>1561</v>
      </c>
      <c r="M20" s="198" t="s">
        <v>1654</v>
      </c>
      <c r="N20" s="195" t="s">
        <v>17</v>
      </c>
      <c r="O20" s="195" t="s">
        <v>17</v>
      </c>
      <c r="P20" s="114" t="s">
        <v>732</v>
      </c>
      <c r="Q20" s="114" t="s">
        <v>1655</v>
      </c>
      <c r="R20" s="114" t="s">
        <v>1656</v>
      </c>
      <c r="S20" s="81"/>
      <c r="T20" s="81"/>
      <c r="U20" s="81"/>
      <c r="V20" s="81"/>
      <c r="W20" s="81"/>
      <c r="X20" s="81"/>
      <c r="Y20" s="81"/>
      <c r="Z20" s="81"/>
    </row>
    <row r="21" customFormat="false" ht="150.75" hidden="false" customHeight="true" outlineLevel="0" collapsed="false">
      <c r="A21" s="195" t="n">
        <v>18</v>
      </c>
      <c r="B21" s="196" t="s">
        <v>1657</v>
      </c>
      <c r="C21" s="93" t="s">
        <v>1658</v>
      </c>
      <c r="D21" s="92" t="s">
        <v>1659</v>
      </c>
      <c r="E21" s="92" t="n">
        <v>1967</v>
      </c>
      <c r="F21" s="99" t="s">
        <v>1660</v>
      </c>
      <c r="G21" s="99" t="s">
        <v>175</v>
      </c>
      <c r="H21" s="99" t="s">
        <v>1661</v>
      </c>
      <c r="I21" s="93" t="s">
        <v>1588</v>
      </c>
      <c r="J21" s="116" t="s">
        <v>1662</v>
      </c>
      <c r="K21" s="208" t="s">
        <v>1663</v>
      </c>
      <c r="L21" s="195" t="s">
        <v>1561</v>
      </c>
      <c r="M21" s="198" t="s">
        <v>1664</v>
      </c>
      <c r="N21" s="195" t="s">
        <v>17</v>
      </c>
      <c r="O21" s="195" t="s">
        <v>17</v>
      </c>
      <c r="P21" s="114" t="s">
        <v>732</v>
      </c>
      <c r="Q21" s="114" t="s">
        <v>1665</v>
      </c>
      <c r="R21" s="114" t="s">
        <v>732</v>
      </c>
      <c r="S21" s="81"/>
      <c r="T21" s="81"/>
      <c r="U21" s="81"/>
      <c r="V21" s="81"/>
      <c r="W21" s="81"/>
      <c r="X21" s="81"/>
      <c r="Y21" s="81"/>
      <c r="Z21" s="81"/>
    </row>
    <row r="22" customFormat="false" ht="117.75" hidden="false" customHeight="true" outlineLevel="0" collapsed="false">
      <c r="A22" s="195" t="n">
        <v>19</v>
      </c>
      <c r="B22" s="196" t="s">
        <v>1666</v>
      </c>
      <c r="C22" s="93" t="s">
        <v>1667</v>
      </c>
      <c r="D22" s="92" t="s">
        <v>1668</v>
      </c>
      <c r="E22" s="92" t="n">
        <v>1902</v>
      </c>
      <c r="F22" s="99" t="s">
        <v>1669</v>
      </c>
      <c r="G22" s="99" t="s">
        <v>175</v>
      </c>
      <c r="H22" s="99" t="s">
        <v>1670</v>
      </c>
      <c r="I22" s="93" t="s">
        <v>1671</v>
      </c>
      <c r="J22" s="116" t="s">
        <v>1672</v>
      </c>
      <c r="K22" s="208" t="s">
        <v>1673</v>
      </c>
      <c r="L22" s="195" t="s">
        <v>1518</v>
      </c>
      <c r="M22" s="195" t="s">
        <v>17</v>
      </c>
      <c r="N22" s="195" t="s">
        <v>1518</v>
      </c>
      <c r="O22" s="195" t="s">
        <v>17</v>
      </c>
      <c r="P22" s="114" t="s">
        <v>732</v>
      </c>
      <c r="Q22" s="114" t="s">
        <v>1674</v>
      </c>
      <c r="R22" s="114" t="s">
        <v>732</v>
      </c>
      <c r="S22" s="81"/>
      <c r="T22" s="81"/>
      <c r="U22" s="81"/>
      <c r="V22" s="81"/>
      <c r="W22" s="81"/>
      <c r="X22" s="81"/>
      <c r="Y22" s="81"/>
      <c r="Z22" s="81"/>
    </row>
    <row r="23" customFormat="false" ht="12" hidden="false" customHeight="true" outlineLevel="0" collapsed="false">
      <c r="A23" s="195" t="n">
        <v>20</v>
      </c>
      <c r="B23" s="196" t="s">
        <v>1675</v>
      </c>
      <c r="C23" s="93" t="s">
        <v>1575</v>
      </c>
      <c r="D23" s="92" t="s">
        <v>1676</v>
      </c>
      <c r="E23" s="92" t="n">
        <v>1859</v>
      </c>
      <c r="F23" s="99" t="s">
        <v>1677</v>
      </c>
      <c r="G23" s="99" t="s">
        <v>190</v>
      </c>
      <c r="H23" s="99" t="s">
        <v>1678</v>
      </c>
      <c r="I23" s="93" t="s">
        <v>1679</v>
      </c>
      <c r="J23" s="116" t="s">
        <v>1680</v>
      </c>
      <c r="K23" s="208" t="s">
        <v>1681</v>
      </c>
      <c r="L23" s="195" t="s">
        <v>1561</v>
      </c>
      <c r="M23" s="198" t="s">
        <v>1682</v>
      </c>
      <c r="N23" s="209" t="s">
        <v>1518</v>
      </c>
      <c r="O23" s="209" t="s">
        <v>17</v>
      </c>
      <c r="P23" s="114" t="s">
        <v>732</v>
      </c>
      <c r="Q23" s="114" t="s">
        <v>1683</v>
      </c>
      <c r="R23" s="114" t="s">
        <v>1684</v>
      </c>
      <c r="S23" s="81"/>
      <c r="T23" s="81"/>
      <c r="U23" s="81"/>
      <c r="V23" s="81"/>
      <c r="W23" s="81"/>
      <c r="X23" s="81"/>
      <c r="Y23" s="81"/>
      <c r="Z23" s="81"/>
    </row>
    <row r="24" customFormat="false" ht="12" hidden="false" customHeight="true" outlineLevel="0" collapsed="false">
      <c r="A24" s="195" t="n">
        <v>21</v>
      </c>
      <c r="B24" s="196" t="s">
        <v>553</v>
      </c>
      <c r="C24" s="93" t="s">
        <v>1685</v>
      </c>
      <c r="D24" s="92" t="s">
        <v>1686</v>
      </c>
      <c r="E24" s="92" t="n">
        <v>1857</v>
      </c>
      <c r="F24" s="99" t="s">
        <v>1687</v>
      </c>
      <c r="G24" s="99" t="s">
        <v>175</v>
      </c>
      <c r="H24" s="93" t="s">
        <v>1688</v>
      </c>
      <c r="I24" s="93" t="s">
        <v>1578</v>
      </c>
      <c r="J24" s="116" t="s">
        <v>1689</v>
      </c>
      <c r="K24" s="208" t="s">
        <v>1690</v>
      </c>
      <c r="L24" s="195" t="s">
        <v>1518</v>
      </c>
      <c r="M24" s="195" t="s">
        <v>17</v>
      </c>
      <c r="N24" s="209" t="s">
        <v>1518</v>
      </c>
      <c r="O24" s="209" t="s">
        <v>17</v>
      </c>
      <c r="P24" s="114" t="s">
        <v>732</v>
      </c>
      <c r="Q24" s="114" t="s">
        <v>1691</v>
      </c>
      <c r="R24" s="114" t="s">
        <v>732</v>
      </c>
      <c r="S24" s="81"/>
      <c r="T24" s="81"/>
      <c r="U24" s="81"/>
      <c r="V24" s="81"/>
      <c r="W24" s="81"/>
      <c r="X24" s="81"/>
      <c r="Y24" s="81"/>
      <c r="Z24" s="81"/>
    </row>
    <row r="25" customFormat="false" ht="12" hidden="false" customHeight="true" outlineLevel="0" collapsed="false">
      <c r="A25" s="195" t="n">
        <v>22</v>
      </c>
      <c r="B25" s="196" t="s">
        <v>1692</v>
      </c>
      <c r="C25" s="93" t="s">
        <v>1693</v>
      </c>
      <c r="D25" s="92" t="s">
        <v>1694</v>
      </c>
      <c r="E25" s="92" t="n">
        <v>1909</v>
      </c>
      <c r="F25" s="99" t="s">
        <v>1695</v>
      </c>
      <c r="G25" s="99" t="s">
        <v>175</v>
      </c>
      <c r="H25" s="93" t="s">
        <v>1696</v>
      </c>
      <c r="I25" s="93" t="s">
        <v>1578</v>
      </c>
      <c r="J25" s="116" t="s">
        <v>1697</v>
      </c>
      <c r="K25" s="208" t="s">
        <v>1698</v>
      </c>
      <c r="L25" s="209" t="s">
        <v>1518</v>
      </c>
      <c r="M25" s="195" t="s">
        <v>17</v>
      </c>
      <c r="N25" s="195" t="s">
        <v>1518</v>
      </c>
      <c r="O25" s="195" t="s">
        <v>17</v>
      </c>
      <c r="P25" s="114" t="s">
        <v>732</v>
      </c>
      <c r="Q25" s="114" t="s">
        <v>1699</v>
      </c>
      <c r="R25" s="114" t="s">
        <v>1700</v>
      </c>
      <c r="S25" s="81"/>
      <c r="T25" s="81"/>
      <c r="U25" s="81"/>
      <c r="V25" s="81"/>
      <c r="W25" s="81"/>
      <c r="X25" s="81"/>
      <c r="Y25" s="81"/>
      <c r="Z25" s="81"/>
    </row>
    <row r="26" customFormat="false" ht="12" hidden="false" customHeight="true" outlineLevel="0" collapsed="false">
      <c r="A26" s="195" t="n">
        <v>23</v>
      </c>
      <c r="B26" s="196" t="s">
        <v>1701</v>
      </c>
      <c r="C26" s="93" t="s">
        <v>1702</v>
      </c>
      <c r="D26" s="92" t="s">
        <v>1703</v>
      </c>
      <c r="E26" s="92" t="n">
        <v>1950</v>
      </c>
      <c r="F26" s="99" t="s">
        <v>1704</v>
      </c>
      <c r="G26" s="99" t="s">
        <v>175</v>
      </c>
      <c r="H26" s="93" t="s">
        <v>1705</v>
      </c>
      <c r="I26" s="99" t="s">
        <v>446</v>
      </c>
      <c r="J26" s="116" t="s">
        <v>1706</v>
      </c>
      <c r="K26" s="208" t="s">
        <v>1707</v>
      </c>
      <c r="L26" s="209" t="s">
        <v>1518</v>
      </c>
      <c r="M26" s="195" t="s">
        <v>17</v>
      </c>
      <c r="N26" s="195" t="s">
        <v>1518</v>
      </c>
      <c r="O26" s="195" t="s">
        <v>17</v>
      </c>
      <c r="P26" s="114" t="s">
        <v>732</v>
      </c>
      <c r="Q26" s="114" t="s">
        <v>1708</v>
      </c>
      <c r="R26" s="114" t="s">
        <v>1709</v>
      </c>
      <c r="S26" s="81"/>
      <c r="T26" s="81"/>
      <c r="U26" s="81"/>
      <c r="V26" s="81"/>
      <c r="W26" s="81"/>
      <c r="X26" s="81"/>
      <c r="Y26" s="81"/>
      <c r="Z26" s="81"/>
    </row>
    <row r="27" customFormat="false" ht="12" hidden="false" customHeight="true" outlineLevel="0" collapsed="false">
      <c r="A27" s="195" t="n">
        <v>24</v>
      </c>
      <c r="B27" s="196" t="s">
        <v>1710</v>
      </c>
      <c r="C27" s="93" t="s">
        <v>1711</v>
      </c>
      <c r="D27" s="92" t="s">
        <v>1712</v>
      </c>
      <c r="E27" s="92" t="n">
        <v>1961</v>
      </c>
      <c r="F27" s="99" t="s">
        <v>1713</v>
      </c>
      <c r="G27" s="99" t="s">
        <v>175</v>
      </c>
      <c r="H27" s="93" t="s">
        <v>1714</v>
      </c>
      <c r="I27" s="99" t="s">
        <v>446</v>
      </c>
      <c r="J27" s="116" t="s">
        <v>1715</v>
      </c>
      <c r="K27" s="208" t="s">
        <v>1716</v>
      </c>
      <c r="L27" s="209" t="s">
        <v>1518</v>
      </c>
      <c r="M27" s="195" t="s">
        <v>17</v>
      </c>
      <c r="N27" s="195" t="s">
        <v>1518</v>
      </c>
      <c r="O27" s="195" t="s">
        <v>17</v>
      </c>
      <c r="P27" s="114" t="s">
        <v>1717</v>
      </c>
      <c r="Q27" s="114" t="s">
        <v>1718</v>
      </c>
      <c r="R27" s="114" t="s">
        <v>732</v>
      </c>
      <c r="S27" s="210" t="s">
        <v>1719</v>
      </c>
      <c r="T27" s="81"/>
      <c r="U27" s="81"/>
      <c r="V27" s="81"/>
      <c r="W27" s="81"/>
      <c r="X27" s="81"/>
      <c r="Y27" s="81"/>
      <c r="Z27" s="81"/>
    </row>
    <row r="28" customFormat="false" ht="127.5" hidden="false" customHeight="true" outlineLevel="0" collapsed="false">
      <c r="A28" s="195" t="n">
        <v>25</v>
      </c>
      <c r="B28" s="196" t="s">
        <v>1720</v>
      </c>
      <c r="C28" s="93" t="s">
        <v>1721</v>
      </c>
      <c r="D28" s="92" t="s">
        <v>1722</v>
      </c>
      <c r="E28" s="92" t="n">
        <v>1935</v>
      </c>
      <c r="F28" s="99" t="s">
        <v>1723</v>
      </c>
      <c r="G28" s="99" t="s">
        <v>175</v>
      </c>
      <c r="H28" s="93" t="s">
        <v>1534</v>
      </c>
      <c r="I28" s="93" t="s">
        <v>1724</v>
      </c>
      <c r="J28" s="116" t="s">
        <v>1725</v>
      </c>
      <c r="K28" s="208" t="s">
        <v>1726</v>
      </c>
      <c r="L28" s="209" t="s">
        <v>1518</v>
      </c>
      <c r="M28" s="195" t="s">
        <v>17</v>
      </c>
      <c r="N28" s="195" t="s">
        <v>1518</v>
      </c>
      <c r="O28" s="195" t="s">
        <v>17</v>
      </c>
      <c r="P28" s="114" t="s">
        <v>732</v>
      </c>
      <c r="Q28" s="114" t="s">
        <v>1727</v>
      </c>
      <c r="R28" s="114" t="s">
        <v>732</v>
      </c>
      <c r="S28" s="81"/>
      <c r="T28" s="81"/>
      <c r="U28" s="81"/>
      <c r="V28" s="81"/>
      <c r="W28" s="81"/>
      <c r="X28" s="81"/>
      <c r="Y28" s="81"/>
      <c r="Z28" s="81"/>
    </row>
    <row r="29" customFormat="false" ht="61.5" hidden="false" customHeight="true" outlineLevel="0" collapsed="false">
      <c r="A29" s="195" t="n">
        <v>26</v>
      </c>
      <c r="B29" s="196" t="s">
        <v>555</v>
      </c>
      <c r="C29" s="93" t="s">
        <v>1728</v>
      </c>
      <c r="D29" s="92" t="s">
        <v>819</v>
      </c>
      <c r="E29" s="92" t="n">
        <v>1868</v>
      </c>
      <c r="F29" s="99" t="s">
        <v>1729</v>
      </c>
      <c r="G29" s="99" t="s">
        <v>175</v>
      </c>
      <c r="H29" s="93" t="s">
        <v>1730</v>
      </c>
      <c r="I29" s="93" t="s">
        <v>1578</v>
      </c>
      <c r="J29" s="116" t="s">
        <v>1731</v>
      </c>
      <c r="K29" s="208" t="s">
        <v>1732</v>
      </c>
      <c r="L29" s="209" t="s">
        <v>1518</v>
      </c>
      <c r="M29" s="195" t="s">
        <v>17</v>
      </c>
      <c r="N29" s="195" t="s">
        <v>1518</v>
      </c>
      <c r="O29" s="195" t="s">
        <v>17</v>
      </c>
      <c r="P29" s="114" t="s">
        <v>732</v>
      </c>
      <c r="Q29" s="114" t="s">
        <v>1733</v>
      </c>
      <c r="R29" s="114" t="s">
        <v>1734</v>
      </c>
      <c r="S29" s="81"/>
      <c r="T29" s="81"/>
      <c r="U29" s="81"/>
      <c r="V29" s="81"/>
      <c r="W29" s="81"/>
      <c r="X29" s="81"/>
      <c r="Y29" s="81"/>
      <c r="Z29" s="81"/>
    </row>
    <row r="30" customFormat="false" ht="103.5" hidden="false" customHeight="true" outlineLevel="0" collapsed="false">
      <c r="A30" s="81"/>
      <c r="B30" s="81"/>
      <c r="C30" s="81"/>
      <c r="D30" s="81"/>
      <c r="E30" s="81"/>
      <c r="F30" s="81"/>
      <c r="G30" s="81"/>
      <c r="H30" s="81"/>
      <c r="I30" s="81"/>
      <c r="J30" s="81"/>
      <c r="K30" s="81"/>
      <c r="L30" s="81"/>
      <c r="M30" s="81"/>
      <c r="N30" s="81"/>
      <c r="O30" s="81"/>
      <c r="P30" s="81"/>
      <c r="Q30" s="81"/>
      <c r="R30" s="81"/>
      <c r="S30" s="81"/>
      <c r="T30" s="81"/>
      <c r="U30" s="81"/>
      <c r="V30" s="81"/>
      <c r="W30" s="81"/>
      <c r="X30" s="81"/>
      <c r="Y30" s="81"/>
      <c r="Z30" s="81"/>
    </row>
    <row r="31" customFormat="false" ht="31.5" hidden="false" customHeight="true" outlineLevel="0" collapsed="false">
      <c r="A31" s="81"/>
      <c r="B31" s="81"/>
      <c r="C31" s="81"/>
      <c r="D31" s="81"/>
      <c r="E31" s="81"/>
      <c r="F31" s="81"/>
      <c r="G31" s="81"/>
      <c r="H31" s="81"/>
      <c r="I31" s="81"/>
      <c r="J31" s="81"/>
      <c r="K31" s="81"/>
      <c r="L31" s="81"/>
      <c r="M31" s="81"/>
      <c r="N31" s="81"/>
      <c r="O31" s="81"/>
      <c r="P31" s="81"/>
      <c r="Q31" s="81"/>
      <c r="R31" s="81"/>
      <c r="S31" s="81"/>
      <c r="T31" s="81"/>
      <c r="U31" s="81"/>
      <c r="V31" s="81"/>
      <c r="W31" s="81"/>
      <c r="X31" s="81"/>
      <c r="Y31" s="81"/>
      <c r="Z31" s="81"/>
    </row>
    <row r="32" customFormat="false" ht="31.5" hidden="false" customHeight="true" outlineLevel="0" collapsed="false">
      <c r="A32" s="81"/>
      <c r="B32" s="81"/>
      <c r="C32" s="81"/>
      <c r="D32" s="81"/>
      <c r="E32" s="81"/>
      <c r="F32" s="81"/>
      <c r="G32" s="81"/>
      <c r="H32" s="81"/>
      <c r="I32" s="81"/>
      <c r="J32" s="81"/>
      <c r="K32" s="81"/>
      <c r="L32" s="81"/>
      <c r="M32" s="81"/>
      <c r="N32" s="81"/>
      <c r="O32" s="81"/>
      <c r="P32" s="81"/>
      <c r="Q32" s="81"/>
      <c r="R32" s="81"/>
      <c r="S32" s="81"/>
      <c r="T32" s="81"/>
      <c r="U32" s="81"/>
      <c r="V32" s="81"/>
      <c r="W32" s="81"/>
      <c r="X32" s="81"/>
      <c r="Y32" s="81"/>
      <c r="Z32" s="81"/>
    </row>
    <row r="33" customFormat="false" ht="31.5" hidden="false" customHeight="true" outlineLevel="0" collapsed="false">
      <c r="A33" s="81"/>
      <c r="B33" s="81"/>
      <c r="C33" s="81"/>
      <c r="D33" s="81"/>
      <c r="E33" s="81"/>
      <c r="F33" s="81"/>
      <c r="G33" s="81"/>
      <c r="H33" s="81"/>
      <c r="I33" s="81"/>
      <c r="J33" s="81"/>
      <c r="K33" s="81"/>
      <c r="L33" s="81"/>
      <c r="M33" s="81"/>
      <c r="N33" s="81"/>
      <c r="O33" s="81"/>
      <c r="P33" s="81"/>
      <c r="Q33" s="81"/>
      <c r="R33" s="81"/>
      <c r="S33" s="81"/>
      <c r="T33" s="81"/>
      <c r="U33" s="81"/>
      <c r="V33" s="81"/>
      <c r="W33" s="81"/>
      <c r="X33" s="81"/>
      <c r="Y33" s="81"/>
      <c r="Z33" s="81"/>
    </row>
    <row r="34" customFormat="false" ht="67.5" hidden="false" customHeight="true" outlineLevel="0" collapsed="false">
      <c r="A34" s="81"/>
      <c r="B34" s="81"/>
      <c r="C34" s="81"/>
      <c r="D34" s="81"/>
      <c r="E34" s="81"/>
      <c r="F34" s="81"/>
      <c r="G34" s="81"/>
      <c r="H34" s="81"/>
      <c r="I34" s="81"/>
      <c r="J34" s="81"/>
      <c r="K34" s="81"/>
      <c r="L34" s="81"/>
      <c r="M34" s="81"/>
      <c r="N34" s="81"/>
      <c r="O34" s="81"/>
      <c r="P34" s="81"/>
      <c r="Q34" s="81"/>
      <c r="R34" s="81"/>
      <c r="S34" s="81"/>
      <c r="T34" s="81"/>
      <c r="U34" s="81"/>
      <c r="V34" s="81"/>
      <c r="W34" s="81"/>
      <c r="X34" s="81"/>
      <c r="Y34" s="81"/>
      <c r="Z34" s="81"/>
    </row>
    <row r="35" customFormat="false" ht="67.5" hidden="false" customHeight="true" outlineLevel="0" collapsed="false">
      <c r="A35" s="81"/>
      <c r="B35" s="81"/>
      <c r="C35" s="81"/>
      <c r="D35" s="81"/>
      <c r="E35" s="81"/>
      <c r="F35" s="81"/>
      <c r="G35" s="81"/>
      <c r="H35" s="81"/>
      <c r="I35" s="81"/>
      <c r="J35" s="81"/>
      <c r="K35" s="81"/>
      <c r="L35" s="81"/>
      <c r="M35" s="81"/>
      <c r="N35" s="81"/>
      <c r="O35" s="81"/>
      <c r="P35" s="81"/>
      <c r="Q35" s="81"/>
      <c r="R35" s="81"/>
      <c r="S35" s="81"/>
      <c r="T35" s="81"/>
      <c r="U35" s="81"/>
      <c r="V35" s="81"/>
      <c r="W35" s="81"/>
      <c r="X35" s="81"/>
      <c r="Y35" s="81"/>
      <c r="Z35" s="81"/>
    </row>
    <row r="36" customFormat="false" ht="67.5" hidden="false" customHeight="true" outlineLevel="0" collapsed="false">
      <c r="A36" s="211"/>
      <c r="B36" s="212"/>
      <c r="C36" s="212"/>
      <c r="D36" s="212"/>
      <c r="E36" s="212"/>
      <c r="F36" s="212"/>
      <c r="G36" s="212"/>
      <c r="H36" s="213"/>
      <c r="I36" s="213"/>
      <c r="J36" s="213"/>
      <c r="K36" s="212"/>
      <c r="L36" s="212"/>
      <c r="M36" s="212"/>
      <c r="N36" s="212"/>
      <c r="O36" s="212"/>
      <c r="P36" s="212"/>
      <c r="Q36" s="212"/>
      <c r="R36" s="81"/>
      <c r="S36" s="81"/>
      <c r="T36" s="81"/>
      <c r="U36" s="81"/>
      <c r="V36" s="81"/>
      <c r="W36" s="81"/>
      <c r="X36" s="81"/>
      <c r="Y36" s="81"/>
      <c r="Z36" s="81"/>
    </row>
    <row r="37" customFormat="false" ht="67.5" hidden="false" customHeight="true" outlineLevel="0" collapsed="false">
      <c r="A37" s="211"/>
      <c r="B37" s="212"/>
      <c r="C37" s="211"/>
      <c r="D37" s="211"/>
      <c r="E37" s="211"/>
      <c r="F37" s="211"/>
      <c r="G37" s="211"/>
      <c r="H37" s="214"/>
      <c r="I37" s="214"/>
      <c r="J37" s="214"/>
      <c r="K37" s="212"/>
      <c r="L37" s="212"/>
      <c r="M37" s="211"/>
      <c r="N37" s="211"/>
      <c r="O37" s="211"/>
      <c r="P37" s="211"/>
      <c r="Q37" s="211"/>
      <c r="R37" s="81"/>
      <c r="S37" s="81"/>
      <c r="T37" s="81"/>
      <c r="U37" s="81"/>
      <c r="V37" s="81"/>
      <c r="W37" s="81"/>
      <c r="X37" s="81"/>
      <c r="Y37" s="81"/>
      <c r="Z37" s="81"/>
    </row>
    <row r="38" customFormat="false" ht="67.5" hidden="false" customHeight="true" outlineLevel="0" collapsed="false">
      <c r="A38" s="211"/>
      <c r="B38" s="212"/>
      <c r="C38" s="211"/>
      <c r="D38" s="211"/>
      <c r="E38" s="211"/>
      <c r="F38" s="211"/>
      <c r="G38" s="211"/>
      <c r="H38" s="214"/>
      <c r="I38" s="214"/>
      <c r="J38" s="214"/>
      <c r="K38" s="212"/>
      <c r="L38" s="212"/>
      <c r="M38" s="211"/>
      <c r="N38" s="211"/>
      <c r="O38" s="211"/>
      <c r="P38" s="211"/>
      <c r="Q38" s="211"/>
      <c r="R38" s="81"/>
      <c r="S38" s="81"/>
      <c r="T38" s="81"/>
      <c r="U38" s="81"/>
      <c r="V38" s="81"/>
      <c r="W38" s="81"/>
      <c r="X38" s="81"/>
      <c r="Y38" s="81"/>
      <c r="Z38" s="81"/>
    </row>
    <row r="39" customFormat="false" ht="67.5" hidden="false" customHeight="true" outlineLevel="0" collapsed="false">
      <c r="A39" s="211"/>
      <c r="B39" s="211"/>
      <c r="C39" s="211"/>
      <c r="D39" s="211"/>
      <c r="E39" s="211"/>
      <c r="F39" s="211"/>
      <c r="G39" s="211"/>
      <c r="H39" s="214"/>
      <c r="I39" s="214"/>
      <c r="J39" s="214"/>
      <c r="K39" s="212"/>
      <c r="L39" s="211"/>
      <c r="M39" s="211"/>
      <c r="N39" s="211"/>
      <c r="O39" s="211"/>
      <c r="P39" s="211"/>
      <c r="Q39" s="211"/>
      <c r="R39" s="81"/>
      <c r="S39" s="81"/>
      <c r="T39" s="81"/>
      <c r="U39" s="81"/>
      <c r="V39" s="81"/>
      <c r="W39" s="81"/>
      <c r="X39" s="81"/>
      <c r="Y39" s="81"/>
      <c r="Z39" s="81"/>
    </row>
    <row r="40" customFormat="false" ht="12" hidden="false" customHeight="true" outlineLevel="0" collapsed="false">
      <c r="A40" s="102"/>
      <c r="B40" s="81"/>
      <c r="C40" s="81"/>
      <c r="D40" s="81"/>
      <c r="E40" s="81"/>
      <c r="F40" s="81"/>
      <c r="G40" s="81"/>
      <c r="H40" s="81"/>
      <c r="I40" s="81"/>
      <c r="J40" s="81"/>
      <c r="K40" s="81"/>
      <c r="L40" s="81"/>
      <c r="M40" s="81"/>
      <c r="N40" s="81"/>
      <c r="O40" s="81"/>
      <c r="P40" s="81"/>
      <c r="Q40" s="81"/>
      <c r="R40" s="81"/>
      <c r="S40" s="81"/>
      <c r="T40" s="81"/>
      <c r="U40" s="81"/>
      <c r="V40" s="81"/>
      <c r="W40" s="81"/>
      <c r="X40" s="81"/>
      <c r="Y40" s="81"/>
      <c r="Z40" s="81"/>
    </row>
    <row r="41" customFormat="false" ht="12" hidden="false" customHeight="true" outlineLevel="0" collapsed="false">
      <c r="A41" s="102"/>
      <c r="B41" s="81"/>
      <c r="C41" s="81"/>
      <c r="D41" s="81"/>
      <c r="E41" s="81"/>
      <c r="F41" s="81"/>
      <c r="G41" s="81"/>
      <c r="H41" s="81"/>
      <c r="I41" s="81"/>
      <c r="J41" s="81"/>
      <c r="K41" s="81"/>
      <c r="L41" s="81"/>
      <c r="M41" s="81"/>
      <c r="N41" s="81"/>
      <c r="O41" s="81"/>
      <c r="P41" s="81"/>
      <c r="Q41" s="81"/>
      <c r="R41" s="81"/>
      <c r="S41" s="81"/>
      <c r="T41" s="81"/>
      <c r="U41" s="81"/>
      <c r="V41" s="81"/>
      <c r="W41" s="81"/>
      <c r="X41" s="81"/>
      <c r="Y41" s="81"/>
      <c r="Z41" s="81"/>
    </row>
    <row r="42" customFormat="false" ht="12" hidden="false" customHeight="true" outlineLevel="0" collapsed="false">
      <c r="A42" s="102"/>
      <c r="B42" s="81"/>
      <c r="C42" s="81"/>
      <c r="D42" s="81"/>
      <c r="E42" s="81"/>
      <c r="F42" s="81"/>
      <c r="G42" s="81"/>
      <c r="H42" s="81"/>
      <c r="I42" s="81"/>
      <c r="J42" s="81"/>
      <c r="K42" s="81"/>
      <c r="L42" s="81"/>
      <c r="M42" s="81"/>
      <c r="N42" s="81"/>
      <c r="O42" s="81"/>
      <c r="P42" s="81"/>
      <c r="Q42" s="81"/>
      <c r="R42" s="81"/>
      <c r="S42" s="81"/>
      <c r="T42" s="81"/>
      <c r="U42" s="81"/>
      <c r="V42" s="81"/>
      <c r="W42" s="81"/>
      <c r="X42" s="81"/>
      <c r="Y42" s="81"/>
      <c r="Z42" s="81"/>
    </row>
    <row r="43" customFormat="false" ht="12" hidden="false" customHeight="true" outlineLevel="0" collapsed="false">
      <c r="A43" s="81"/>
      <c r="B43" s="81"/>
      <c r="C43" s="81"/>
      <c r="D43" s="81"/>
      <c r="E43" s="81"/>
      <c r="F43" s="81"/>
      <c r="G43" s="81"/>
      <c r="H43" s="81"/>
      <c r="I43" s="81"/>
      <c r="J43" s="81"/>
      <c r="K43" s="81"/>
      <c r="L43" s="81"/>
      <c r="M43" s="81"/>
      <c r="N43" s="81"/>
      <c r="O43" s="81"/>
      <c r="P43" s="81"/>
      <c r="Q43" s="81"/>
      <c r="R43" s="81"/>
      <c r="S43" s="81"/>
      <c r="T43" s="81"/>
      <c r="U43" s="81"/>
      <c r="V43" s="81"/>
      <c r="W43" s="81"/>
      <c r="X43" s="81"/>
      <c r="Y43" s="81"/>
      <c r="Z43" s="81"/>
    </row>
    <row r="44" customFormat="false" ht="12" hidden="false" customHeight="true" outlineLevel="0" collapsed="false">
      <c r="A44" s="81"/>
      <c r="B44" s="81"/>
      <c r="C44" s="81"/>
      <c r="D44" s="81"/>
      <c r="E44" s="81"/>
      <c r="F44" s="81"/>
      <c r="G44" s="81"/>
      <c r="H44" s="81"/>
      <c r="I44" s="81"/>
      <c r="J44" s="81"/>
      <c r="K44" s="81"/>
      <c r="L44" s="81"/>
      <c r="M44" s="81"/>
      <c r="N44" s="81"/>
      <c r="O44" s="81"/>
      <c r="P44" s="81"/>
      <c r="Q44" s="81"/>
      <c r="R44" s="81"/>
      <c r="S44" s="81"/>
      <c r="T44" s="81"/>
      <c r="U44" s="81"/>
      <c r="V44" s="81"/>
      <c r="W44" s="81"/>
      <c r="X44" s="81"/>
      <c r="Y44" s="81"/>
      <c r="Z44" s="81"/>
    </row>
    <row r="45" customFormat="false" ht="12" hidden="false" customHeight="true" outlineLevel="0" collapsed="false">
      <c r="A45" s="81"/>
      <c r="B45" s="81"/>
      <c r="C45" s="81"/>
      <c r="D45" s="81"/>
      <c r="E45" s="81"/>
      <c r="F45" s="81"/>
      <c r="G45" s="81"/>
      <c r="H45" s="81"/>
      <c r="I45" s="81"/>
      <c r="J45" s="81"/>
      <c r="K45" s="81"/>
      <c r="L45" s="81"/>
      <c r="M45" s="81"/>
      <c r="N45" s="81"/>
      <c r="O45" s="81"/>
      <c r="P45" s="81"/>
      <c r="Q45" s="81"/>
      <c r="R45" s="81"/>
      <c r="S45" s="81"/>
      <c r="T45" s="81"/>
      <c r="U45" s="81"/>
      <c r="V45" s="81"/>
      <c r="W45" s="81"/>
      <c r="X45" s="81"/>
      <c r="Y45" s="81"/>
      <c r="Z45" s="81"/>
    </row>
    <row r="46" customFormat="false" ht="12" hidden="false" customHeight="true" outlineLevel="0" collapsed="false">
      <c r="A46" s="81"/>
      <c r="B46" s="81"/>
      <c r="C46" s="81"/>
      <c r="D46" s="81"/>
      <c r="E46" s="81"/>
      <c r="F46" s="81"/>
      <c r="G46" s="81"/>
      <c r="H46" s="81"/>
      <c r="I46" s="81"/>
      <c r="J46" s="81"/>
      <c r="K46" s="81"/>
      <c r="L46" s="81"/>
      <c r="M46" s="81"/>
      <c r="N46" s="81"/>
      <c r="O46" s="81"/>
      <c r="P46" s="81"/>
      <c r="Q46" s="81"/>
      <c r="R46" s="81"/>
      <c r="S46" s="81"/>
      <c r="T46" s="81"/>
      <c r="U46" s="81"/>
      <c r="V46" s="81"/>
      <c r="W46" s="81"/>
      <c r="X46" s="81"/>
      <c r="Y46" s="81"/>
      <c r="Z46" s="81"/>
    </row>
    <row r="47" customFormat="false" ht="12" hidden="false" customHeight="true" outlineLevel="0" collapsed="false">
      <c r="A47" s="81"/>
      <c r="B47" s="81"/>
      <c r="C47" s="81"/>
      <c r="D47" s="81"/>
      <c r="E47" s="81"/>
      <c r="F47" s="81"/>
      <c r="G47" s="81"/>
      <c r="H47" s="81"/>
      <c r="I47" s="81"/>
      <c r="J47" s="81"/>
      <c r="K47" s="81"/>
      <c r="L47" s="81"/>
      <c r="M47" s="81"/>
      <c r="N47" s="81"/>
      <c r="O47" s="81"/>
      <c r="P47" s="81"/>
      <c r="Q47" s="81"/>
      <c r="R47" s="81"/>
      <c r="S47" s="81"/>
      <c r="T47" s="81"/>
      <c r="U47" s="81"/>
      <c r="V47" s="81"/>
      <c r="W47" s="81"/>
      <c r="X47" s="81"/>
      <c r="Y47" s="81"/>
      <c r="Z47" s="81"/>
    </row>
    <row r="48" customFormat="false" ht="12" hidden="false" customHeight="true" outlineLevel="0" collapsed="false">
      <c r="A48" s="81"/>
      <c r="B48" s="81"/>
      <c r="C48" s="81"/>
      <c r="D48" s="81"/>
      <c r="E48" s="81"/>
      <c r="F48" s="81"/>
      <c r="G48" s="81"/>
      <c r="H48" s="81"/>
      <c r="I48" s="81"/>
      <c r="J48" s="81"/>
      <c r="K48" s="81"/>
      <c r="L48" s="81"/>
      <c r="M48" s="81"/>
      <c r="N48" s="81"/>
      <c r="O48" s="81"/>
      <c r="P48" s="81"/>
      <c r="Q48" s="81"/>
      <c r="R48" s="81"/>
      <c r="S48" s="81"/>
      <c r="T48" s="81"/>
      <c r="U48" s="81"/>
      <c r="V48" s="81"/>
      <c r="W48" s="81"/>
      <c r="X48" s="81"/>
      <c r="Y48" s="81"/>
      <c r="Z48" s="81"/>
    </row>
    <row r="49" customFormat="false" ht="12" hidden="false" customHeight="true" outlineLevel="0" collapsed="false">
      <c r="A49" s="102"/>
      <c r="B49" s="81"/>
      <c r="C49" s="81"/>
      <c r="D49" s="81"/>
      <c r="E49" s="81"/>
      <c r="F49" s="81"/>
      <c r="G49" s="81"/>
      <c r="H49" s="81"/>
      <c r="I49" s="81"/>
      <c r="J49" s="81"/>
      <c r="K49" s="81"/>
      <c r="L49" s="81"/>
      <c r="M49" s="81"/>
      <c r="N49" s="81"/>
      <c r="O49" s="81"/>
      <c r="P49" s="81"/>
      <c r="Q49" s="81"/>
      <c r="R49" s="81"/>
      <c r="S49" s="81"/>
      <c r="T49" s="81"/>
      <c r="U49" s="81"/>
      <c r="V49" s="81"/>
      <c r="W49" s="81"/>
      <c r="X49" s="81"/>
      <c r="Y49" s="81"/>
      <c r="Z49" s="81"/>
    </row>
    <row r="50" customFormat="false" ht="12" hidden="false" customHeight="true" outlineLevel="0" collapsed="false">
      <c r="A50" s="81"/>
      <c r="B50" s="81"/>
      <c r="C50" s="81"/>
      <c r="D50" s="81"/>
      <c r="E50" s="81"/>
      <c r="F50" s="81"/>
      <c r="G50" s="81"/>
      <c r="H50" s="81"/>
      <c r="I50" s="81"/>
      <c r="J50" s="81"/>
      <c r="K50" s="81"/>
      <c r="L50" s="81"/>
      <c r="M50" s="81"/>
      <c r="N50" s="81"/>
      <c r="O50" s="81"/>
      <c r="P50" s="81"/>
      <c r="Q50" s="81"/>
      <c r="R50" s="81"/>
      <c r="S50" s="81"/>
      <c r="T50" s="81"/>
      <c r="U50" s="81"/>
      <c r="V50" s="81"/>
      <c r="W50" s="81"/>
      <c r="X50" s="81"/>
      <c r="Y50" s="81"/>
      <c r="Z50" s="81"/>
    </row>
    <row r="51" customFormat="false" ht="45" hidden="false" customHeight="true" outlineLevel="0" collapsed="false">
      <c r="A51" s="81"/>
      <c r="B51" s="81"/>
      <c r="C51" s="81"/>
      <c r="D51" s="81"/>
      <c r="E51" s="81"/>
      <c r="F51" s="81"/>
      <c r="G51" s="81"/>
      <c r="H51" s="81"/>
      <c r="I51" s="81"/>
      <c r="J51" s="81"/>
      <c r="K51" s="81"/>
      <c r="L51" s="81"/>
      <c r="M51" s="81"/>
      <c r="N51" s="81"/>
      <c r="O51" s="81"/>
      <c r="P51" s="81"/>
      <c r="Q51" s="81"/>
      <c r="R51" s="81"/>
      <c r="S51" s="81"/>
      <c r="T51" s="81"/>
      <c r="U51" s="81"/>
      <c r="V51" s="81"/>
      <c r="W51" s="81"/>
      <c r="X51" s="81"/>
      <c r="Y51" s="81"/>
      <c r="Z51" s="81"/>
    </row>
    <row r="52" customFormat="false" ht="12" hidden="false" customHeight="true" outlineLevel="0" collapsed="false">
      <c r="A52" s="81"/>
      <c r="B52" s="81"/>
      <c r="C52" s="81"/>
      <c r="D52" s="81"/>
      <c r="E52" s="81"/>
      <c r="F52" s="81"/>
      <c r="G52" s="81"/>
      <c r="H52" s="81"/>
      <c r="I52" s="81"/>
      <c r="J52" s="81"/>
      <c r="K52" s="81"/>
      <c r="L52" s="81"/>
      <c r="M52" s="81"/>
      <c r="N52" s="81"/>
      <c r="O52" s="81"/>
      <c r="P52" s="81"/>
      <c r="Q52" s="81"/>
      <c r="R52" s="81"/>
      <c r="S52" s="81"/>
      <c r="T52" s="81"/>
      <c r="U52" s="81"/>
      <c r="V52" s="81"/>
      <c r="W52" s="81"/>
      <c r="X52" s="81"/>
      <c r="Y52" s="81"/>
      <c r="Z52" s="81"/>
    </row>
    <row r="53" customFormat="false" ht="12" hidden="false" customHeight="true" outlineLevel="0" collapsed="false">
      <c r="A53" s="81"/>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customFormat="false" ht="12" hidden="false" customHeight="true" outlineLevel="0" collapsed="false">
      <c r="A54" s="81"/>
      <c r="B54" s="81"/>
      <c r="C54" s="81"/>
      <c r="D54" s="81"/>
      <c r="E54" s="81"/>
      <c r="F54" s="81"/>
      <c r="G54" s="81"/>
      <c r="H54" s="81"/>
      <c r="I54" s="81"/>
      <c r="J54" s="81"/>
      <c r="K54" s="81"/>
      <c r="L54" s="81"/>
      <c r="M54" s="81"/>
      <c r="N54" s="81"/>
      <c r="O54" s="81"/>
      <c r="P54" s="81"/>
      <c r="Q54" s="81"/>
      <c r="R54" s="81"/>
      <c r="S54" s="81"/>
      <c r="T54" s="81"/>
      <c r="U54" s="81"/>
      <c r="V54" s="81"/>
      <c r="W54" s="81"/>
      <c r="X54" s="81"/>
      <c r="Y54" s="81"/>
      <c r="Z54" s="81"/>
    </row>
    <row r="55" customFormat="false" ht="12" hidden="false" customHeight="true" outlineLevel="0" collapsed="false">
      <c r="A55" s="81"/>
      <c r="B55" s="81"/>
      <c r="C55" s="81"/>
      <c r="D55" s="81"/>
      <c r="E55" s="81"/>
      <c r="F55" s="81"/>
      <c r="G55" s="81"/>
      <c r="H55" s="81"/>
      <c r="I55" s="81"/>
      <c r="J55" s="81"/>
      <c r="K55" s="81"/>
      <c r="L55" s="81"/>
      <c r="M55" s="81"/>
      <c r="N55" s="81"/>
      <c r="O55" s="81"/>
      <c r="P55" s="81"/>
      <c r="Q55" s="81"/>
      <c r="R55" s="81"/>
      <c r="S55" s="81"/>
      <c r="T55" s="81"/>
      <c r="U55" s="81"/>
      <c r="V55" s="81"/>
      <c r="W55" s="81"/>
      <c r="X55" s="81"/>
      <c r="Y55" s="81"/>
      <c r="Z55" s="81"/>
    </row>
    <row r="56" customFormat="false" ht="93" hidden="false" customHeight="true" outlineLevel="0" collapsed="false">
      <c r="A56" s="215"/>
      <c r="B56" s="211"/>
      <c r="C56" s="216"/>
      <c r="D56" s="217"/>
      <c r="E56" s="218"/>
      <c r="F56" s="216"/>
      <c r="G56" s="216"/>
      <c r="H56" s="219"/>
      <c r="I56" s="219"/>
      <c r="J56" s="219"/>
      <c r="K56" s="212"/>
      <c r="L56" s="211"/>
      <c r="M56" s="211"/>
      <c r="N56" s="218"/>
      <c r="O56" s="218"/>
      <c r="P56" s="218"/>
      <c r="Q56" s="218"/>
      <c r="R56" s="81"/>
      <c r="S56" s="81"/>
      <c r="T56" s="81"/>
      <c r="U56" s="81"/>
      <c r="V56" s="81"/>
      <c r="W56" s="81"/>
      <c r="X56" s="81"/>
      <c r="Y56" s="81"/>
      <c r="Z56" s="81"/>
    </row>
    <row r="57" customFormat="false" ht="12" hidden="false" customHeight="true" outlineLevel="0" collapsed="false">
      <c r="A57" s="81"/>
      <c r="B57" s="81"/>
      <c r="C57" s="81"/>
      <c r="D57" s="81"/>
      <c r="E57" s="81"/>
      <c r="F57" s="81"/>
      <c r="G57" s="81"/>
      <c r="H57" s="81"/>
      <c r="I57" s="81"/>
      <c r="J57" s="81"/>
      <c r="K57" s="81"/>
      <c r="L57" s="81"/>
      <c r="M57" s="81"/>
      <c r="N57" s="81"/>
      <c r="O57" s="81"/>
      <c r="P57" s="81"/>
      <c r="Q57" s="81"/>
      <c r="R57" s="81"/>
      <c r="S57" s="81"/>
      <c r="T57" s="81"/>
      <c r="U57" s="81"/>
      <c r="V57" s="81"/>
      <c r="W57" s="81"/>
      <c r="X57" s="81"/>
      <c r="Y57" s="81"/>
      <c r="Z57" s="81"/>
    </row>
    <row r="58" customFormat="false" ht="12" hidden="false" customHeight="true" outlineLevel="0" collapsed="false">
      <c r="A58" s="81"/>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customFormat="false" ht="12" hidden="false" customHeight="true" outlineLevel="0" collapsed="false">
      <c r="A59" s="81"/>
      <c r="B59" s="81"/>
      <c r="C59" s="81"/>
      <c r="D59" s="81"/>
      <c r="E59" s="81"/>
      <c r="F59" s="81"/>
      <c r="G59" s="81"/>
      <c r="H59" s="81"/>
      <c r="I59" s="81"/>
      <c r="J59" s="81"/>
      <c r="K59" s="81"/>
      <c r="L59" s="81"/>
      <c r="M59" s="81"/>
      <c r="N59" s="81"/>
      <c r="O59" s="81"/>
      <c r="P59" s="81"/>
      <c r="Q59" s="81"/>
      <c r="R59" s="81"/>
      <c r="S59" s="81"/>
      <c r="T59" s="81"/>
      <c r="U59" s="81"/>
      <c r="V59" s="81"/>
      <c r="W59" s="81"/>
      <c r="X59" s="81"/>
      <c r="Y59" s="81"/>
      <c r="Z59" s="81"/>
    </row>
    <row r="60" customFormat="false" ht="12" hidden="false" customHeight="true" outlineLevel="0" collapsed="false">
      <c r="A60" s="81"/>
      <c r="B60" s="81"/>
      <c r="C60" s="81"/>
      <c r="D60" s="81"/>
      <c r="E60" s="81"/>
      <c r="F60" s="81"/>
      <c r="G60" s="81"/>
      <c r="H60" s="81"/>
      <c r="I60" s="81"/>
      <c r="J60" s="81"/>
      <c r="K60" s="81"/>
      <c r="L60" s="81"/>
      <c r="M60" s="81"/>
      <c r="N60" s="81"/>
      <c r="O60" s="81"/>
      <c r="P60" s="81"/>
      <c r="Q60" s="81"/>
      <c r="R60" s="81"/>
      <c r="S60" s="81"/>
      <c r="T60" s="81"/>
      <c r="U60" s="81"/>
      <c r="V60" s="81"/>
      <c r="W60" s="81"/>
      <c r="X60" s="81"/>
      <c r="Y60" s="81"/>
      <c r="Z60" s="81"/>
    </row>
    <row r="61" customFormat="false" ht="12" hidden="false" customHeight="true" outlineLevel="0" collapsed="false">
      <c r="A61" s="81"/>
      <c r="B61" s="81"/>
      <c r="C61" s="81"/>
      <c r="D61" s="81"/>
      <c r="E61" s="81"/>
      <c r="F61" s="81"/>
      <c r="G61" s="81"/>
      <c r="H61" s="81"/>
      <c r="I61" s="81"/>
      <c r="J61" s="81"/>
      <c r="K61" s="81"/>
      <c r="L61" s="81"/>
      <c r="M61" s="81"/>
      <c r="N61" s="81"/>
      <c r="O61" s="81"/>
      <c r="P61" s="81"/>
      <c r="Q61" s="81"/>
      <c r="R61" s="81"/>
      <c r="S61" s="81"/>
      <c r="T61" s="81"/>
      <c r="U61" s="81"/>
      <c r="V61" s="81"/>
      <c r="W61" s="81"/>
      <c r="X61" s="81"/>
      <c r="Y61" s="81"/>
      <c r="Z61" s="81"/>
    </row>
    <row r="62" customFormat="false" ht="12" hidden="false" customHeight="true" outlineLevel="0" collapsed="false">
      <c r="A62" s="81"/>
      <c r="B62" s="81"/>
      <c r="C62" s="81"/>
      <c r="D62" s="81"/>
      <c r="E62" s="81"/>
      <c r="F62" s="81"/>
      <c r="G62" s="81"/>
      <c r="H62" s="81"/>
      <c r="I62" s="81"/>
      <c r="J62" s="81"/>
      <c r="K62" s="81"/>
      <c r="L62" s="81"/>
      <c r="M62" s="81"/>
      <c r="N62" s="81"/>
      <c r="O62" s="81"/>
      <c r="P62" s="81"/>
      <c r="Q62" s="81"/>
      <c r="R62" s="81"/>
      <c r="S62" s="81"/>
      <c r="T62" s="81"/>
      <c r="U62" s="81"/>
      <c r="V62" s="81"/>
      <c r="W62" s="81"/>
      <c r="X62" s="81"/>
      <c r="Y62" s="81"/>
      <c r="Z62" s="81"/>
    </row>
    <row r="63" customFormat="false" ht="12" hidden="false" customHeight="true" outlineLevel="0" collapsed="false">
      <c r="A63" s="81"/>
      <c r="B63" s="81"/>
      <c r="C63" s="81"/>
      <c r="D63" s="81"/>
      <c r="E63" s="81"/>
      <c r="F63" s="81"/>
      <c r="G63" s="81"/>
      <c r="H63" s="81"/>
      <c r="I63" s="81"/>
      <c r="J63" s="81"/>
      <c r="K63" s="81"/>
      <c r="L63" s="81"/>
      <c r="M63" s="81"/>
      <c r="N63" s="81"/>
      <c r="O63" s="81"/>
      <c r="P63" s="81"/>
      <c r="Q63" s="81"/>
      <c r="R63" s="81"/>
      <c r="S63" s="81"/>
      <c r="T63" s="81"/>
      <c r="U63" s="81"/>
      <c r="V63" s="81"/>
      <c r="W63" s="81"/>
      <c r="X63" s="81"/>
      <c r="Y63" s="81"/>
      <c r="Z63" s="81"/>
    </row>
    <row r="64" customFormat="false" ht="12" hidden="false" customHeight="true" outlineLevel="0" collapsed="false">
      <c r="A64" s="81"/>
      <c r="B64" s="81"/>
      <c r="C64" s="81"/>
      <c r="D64" s="81"/>
      <c r="E64" s="81"/>
      <c r="F64" s="81"/>
      <c r="G64" s="81"/>
      <c r="H64" s="81"/>
      <c r="I64" s="81"/>
      <c r="J64" s="81"/>
      <c r="K64" s="81"/>
      <c r="L64" s="81"/>
      <c r="M64" s="81"/>
      <c r="N64" s="81"/>
      <c r="O64" s="81"/>
      <c r="P64" s="81"/>
      <c r="Q64" s="81"/>
      <c r="R64" s="81"/>
      <c r="S64" s="81"/>
      <c r="T64" s="81"/>
      <c r="U64" s="81"/>
      <c r="V64" s="81"/>
      <c r="W64" s="81"/>
      <c r="X64" s="81"/>
      <c r="Y64" s="81"/>
      <c r="Z64" s="81"/>
    </row>
    <row r="65" customFormat="false" ht="12" hidden="false" customHeight="true" outlineLevel="0" collapsed="false">
      <c r="A65" s="81"/>
      <c r="B65" s="81"/>
      <c r="C65" s="81"/>
      <c r="D65" s="81"/>
      <c r="E65" s="81"/>
      <c r="F65" s="81"/>
      <c r="G65" s="81"/>
      <c r="H65" s="81"/>
      <c r="I65" s="81"/>
      <c r="J65" s="81"/>
      <c r="K65" s="81"/>
      <c r="L65" s="81"/>
      <c r="M65" s="81"/>
      <c r="N65" s="81"/>
      <c r="O65" s="81"/>
      <c r="P65" s="81"/>
      <c r="Q65" s="81"/>
      <c r="R65" s="81"/>
      <c r="S65" s="81"/>
      <c r="T65" s="81"/>
      <c r="U65" s="81"/>
      <c r="V65" s="81"/>
      <c r="W65" s="81"/>
      <c r="X65" s="81"/>
      <c r="Y65" s="81"/>
      <c r="Z65" s="81"/>
    </row>
    <row r="66" customFormat="false" ht="12" hidden="false" customHeight="true" outlineLevel="0" collapsed="false">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row>
    <row r="67" customFormat="false" ht="12" hidden="false" customHeight="true" outlineLevel="0" collapsed="false">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row>
    <row r="68" customFormat="false" ht="12" hidden="false" customHeight="true" outlineLevel="0" collapsed="false">
      <c r="A68" s="91"/>
      <c r="B68" s="81"/>
      <c r="C68" s="81"/>
      <c r="D68" s="173"/>
      <c r="E68" s="173"/>
      <c r="F68" s="80"/>
      <c r="G68" s="173"/>
      <c r="H68" s="81"/>
      <c r="I68" s="81"/>
      <c r="J68" s="102"/>
      <c r="K68" s="102"/>
      <c r="L68" s="102"/>
      <c r="M68" s="102"/>
      <c r="N68" s="102"/>
      <c r="O68" s="102"/>
      <c r="P68" s="81"/>
      <c r="Q68" s="81"/>
      <c r="R68" s="81"/>
      <c r="S68" s="81"/>
      <c r="T68" s="81"/>
      <c r="U68" s="81"/>
      <c r="V68" s="81"/>
      <c r="W68" s="81"/>
      <c r="X68" s="81"/>
      <c r="Y68" s="81"/>
      <c r="Z68" s="81"/>
    </row>
    <row r="69" customFormat="false" ht="12" hidden="false" customHeight="true" outlineLevel="0" collapsed="false">
      <c r="A69" s="91"/>
      <c r="B69" s="81"/>
      <c r="C69" s="81"/>
      <c r="D69" s="173"/>
      <c r="E69" s="173"/>
      <c r="F69" s="80"/>
      <c r="G69" s="173"/>
      <c r="H69" s="81"/>
      <c r="I69" s="81"/>
      <c r="J69" s="102"/>
      <c r="K69" s="102"/>
      <c r="L69" s="102"/>
      <c r="M69" s="102"/>
      <c r="N69" s="102"/>
      <c r="O69" s="102"/>
      <c r="P69" s="81"/>
      <c r="Q69" s="81"/>
      <c r="R69" s="81"/>
      <c r="S69" s="81"/>
      <c r="T69" s="81"/>
      <c r="U69" s="81"/>
      <c r="V69" s="81"/>
      <c r="W69" s="81"/>
      <c r="X69" s="81"/>
      <c r="Y69" s="81"/>
      <c r="Z69" s="81"/>
    </row>
    <row r="70" customFormat="false" ht="12" hidden="false" customHeight="true" outlineLevel="0" collapsed="false">
      <c r="A70" s="91"/>
      <c r="B70" s="81"/>
      <c r="C70" s="81"/>
      <c r="D70" s="173"/>
      <c r="E70" s="173"/>
      <c r="F70" s="80"/>
      <c r="G70" s="173"/>
      <c r="H70" s="81"/>
      <c r="I70" s="81"/>
      <c r="J70" s="102"/>
      <c r="K70" s="102"/>
      <c r="L70" s="102"/>
      <c r="M70" s="102"/>
      <c r="N70" s="102"/>
      <c r="O70" s="102"/>
      <c r="P70" s="81"/>
      <c r="Q70" s="81"/>
      <c r="R70" s="81"/>
      <c r="S70" s="81"/>
      <c r="T70" s="81"/>
      <c r="U70" s="81"/>
      <c r="V70" s="81"/>
      <c r="W70" s="81"/>
      <c r="X70" s="81"/>
      <c r="Y70" s="81"/>
      <c r="Z70" s="81"/>
    </row>
    <row r="71" customFormat="false" ht="12" hidden="false" customHeight="true" outlineLevel="0" collapsed="false">
      <c r="A71" s="91"/>
      <c r="B71" s="81"/>
      <c r="C71" s="81"/>
      <c r="D71" s="173"/>
      <c r="E71" s="173"/>
      <c r="F71" s="80"/>
      <c r="G71" s="173"/>
      <c r="H71" s="81"/>
      <c r="I71" s="81"/>
      <c r="J71" s="102"/>
      <c r="K71" s="102"/>
      <c r="L71" s="102"/>
      <c r="M71" s="102"/>
      <c r="N71" s="102"/>
      <c r="O71" s="102"/>
      <c r="P71" s="81"/>
      <c r="Q71" s="81"/>
      <c r="R71" s="81"/>
      <c r="S71" s="81"/>
      <c r="T71" s="81"/>
      <c r="U71" s="81"/>
      <c r="V71" s="81"/>
      <c r="W71" s="81"/>
      <c r="X71" s="81"/>
      <c r="Y71" s="81"/>
      <c r="Z71" s="81"/>
    </row>
    <row r="72" customFormat="false" ht="12" hidden="false" customHeight="true" outlineLevel="0" collapsed="false">
      <c r="A72" s="91"/>
      <c r="B72" s="81"/>
      <c r="C72" s="81"/>
      <c r="D72" s="173"/>
      <c r="E72" s="173"/>
      <c r="F72" s="80"/>
      <c r="G72" s="173"/>
      <c r="H72" s="81"/>
      <c r="I72" s="81"/>
      <c r="J72" s="102"/>
      <c r="K72" s="102"/>
      <c r="L72" s="102"/>
      <c r="M72" s="102"/>
      <c r="N72" s="102"/>
      <c r="O72" s="102"/>
      <c r="P72" s="81"/>
      <c r="Q72" s="81"/>
      <c r="R72" s="81"/>
      <c r="S72" s="81"/>
      <c r="T72" s="81"/>
      <c r="U72" s="81"/>
      <c r="V72" s="81"/>
      <c r="W72" s="81"/>
      <c r="X72" s="81"/>
      <c r="Y72" s="81"/>
      <c r="Z72" s="81"/>
    </row>
    <row r="73" customFormat="false" ht="12" hidden="false" customHeight="true" outlineLevel="0" collapsed="false">
      <c r="A73" s="91"/>
      <c r="B73" s="81"/>
      <c r="C73" s="81"/>
      <c r="D73" s="173"/>
      <c r="E73" s="173"/>
      <c r="F73" s="80"/>
      <c r="G73" s="173"/>
      <c r="H73" s="81"/>
      <c r="I73" s="81"/>
      <c r="J73" s="102"/>
      <c r="K73" s="102"/>
      <c r="L73" s="102"/>
      <c r="M73" s="102"/>
      <c r="N73" s="102"/>
      <c r="O73" s="102"/>
      <c r="P73" s="81"/>
      <c r="Q73" s="81"/>
      <c r="R73" s="81"/>
      <c r="S73" s="81"/>
      <c r="T73" s="81"/>
      <c r="U73" s="81"/>
      <c r="V73" s="81"/>
      <c r="W73" s="81"/>
      <c r="X73" s="81"/>
      <c r="Y73" s="81"/>
      <c r="Z73" s="81"/>
    </row>
    <row r="74" customFormat="false" ht="12" hidden="false" customHeight="true" outlineLevel="0" collapsed="false">
      <c r="A74" s="91"/>
      <c r="B74" s="81"/>
      <c r="C74" s="81"/>
      <c r="D74" s="173"/>
      <c r="E74" s="173"/>
      <c r="F74" s="80"/>
      <c r="G74" s="173"/>
      <c r="H74" s="81"/>
      <c r="I74" s="81"/>
      <c r="J74" s="102"/>
      <c r="K74" s="102"/>
      <c r="L74" s="102"/>
      <c r="M74" s="102"/>
      <c r="N74" s="102"/>
      <c r="O74" s="102"/>
      <c r="P74" s="81"/>
      <c r="Q74" s="81"/>
      <c r="R74" s="81"/>
      <c r="S74" s="81"/>
      <c r="T74" s="81"/>
      <c r="U74" s="81"/>
      <c r="V74" s="81"/>
      <c r="W74" s="81"/>
      <c r="X74" s="81"/>
      <c r="Y74" s="81"/>
      <c r="Z74" s="81"/>
    </row>
    <row r="75" customFormat="false" ht="12" hidden="false" customHeight="true" outlineLevel="0" collapsed="false">
      <c r="A75" s="91"/>
      <c r="B75" s="81"/>
      <c r="C75" s="81"/>
      <c r="D75" s="173"/>
      <c r="E75" s="173"/>
      <c r="F75" s="80"/>
      <c r="G75" s="173"/>
      <c r="H75" s="81"/>
      <c r="I75" s="81"/>
      <c r="J75" s="102"/>
      <c r="K75" s="102"/>
      <c r="L75" s="102"/>
      <c r="M75" s="102"/>
      <c r="N75" s="102"/>
      <c r="O75" s="102"/>
      <c r="P75" s="81"/>
      <c r="Q75" s="81"/>
      <c r="R75" s="81"/>
      <c r="S75" s="81"/>
      <c r="T75" s="81"/>
      <c r="U75" s="81"/>
      <c r="V75" s="81"/>
      <c r="W75" s="81"/>
      <c r="X75" s="81"/>
      <c r="Y75" s="81"/>
      <c r="Z75" s="81"/>
    </row>
    <row r="76" customFormat="false" ht="12" hidden="false" customHeight="true" outlineLevel="0" collapsed="false">
      <c r="A76" s="91"/>
      <c r="B76" s="81"/>
      <c r="C76" s="81"/>
      <c r="D76" s="173"/>
      <c r="E76" s="173"/>
      <c r="F76" s="80"/>
      <c r="G76" s="173"/>
      <c r="H76" s="81"/>
      <c r="I76" s="81"/>
      <c r="J76" s="102"/>
      <c r="K76" s="102"/>
      <c r="L76" s="102"/>
      <c r="M76" s="102"/>
      <c r="N76" s="102"/>
      <c r="O76" s="102"/>
      <c r="P76" s="81"/>
      <c r="Q76" s="81"/>
      <c r="R76" s="81"/>
      <c r="S76" s="81"/>
      <c r="T76" s="81"/>
      <c r="U76" s="81"/>
      <c r="V76" s="81"/>
      <c r="W76" s="81"/>
      <c r="X76" s="81"/>
      <c r="Y76" s="81"/>
      <c r="Z76" s="81"/>
    </row>
    <row r="77" customFormat="false" ht="12" hidden="false" customHeight="true" outlineLevel="0" collapsed="false">
      <c r="A77" s="91"/>
      <c r="B77" s="81"/>
      <c r="C77" s="81"/>
      <c r="D77" s="173"/>
      <c r="E77" s="173"/>
      <c r="F77" s="80"/>
      <c r="G77" s="173"/>
      <c r="H77" s="81"/>
      <c r="I77" s="81"/>
      <c r="J77" s="102"/>
      <c r="K77" s="102"/>
      <c r="L77" s="102"/>
      <c r="M77" s="102"/>
      <c r="N77" s="102"/>
      <c r="O77" s="102"/>
      <c r="P77" s="81"/>
      <c r="Q77" s="81"/>
      <c r="R77" s="81"/>
      <c r="S77" s="81"/>
      <c r="T77" s="81"/>
      <c r="U77" s="81"/>
      <c r="V77" s="81"/>
      <c r="W77" s="81"/>
      <c r="X77" s="81"/>
      <c r="Y77" s="81"/>
      <c r="Z77" s="81"/>
    </row>
    <row r="78" customFormat="false" ht="12" hidden="false" customHeight="true" outlineLevel="0" collapsed="false">
      <c r="A78" s="91"/>
      <c r="B78" s="81"/>
      <c r="C78" s="81"/>
      <c r="D78" s="173"/>
      <c r="E78" s="173"/>
      <c r="F78" s="80"/>
      <c r="G78" s="173"/>
      <c r="H78" s="81"/>
      <c r="I78" s="81"/>
      <c r="J78" s="102"/>
      <c r="K78" s="102"/>
      <c r="L78" s="102"/>
      <c r="M78" s="102"/>
      <c r="N78" s="102"/>
      <c r="O78" s="102"/>
      <c r="P78" s="81"/>
      <c r="Q78" s="81"/>
      <c r="R78" s="81"/>
      <c r="S78" s="81"/>
      <c r="T78" s="81"/>
      <c r="U78" s="81"/>
      <c r="V78" s="81"/>
      <c r="W78" s="81"/>
      <c r="X78" s="81"/>
      <c r="Y78" s="81"/>
      <c r="Z78" s="81"/>
    </row>
    <row r="79" customFormat="false" ht="12" hidden="false" customHeight="true" outlineLevel="0" collapsed="false">
      <c r="A79" s="91"/>
      <c r="B79" s="81"/>
      <c r="C79" s="81"/>
      <c r="D79" s="173"/>
      <c r="E79" s="173"/>
      <c r="F79" s="80"/>
      <c r="G79" s="173"/>
      <c r="H79" s="81"/>
      <c r="I79" s="81"/>
      <c r="J79" s="102"/>
      <c r="K79" s="102"/>
      <c r="L79" s="102"/>
      <c r="M79" s="102"/>
      <c r="N79" s="102"/>
      <c r="O79" s="102"/>
      <c r="P79" s="81"/>
      <c r="Q79" s="81"/>
      <c r="R79" s="81"/>
      <c r="S79" s="81"/>
      <c r="T79" s="81"/>
      <c r="U79" s="81"/>
      <c r="V79" s="81"/>
      <c r="W79" s="81"/>
      <c r="X79" s="81"/>
      <c r="Y79" s="81"/>
      <c r="Z79" s="81"/>
    </row>
    <row r="80" customFormat="false" ht="12" hidden="false" customHeight="true" outlineLevel="0" collapsed="false">
      <c r="A80" s="91"/>
      <c r="B80" s="81"/>
      <c r="C80" s="81"/>
      <c r="D80" s="173"/>
      <c r="E80" s="173"/>
      <c r="F80" s="80"/>
      <c r="G80" s="173"/>
      <c r="H80" s="81"/>
      <c r="I80" s="81"/>
      <c r="J80" s="102"/>
      <c r="K80" s="102"/>
      <c r="L80" s="102"/>
      <c r="M80" s="102"/>
      <c r="N80" s="102"/>
      <c r="O80" s="102"/>
      <c r="P80" s="81"/>
      <c r="Q80" s="81"/>
      <c r="R80" s="81"/>
      <c r="S80" s="81"/>
      <c r="T80" s="81"/>
      <c r="U80" s="81"/>
      <c r="V80" s="81"/>
      <c r="W80" s="81"/>
      <c r="X80" s="81"/>
      <c r="Y80" s="81"/>
      <c r="Z80" s="81"/>
    </row>
    <row r="81" customFormat="false" ht="12" hidden="false" customHeight="true" outlineLevel="0" collapsed="false">
      <c r="A81" s="91"/>
      <c r="B81" s="81"/>
      <c r="C81" s="81"/>
      <c r="D81" s="173"/>
      <c r="E81" s="173"/>
      <c r="F81" s="80"/>
      <c r="G81" s="173"/>
      <c r="H81" s="81"/>
      <c r="I81" s="81"/>
      <c r="J81" s="102"/>
      <c r="K81" s="102"/>
      <c r="L81" s="102"/>
      <c r="M81" s="102"/>
      <c r="N81" s="102"/>
      <c r="O81" s="102"/>
      <c r="P81" s="81"/>
      <c r="Q81" s="81"/>
      <c r="R81" s="81"/>
      <c r="S81" s="81"/>
      <c r="T81" s="81"/>
      <c r="U81" s="81"/>
      <c r="V81" s="81"/>
      <c r="W81" s="81"/>
      <c r="X81" s="81"/>
      <c r="Y81" s="81"/>
      <c r="Z81" s="81"/>
    </row>
    <row r="82" customFormat="false" ht="12" hidden="false" customHeight="true" outlineLevel="0" collapsed="false">
      <c r="A82" s="91"/>
      <c r="B82" s="81"/>
      <c r="C82" s="81"/>
      <c r="D82" s="173"/>
      <c r="E82" s="173"/>
      <c r="F82" s="80"/>
      <c r="G82" s="173"/>
      <c r="H82" s="81"/>
      <c r="I82" s="81"/>
      <c r="J82" s="102"/>
      <c r="K82" s="102"/>
      <c r="L82" s="102"/>
      <c r="M82" s="102"/>
      <c r="N82" s="102"/>
      <c r="O82" s="102"/>
      <c r="P82" s="81"/>
      <c r="Q82" s="81"/>
      <c r="R82" s="81"/>
      <c r="S82" s="81"/>
      <c r="T82" s="81"/>
      <c r="U82" s="81"/>
      <c r="V82" s="81"/>
      <c r="W82" s="81"/>
      <c r="X82" s="81"/>
      <c r="Y82" s="81"/>
      <c r="Z82" s="81"/>
    </row>
    <row r="83" customFormat="false" ht="12" hidden="false" customHeight="true" outlineLevel="0" collapsed="false">
      <c r="A83" s="91"/>
      <c r="B83" s="81"/>
      <c r="C83" s="81"/>
      <c r="D83" s="173"/>
      <c r="E83" s="173"/>
      <c r="F83" s="80"/>
      <c r="G83" s="173"/>
      <c r="H83" s="81"/>
      <c r="I83" s="81"/>
      <c r="J83" s="102"/>
      <c r="K83" s="102"/>
      <c r="L83" s="102"/>
      <c r="M83" s="102"/>
      <c r="N83" s="102"/>
      <c r="O83" s="102"/>
      <c r="P83" s="81"/>
      <c r="Q83" s="81"/>
      <c r="R83" s="81"/>
      <c r="S83" s="81"/>
      <c r="T83" s="81"/>
      <c r="U83" s="81"/>
      <c r="V83" s="81"/>
      <c r="W83" s="81"/>
      <c r="X83" s="81"/>
      <c r="Y83" s="81"/>
      <c r="Z83" s="81"/>
    </row>
    <row r="84" customFormat="false" ht="12" hidden="false" customHeight="true" outlineLevel="0" collapsed="false">
      <c r="A84" s="91"/>
      <c r="B84" s="81"/>
      <c r="C84" s="81"/>
      <c r="D84" s="173"/>
      <c r="E84" s="173"/>
      <c r="F84" s="80"/>
      <c r="G84" s="173"/>
      <c r="H84" s="81"/>
      <c r="I84" s="81"/>
      <c r="J84" s="102"/>
      <c r="K84" s="102"/>
      <c r="L84" s="102"/>
      <c r="M84" s="102"/>
      <c r="N84" s="102"/>
      <c r="O84" s="102"/>
      <c r="P84" s="81"/>
      <c r="Q84" s="81"/>
      <c r="R84" s="81"/>
      <c r="S84" s="81"/>
      <c r="T84" s="81"/>
      <c r="U84" s="81"/>
      <c r="V84" s="81"/>
      <c r="W84" s="81"/>
      <c r="X84" s="81"/>
      <c r="Y84" s="81"/>
      <c r="Z84" s="81"/>
    </row>
    <row r="85" customFormat="false" ht="12" hidden="false" customHeight="true" outlineLevel="0" collapsed="false">
      <c r="A85" s="91"/>
      <c r="B85" s="81"/>
      <c r="C85" s="81"/>
      <c r="D85" s="173"/>
      <c r="E85" s="173"/>
      <c r="F85" s="80"/>
      <c r="G85" s="173"/>
      <c r="H85" s="81"/>
      <c r="I85" s="81"/>
      <c r="J85" s="102"/>
      <c r="K85" s="102"/>
      <c r="L85" s="102"/>
      <c r="M85" s="102"/>
      <c r="N85" s="102"/>
      <c r="O85" s="102"/>
      <c r="P85" s="81"/>
      <c r="Q85" s="81"/>
      <c r="R85" s="81"/>
      <c r="S85" s="81"/>
      <c r="T85" s="81"/>
      <c r="U85" s="81"/>
      <c r="V85" s="81"/>
      <c r="W85" s="81"/>
      <c r="X85" s="81"/>
      <c r="Y85" s="81"/>
      <c r="Z85" s="81"/>
    </row>
    <row r="86" customFormat="false" ht="12" hidden="false" customHeight="true" outlineLevel="0" collapsed="false">
      <c r="A86" s="91"/>
      <c r="B86" s="81"/>
      <c r="C86" s="81"/>
      <c r="D86" s="173"/>
      <c r="E86" s="173"/>
      <c r="F86" s="80"/>
      <c r="G86" s="173"/>
      <c r="H86" s="81"/>
      <c r="I86" s="81"/>
      <c r="J86" s="102"/>
      <c r="K86" s="102"/>
      <c r="L86" s="102"/>
      <c r="M86" s="102"/>
      <c r="N86" s="102"/>
      <c r="O86" s="102"/>
      <c r="P86" s="81"/>
      <c r="Q86" s="81"/>
      <c r="R86" s="81"/>
      <c r="S86" s="81"/>
      <c r="T86" s="81"/>
      <c r="U86" s="81"/>
      <c r="V86" s="81"/>
      <c r="W86" s="81"/>
      <c r="X86" s="81"/>
      <c r="Y86" s="81"/>
      <c r="Z86" s="81"/>
    </row>
    <row r="87" customFormat="false" ht="12" hidden="false" customHeight="true" outlineLevel="0" collapsed="false">
      <c r="A87" s="91"/>
      <c r="B87" s="81"/>
      <c r="C87" s="81"/>
      <c r="D87" s="173"/>
      <c r="E87" s="173"/>
      <c r="F87" s="80"/>
      <c r="G87" s="173"/>
      <c r="H87" s="81"/>
      <c r="I87" s="81"/>
      <c r="J87" s="102"/>
      <c r="K87" s="102"/>
      <c r="L87" s="102"/>
      <c r="M87" s="102"/>
      <c r="N87" s="102"/>
      <c r="O87" s="102"/>
      <c r="P87" s="81"/>
      <c r="Q87" s="81"/>
      <c r="R87" s="81"/>
      <c r="S87" s="81"/>
      <c r="T87" s="81"/>
      <c r="U87" s="81"/>
      <c r="V87" s="81"/>
      <c r="W87" s="81"/>
      <c r="X87" s="81"/>
      <c r="Y87" s="81"/>
      <c r="Z87" s="81"/>
    </row>
    <row r="88" customFormat="false" ht="12" hidden="false" customHeight="true" outlineLevel="0" collapsed="false">
      <c r="A88" s="91"/>
      <c r="B88" s="81"/>
      <c r="C88" s="81"/>
      <c r="D88" s="173"/>
      <c r="E88" s="173"/>
      <c r="F88" s="80"/>
      <c r="G88" s="173"/>
      <c r="H88" s="81"/>
      <c r="I88" s="81"/>
      <c r="J88" s="102"/>
      <c r="K88" s="102"/>
      <c r="L88" s="102"/>
      <c r="M88" s="102"/>
      <c r="N88" s="102"/>
      <c r="O88" s="102"/>
      <c r="P88" s="81"/>
      <c r="Q88" s="81"/>
      <c r="R88" s="81"/>
      <c r="S88" s="81"/>
      <c r="T88" s="81"/>
      <c r="U88" s="81"/>
      <c r="V88" s="81"/>
      <c r="W88" s="81"/>
      <c r="X88" s="81"/>
      <c r="Y88" s="81"/>
      <c r="Z88" s="81"/>
    </row>
    <row r="89" customFormat="false" ht="12" hidden="false" customHeight="true" outlineLevel="0" collapsed="false">
      <c r="A89" s="91"/>
      <c r="B89" s="81"/>
      <c r="C89" s="81"/>
      <c r="D89" s="173"/>
      <c r="E89" s="173"/>
      <c r="F89" s="80"/>
      <c r="G89" s="173"/>
      <c r="H89" s="81"/>
      <c r="I89" s="81"/>
      <c r="J89" s="102"/>
      <c r="K89" s="102"/>
      <c r="L89" s="102"/>
      <c r="M89" s="102"/>
      <c r="N89" s="102"/>
      <c r="O89" s="102"/>
      <c r="P89" s="81"/>
      <c r="Q89" s="81"/>
      <c r="R89" s="81"/>
      <c r="S89" s="81"/>
      <c r="T89" s="81"/>
      <c r="U89" s="81"/>
      <c r="V89" s="81"/>
      <c r="W89" s="81"/>
      <c r="X89" s="81"/>
      <c r="Y89" s="81"/>
      <c r="Z89" s="81"/>
    </row>
    <row r="90" customFormat="false" ht="12" hidden="false" customHeight="true" outlineLevel="0" collapsed="false">
      <c r="A90" s="91"/>
      <c r="B90" s="81"/>
      <c r="C90" s="81"/>
      <c r="D90" s="173"/>
      <c r="E90" s="173"/>
      <c r="F90" s="80"/>
      <c r="G90" s="173"/>
      <c r="H90" s="81"/>
      <c r="I90" s="81"/>
      <c r="J90" s="102"/>
      <c r="K90" s="102"/>
      <c r="L90" s="102"/>
      <c r="M90" s="102"/>
      <c r="N90" s="102"/>
      <c r="O90" s="102"/>
      <c r="P90" s="81"/>
      <c r="Q90" s="81"/>
      <c r="R90" s="81"/>
      <c r="S90" s="81"/>
      <c r="T90" s="81"/>
      <c r="U90" s="81"/>
      <c r="V90" s="81"/>
      <c r="W90" s="81"/>
      <c r="X90" s="81"/>
      <c r="Y90" s="81"/>
      <c r="Z90" s="81"/>
    </row>
    <row r="91" customFormat="false" ht="12" hidden="false" customHeight="true" outlineLevel="0" collapsed="false">
      <c r="A91" s="91"/>
      <c r="B91" s="81"/>
      <c r="C91" s="81"/>
      <c r="D91" s="173"/>
      <c r="E91" s="173"/>
      <c r="F91" s="80"/>
      <c r="G91" s="173"/>
      <c r="H91" s="81"/>
      <c r="I91" s="81"/>
      <c r="J91" s="102"/>
      <c r="K91" s="102"/>
      <c r="L91" s="102"/>
      <c r="M91" s="102"/>
      <c r="N91" s="102"/>
      <c r="O91" s="102"/>
      <c r="P91" s="81"/>
      <c r="Q91" s="81"/>
      <c r="R91" s="81"/>
      <c r="S91" s="81"/>
      <c r="T91" s="81"/>
      <c r="U91" s="81"/>
      <c r="V91" s="81"/>
      <c r="W91" s="81"/>
      <c r="X91" s="81"/>
      <c r="Y91" s="81"/>
      <c r="Z91" s="81"/>
    </row>
    <row r="92" customFormat="false" ht="12" hidden="false" customHeight="true" outlineLevel="0" collapsed="false">
      <c r="A92" s="91"/>
      <c r="B92" s="81"/>
      <c r="C92" s="81"/>
      <c r="D92" s="173"/>
      <c r="E92" s="173"/>
      <c r="F92" s="80"/>
      <c r="G92" s="173"/>
      <c r="H92" s="81"/>
      <c r="I92" s="81"/>
      <c r="J92" s="102"/>
      <c r="K92" s="102"/>
      <c r="L92" s="102"/>
      <c r="M92" s="102"/>
      <c r="N92" s="102"/>
      <c r="O92" s="102"/>
      <c r="P92" s="81"/>
      <c r="Q92" s="81"/>
      <c r="R92" s="81"/>
      <c r="S92" s="81"/>
      <c r="T92" s="81"/>
      <c r="U92" s="81"/>
      <c r="V92" s="81"/>
      <c r="W92" s="81"/>
      <c r="X92" s="81"/>
      <c r="Y92" s="81"/>
      <c r="Z92" s="81"/>
    </row>
    <row r="93" customFormat="false" ht="12" hidden="false" customHeight="true" outlineLevel="0" collapsed="false">
      <c r="A93" s="91"/>
      <c r="B93" s="81"/>
      <c r="C93" s="81"/>
      <c r="D93" s="173"/>
      <c r="E93" s="173"/>
      <c r="F93" s="80"/>
      <c r="G93" s="173"/>
      <c r="H93" s="81"/>
      <c r="I93" s="81"/>
      <c r="J93" s="102"/>
      <c r="K93" s="102"/>
      <c r="L93" s="102"/>
      <c r="M93" s="102"/>
      <c r="N93" s="102"/>
      <c r="O93" s="102"/>
      <c r="P93" s="81"/>
      <c r="Q93" s="81"/>
      <c r="R93" s="81"/>
      <c r="S93" s="81"/>
      <c r="T93" s="81"/>
      <c r="U93" s="81"/>
      <c r="V93" s="81"/>
      <c r="W93" s="81"/>
      <c r="X93" s="81"/>
      <c r="Y93" s="81"/>
      <c r="Z93" s="81"/>
    </row>
    <row r="94" customFormat="false" ht="12" hidden="false" customHeight="true" outlineLevel="0" collapsed="false">
      <c r="A94" s="91"/>
      <c r="B94" s="81"/>
      <c r="C94" s="81"/>
      <c r="D94" s="173"/>
      <c r="E94" s="173"/>
      <c r="F94" s="80"/>
      <c r="G94" s="173"/>
      <c r="H94" s="81"/>
      <c r="I94" s="81"/>
      <c r="J94" s="102"/>
      <c r="K94" s="102"/>
      <c r="L94" s="102"/>
      <c r="M94" s="102"/>
      <c r="N94" s="102"/>
      <c r="O94" s="102"/>
      <c r="P94" s="81"/>
      <c r="Q94" s="81"/>
      <c r="R94" s="81"/>
      <c r="S94" s="81"/>
      <c r="T94" s="81"/>
      <c r="U94" s="81"/>
      <c r="V94" s="81"/>
      <c r="W94" s="81"/>
      <c r="X94" s="81"/>
      <c r="Y94" s="81"/>
      <c r="Z94" s="81"/>
    </row>
    <row r="95" customFormat="false" ht="12" hidden="false" customHeight="true" outlineLevel="0" collapsed="false">
      <c r="A95" s="91"/>
      <c r="B95" s="81"/>
      <c r="C95" s="81"/>
      <c r="D95" s="173"/>
      <c r="E95" s="173"/>
      <c r="F95" s="80"/>
      <c r="G95" s="173"/>
      <c r="H95" s="81"/>
      <c r="I95" s="81"/>
      <c r="J95" s="102"/>
      <c r="K95" s="102"/>
      <c r="L95" s="102"/>
      <c r="M95" s="102"/>
      <c r="N95" s="102"/>
      <c r="O95" s="102"/>
      <c r="P95" s="81"/>
      <c r="Q95" s="81"/>
      <c r="R95" s="81"/>
      <c r="S95" s="81"/>
      <c r="T95" s="81"/>
      <c r="U95" s="81"/>
      <c r="V95" s="81"/>
      <c r="W95" s="81"/>
      <c r="X95" s="81"/>
      <c r="Y95" s="81"/>
      <c r="Z95" s="81"/>
    </row>
    <row r="96" customFormat="false" ht="12" hidden="false" customHeight="true" outlineLevel="0" collapsed="false">
      <c r="A96" s="91"/>
      <c r="B96" s="81"/>
      <c r="C96" s="81"/>
      <c r="D96" s="173"/>
      <c r="E96" s="173"/>
      <c r="F96" s="80"/>
      <c r="G96" s="173"/>
      <c r="H96" s="81"/>
      <c r="I96" s="81"/>
      <c r="J96" s="102"/>
      <c r="K96" s="102"/>
      <c r="L96" s="102"/>
      <c r="M96" s="102"/>
      <c r="N96" s="102"/>
      <c r="O96" s="102"/>
      <c r="P96" s="81"/>
      <c r="Q96" s="81"/>
      <c r="R96" s="81"/>
      <c r="S96" s="81"/>
      <c r="T96" s="81"/>
      <c r="U96" s="81"/>
      <c r="V96" s="81"/>
      <c r="W96" s="81"/>
      <c r="X96" s="81"/>
      <c r="Y96" s="81"/>
      <c r="Z96" s="81"/>
    </row>
    <row r="97" customFormat="false" ht="12" hidden="false" customHeight="true" outlineLevel="0" collapsed="false">
      <c r="A97" s="91"/>
      <c r="B97" s="81"/>
      <c r="C97" s="81"/>
      <c r="D97" s="173"/>
      <c r="E97" s="173"/>
      <c r="F97" s="80"/>
      <c r="G97" s="173"/>
      <c r="H97" s="81"/>
      <c r="I97" s="81"/>
      <c r="J97" s="102"/>
      <c r="K97" s="102"/>
      <c r="L97" s="102"/>
      <c r="M97" s="102"/>
      <c r="N97" s="102"/>
      <c r="O97" s="102"/>
      <c r="P97" s="81"/>
      <c r="Q97" s="81"/>
      <c r="R97" s="81"/>
      <c r="S97" s="81"/>
      <c r="T97" s="81"/>
      <c r="U97" s="81"/>
      <c r="V97" s="81"/>
      <c r="W97" s="81"/>
      <c r="X97" s="81"/>
      <c r="Y97" s="81"/>
      <c r="Z97" s="81"/>
    </row>
    <row r="98" customFormat="false" ht="12" hidden="false" customHeight="true" outlineLevel="0" collapsed="false">
      <c r="A98" s="91"/>
      <c r="B98" s="81"/>
      <c r="C98" s="81"/>
      <c r="D98" s="173"/>
      <c r="E98" s="173"/>
      <c r="F98" s="80"/>
      <c r="G98" s="173"/>
      <c r="H98" s="81"/>
      <c r="I98" s="81"/>
      <c r="J98" s="102"/>
      <c r="K98" s="102"/>
      <c r="L98" s="102"/>
      <c r="M98" s="102"/>
      <c r="N98" s="102"/>
      <c r="O98" s="102"/>
      <c r="P98" s="81"/>
      <c r="Q98" s="81"/>
      <c r="R98" s="81"/>
      <c r="S98" s="81"/>
      <c r="T98" s="81"/>
      <c r="U98" s="81"/>
      <c r="V98" s="81"/>
      <c r="W98" s="81"/>
      <c r="X98" s="81"/>
      <c r="Y98" s="81"/>
      <c r="Z98" s="81"/>
    </row>
    <row r="99" customFormat="false" ht="12" hidden="false" customHeight="true" outlineLevel="0" collapsed="false">
      <c r="A99" s="91"/>
      <c r="B99" s="81"/>
      <c r="C99" s="81"/>
      <c r="D99" s="173"/>
      <c r="E99" s="173"/>
      <c r="F99" s="80"/>
      <c r="G99" s="173"/>
      <c r="H99" s="81"/>
      <c r="I99" s="81"/>
      <c r="J99" s="102"/>
      <c r="K99" s="102"/>
      <c r="L99" s="102"/>
      <c r="M99" s="102"/>
      <c r="N99" s="102"/>
      <c r="O99" s="102"/>
      <c r="P99" s="81"/>
      <c r="Q99" s="81"/>
      <c r="R99" s="81"/>
      <c r="S99" s="81"/>
      <c r="T99" s="81"/>
      <c r="U99" s="81"/>
      <c r="V99" s="81"/>
      <c r="W99" s="81"/>
      <c r="X99" s="81"/>
      <c r="Y99" s="81"/>
      <c r="Z99" s="81"/>
    </row>
    <row r="100" customFormat="false" ht="12" hidden="false" customHeight="true" outlineLevel="0" collapsed="false">
      <c r="A100" s="91"/>
      <c r="B100" s="81"/>
      <c r="C100" s="81"/>
      <c r="D100" s="173"/>
      <c r="E100" s="173"/>
      <c r="F100" s="80"/>
      <c r="G100" s="173"/>
      <c r="H100" s="81"/>
      <c r="I100" s="81"/>
      <c r="J100" s="102"/>
      <c r="K100" s="102"/>
      <c r="L100" s="102"/>
      <c r="M100" s="102"/>
      <c r="N100" s="102"/>
      <c r="O100" s="102"/>
      <c r="P100" s="81"/>
      <c r="Q100" s="81"/>
      <c r="R100" s="81"/>
      <c r="S100" s="81"/>
      <c r="T100" s="81"/>
      <c r="U100" s="81"/>
      <c r="V100" s="81"/>
      <c r="W100" s="81"/>
      <c r="X100" s="81"/>
      <c r="Y100" s="81"/>
      <c r="Z100" s="81"/>
    </row>
    <row r="101" customFormat="false" ht="12" hidden="false" customHeight="true" outlineLevel="0" collapsed="false">
      <c r="A101" s="91"/>
      <c r="B101" s="81"/>
      <c r="C101" s="81"/>
      <c r="D101" s="173"/>
      <c r="E101" s="173"/>
      <c r="F101" s="80"/>
      <c r="G101" s="173"/>
      <c r="H101" s="81"/>
      <c r="I101" s="81"/>
      <c r="J101" s="102"/>
      <c r="K101" s="102"/>
      <c r="L101" s="102"/>
      <c r="M101" s="102"/>
      <c r="N101" s="102"/>
      <c r="O101" s="102"/>
      <c r="P101" s="81"/>
      <c r="Q101" s="81"/>
      <c r="R101" s="81"/>
      <c r="S101" s="81"/>
      <c r="T101" s="81"/>
      <c r="U101" s="81"/>
      <c r="V101" s="81"/>
      <c r="W101" s="81"/>
      <c r="X101" s="81"/>
      <c r="Y101" s="81"/>
      <c r="Z101" s="81"/>
    </row>
    <row r="102" customFormat="false" ht="12" hidden="false" customHeight="true" outlineLevel="0" collapsed="false">
      <c r="A102" s="91"/>
      <c r="B102" s="81"/>
      <c r="C102" s="81"/>
      <c r="D102" s="173"/>
      <c r="E102" s="173"/>
      <c r="F102" s="80"/>
      <c r="G102" s="173"/>
      <c r="H102" s="81"/>
      <c r="I102" s="81"/>
      <c r="J102" s="102"/>
      <c r="K102" s="102"/>
      <c r="L102" s="102"/>
      <c r="M102" s="102"/>
      <c r="N102" s="102"/>
      <c r="O102" s="102"/>
      <c r="P102" s="81"/>
      <c r="Q102" s="81"/>
      <c r="R102" s="81"/>
      <c r="S102" s="81"/>
      <c r="T102" s="81"/>
      <c r="U102" s="81"/>
      <c r="V102" s="81"/>
      <c r="W102" s="81"/>
      <c r="X102" s="81"/>
      <c r="Y102" s="81"/>
      <c r="Z102" s="81"/>
    </row>
    <row r="103" customFormat="false" ht="12" hidden="false" customHeight="true" outlineLevel="0" collapsed="false">
      <c r="A103" s="91"/>
      <c r="B103" s="81"/>
      <c r="C103" s="81"/>
      <c r="D103" s="173"/>
      <c r="E103" s="173"/>
      <c r="F103" s="80"/>
      <c r="G103" s="173"/>
      <c r="H103" s="81"/>
      <c r="I103" s="81"/>
      <c r="J103" s="102"/>
      <c r="K103" s="102"/>
      <c r="L103" s="102"/>
      <c r="M103" s="102"/>
      <c r="N103" s="102"/>
      <c r="O103" s="102"/>
      <c r="P103" s="81"/>
      <c r="Q103" s="81"/>
      <c r="R103" s="81"/>
      <c r="S103" s="81"/>
      <c r="T103" s="81"/>
      <c r="U103" s="81"/>
      <c r="V103" s="81"/>
      <c r="W103" s="81"/>
      <c r="X103" s="81"/>
      <c r="Y103" s="81"/>
      <c r="Z103" s="81"/>
    </row>
    <row r="104" customFormat="false" ht="12" hidden="false" customHeight="true" outlineLevel="0" collapsed="false">
      <c r="A104" s="91"/>
      <c r="B104" s="81"/>
      <c r="C104" s="81"/>
      <c r="D104" s="173"/>
      <c r="E104" s="173"/>
      <c r="F104" s="80"/>
      <c r="G104" s="173"/>
      <c r="H104" s="81"/>
      <c r="I104" s="81"/>
      <c r="J104" s="102"/>
      <c r="K104" s="102"/>
      <c r="L104" s="102"/>
      <c r="M104" s="102"/>
      <c r="N104" s="102"/>
      <c r="O104" s="102"/>
      <c r="P104" s="81"/>
      <c r="Q104" s="81"/>
      <c r="R104" s="81"/>
      <c r="S104" s="81"/>
      <c r="T104" s="81"/>
      <c r="U104" s="81"/>
      <c r="V104" s="81"/>
      <c r="W104" s="81"/>
      <c r="X104" s="81"/>
      <c r="Y104" s="81"/>
      <c r="Z104" s="81"/>
    </row>
    <row r="105" customFormat="false" ht="12" hidden="false" customHeight="true" outlineLevel="0" collapsed="false">
      <c r="A105" s="91"/>
      <c r="B105" s="81"/>
      <c r="C105" s="81"/>
      <c r="D105" s="173"/>
      <c r="E105" s="173"/>
      <c r="F105" s="80"/>
      <c r="G105" s="173"/>
      <c r="H105" s="81"/>
      <c r="I105" s="81"/>
      <c r="J105" s="102"/>
      <c r="K105" s="102"/>
      <c r="L105" s="102"/>
      <c r="M105" s="102"/>
      <c r="N105" s="102"/>
      <c r="O105" s="102"/>
      <c r="P105" s="81"/>
      <c r="Q105" s="81"/>
      <c r="R105" s="81"/>
      <c r="S105" s="81"/>
      <c r="T105" s="81"/>
      <c r="U105" s="81"/>
      <c r="V105" s="81"/>
      <c r="W105" s="81"/>
      <c r="X105" s="81"/>
      <c r="Y105" s="81"/>
      <c r="Z105" s="81"/>
    </row>
    <row r="106" customFormat="false" ht="12" hidden="false" customHeight="true" outlineLevel="0" collapsed="false">
      <c r="A106" s="91"/>
      <c r="B106" s="81"/>
      <c r="C106" s="81"/>
      <c r="D106" s="173"/>
      <c r="E106" s="173"/>
      <c r="F106" s="80"/>
      <c r="G106" s="173"/>
      <c r="H106" s="81"/>
      <c r="I106" s="81"/>
      <c r="J106" s="102"/>
      <c r="K106" s="102"/>
      <c r="L106" s="102"/>
      <c r="M106" s="102"/>
      <c r="N106" s="102"/>
      <c r="O106" s="102"/>
      <c r="P106" s="81"/>
      <c r="Q106" s="81"/>
      <c r="R106" s="81"/>
      <c r="S106" s="81"/>
      <c r="T106" s="81"/>
      <c r="U106" s="81"/>
      <c r="V106" s="81"/>
      <c r="W106" s="81"/>
      <c r="X106" s="81"/>
      <c r="Y106" s="81"/>
      <c r="Z106" s="81"/>
    </row>
    <row r="107" customFormat="false" ht="12" hidden="false" customHeight="true" outlineLevel="0" collapsed="false">
      <c r="A107" s="91"/>
      <c r="B107" s="81"/>
      <c r="C107" s="81"/>
      <c r="D107" s="173"/>
      <c r="E107" s="173"/>
      <c r="F107" s="80"/>
      <c r="G107" s="173"/>
      <c r="H107" s="81"/>
      <c r="I107" s="81"/>
      <c r="J107" s="102"/>
      <c r="K107" s="102"/>
      <c r="L107" s="102"/>
      <c r="M107" s="102"/>
      <c r="N107" s="102"/>
      <c r="O107" s="102"/>
      <c r="P107" s="81"/>
      <c r="Q107" s="81"/>
      <c r="R107" s="81"/>
      <c r="S107" s="81"/>
      <c r="T107" s="81"/>
      <c r="U107" s="81"/>
      <c r="V107" s="81"/>
      <c r="W107" s="81"/>
      <c r="X107" s="81"/>
      <c r="Y107" s="81"/>
      <c r="Z107" s="81"/>
    </row>
    <row r="108" customFormat="false" ht="12" hidden="false" customHeight="true" outlineLevel="0" collapsed="false">
      <c r="A108" s="91"/>
      <c r="B108" s="81"/>
      <c r="C108" s="81"/>
      <c r="D108" s="173"/>
      <c r="E108" s="173"/>
      <c r="F108" s="80"/>
      <c r="G108" s="173"/>
      <c r="H108" s="81"/>
      <c r="I108" s="81"/>
      <c r="J108" s="102"/>
      <c r="K108" s="102"/>
      <c r="L108" s="102"/>
      <c r="M108" s="102"/>
      <c r="N108" s="102"/>
      <c r="O108" s="102"/>
      <c r="P108" s="81"/>
      <c r="Q108" s="81"/>
      <c r="R108" s="81"/>
      <c r="S108" s="81"/>
      <c r="T108" s="81"/>
      <c r="U108" s="81"/>
      <c r="V108" s="81"/>
      <c r="W108" s="81"/>
      <c r="X108" s="81"/>
      <c r="Y108" s="81"/>
      <c r="Z108" s="81"/>
    </row>
    <row r="109" customFormat="false" ht="12" hidden="false" customHeight="true" outlineLevel="0" collapsed="false">
      <c r="A109" s="91"/>
      <c r="B109" s="81"/>
      <c r="C109" s="81"/>
      <c r="D109" s="173"/>
      <c r="E109" s="173"/>
      <c r="F109" s="80"/>
      <c r="G109" s="173"/>
      <c r="H109" s="81"/>
      <c r="I109" s="81"/>
      <c r="J109" s="102"/>
      <c r="K109" s="102"/>
      <c r="L109" s="102"/>
      <c r="M109" s="102"/>
      <c r="N109" s="102"/>
      <c r="O109" s="102"/>
      <c r="P109" s="81"/>
      <c r="Q109" s="81"/>
      <c r="R109" s="81"/>
      <c r="S109" s="81"/>
      <c r="T109" s="81"/>
      <c r="U109" s="81"/>
      <c r="V109" s="81"/>
      <c r="W109" s="81"/>
      <c r="X109" s="81"/>
      <c r="Y109" s="81"/>
      <c r="Z109" s="81"/>
    </row>
    <row r="110" customFormat="false" ht="12" hidden="false" customHeight="true" outlineLevel="0" collapsed="false">
      <c r="A110" s="91"/>
      <c r="B110" s="81"/>
      <c r="C110" s="81"/>
      <c r="D110" s="173"/>
      <c r="E110" s="173"/>
      <c r="F110" s="80"/>
      <c r="G110" s="173"/>
      <c r="H110" s="81"/>
      <c r="I110" s="81"/>
      <c r="J110" s="102"/>
      <c r="K110" s="102"/>
      <c r="L110" s="102"/>
      <c r="M110" s="102"/>
      <c r="N110" s="102"/>
      <c r="O110" s="102"/>
      <c r="P110" s="81"/>
      <c r="Q110" s="81"/>
      <c r="R110" s="81"/>
      <c r="S110" s="81"/>
      <c r="T110" s="81"/>
      <c r="U110" s="81"/>
      <c r="V110" s="81"/>
      <c r="W110" s="81"/>
      <c r="X110" s="81"/>
      <c r="Y110" s="81"/>
      <c r="Z110" s="81"/>
    </row>
    <row r="111" customFormat="false" ht="12" hidden="false" customHeight="true" outlineLevel="0" collapsed="false">
      <c r="A111" s="91"/>
      <c r="B111" s="81"/>
      <c r="C111" s="81"/>
      <c r="D111" s="173"/>
      <c r="E111" s="173"/>
      <c r="F111" s="80"/>
      <c r="G111" s="173"/>
      <c r="H111" s="81"/>
      <c r="I111" s="81"/>
      <c r="J111" s="102"/>
      <c r="K111" s="102"/>
      <c r="L111" s="102"/>
      <c r="M111" s="102"/>
      <c r="N111" s="102"/>
      <c r="O111" s="102"/>
      <c r="P111" s="81"/>
      <c r="Q111" s="81"/>
      <c r="R111" s="81"/>
      <c r="S111" s="81"/>
      <c r="T111" s="81"/>
      <c r="U111" s="81"/>
      <c r="V111" s="81"/>
      <c r="W111" s="81"/>
      <c r="X111" s="81"/>
      <c r="Y111" s="81"/>
      <c r="Z111" s="81"/>
    </row>
    <row r="112" customFormat="false" ht="12" hidden="false" customHeight="true" outlineLevel="0" collapsed="false">
      <c r="A112" s="91"/>
      <c r="B112" s="81"/>
      <c r="C112" s="81"/>
      <c r="D112" s="173"/>
      <c r="E112" s="173"/>
      <c r="F112" s="80"/>
      <c r="G112" s="173"/>
      <c r="H112" s="81"/>
      <c r="I112" s="81"/>
      <c r="J112" s="102"/>
      <c r="K112" s="102"/>
      <c r="L112" s="102"/>
      <c r="M112" s="102"/>
      <c r="N112" s="102"/>
      <c r="O112" s="102"/>
      <c r="P112" s="81"/>
      <c r="Q112" s="81"/>
      <c r="R112" s="81"/>
      <c r="S112" s="81"/>
      <c r="T112" s="81"/>
      <c r="U112" s="81"/>
      <c r="V112" s="81"/>
      <c r="W112" s="81"/>
      <c r="X112" s="81"/>
      <c r="Y112" s="81"/>
      <c r="Z112" s="81"/>
    </row>
    <row r="113" customFormat="false" ht="12" hidden="false" customHeight="true" outlineLevel="0" collapsed="false">
      <c r="A113" s="91"/>
      <c r="B113" s="81"/>
      <c r="C113" s="81"/>
      <c r="D113" s="173"/>
      <c r="E113" s="173"/>
      <c r="F113" s="80"/>
      <c r="G113" s="173"/>
      <c r="H113" s="81"/>
      <c r="I113" s="81"/>
      <c r="J113" s="102"/>
      <c r="K113" s="102"/>
      <c r="L113" s="102"/>
      <c r="M113" s="102"/>
      <c r="N113" s="102"/>
      <c r="O113" s="102"/>
      <c r="P113" s="81"/>
      <c r="Q113" s="81"/>
      <c r="R113" s="81"/>
      <c r="S113" s="81"/>
      <c r="T113" s="81"/>
      <c r="U113" s="81"/>
      <c r="V113" s="81"/>
      <c r="W113" s="81"/>
      <c r="X113" s="81"/>
      <c r="Y113" s="81"/>
      <c r="Z113" s="81"/>
    </row>
    <row r="114" customFormat="false" ht="12" hidden="false" customHeight="true" outlineLevel="0" collapsed="false">
      <c r="A114" s="91"/>
      <c r="B114" s="81"/>
      <c r="C114" s="81"/>
      <c r="D114" s="173"/>
      <c r="E114" s="173"/>
      <c r="F114" s="80"/>
      <c r="G114" s="173"/>
      <c r="H114" s="81"/>
      <c r="I114" s="81"/>
      <c r="J114" s="102"/>
      <c r="K114" s="102"/>
      <c r="L114" s="102"/>
      <c r="M114" s="102"/>
      <c r="N114" s="102"/>
      <c r="O114" s="102"/>
      <c r="P114" s="81"/>
      <c r="Q114" s="81"/>
      <c r="R114" s="81"/>
      <c r="S114" s="81"/>
      <c r="T114" s="81"/>
      <c r="U114" s="81"/>
      <c r="V114" s="81"/>
      <c r="W114" s="81"/>
      <c r="X114" s="81"/>
      <c r="Y114" s="81"/>
      <c r="Z114" s="81"/>
    </row>
    <row r="115" customFormat="false" ht="12" hidden="false" customHeight="true" outlineLevel="0" collapsed="false">
      <c r="A115" s="91"/>
      <c r="B115" s="81"/>
      <c r="C115" s="81"/>
      <c r="D115" s="173"/>
      <c r="E115" s="173"/>
      <c r="F115" s="80"/>
      <c r="G115" s="173"/>
      <c r="H115" s="81"/>
      <c r="I115" s="81"/>
      <c r="J115" s="102"/>
      <c r="K115" s="102"/>
      <c r="L115" s="102"/>
      <c r="M115" s="102"/>
      <c r="N115" s="102"/>
      <c r="O115" s="102"/>
      <c r="P115" s="81"/>
      <c r="Q115" s="81"/>
      <c r="R115" s="81"/>
      <c r="S115" s="81"/>
      <c r="T115" s="81"/>
      <c r="U115" s="81"/>
      <c r="V115" s="81"/>
      <c r="W115" s="81"/>
      <c r="X115" s="81"/>
      <c r="Y115" s="81"/>
      <c r="Z115" s="81"/>
    </row>
    <row r="116" customFormat="false" ht="12" hidden="false" customHeight="true" outlineLevel="0" collapsed="false">
      <c r="A116" s="91"/>
      <c r="B116" s="81"/>
      <c r="C116" s="81"/>
      <c r="D116" s="173"/>
      <c r="E116" s="173"/>
      <c r="F116" s="80"/>
      <c r="G116" s="173"/>
      <c r="H116" s="81"/>
      <c r="I116" s="81"/>
      <c r="J116" s="102"/>
      <c r="K116" s="102"/>
      <c r="L116" s="102"/>
      <c r="M116" s="102"/>
      <c r="N116" s="102"/>
      <c r="O116" s="102"/>
      <c r="P116" s="81"/>
      <c r="Q116" s="81"/>
      <c r="R116" s="81"/>
      <c r="S116" s="81"/>
      <c r="T116" s="81"/>
      <c r="U116" s="81"/>
      <c r="V116" s="81"/>
      <c r="W116" s="81"/>
      <c r="X116" s="81"/>
      <c r="Y116" s="81"/>
      <c r="Z116" s="81"/>
    </row>
    <row r="117" customFormat="false" ht="12" hidden="false" customHeight="true" outlineLevel="0" collapsed="false">
      <c r="A117" s="91"/>
      <c r="B117" s="81"/>
      <c r="C117" s="81"/>
      <c r="D117" s="173"/>
      <c r="E117" s="173"/>
      <c r="F117" s="80"/>
      <c r="G117" s="173"/>
      <c r="H117" s="81"/>
      <c r="I117" s="81"/>
      <c r="J117" s="102"/>
      <c r="K117" s="102"/>
      <c r="L117" s="102"/>
      <c r="M117" s="102"/>
      <c r="N117" s="102"/>
      <c r="O117" s="102"/>
      <c r="P117" s="81"/>
      <c r="Q117" s="81"/>
      <c r="R117" s="81"/>
      <c r="S117" s="81"/>
      <c r="T117" s="81"/>
      <c r="U117" s="81"/>
      <c r="V117" s="81"/>
      <c r="W117" s="81"/>
      <c r="X117" s="81"/>
      <c r="Y117" s="81"/>
      <c r="Z117" s="81"/>
    </row>
    <row r="118" customFormat="false" ht="12" hidden="false" customHeight="true" outlineLevel="0" collapsed="false">
      <c r="A118" s="91"/>
      <c r="B118" s="81"/>
      <c r="C118" s="81"/>
      <c r="D118" s="173"/>
      <c r="E118" s="173"/>
      <c r="F118" s="80"/>
      <c r="G118" s="173"/>
      <c r="H118" s="81"/>
      <c r="I118" s="81"/>
      <c r="J118" s="102"/>
      <c r="K118" s="102"/>
      <c r="L118" s="102"/>
      <c r="M118" s="102"/>
      <c r="N118" s="102"/>
      <c r="O118" s="102"/>
      <c r="P118" s="81"/>
      <c r="Q118" s="81"/>
      <c r="R118" s="81"/>
      <c r="S118" s="81"/>
      <c r="T118" s="81"/>
      <c r="U118" s="81"/>
      <c r="V118" s="81"/>
      <c r="W118" s="81"/>
      <c r="X118" s="81"/>
      <c r="Y118" s="81"/>
      <c r="Z118" s="81"/>
    </row>
    <row r="119" customFormat="false" ht="12" hidden="false" customHeight="true" outlineLevel="0" collapsed="false">
      <c r="A119" s="91"/>
      <c r="B119" s="81"/>
      <c r="C119" s="81"/>
      <c r="D119" s="173"/>
      <c r="E119" s="173"/>
      <c r="F119" s="80"/>
      <c r="G119" s="173"/>
      <c r="H119" s="81"/>
      <c r="I119" s="81"/>
      <c r="J119" s="102"/>
      <c r="K119" s="102"/>
      <c r="L119" s="102"/>
      <c r="M119" s="102"/>
      <c r="N119" s="102"/>
      <c r="O119" s="102"/>
      <c r="P119" s="81"/>
      <c r="Q119" s="81"/>
      <c r="R119" s="81"/>
      <c r="S119" s="81"/>
      <c r="T119" s="81"/>
      <c r="U119" s="81"/>
      <c r="V119" s="81"/>
      <c r="W119" s="81"/>
      <c r="X119" s="81"/>
      <c r="Y119" s="81"/>
      <c r="Z119" s="81"/>
    </row>
    <row r="120" customFormat="false" ht="12" hidden="false" customHeight="true" outlineLevel="0" collapsed="false">
      <c r="A120" s="91"/>
      <c r="B120" s="81"/>
      <c r="C120" s="81"/>
      <c r="D120" s="173"/>
      <c r="E120" s="173"/>
      <c r="F120" s="80"/>
      <c r="G120" s="173"/>
      <c r="H120" s="81"/>
      <c r="I120" s="81"/>
      <c r="J120" s="102"/>
      <c r="K120" s="102"/>
      <c r="L120" s="102"/>
      <c r="M120" s="102"/>
      <c r="N120" s="102"/>
      <c r="O120" s="102"/>
      <c r="P120" s="81"/>
      <c r="Q120" s="81"/>
      <c r="R120" s="81"/>
      <c r="S120" s="81"/>
      <c r="T120" s="81"/>
      <c r="U120" s="81"/>
      <c r="V120" s="81"/>
      <c r="W120" s="81"/>
      <c r="X120" s="81"/>
      <c r="Y120" s="81"/>
      <c r="Z120" s="81"/>
    </row>
    <row r="121" customFormat="false" ht="12" hidden="false" customHeight="true" outlineLevel="0" collapsed="false">
      <c r="A121" s="91"/>
      <c r="B121" s="81"/>
      <c r="C121" s="81"/>
      <c r="D121" s="173"/>
      <c r="E121" s="173"/>
      <c r="F121" s="80"/>
      <c r="G121" s="173"/>
      <c r="H121" s="81"/>
      <c r="I121" s="81"/>
      <c r="J121" s="102"/>
      <c r="K121" s="102"/>
      <c r="L121" s="102"/>
      <c r="M121" s="102"/>
      <c r="N121" s="102"/>
      <c r="O121" s="102"/>
      <c r="P121" s="81"/>
      <c r="Q121" s="81"/>
      <c r="R121" s="81"/>
      <c r="S121" s="81"/>
      <c r="T121" s="81"/>
      <c r="U121" s="81"/>
      <c r="V121" s="81"/>
      <c r="W121" s="81"/>
      <c r="X121" s="81"/>
      <c r="Y121" s="81"/>
      <c r="Z121" s="81"/>
    </row>
    <row r="122" customFormat="false" ht="12" hidden="false" customHeight="true" outlineLevel="0" collapsed="false">
      <c r="A122" s="91"/>
      <c r="B122" s="81"/>
      <c r="C122" s="81"/>
      <c r="D122" s="173"/>
      <c r="E122" s="173"/>
      <c r="F122" s="80"/>
      <c r="G122" s="173"/>
      <c r="H122" s="81"/>
      <c r="I122" s="81"/>
      <c r="J122" s="102"/>
      <c r="K122" s="102"/>
      <c r="L122" s="102"/>
      <c r="M122" s="102"/>
      <c r="N122" s="102"/>
      <c r="O122" s="102"/>
      <c r="P122" s="81"/>
      <c r="Q122" s="81"/>
      <c r="R122" s="81"/>
      <c r="S122" s="81"/>
      <c r="T122" s="81"/>
      <c r="U122" s="81"/>
      <c r="V122" s="81"/>
      <c r="W122" s="81"/>
      <c r="X122" s="81"/>
      <c r="Y122" s="81"/>
      <c r="Z122" s="81"/>
    </row>
    <row r="123" customFormat="false" ht="12" hidden="false" customHeight="true" outlineLevel="0" collapsed="false">
      <c r="A123" s="91"/>
      <c r="B123" s="81"/>
      <c r="C123" s="81"/>
      <c r="D123" s="173"/>
      <c r="E123" s="173"/>
      <c r="F123" s="80"/>
      <c r="G123" s="173"/>
      <c r="H123" s="81"/>
      <c r="I123" s="81"/>
      <c r="J123" s="102"/>
      <c r="K123" s="102"/>
      <c r="L123" s="102"/>
      <c r="M123" s="102"/>
      <c r="N123" s="102"/>
      <c r="O123" s="102"/>
      <c r="P123" s="81"/>
      <c r="Q123" s="81"/>
      <c r="R123" s="81"/>
      <c r="S123" s="81"/>
      <c r="T123" s="81"/>
      <c r="U123" s="81"/>
      <c r="V123" s="81"/>
      <c r="W123" s="81"/>
      <c r="X123" s="81"/>
      <c r="Y123" s="81"/>
      <c r="Z123" s="81"/>
    </row>
    <row r="124" customFormat="false" ht="12" hidden="false" customHeight="true" outlineLevel="0" collapsed="false">
      <c r="A124" s="91"/>
      <c r="B124" s="81"/>
      <c r="C124" s="81"/>
      <c r="D124" s="173"/>
      <c r="E124" s="173"/>
      <c r="F124" s="80"/>
      <c r="G124" s="173"/>
      <c r="H124" s="81"/>
      <c r="I124" s="81"/>
      <c r="J124" s="102"/>
      <c r="K124" s="102"/>
      <c r="L124" s="102"/>
      <c r="M124" s="102"/>
      <c r="N124" s="102"/>
      <c r="O124" s="102"/>
      <c r="P124" s="81"/>
      <c r="Q124" s="81"/>
      <c r="R124" s="81"/>
      <c r="S124" s="81"/>
      <c r="T124" s="81"/>
      <c r="U124" s="81"/>
      <c r="V124" s="81"/>
      <c r="W124" s="81"/>
      <c r="X124" s="81"/>
      <c r="Y124" s="81"/>
      <c r="Z124" s="81"/>
    </row>
    <row r="125" customFormat="false" ht="12" hidden="false" customHeight="true" outlineLevel="0" collapsed="false">
      <c r="A125" s="91"/>
      <c r="B125" s="81"/>
      <c r="C125" s="81"/>
      <c r="D125" s="173"/>
      <c r="E125" s="173"/>
      <c r="F125" s="80"/>
      <c r="G125" s="173"/>
      <c r="H125" s="81"/>
      <c r="I125" s="81"/>
      <c r="J125" s="102"/>
      <c r="K125" s="102"/>
      <c r="L125" s="102"/>
      <c r="M125" s="102"/>
      <c r="N125" s="102"/>
      <c r="O125" s="102"/>
      <c r="P125" s="81"/>
      <c r="Q125" s="81"/>
      <c r="R125" s="81"/>
      <c r="S125" s="81"/>
      <c r="T125" s="81"/>
      <c r="U125" s="81"/>
      <c r="V125" s="81"/>
      <c r="W125" s="81"/>
      <c r="X125" s="81"/>
      <c r="Y125" s="81"/>
      <c r="Z125" s="81"/>
    </row>
    <row r="126" customFormat="false" ht="12" hidden="false" customHeight="true" outlineLevel="0" collapsed="false">
      <c r="A126" s="91"/>
      <c r="B126" s="81"/>
      <c r="C126" s="81"/>
      <c r="D126" s="173"/>
      <c r="E126" s="173"/>
      <c r="F126" s="80"/>
      <c r="G126" s="173"/>
      <c r="H126" s="81"/>
      <c r="I126" s="81"/>
      <c r="J126" s="102"/>
      <c r="K126" s="102"/>
      <c r="L126" s="102"/>
      <c r="M126" s="102"/>
      <c r="N126" s="102"/>
      <c r="O126" s="102"/>
      <c r="P126" s="81"/>
      <c r="Q126" s="81"/>
      <c r="R126" s="81"/>
      <c r="S126" s="81"/>
      <c r="T126" s="81"/>
      <c r="U126" s="81"/>
      <c r="V126" s="81"/>
      <c r="W126" s="81"/>
      <c r="X126" s="81"/>
      <c r="Y126" s="81"/>
      <c r="Z126" s="81"/>
    </row>
    <row r="127" customFormat="false" ht="12" hidden="false" customHeight="true" outlineLevel="0" collapsed="false">
      <c r="A127" s="91"/>
      <c r="B127" s="81"/>
      <c r="C127" s="81"/>
      <c r="D127" s="173"/>
      <c r="E127" s="173"/>
      <c r="F127" s="80"/>
      <c r="G127" s="173"/>
      <c r="H127" s="81"/>
      <c r="I127" s="81"/>
      <c r="J127" s="102"/>
      <c r="K127" s="102"/>
      <c r="L127" s="102"/>
      <c r="M127" s="102"/>
      <c r="N127" s="102"/>
      <c r="O127" s="102"/>
      <c r="P127" s="81"/>
      <c r="Q127" s="81"/>
      <c r="R127" s="81"/>
      <c r="S127" s="81"/>
      <c r="T127" s="81"/>
      <c r="U127" s="81"/>
      <c r="V127" s="81"/>
      <c r="W127" s="81"/>
      <c r="X127" s="81"/>
      <c r="Y127" s="81"/>
      <c r="Z127" s="81"/>
    </row>
    <row r="128" customFormat="false" ht="12" hidden="false" customHeight="true" outlineLevel="0" collapsed="false">
      <c r="A128" s="91"/>
      <c r="B128" s="81"/>
      <c r="C128" s="81"/>
      <c r="D128" s="173"/>
      <c r="E128" s="173"/>
      <c r="F128" s="80"/>
      <c r="G128" s="173"/>
      <c r="H128" s="81"/>
      <c r="I128" s="81"/>
      <c r="J128" s="102"/>
      <c r="K128" s="102"/>
      <c r="L128" s="102"/>
      <c r="M128" s="102"/>
      <c r="N128" s="102"/>
      <c r="O128" s="102"/>
      <c r="P128" s="81"/>
      <c r="Q128" s="81"/>
      <c r="R128" s="81"/>
      <c r="S128" s="81"/>
      <c r="T128" s="81"/>
      <c r="U128" s="81"/>
      <c r="V128" s="81"/>
      <c r="W128" s="81"/>
      <c r="X128" s="81"/>
      <c r="Y128" s="81"/>
      <c r="Z128" s="81"/>
    </row>
    <row r="129" customFormat="false" ht="12" hidden="false" customHeight="true" outlineLevel="0" collapsed="false">
      <c r="A129" s="91"/>
      <c r="B129" s="81"/>
      <c r="C129" s="81"/>
      <c r="D129" s="173"/>
      <c r="E129" s="173"/>
      <c r="F129" s="80"/>
      <c r="G129" s="173"/>
      <c r="H129" s="81"/>
      <c r="I129" s="81"/>
      <c r="J129" s="102"/>
      <c r="K129" s="102"/>
      <c r="L129" s="102"/>
      <c r="M129" s="102"/>
      <c r="N129" s="102"/>
      <c r="O129" s="102"/>
      <c r="P129" s="81"/>
      <c r="Q129" s="81"/>
      <c r="R129" s="81"/>
      <c r="S129" s="81"/>
      <c r="T129" s="81"/>
      <c r="U129" s="81"/>
      <c r="V129" s="81"/>
      <c r="W129" s="81"/>
      <c r="X129" s="81"/>
      <c r="Y129" s="81"/>
      <c r="Z129" s="81"/>
    </row>
    <row r="130" customFormat="false" ht="12" hidden="false" customHeight="true" outlineLevel="0" collapsed="false">
      <c r="A130" s="91"/>
      <c r="B130" s="81"/>
      <c r="C130" s="81"/>
      <c r="D130" s="173"/>
      <c r="E130" s="173"/>
      <c r="F130" s="80"/>
      <c r="G130" s="173"/>
      <c r="H130" s="81"/>
      <c r="I130" s="81"/>
      <c r="J130" s="102"/>
      <c r="K130" s="102"/>
      <c r="L130" s="102"/>
      <c r="M130" s="102"/>
      <c r="N130" s="102"/>
      <c r="O130" s="102"/>
      <c r="P130" s="81"/>
      <c r="Q130" s="81"/>
      <c r="R130" s="81"/>
      <c r="S130" s="81"/>
      <c r="T130" s="81"/>
      <c r="U130" s="81"/>
      <c r="V130" s="81"/>
      <c r="W130" s="81"/>
      <c r="X130" s="81"/>
      <c r="Y130" s="81"/>
      <c r="Z130" s="81"/>
    </row>
    <row r="131" customFormat="false" ht="12" hidden="false" customHeight="true" outlineLevel="0" collapsed="false">
      <c r="A131" s="91"/>
      <c r="B131" s="81"/>
      <c r="C131" s="81"/>
      <c r="D131" s="173"/>
      <c r="E131" s="173"/>
      <c r="F131" s="80"/>
      <c r="G131" s="173"/>
      <c r="H131" s="81"/>
      <c r="I131" s="81"/>
      <c r="J131" s="102"/>
      <c r="K131" s="102"/>
      <c r="L131" s="102"/>
      <c r="M131" s="102"/>
      <c r="N131" s="102"/>
      <c r="O131" s="102"/>
      <c r="P131" s="81"/>
      <c r="Q131" s="81"/>
      <c r="R131" s="81"/>
      <c r="S131" s="81"/>
      <c r="T131" s="81"/>
      <c r="U131" s="81"/>
      <c r="V131" s="81"/>
      <c r="W131" s="81"/>
      <c r="X131" s="81"/>
      <c r="Y131" s="81"/>
      <c r="Z131" s="81"/>
    </row>
    <row r="132" customFormat="false" ht="12" hidden="false" customHeight="true" outlineLevel="0" collapsed="false">
      <c r="A132" s="91"/>
      <c r="B132" s="81"/>
      <c r="C132" s="81"/>
      <c r="D132" s="173"/>
      <c r="E132" s="173"/>
      <c r="F132" s="80"/>
      <c r="G132" s="173"/>
      <c r="H132" s="81"/>
      <c r="I132" s="81"/>
      <c r="J132" s="102"/>
      <c r="K132" s="102"/>
      <c r="L132" s="102"/>
      <c r="M132" s="102"/>
      <c r="N132" s="102"/>
      <c r="O132" s="102"/>
      <c r="P132" s="81"/>
      <c r="Q132" s="81"/>
      <c r="R132" s="81"/>
      <c r="S132" s="81"/>
      <c r="T132" s="81"/>
      <c r="U132" s="81"/>
      <c r="V132" s="81"/>
      <c r="W132" s="81"/>
      <c r="X132" s="81"/>
      <c r="Y132" s="81"/>
      <c r="Z132" s="81"/>
    </row>
    <row r="133" customFormat="false" ht="12" hidden="false" customHeight="true" outlineLevel="0" collapsed="false">
      <c r="A133" s="91"/>
      <c r="B133" s="81"/>
      <c r="C133" s="81"/>
      <c r="D133" s="173"/>
      <c r="E133" s="173"/>
      <c r="F133" s="80"/>
      <c r="G133" s="173"/>
      <c r="H133" s="81"/>
      <c r="I133" s="81"/>
      <c r="J133" s="102"/>
      <c r="K133" s="102"/>
      <c r="L133" s="102"/>
      <c r="M133" s="102"/>
      <c r="N133" s="102"/>
      <c r="O133" s="102"/>
      <c r="P133" s="81"/>
      <c r="Q133" s="81"/>
      <c r="R133" s="81"/>
      <c r="S133" s="81"/>
      <c r="T133" s="81"/>
      <c r="U133" s="81"/>
      <c r="V133" s="81"/>
      <c r="W133" s="81"/>
      <c r="X133" s="81"/>
      <c r="Y133" s="81"/>
      <c r="Z133" s="81"/>
    </row>
    <row r="134" customFormat="false" ht="12" hidden="false" customHeight="true" outlineLevel="0" collapsed="false">
      <c r="A134" s="91"/>
      <c r="B134" s="81"/>
      <c r="C134" s="81"/>
      <c r="D134" s="173"/>
      <c r="E134" s="173"/>
      <c r="F134" s="80"/>
      <c r="G134" s="173"/>
      <c r="H134" s="81"/>
      <c r="I134" s="81"/>
      <c r="J134" s="102"/>
      <c r="K134" s="102"/>
      <c r="L134" s="102"/>
      <c r="M134" s="102"/>
      <c r="N134" s="102"/>
      <c r="O134" s="102"/>
      <c r="P134" s="81"/>
      <c r="Q134" s="81"/>
      <c r="R134" s="81"/>
      <c r="S134" s="81"/>
      <c r="T134" s="81"/>
      <c r="U134" s="81"/>
      <c r="V134" s="81"/>
      <c r="W134" s="81"/>
      <c r="X134" s="81"/>
      <c r="Y134" s="81"/>
      <c r="Z134" s="81"/>
    </row>
    <row r="135" customFormat="false" ht="12" hidden="false" customHeight="true" outlineLevel="0" collapsed="false">
      <c r="A135" s="91"/>
      <c r="B135" s="81"/>
      <c r="C135" s="81"/>
      <c r="D135" s="173"/>
      <c r="E135" s="173"/>
      <c r="F135" s="80"/>
      <c r="G135" s="173"/>
      <c r="H135" s="81"/>
      <c r="I135" s="81"/>
      <c r="J135" s="102"/>
      <c r="K135" s="102"/>
      <c r="L135" s="102"/>
      <c r="M135" s="102"/>
      <c r="N135" s="102"/>
      <c r="O135" s="102"/>
      <c r="P135" s="81"/>
      <c r="Q135" s="81"/>
      <c r="R135" s="81"/>
      <c r="S135" s="81"/>
      <c r="T135" s="81"/>
      <c r="U135" s="81"/>
      <c r="V135" s="81"/>
      <c r="W135" s="81"/>
      <c r="X135" s="81"/>
      <c r="Y135" s="81"/>
      <c r="Z135" s="81"/>
    </row>
    <row r="136" customFormat="false" ht="12" hidden="false" customHeight="true" outlineLevel="0" collapsed="false">
      <c r="A136" s="91"/>
      <c r="B136" s="81"/>
      <c r="C136" s="81"/>
      <c r="D136" s="173"/>
      <c r="E136" s="173"/>
      <c r="F136" s="80"/>
      <c r="G136" s="173"/>
      <c r="H136" s="81"/>
      <c r="I136" s="81"/>
      <c r="J136" s="102"/>
      <c r="K136" s="102"/>
      <c r="L136" s="102"/>
      <c r="M136" s="102"/>
      <c r="N136" s="102"/>
      <c r="O136" s="102"/>
      <c r="P136" s="81"/>
      <c r="Q136" s="81"/>
      <c r="R136" s="81"/>
      <c r="S136" s="81"/>
      <c r="T136" s="81"/>
      <c r="U136" s="81"/>
      <c r="V136" s="81"/>
      <c r="W136" s="81"/>
      <c r="X136" s="81"/>
      <c r="Y136" s="81"/>
      <c r="Z136" s="81"/>
    </row>
    <row r="137" customFormat="false" ht="12" hidden="false" customHeight="true" outlineLevel="0" collapsed="false">
      <c r="A137" s="91"/>
      <c r="B137" s="81"/>
      <c r="C137" s="81"/>
      <c r="D137" s="173"/>
      <c r="E137" s="173"/>
      <c r="F137" s="80"/>
      <c r="G137" s="173"/>
      <c r="H137" s="81"/>
      <c r="I137" s="81"/>
      <c r="J137" s="102"/>
      <c r="K137" s="102"/>
      <c r="L137" s="102"/>
      <c r="M137" s="102"/>
      <c r="N137" s="102"/>
      <c r="O137" s="102"/>
      <c r="P137" s="81"/>
      <c r="Q137" s="81"/>
      <c r="R137" s="81"/>
      <c r="S137" s="81"/>
      <c r="T137" s="81"/>
      <c r="U137" s="81"/>
      <c r="V137" s="81"/>
      <c r="W137" s="81"/>
      <c r="X137" s="81"/>
      <c r="Y137" s="81"/>
      <c r="Z137" s="81"/>
    </row>
    <row r="138" customFormat="false" ht="12" hidden="false" customHeight="true" outlineLevel="0" collapsed="false">
      <c r="A138" s="91"/>
      <c r="B138" s="81"/>
      <c r="C138" s="81"/>
      <c r="D138" s="173"/>
      <c r="E138" s="173"/>
      <c r="F138" s="80"/>
      <c r="G138" s="173"/>
      <c r="H138" s="81"/>
      <c r="I138" s="81"/>
      <c r="J138" s="102"/>
      <c r="K138" s="102"/>
      <c r="L138" s="102"/>
      <c r="M138" s="102"/>
      <c r="N138" s="102"/>
      <c r="O138" s="102"/>
      <c r="P138" s="81"/>
      <c r="Q138" s="81"/>
      <c r="R138" s="81"/>
      <c r="S138" s="81"/>
      <c r="T138" s="81"/>
      <c r="U138" s="81"/>
      <c r="V138" s="81"/>
      <c r="W138" s="81"/>
      <c r="X138" s="81"/>
      <c r="Y138" s="81"/>
      <c r="Z138" s="81"/>
    </row>
    <row r="139" customFormat="false" ht="12" hidden="false" customHeight="true" outlineLevel="0" collapsed="false">
      <c r="A139" s="91"/>
      <c r="B139" s="81"/>
      <c r="C139" s="81"/>
      <c r="D139" s="173"/>
      <c r="E139" s="173"/>
      <c r="F139" s="80"/>
      <c r="G139" s="173"/>
      <c r="H139" s="81"/>
      <c r="I139" s="81"/>
      <c r="J139" s="102"/>
      <c r="K139" s="102"/>
      <c r="L139" s="102"/>
      <c r="M139" s="102"/>
      <c r="N139" s="102"/>
      <c r="O139" s="102"/>
      <c r="P139" s="81"/>
      <c r="Q139" s="81"/>
      <c r="R139" s="81"/>
      <c r="S139" s="81"/>
      <c r="T139" s="81"/>
      <c r="U139" s="81"/>
      <c r="V139" s="81"/>
      <c r="W139" s="81"/>
      <c r="X139" s="81"/>
      <c r="Y139" s="81"/>
      <c r="Z139" s="81"/>
    </row>
    <row r="140" customFormat="false" ht="12" hidden="false" customHeight="true" outlineLevel="0" collapsed="false">
      <c r="A140" s="91"/>
      <c r="B140" s="81"/>
      <c r="C140" s="81"/>
      <c r="D140" s="173"/>
      <c r="E140" s="173"/>
      <c r="F140" s="80"/>
      <c r="G140" s="173"/>
      <c r="H140" s="81"/>
      <c r="I140" s="81"/>
      <c r="J140" s="102"/>
      <c r="K140" s="102"/>
      <c r="L140" s="102"/>
      <c r="M140" s="102"/>
      <c r="N140" s="102"/>
      <c r="O140" s="102"/>
      <c r="P140" s="81"/>
      <c r="Q140" s="81"/>
      <c r="R140" s="81"/>
      <c r="S140" s="81"/>
      <c r="T140" s="81"/>
      <c r="U140" s="81"/>
      <c r="V140" s="81"/>
      <c r="W140" s="81"/>
      <c r="X140" s="81"/>
      <c r="Y140" s="81"/>
      <c r="Z140" s="81"/>
    </row>
    <row r="141" customFormat="false" ht="12" hidden="false" customHeight="true" outlineLevel="0" collapsed="false">
      <c r="A141" s="91"/>
      <c r="B141" s="81"/>
      <c r="C141" s="81"/>
      <c r="D141" s="173"/>
      <c r="E141" s="173"/>
      <c r="F141" s="80"/>
      <c r="G141" s="173"/>
      <c r="H141" s="81"/>
      <c r="I141" s="81"/>
      <c r="J141" s="102"/>
      <c r="K141" s="102"/>
      <c r="L141" s="102"/>
      <c r="M141" s="102"/>
      <c r="N141" s="102"/>
      <c r="O141" s="102"/>
      <c r="P141" s="81"/>
      <c r="Q141" s="81"/>
      <c r="R141" s="81"/>
      <c r="S141" s="81"/>
      <c r="T141" s="81"/>
      <c r="U141" s="81"/>
      <c r="V141" s="81"/>
      <c r="W141" s="81"/>
      <c r="X141" s="81"/>
      <c r="Y141" s="81"/>
      <c r="Z141" s="81"/>
    </row>
    <row r="142" customFormat="false" ht="12" hidden="false" customHeight="true" outlineLevel="0" collapsed="false">
      <c r="A142" s="91"/>
      <c r="B142" s="81"/>
      <c r="C142" s="81"/>
      <c r="D142" s="173"/>
      <c r="E142" s="173"/>
      <c r="F142" s="80"/>
      <c r="G142" s="173"/>
      <c r="H142" s="81"/>
      <c r="I142" s="81"/>
      <c r="J142" s="102"/>
      <c r="K142" s="102"/>
      <c r="L142" s="102"/>
      <c r="M142" s="102"/>
      <c r="N142" s="102"/>
      <c r="O142" s="102"/>
      <c r="P142" s="81"/>
      <c r="Q142" s="81"/>
      <c r="R142" s="81"/>
      <c r="S142" s="81"/>
      <c r="T142" s="81"/>
      <c r="U142" s="81"/>
      <c r="V142" s="81"/>
      <c r="W142" s="81"/>
      <c r="X142" s="81"/>
      <c r="Y142" s="81"/>
      <c r="Z142" s="81"/>
    </row>
    <row r="143" customFormat="false" ht="12" hidden="false" customHeight="true" outlineLevel="0" collapsed="false">
      <c r="A143" s="91"/>
      <c r="B143" s="81"/>
      <c r="C143" s="81"/>
      <c r="D143" s="173"/>
      <c r="E143" s="173"/>
      <c r="F143" s="80"/>
      <c r="G143" s="173"/>
      <c r="H143" s="81"/>
      <c r="I143" s="81"/>
      <c r="J143" s="102"/>
      <c r="K143" s="102"/>
      <c r="L143" s="102"/>
      <c r="M143" s="102"/>
      <c r="N143" s="102"/>
      <c r="O143" s="102"/>
      <c r="P143" s="81"/>
      <c r="Q143" s="81"/>
      <c r="R143" s="81"/>
      <c r="S143" s="81"/>
      <c r="T143" s="81"/>
      <c r="U143" s="81"/>
      <c r="V143" s="81"/>
      <c r="W143" s="81"/>
      <c r="X143" s="81"/>
      <c r="Y143" s="81"/>
      <c r="Z143" s="81"/>
    </row>
    <row r="144" customFormat="false" ht="12" hidden="false" customHeight="true" outlineLevel="0" collapsed="false">
      <c r="A144" s="91"/>
      <c r="B144" s="81"/>
      <c r="C144" s="81"/>
      <c r="D144" s="173"/>
      <c r="E144" s="173"/>
      <c r="F144" s="80"/>
      <c r="G144" s="173"/>
      <c r="H144" s="81"/>
      <c r="I144" s="81"/>
      <c r="J144" s="102"/>
      <c r="K144" s="102"/>
      <c r="L144" s="102"/>
      <c r="M144" s="102"/>
      <c r="N144" s="102"/>
      <c r="O144" s="102"/>
      <c r="P144" s="81"/>
      <c r="Q144" s="81"/>
      <c r="R144" s="81"/>
      <c r="S144" s="81"/>
      <c r="T144" s="81"/>
      <c r="U144" s="81"/>
      <c r="V144" s="81"/>
      <c r="W144" s="81"/>
      <c r="X144" s="81"/>
      <c r="Y144" s="81"/>
      <c r="Z144" s="81"/>
    </row>
    <row r="145" customFormat="false" ht="12" hidden="false" customHeight="true" outlineLevel="0" collapsed="false">
      <c r="A145" s="91"/>
      <c r="B145" s="81"/>
      <c r="C145" s="81"/>
      <c r="D145" s="173"/>
      <c r="E145" s="173"/>
      <c r="F145" s="80"/>
      <c r="G145" s="173"/>
      <c r="H145" s="81"/>
      <c r="I145" s="81"/>
      <c r="J145" s="102"/>
      <c r="K145" s="102"/>
      <c r="L145" s="102"/>
      <c r="M145" s="102"/>
      <c r="N145" s="102"/>
      <c r="O145" s="102"/>
      <c r="P145" s="81"/>
      <c r="Q145" s="81"/>
      <c r="R145" s="81"/>
      <c r="S145" s="81"/>
      <c r="T145" s="81"/>
      <c r="U145" s="81"/>
      <c r="V145" s="81"/>
      <c r="W145" s="81"/>
      <c r="X145" s="81"/>
      <c r="Y145" s="81"/>
      <c r="Z145" s="81"/>
    </row>
    <row r="146" customFormat="false" ht="12" hidden="false" customHeight="true" outlineLevel="0" collapsed="false">
      <c r="A146" s="91"/>
      <c r="B146" s="81"/>
      <c r="C146" s="81"/>
      <c r="D146" s="173"/>
      <c r="E146" s="173"/>
      <c r="F146" s="80"/>
      <c r="G146" s="173"/>
      <c r="H146" s="81"/>
      <c r="I146" s="81"/>
      <c r="J146" s="102"/>
      <c r="K146" s="102"/>
      <c r="L146" s="102"/>
      <c r="M146" s="102"/>
      <c r="N146" s="102"/>
      <c r="O146" s="102"/>
      <c r="P146" s="81"/>
      <c r="Q146" s="81"/>
      <c r="R146" s="81"/>
      <c r="S146" s="81"/>
      <c r="T146" s="81"/>
      <c r="U146" s="81"/>
      <c r="V146" s="81"/>
      <c r="W146" s="81"/>
      <c r="X146" s="81"/>
      <c r="Y146" s="81"/>
      <c r="Z146" s="81"/>
    </row>
    <row r="147" customFormat="false" ht="12" hidden="false" customHeight="true" outlineLevel="0" collapsed="false">
      <c r="A147" s="91"/>
      <c r="B147" s="81"/>
      <c r="C147" s="81"/>
      <c r="D147" s="173"/>
      <c r="E147" s="173"/>
      <c r="F147" s="80"/>
      <c r="G147" s="173"/>
      <c r="H147" s="81"/>
      <c r="I147" s="81"/>
      <c r="J147" s="102"/>
      <c r="K147" s="102"/>
      <c r="L147" s="102"/>
      <c r="M147" s="102"/>
      <c r="N147" s="102"/>
      <c r="O147" s="102"/>
      <c r="P147" s="81"/>
      <c r="Q147" s="81"/>
      <c r="R147" s="81"/>
      <c r="S147" s="81"/>
      <c r="T147" s="81"/>
      <c r="U147" s="81"/>
      <c r="V147" s="81"/>
      <c r="W147" s="81"/>
      <c r="X147" s="81"/>
      <c r="Y147" s="81"/>
      <c r="Z147" s="81"/>
    </row>
    <row r="148" customFormat="false" ht="12" hidden="false" customHeight="true" outlineLevel="0" collapsed="false">
      <c r="A148" s="91"/>
      <c r="B148" s="81"/>
      <c r="C148" s="81"/>
      <c r="D148" s="173"/>
      <c r="E148" s="173"/>
      <c r="F148" s="80"/>
      <c r="G148" s="173"/>
      <c r="H148" s="81"/>
      <c r="I148" s="81"/>
      <c r="J148" s="102"/>
      <c r="K148" s="102"/>
      <c r="L148" s="102"/>
      <c r="M148" s="102"/>
      <c r="N148" s="102"/>
      <c r="O148" s="102"/>
      <c r="P148" s="81"/>
      <c r="Q148" s="81"/>
      <c r="R148" s="81"/>
      <c r="S148" s="81"/>
      <c r="T148" s="81"/>
      <c r="U148" s="81"/>
      <c r="V148" s="81"/>
      <c r="W148" s="81"/>
      <c r="X148" s="81"/>
      <c r="Y148" s="81"/>
      <c r="Z148" s="81"/>
    </row>
    <row r="149" customFormat="false" ht="12" hidden="false" customHeight="true" outlineLevel="0" collapsed="false">
      <c r="A149" s="91"/>
      <c r="B149" s="81"/>
      <c r="C149" s="81"/>
      <c r="D149" s="173"/>
      <c r="E149" s="173"/>
      <c r="F149" s="80"/>
      <c r="G149" s="173"/>
      <c r="H149" s="81"/>
      <c r="I149" s="81"/>
      <c r="J149" s="102"/>
      <c r="K149" s="102"/>
      <c r="L149" s="102"/>
      <c r="M149" s="102"/>
      <c r="N149" s="102"/>
      <c r="O149" s="102"/>
      <c r="P149" s="81"/>
      <c r="Q149" s="81"/>
      <c r="R149" s="81"/>
      <c r="S149" s="81"/>
      <c r="T149" s="81"/>
      <c r="U149" s="81"/>
      <c r="V149" s="81"/>
      <c r="W149" s="81"/>
      <c r="X149" s="81"/>
      <c r="Y149" s="81"/>
      <c r="Z149" s="81"/>
    </row>
    <row r="150" customFormat="false" ht="12" hidden="false" customHeight="true" outlineLevel="0" collapsed="false">
      <c r="A150" s="91"/>
      <c r="B150" s="81"/>
      <c r="C150" s="81"/>
      <c r="D150" s="173"/>
      <c r="E150" s="173"/>
      <c r="F150" s="80"/>
      <c r="G150" s="173"/>
      <c r="H150" s="81"/>
      <c r="I150" s="81"/>
      <c r="J150" s="102"/>
      <c r="K150" s="102"/>
      <c r="L150" s="102"/>
      <c r="M150" s="102"/>
      <c r="N150" s="102"/>
      <c r="O150" s="102"/>
      <c r="P150" s="81"/>
      <c r="Q150" s="81"/>
      <c r="R150" s="81"/>
      <c r="S150" s="81"/>
      <c r="T150" s="81"/>
      <c r="U150" s="81"/>
      <c r="V150" s="81"/>
      <c r="W150" s="81"/>
      <c r="X150" s="81"/>
      <c r="Y150" s="81"/>
      <c r="Z150" s="81"/>
    </row>
    <row r="151" customFormat="false" ht="12" hidden="false" customHeight="true" outlineLevel="0" collapsed="false">
      <c r="A151" s="91"/>
      <c r="B151" s="81"/>
      <c r="C151" s="81"/>
      <c r="D151" s="173"/>
      <c r="E151" s="173"/>
      <c r="F151" s="80"/>
      <c r="G151" s="173"/>
      <c r="H151" s="81"/>
      <c r="I151" s="81"/>
      <c r="J151" s="102"/>
      <c r="K151" s="102"/>
      <c r="L151" s="102"/>
      <c r="M151" s="102"/>
      <c r="N151" s="102"/>
      <c r="O151" s="102"/>
      <c r="P151" s="81"/>
      <c r="Q151" s="81"/>
      <c r="R151" s="81"/>
      <c r="S151" s="81"/>
      <c r="T151" s="81"/>
      <c r="U151" s="81"/>
      <c r="V151" s="81"/>
      <c r="W151" s="81"/>
      <c r="X151" s="81"/>
      <c r="Y151" s="81"/>
      <c r="Z151" s="81"/>
    </row>
    <row r="152" customFormat="false" ht="12" hidden="false" customHeight="true" outlineLevel="0" collapsed="false">
      <c r="A152" s="91"/>
      <c r="B152" s="81"/>
      <c r="C152" s="81"/>
      <c r="D152" s="173"/>
      <c r="E152" s="173"/>
      <c r="F152" s="80"/>
      <c r="G152" s="173"/>
      <c r="H152" s="81"/>
      <c r="I152" s="81"/>
      <c r="J152" s="102"/>
      <c r="K152" s="102"/>
      <c r="L152" s="102"/>
      <c r="M152" s="102"/>
      <c r="N152" s="102"/>
      <c r="O152" s="102"/>
      <c r="P152" s="81"/>
      <c r="Q152" s="81"/>
      <c r="R152" s="81"/>
      <c r="S152" s="81"/>
      <c r="T152" s="81"/>
      <c r="U152" s="81"/>
      <c r="V152" s="81"/>
      <c r="W152" s="81"/>
      <c r="X152" s="81"/>
      <c r="Y152" s="81"/>
      <c r="Z152" s="81"/>
    </row>
    <row r="153" customFormat="false" ht="12" hidden="false" customHeight="true" outlineLevel="0" collapsed="false">
      <c r="A153" s="91"/>
      <c r="B153" s="81"/>
      <c r="C153" s="81"/>
      <c r="D153" s="173"/>
      <c r="E153" s="173"/>
      <c r="F153" s="80"/>
      <c r="G153" s="173"/>
      <c r="H153" s="81"/>
      <c r="I153" s="81"/>
      <c r="J153" s="102"/>
      <c r="K153" s="102"/>
      <c r="L153" s="102"/>
      <c r="M153" s="102"/>
      <c r="N153" s="102"/>
      <c r="O153" s="102"/>
      <c r="P153" s="81"/>
      <c r="Q153" s="81"/>
      <c r="R153" s="81"/>
      <c r="S153" s="81"/>
      <c r="T153" s="81"/>
      <c r="U153" s="81"/>
      <c r="V153" s="81"/>
      <c r="W153" s="81"/>
      <c r="X153" s="81"/>
      <c r="Y153" s="81"/>
      <c r="Z153" s="81"/>
    </row>
    <row r="154" customFormat="false" ht="12" hidden="false" customHeight="true" outlineLevel="0" collapsed="false">
      <c r="A154" s="91"/>
      <c r="B154" s="81"/>
      <c r="C154" s="81"/>
      <c r="D154" s="173"/>
      <c r="E154" s="173"/>
      <c r="F154" s="80"/>
      <c r="G154" s="173"/>
      <c r="H154" s="81"/>
      <c r="I154" s="81"/>
      <c r="J154" s="102"/>
      <c r="K154" s="102"/>
      <c r="L154" s="102"/>
      <c r="M154" s="102"/>
      <c r="N154" s="102"/>
      <c r="O154" s="102"/>
      <c r="P154" s="81"/>
      <c r="Q154" s="81"/>
      <c r="R154" s="81"/>
      <c r="S154" s="81"/>
      <c r="T154" s="81"/>
      <c r="U154" s="81"/>
      <c r="V154" s="81"/>
      <c r="W154" s="81"/>
      <c r="X154" s="81"/>
      <c r="Y154" s="81"/>
      <c r="Z154" s="81"/>
    </row>
    <row r="155" customFormat="false" ht="12" hidden="false" customHeight="true" outlineLevel="0" collapsed="false">
      <c r="A155" s="91"/>
      <c r="B155" s="81"/>
      <c r="C155" s="81"/>
      <c r="D155" s="173"/>
      <c r="E155" s="173"/>
      <c r="F155" s="80"/>
      <c r="G155" s="173"/>
      <c r="H155" s="81"/>
      <c r="I155" s="81"/>
      <c r="J155" s="102"/>
      <c r="K155" s="102"/>
      <c r="L155" s="102"/>
      <c r="M155" s="102"/>
      <c r="N155" s="102"/>
      <c r="O155" s="102"/>
      <c r="P155" s="81"/>
      <c r="Q155" s="81"/>
      <c r="R155" s="81"/>
      <c r="S155" s="81"/>
      <c r="T155" s="81"/>
      <c r="U155" s="81"/>
      <c r="V155" s="81"/>
      <c r="W155" s="81"/>
      <c r="X155" s="81"/>
      <c r="Y155" s="81"/>
      <c r="Z155" s="81"/>
    </row>
    <row r="156" customFormat="false" ht="12" hidden="false" customHeight="true" outlineLevel="0" collapsed="false">
      <c r="A156" s="91"/>
      <c r="B156" s="81"/>
      <c r="C156" s="81"/>
      <c r="D156" s="173"/>
      <c r="E156" s="173"/>
      <c r="F156" s="80"/>
      <c r="G156" s="173"/>
      <c r="H156" s="81"/>
      <c r="I156" s="81"/>
      <c r="J156" s="102"/>
      <c r="K156" s="102"/>
      <c r="L156" s="102"/>
      <c r="M156" s="102"/>
      <c r="N156" s="102"/>
      <c r="O156" s="102"/>
      <c r="P156" s="81"/>
      <c r="Q156" s="81"/>
      <c r="R156" s="81"/>
      <c r="S156" s="81"/>
      <c r="T156" s="81"/>
      <c r="U156" s="81"/>
      <c r="V156" s="81"/>
      <c r="W156" s="81"/>
      <c r="X156" s="81"/>
      <c r="Y156" s="81"/>
      <c r="Z156" s="81"/>
    </row>
    <row r="157" customFormat="false" ht="12" hidden="false" customHeight="true" outlineLevel="0" collapsed="false">
      <c r="A157" s="91"/>
      <c r="B157" s="81"/>
      <c r="C157" s="81"/>
      <c r="D157" s="173"/>
      <c r="E157" s="173"/>
      <c r="F157" s="80"/>
      <c r="G157" s="173"/>
      <c r="H157" s="81"/>
      <c r="I157" s="81"/>
      <c r="J157" s="102"/>
      <c r="K157" s="102"/>
      <c r="L157" s="102"/>
      <c r="M157" s="102"/>
      <c r="N157" s="102"/>
      <c r="O157" s="102"/>
      <c r="P157" s="81"/>
      <c r="Q157" s="81"/>
      <c r="R157" s="81"/>
      <c r="S157" s="81"/>
      <c r="T157" s="81"/>
      <c r="U157" s="81"/>
      <c r="V157" s="81"/>
      <c r="W157" s="81"/>
      <c r="X157" s="81"/>
      <c r="Y157" s="81"/>
      <c r="Z157" s="81"/>
    </row>
    <row r="158" customFormat="false" ht="12" hidden="false" customHeight="true" outlineLevel="0" collapsed="false">
      <c r="A158" s="91"/>
      <c r="B158" s="81"/>
      <c r="C158" s="81"/>
      <c r="D158" s="173"/>
      <c r="E158" s="173"/>
      <c r="F158" s="80"/>
      <c r="G158" s="173"/>
      <c r="H158" s="81"/>
      <c r="I158" s="81"/>
      <c r="J158" s="102"/>
      <c r="K158" s="102"/>
      <c r="L158" s="102"/>
      <c r="M158" s="102"/>
      <c r="N158" s="102"/>
      <c r="O158" s="102"/>
      <c r="P158" s="81"/>
      <c r="Q158" s="81"/>
      <c r="R158" s="81"/>
      <c r="S158" s="81"/>
      <c r="T158" s="81"/>
      <c r="U158" s="81"/>
      <c r="V158" s="81"/>
      <c r="W158" s="81"/>
      <c r="X158" s="81"/>
      <c r="Y158" s="81"/>
      <c r="Z158" s="81"/>
    </row>
    <row r="159" customFormat="false" ht="12" hidden="false" customHeight="true" outlineLevel="0" collapsed="false">
      <c r="A159" s="91"/>
      <c r="B159" s="81"/>
      <c r="C159" s="81"/>
      <c r="D159" s="173"/>
      <c r="E159" s="173"/>
      <c r="F159" s="80"/>
      <c r="G159" s="173"/>
      <c r="H159" s="81"/>
      <c r="I159" s="81"/>
      <c r="J159" s="102"/>
      <c r="K159" s="102"/>
      <c r="L159" s="102"/>
      <c r="M159" s="102"/>
      <c r="N159" s="102"/>
      <c r="O159" s="102"/>
      <c r="P159" s="81"/>
      <c r="Q159" s="81"/>
      <c r="R159" s="81"/>
      <c r="S159" s="81"/>
      <c r="T159" s="81"/>
      <c r="U159" s="81"/>
      <c r="V159" s="81"/>
      <c r="W159" s="81"/>
      <c r="X159" s="81"/>
      <c r="Y159" s="81"/>
      <c r="Z159" s="81"/>
    </row>
    <row r="160" customFormat="false" ht="12" hidden="false" customHeight="true" outlineLevel="0" collapsed="false">
      <c r="A160" s="91"/>
      <c r="B160" s="81"/>
      <c r="C160" s="81"/>
      <c r="D160" s="173"/>
      <c r="E160" s="173"/>
      <c r="F160" s="80"/>
      <c r="G160" s="173"/>
      <c r="H160" s="81"/>
      <c r="I160" s="81"/>
      <c r="J160" s="102"/>
      <c r="K160" s="102"/>
      <c r="L160" s="102"/>
      <c r="M160" s="102"/>
      <c r="N160" s="102"/>
      <c r="O160" s="102"/>
      <c r="P160" s="81"/>
      <c r="Q160" s="81"/>
      <c r="R160" s="81"/>
      <c r="S160" s="81"/>
      <c r="T160" s="81"/>
      <c r="U160" s="81"/>
      <c r="V160" s="81"/>
      <c r="W160" s="81"/>
      <c r="X160" s="81"/>
      <c r="Y160" s="81"/>
      <c r="Z160" s="81"/>
    </row>
    <row r="161" customFormat="false" ht="12" hidden="false" customHeight="true" outlineLevel="0" collapsed="false">
      <c r="A161" s="91"/>
      <c r="B161" s="81"/>
      <c r="C161" s="81"/>
      <c r="D161" s="173"/>
      <c r="E161" s="173"/>
      <c r="F161" s="80"/>
      <c r="G161" s="173"/>
      <c r="H161" s="81"/>
      <c r="I161" s="81"/>
      <c r="J161" s="102"/>
      <c r="K161" s="102"/>
      <c r="L161" s="102"/>
      <c r="M161" s="102"/>
      <c r="N161" s="102"/>
      <c r="O161" s="102"/>
      <c r="P161" s="81"/>
      <c r="Q161" s="81"/>
      <c r="R161" s="81"/>
      <c r="S161" s="81"/>
      <c r="T161" s="81"/>
      <c r="U161" s="81"/>
      <c r="V161" s="81"/>
      <c r="W161" s="81"/>
      <c r="X161" s="81"/>
      <c r="Y161" s="81"/>
      <c r="Z161" s="81"/>
    </row>
    <row r="162" customFormat="false" ht="12" hidden="false" customHeight="true" outlineLevel="0" collapsed="false">
      <c r="A162" s="91"/>
      <c r="B162" s="81"/>
      <c r="C162" s="81"/>
      <c r="D162" s="173"/>
      <c r="E162" s="173"/>
      <c r="F162" s="80"/>
      <c r="G162" s="173"/>
      <c r="H162" s="81"/>
      <c r="I162" s="81"/>
      <c r="J162" s="102"/>
      <c r="K162" s="102"/>
      <c r="L162" s="102"/>
      <c r="M162" s="102"/>
      <c r="N162" s="102"/>
      <c r="O162" s="102"/>
      <c r="P162" s="81"/>
      <c r="Q162" s="81"/>
      <c r="R162" s="81"/>
      <c r="S162" s="81"/>
      <c r="T162" s="81"/>
      <c r="U162" s="81"/>
      <c r="V162" s="81"/>
      <c r="W162" s="81"/>
      <c r="X162" s="81"/>
      <c r="Y162" s="81"/>
      <c r="Z162" s="81"/>
    </row>
    <row r="163" customFormat="false" ht="12" hidden="false" customHeight="true" outlineLevel="0" collapsed="false">
      <c r="A163" s="91"/>
      <c r="B163" s="81"/>
      <c r="C163" s="81"/>
      <c r="D163" s="173"/>
      <c r="E163" s="173"/>
      <c r="F163" s="80"/>
      <c r="G163" s="173"/>
      <c r="H163" s="81"/>
      <c r="I163" s="81"/>
      <c r="J163" s="102"/>
      <c r="K163" s="102"/>
      <c r="L163" s="102"/>
      <c r="M163" s="102"/>
      <c r="N163" s="102"/>
      <c r="O163" s="102"/>
      <c r="P163" s="81"/>
      <c r="Q163" s="81"/>
      <c r="R163" s="81"/>
      <c r="S163" s="81"/>
      <c r="T163" s="81"/>
      <c r="U163" s="81"/>
      <c r="V163" s="81"/>
      <c r="W163" s="81"/>
      <c r="X163" s="81"/>
      <c r="Y163" s="81"/>
      <c r="Z163" s="81"/>
    </row>
    <row r="164" customFormat="false" ht="12" hidden="false" customHeight="true" outlineLevel="0" collapsed="false">
      <c r="A164" s="91"/>
      <c r="B164" s="81"/>
      <c r="C164" s="81"/>
      <c r="D164" s="173"/>
      <c r="E164" s="173"/>
      <c r="F164" s="80"/>
      <c r="G164" s="173"/>
      <c r="H164" s="81"/>
      <c r="I164" s="81"/>
      <c r="J164" s="102"/>
      <c r="K164" s="102"/>
      <c r="L164" s="102"/>
      <c r="M164" s="102"/>
      <c r="N164" s="102"/>
      <c r="O164" s="102"/>
      <c r="P164" s="81"/>
      <c r="Q164" s="81"/>
      <c r="R164" s="81"/>
      <c r="S164" s="81"/>
      <c r="T164" s="81"/>
      <c r="U164" s="81"/>
      <c r="V164" s="81"/>
      <c r="W164" s="81"/>
      <c r="X164" s="81"/>
      <c r="Y164" s="81"/>
      <c r="Z164" s="81"/>
    </row>
    <row r="165" customFormat="false" ht="12" hidden="false" customHeight="true" outlineLevel="0" collapsed="false">
      <c r="A165" s="91"/>
      <c r="B165" s="81"/>
      <c r="C165" s="81"/>
      <c r="D165" s="173"/>
      <c r="E165" s="173"/>
      <c r="F165" s="80"/>
      <c r="G165" s="173"/>
      <c r="H165" s="81"/>
      <c r="I165" s="81"/>
      <c r="J165" s="102"/>
      <c r="K165" s="102"/>
      <c r="L165" s="102"/>
      <c r="M165" s="102"/>
      <c r="N165" s="102"/>
      <c r="O165" s="102"/>
      <c r="P165" s="81"/>
      <c r="Q165" s="81"/>
      <c r="R165" s="81"/>
      <c r="S165" s="81"/>
      <c r="T165" s="81"/>
      <c r="U165" s="81"/>
      <c r="V165" s="81"/>
      <c r="W165" s="81"/>
      <c r="X165" s="81"/>
      <c r="Y165" s="81"/>
      <c r="Z165" s="81"/>
    </row>
    <row r="166" customFormat="false" ht="12" hidden="false" customHeight="true" outlineLevel="0" collapsed="false">
      <c r="A166" s="91"/>
      <c r="B166" s="81"/>
      <c r="C166" s="81"/>
      <c r="D166" s="173"/>
      <c r="E166" s="173"/>
      <c r="F166" s="80"/>
      <c r="G166" s="173"/>
      <c r="H166" s="81"/>
      <c r="I166" s="81"/>
      <c r="J166" s="102"/>
      <c r="K166" s="102"/>
      <c r="L166" s="102"/>
      <c r="M166" s="102"/>
      <c r="N166" s="102"/>
      <c r="O166" s="102"/>
      <c r="P166" s="81"/>
      <c r="Q166" s="81"/>
      <c r="R166" s="81"/>
      <c r="S166" s="81"/>
      <c r="T166" s="81"/>
      <c r="U166" s="81"/>
      <c r="V166" s="81"/>
      <c r="W166" s="81"/>
      <c r="X166" s="81"/>
      <c r="Y166" s="81"/>
      <c r="Z166" s="81"/>
    </row>
    <row r="167" customFormat="false" ht="12" hidden="false" customHeight="true" outlineLevel="0" collapsed="false">
      <c r="A167" s="91"/>
      <c r="B167" s="81"/>
      <c r="C167" s="81"/>
      <c r="D167" s="173"/>
      <c r="E167" s="173"/>
      <c r="F167" s="80"/>
      <c r="G167" s="173"/>
      <c r="H167" s="81"/>
      <c r="I167" s="81"/>
      <c r="J167" s="102"/>
      <c r="K167" s="102"/>
      <c r="L167" s="102"/>
      <c r="M167" s="102"/>
      <c r="N167" s="102"/>
      <c r="O167" s="102"/>
      <c r="P167" s="81"/>
      <c r="Q167" s="81"/>
      <c r="R167" s="81"/>
      <c r="S167" s="81"/>
      <c r="T167" s="81"/>
      <c r="U167" s="81"/>
      <c r="V167" s="81"/>
      <c r="W167" s="81"/>
      <c r="X167" s="81"/>
      <c r="Y167" s="81"/>
      <c r="Z167" s="81"/>
    </row>
    <row r="168" customFormat="false" ht="12" hidden="false" customHeight="true" outlineLevel="0" collapsed="false">
      <c r="A168" s="91"/>
      <c r="B168" s="81"/>
      <c r="C168" s="81"/>
      <c r="D168" s="173"/>
      <c r="E168" s="173"/>
      <c r="F168" s="80"/>
      <c r="G168" s="173"/>
      <c r="H168" s="81"/>
      <c r="I168" s="81"/>
      <c r="J168" s="102"/>
      <c r="K168" s="102"/>
      <c r="L168" s="102"/>
      <c r="M168" s="102"/>
      <c r="N168" s="102"/>
      <c r="O168" s="102"/>
      <c r="P168" s="81"/>
      <c r="Q168" s="81"/>
      <c r="R168" s="81"/>
      <c r="S168" s="81"/>
      <c r="T168" s="81"/>
      <c r="U168" s="81"/>
      <c r="V168" s="81"/>
      <c r="W168" s="81"/>
      <c r="X168" s="81"/>
      <c r="Y168" s="81"/>
      <c r="Z168" s="81"/>
    </row>
    <row r="169" customFormat="false" ht="12" hidden="false" customHeight="true" outlineLevel="0" collapsed="false">
      <c r="A169" s="91"/>
      <c r="B169" s="81"/>
      <c r="C169" s="81"/>
      <c r="D169" s="173"/>
      <c r="E169" s="173"/>
      <c r="F169" s="80"/>
      <c r="G169" s="173"/>
      <c r="H169" s="81"/>
      <c r="I169" s="81"/>
      <c r="J169" s="102"/>
      <c r="K169" s="102"/>
      <c r="L169" s="102"/>
      <c r="M169" s="102"/>
      <c r="N169" s="102"/>
      <c r="O169" s="102"/>
      <c r="P169" s="81"/>
      <c r="Q169" s="81"/>
      <c r="R169" s="81"/>
      <c r="S169" s="81"/>
      <c r="T169" s="81"/>
      <c r="U169" s="81"/>
      <c r="V169" s="81"/>
      <c r="W169" s="81"/>
      <c r="X169" s="81"/>
      <c r="Y169" s="81"/>
      <c r="Z169" s="81"/>
    </row>
    <row r="170" customFormat="false" ht="12" hidden="false" customHeight="true" outlineLevel="0" collapsed="false">
      <c r="A170" s="91"/>
      <c r="B170" s="81"/>
      <c r="C170" s="81"/>
      <c r="D170" s="173"/>
      <c r="E170" s="173"/>
      <c r="F170" s="80"/>
      <c r="G170" s="173"/>
      <c r="H170" s="81"/>
      <c r="I170" s="81"/>
      <c r="J170" s="102"/>
      <c r="K170" s="102"/>
      <c r="L170" s="102"/>
      <c r="M170" s="102"/>
      <c r="N170" s="102"/>
      <c r="O170" s="102"/>
      <c r="P170" s="81"/>
      <c r="Q170" s="81"/>
      <c r="R170" s="81"/>
      <c r="S170" s="81"/>
      <c r="T170" s="81"/>
      <c r="U170" s="81"/>
      <c r="V170" s="81"/>
      <c r="W170" s="81"/>
      <c r="X170" s="81"/>
      <c r="Y170" s="81"/>
      <c r="Z170" s="81"/>
    </row>
    <row r="171" customFormat="false" ht="12" hidden="false" customHeight="true" outlineLevel="0" collapsed="false">
      <c r="A171" s="91"/>
      <c r="B171" s="81"/>
      <c r="C171" s="81"/>
      <c r="D171" s="173"/>
      <c r="E171" s="173"/>
      <c r="F171" s="80"/>
      <c r="G171" s="173"/>
      <c r="H171" s="81"/>
      <c r="I171" s="81"/>
      <c r="J171" s="102"/>
      <c r="K171" s="102"/>
      <c r="L171" s="102"/>
      <c r="M171" s="102"/>
      <c r="N171" s="102"/>
      <c r="O171" s="102"/>
      <c r="P171" s="81"/>
      <c r="Q171" s="81"/>
      <c r="R171" s="81"/>
      <c r="S171" s="81"/>
      <c r="T171" s="81"/>
      <c r="U171" s="81"/>
      <c r="V171" s="81"/>
      <c r="W171" s="81"/>
      <c r="X171" s="81"/>
      <c r="Y171" s="81"/>
      <c r="Z171" s="81"/>
    </row>
    <row r="172" customFormat="false" ht="12" hidden="false" customHeight="true" outlineLevel="0" collapsed="false">
      <c r="A172" s="91"/>
      <c r="B172" s="81"/>
      <c r="C172" s="81"/>
      <c r="D172" s="173"/>
      <c r="E172" s="173"/>
      <c r="F172" s="80"/>
      <c r="G172" s="173"/>
      <c r="H172" s="81"/>
      <c r="I172" s="81"/>
      <c r="J172" s="102"/>
      <c r="K172" s="102"/>
      <c r="L172" s="102"/>
      <c r="M172" s="102"/>
      <c r="N172" s="102"/>
      <c r="O172" s="102"/>
      <c r="P172" s="81"/>
      <c r="Q172" s="81"/>
      <c r="R172" s="81"/>
      <c r="S172" s="81"/>
      <c r="T172" s="81"/>
      <c r="U172" s="81"/>
      <c r="V172" s="81"/>
      <c r="W172" s="81"/>
      <c r="X172" s="81"/>
      <c r="Y172" s="81"/>
      <c r="Z172" s="81"/>
    </row>
    <row r="173" customFormat="false" ht="12" hidden="false" customHeight="true" outlineLevel="0" collapsed="false">
      <c r="A173" s="91"/>
      <c r="B173" s="81"/>
      <c r="C173" s="81"/>
      <c r="D173" s="173"/>
      <c r="E173" s="173"/>
      <c r="F173" s="80"/>
      <c r="G173" s="173"/>
      <c r="H173" s="81"/>
      <c r="I173" s="81"/>
      <c r="J173" s="102"/>
      <c r="K173" s="102"/>
      <c r="L173" s="102"/>
      <c r="M173" s="102"/>
      <c r="N173" s="102"/>
      <c r="O173" s="102"/>
      <c r="P173" s="81"/>
      <c r="Q173" s="81"/>
      <c r="R173" s="81"/>
      <c r="S173" s="81"/>
      <c r="T173" s="81"/>
      <c r="U173" s="81"/>
      <c r="V173" s="81"/>
      <c r="W173" s="81"/>
      <c r="X173" s="81"/>
      <c r="Y173" s="81"/>
      <c r="Z173" s="81"/>
    </row>
    <row r="174" customFormat="false" ht="12" hidden="false" customHeight="true" outlineLevel="0" collapsed="false">
      <c r="A174" s="91"/>
      <c r="B174" s="81"/>
      <c r="C174" s="81"/>
      <c r="D174" s="173"/>
      <c r="E174" s="173"/>
      <c r="F174" s="80"/>
      <c r="G174" s="173"/>
      <c r="H174" s="81"/>
      <c r="I174" s="81"/>
      <c r="J174" s="102"/>
      <c r="K174" s="102"/>
      <c r="L174" s="102"/>
      <c r="M174" s="102"/>
      <c r="N174" s="102"/>
      <c r="O174" s="102"/>
      <c r="P174" s="81"/>
      <c r="Q174" s="81"/>
      <c r="R174" s="81"/>
      <c r="S174" s="81"/>
      <c r="T174" s="81"/>
      <c r="U174" s="81"/>
      <c r="V174" s="81"/>
      <c r="W174" s="81"/>
      <c r="X174" s="81"/>
      <c r="Y174" s="81"/>
      <c r="Z174" s="81"/>
    </row>
    <row r="175" customFormat="false" ht="12" hidden="false" customHeight="true" outlineLevel="0" collapsed="false">
      <c r="A175" s="91"/>
      <c r="B175" s="81"/>
      <c r="C175" s="81"/>
      <c r="D175" s="173"/>
      <c r="E175" s="173"/>
      <c r="F175" s="80"/>
      <c r="G175" s="173"/>
      <c r="H175" s="81"/>
      <c r="I175" s="81"/>
      <c r="J175" s="102"/>
      <c r="K175" s="102"/>
      <c r="L175" s="102"/>
      <c r="M175" s="102"/>
      <c r="N175" s="102"/>
      <c r="O175" s="102"/>
      <c r="P175" s="81"/>
      <c r="Q175" s="81"/>
      <c r="R175" s="81"/>
      <c r="S175" s="81"/>
      <c r="T175" s="81"/>
      <c r="U175" s="81"/>
      <c r="V175" s="81"/>
      <c r="W175" s="81"/>
      <c r="X175" s="81"/>
      <c r="Y175" s="81"/>
      <c r="Z175" s="81"/>
    </row>
    <row r="176" customFormat="false" ht="12" hidden="false" customHeight="true" outlineLevel="0" collapsed="false">
      <c r="A176" s="91"/>
      <c r="B176" s="81"/>
      <c r="C176" s="81"/>
      <c r="D176" s="173"/>
      <c r="E176" s="173"/>
      <c r="F176" s="80"/>
      <c r="G176" s="173"/>
      <c r="H176" s="81"/>
      <c r="I176" s="81"/>
      <c r="J176" s="102"/>
      <c r="K176" s="102"/>
      <c r="L176" s="102"/>
      <c r="M176" s="102"/>
      <c r="N176" s="102"/>
      <c r="O176" s="102"/>
      <c r="P176" s="81"/>
      <c r="Q176" s="81"/>
      <c r="R176" s="81"/>
      <c r="S176" s="81"/>
      <c r="T176" s="81"/>
      <c r="U176" s="81"/>
      <c r="V176" s="81"/>
      <c r="W176" s="81"/>
      <c r="X176" s="81"/>
      <c r="Y176" s="81"/>
      <c r="Z176" s="81"/>
    </row>
    <row r="177" customFormat="false" ht="12" hidden="false" customHeight="true" outlineLevel="0" collapsed="false">
      <c r="A177" s="91"/>
      <c r="B177" s="81"/>
      <c r="C177" s="81"/>
      <c r="D177" s="173"/>
      <c r="E177" s="173"/>
      <c r="F177" s="80"/>
      <c r="G177" s="173"/>
      <c r="H177" s="81"/>
      <c r="I177" s="81"/>
      <c r="J177" s="102"/>
      <c r="K177" s="102"/>
      <c r="L177" s="102"/>
      <c r="M177" s="102"/>
      <c r="N177" s="102"/>
      <c r="O177" s="102"/>
      <c r="P177" s="81"/>
      <c r="Q177" s="81"/>
      <c r="R177" s="81"/>
      <c r="S177" s="81"/>
      <c r="T177" s="81"/>
      <c r="U177" s="81"/>
      <c r="V177" s="81"/>
      <c r="W177" s="81"/>
      <c r="X177" s="81"/>
      <c r="Y177" s="81"/>
      <c r="Z177" s="81"/>
    </row>
    <row r="178" customFormat="false" ht="12" hidden="false" customHeight="true" outlineLevel="0" collapsed="false">
      <c r="A178" s="91"/>
      <c r="B178" s="81"/>
      <c r="C178" s="81"/>
      <c r="D178" s="173"/>
      <c r="E178" s="173"/>
      <c r="F178" s="80"/>
      <c r="G178" s="173"/>
      <c r="H178" s="81"/>
      <c r="I178" s="81"/>
      <c r="J178" s="102"/>
      <c r="K178" s="102"/>
      <c r="L178" s="102"/>
      <c r="M178" s="102"/>
      <c r="N178" s="102"/>
      <c r="O178" s="102"/>
      <c r="P178" s="81"/>
      <c r="Q178" s="81"/>
      <c r="R178" s="81"/>
      <c r="S178" s="81"/>
      <c r="T178" s="81"/>
      <c r="U178" s="81"/>
      <c r="V178" s="81"/>
      <c r="W178" s="81"/>
      <c r="X178" s="81"/>
      <c r="Y178" s="81"/>
      <c r="Z178" s="81"/>
    </row>
    <row r="179" customFormat="false" ht="12" hidden="false" customHeight="true" outlineLevel="0" collapsed="false">
      <c r="A179" s="91"/>
      <c r="B179" s="81"/>
      <c r="C179" s="81"/>
      <c r="D179" s="173"/>
      <c r="E179" s="173"/>
      <c r="F179" s="80"/>
      <c r="G179" s="173"/>
      <c r="H179" s="81"/>
      <c r="I179" s="81"/>
      <c r="J179" s="102"/>
      <c r="K179" s="102"/>
      <c r="L179" s="102"/>
      <c r="M179" s="102"/>
      <c r="N179" s="102"/>
      <c r="O179" s="102"/>
      <c r="P179" s="81"/>
      <c r="Q179" s="81"/>
      <c r="R179" s="81"/>
      <c r="S179" s="81"/>
      <c r="T179" s="81"/>
      <c r="U179" s="81"/>
      <c r="V179" s="81"/>
      <c r="W179" s="81"/>
      <c r="X179" s="81"/>
      <c r="Y179" s="81"/>
      <c r="Z179" s="81"/>
    </row>
    <row r="180" customFormat="false" ht="12" hidden="false" customHeight="true" outlineLevel="0" collapsed="false">
      <c r="A180" s="91"/>
      <c r="B180" s="81"/>
      <c r="C180" s="81"/>
      <c r="D180" s="173"/>
      <c r="E180" s="173"/>
      <c r="F180" s="80"/>
      <c r="G180" s="173"/>
      <c r="H180" s="81"/>
      <c r="I180" s="81"/>
      <c r="J180" s="102"/>
      <c r="K180" s="102"/>
      <c r="L180" s="102"/>
      <c r="M180" s="102"/>
      <c r="N180" s="102"/>
      <c r="O180" s="102"/>
      <c r="P180" s="81"/>
      <c r="Q180" s="81"/>
      <c r="R180" s="81"/>
      <c r="S180" s="81"/>
      <c r="T180" s="81"/>
      <c r="U180" s="81"/>
      <c r="V180" s="81"/>
      <c r="W180" s="81"/>
      <c r="X180" s="81"/>
      <c r="Y180" s="81"/>
      <c r="Z180" s="81"/>
    </row>
    <row r="181" customFormat="false" ht="12" hidden="false" customHeight="true" outlineLevel="0" collapsed="false">
      <c r="A181" s="91"/>
      <c r="B181" s="81"/>
      <c r="C181" s="81"/>
      <c r="D181" s="173"/>
      <c r="E181" s="173"/>
      <c r="F181" s="80"/>
      <c r="G181" s="173"/>
      <c r="H181" s="81"/>
      <c r="I181" s="81"/>
      <c r="J181" s="102"/>
      <c r="K181" s="102"/>
      <c r="L181" s="102"/>
      <c r="M181" s="102"/>
      <c r="N181" s="102"/>
      <c r="O181" s="102"/>
      <c r="P181" s="81"/>
      <c r="Q181" s="81"/>
      <c r="R181" s="81"/>
      <c r="S181" s="81"/>
      <c r="T181" s="81"/>
      <c r="U181" s="81"/>
      <c r="V181" s="81"/>
      <c r="W181" s="81"/>
      <c r="X181" s="81"/>
      <c r="Y181" s="81"/>
      <c r="Z181" s="81"/>
    </row>
    <row r="182" customFormat="false" ht="12" hidden="false" customHeight="true" outlineLevel="0" collapsed="false">
      <c r="A182" s="91"/>
      <c r="B182" s="81"/>
      <c r="C182" s="81"/>
      <c r="D182" s="173"/>
      <c r="E182" s="173"/>
      <c r="F182" s="80"/>
      <c r="G182" s="173"/>
      <c r="H182" s="81"/>
      <c r="I182" s="81"/>
      <c r="J182" s="102"/>
      <c r="K182" s="102"/>
      <c r="L182" s="102"/>
      <c r="M182" s="102"/>
      <c r="N182" s="102"/>
      <c r="O182" s="102"/>
      <c r="P182" s="81"/>
      <c r="Q182" s="81"/>
      <c r="R182" s="81"/>
      <c r="S182" s="81"/>
      <c r="T182" s="81"/>
      <c r="U182" s="81"/>
      <c r="V182" s="81"/>
      <c r="W182" s="81"/>
      <c r="X182" s="81"/>
      <c r="Y182" s="81"/>
      <c r="Z182" s="81"/>
    </row>
    <row r="183" customFormat="false" ht="12" hidden="false" customHeight="true" outlineLevel="0" collapsed="false">
      <c r="A183" s="91"/>
      <c r="B183" s="81"/>
      <c r="C183" s="81"/>
      <c r="D183" s="173"/>
      <c r="E183" s="173"/>
      <c r="F183" s="80"/>
      <c r="G183" s="173"/>
      <c r="H183" s="81"/>
      <c r="I183" s="81"/>
      <c r="J183" s="102"/>
      <c r="K183" s="102"/>
      <c r="L183" s="102"/>
      <c r="M183" s="102"/>
      <c r="N183" s="102"/>
      <c r="O183" s="102"/>
      <c r="P183" s="81"/>
      <c r="Q183" s="81"/>
      <c r="R183" s="81"/>
      <c r="S183" s="81"/>
      <c r="T183" s="81"/>
      <c r="U183" s="81"/>
      <c r="V183" s="81"/>
      <c r="W183" s="81"/>
      <c r="X183" s="81"/>
      <c r="Y183" s="81"/>
      <c r="Z183" s="81"/>
    </row>
    <row r="184" customFormat="false" ht="12" hidden="false" customHeight="true" outlineLevel="0" collapsed="false">
      <c r="A184" s="91"/>
      <c r="B184" s="81"/>
      <c r="C184" s="81"/>
      <c r="D184" s="173"/>
      <c r="E184" s="173"/>
      <c r="F184" s="80"/>
      <c r="G184" s="173"/>
      <c r="H184" s="81"/>
      <c r="I184" s="81"/>
      <c r="J184" s="102"/>
      <c r="K184" s="102"/>
      <c r="L184" s="102"/>
      <c r="M184" s="102"/>
      <c r="N184" s="102"/>
      <c r="O184" s="102"/>
      <c r="P184" s="81"/>
      <c r="Q184" s="81"/>
      <c r="R184" s="81"/>
      <c r="S184" s="81"/>
      <c r="T184" s="81"/>
      <c r="U184" s="81"/>
      <c r="V184" s="81"/>
      <c r="W184" s="81"/>
      <c r="X184" s="81"/>
      <c r="Y184" s="81"/>
      <c r="Z184" s="81"/>
    </row>
    <row r="185" customFormat="false" ht="12" hidden="false" customHeight="true" outlineLevel="0" collapsed="false">
      <c r="A185" s="91"/>
      <c r="B185" s="81"/>
      <c r="C185" s="81"/>
      <c r="D185" s="173"/>
      <c r="E185" s="173"/>
      <c r="F185" s="80"/>
      <c r="G185" s="173"/>
      <c r="H185" s="81"/>
      <c r="I185" s="81"/>
      <c r="J185" s="102"/>
      <c r="K185" s="102"/>
      <c r="L185" s="102"/>
      <c r="M185" s="102"/>
      <c r="N185" s="102"/>
      <c r="O185" s="102"/>
      <c r="P185" s="81"/>
      <c r="Q185" s="81"/>
      <c r="R185" s="81"/>
      <c r="S185" s="81"/>
      <c r="T185" s="81"/>
      <c r="U185" s="81"/>
      <c r="V185" s="81"/>
      <c r="W185" s="81"/>
      <c r="X185" s="81"/>
      <c r="Y185" s="81"/>
      <c r="Z185" s="81"/>
    </row>
    <row r="186" customFormat="false" ht="12" hidden="false" customHeight="true" outlineLevel="0" collapsed="false">
      <c r="A186" s="91"/>
      <c r="B186" s="81"/>
      <c r="C186" s="81"/>
      <c r="D186" s="173"/>
      <c r="E186" s="173"/>
      <c r="F186" s="80"/>
      <c r="G186" s="173"/>
      <c r="H186" s="81"/>
      <c r="I186" s="81"/>
      <c r="J186" s="102"/>
      <c r="K186" s="102"/>
      <c r="L186" s="102"/>
      <c r="M186" s="102"/>
      <c r="N186" s="102"/>
      <c r="O186" s="102"/>
      <c r="P186" s="81"/>
      <c r="Q186" s="81"/>
      <c r="R186" s="81"/>
      <c r="S186" s="81"/>
      <c r="T186" s="81"/>
      <c r="U186" s="81"/>
      <c r="V186" s="81"/>
      <c r="W186" s="81"/>
      <c r="X186" s="81"/>
      <c r="Y186" s="81"/>
      <c r="Z186" s="81"/>
    </row>
    <row r="187" customFormat="false" ht="12" hidden="false" customHeight="true" outlineLevel="0" collapsed="false">
      <c r="A187" s="91"/>
      <c r="B187" s="81"/>
      <c r="C187" s="81"/>
      <c r="D187" s="173"/>
      <c r="E187" s="173"/>
      <c r="F187" s="80"/>
      <c r="G187" s="173"/>
      <c r="H187" s="81"/>
      <c r="I187" s="81"/>
      <c r="J187" s="102"/>
      <c r="K187" s="102"/>
      <c r="L187" s="102"/>
      <c r="M187" s="102"/>
      <c r="N187" s="102"/>
      <c r="O187" s="102"/>
      <c r="P187" s="81"/>
      <c r="Q187" s="81"/>
      <c r="R187" s="81"/>
      <c r="S187" s="81"/>
      <c r="T187" s="81"/>
      <c r="U187" s="81"/>
      <c r="V187" s="81"/>
      <c r="W187" s="81"/>
      <c r="X187" s="81"/>
      <c r="Y187" s="81"/>
      <c r="Z187" s="81"/>
    </row>
    <row r="188" customFormat="false" ht="12" hidden="false" customHeight="true" outlineLevel="0" collapsed="false">
      <c r="A188" s="91"/>
      <c r="B188" s="81"/>
      <c r="C188" s="81"/>
      <c r="D188" s="173"/>
      <c r="E188" s="173"/>
      <c r="F188" s="80"/>
      <c r="G188" s="173"/>
      <c r="H188" s="81"/>
      <c r="I188" s="81"/>
      <c r="J188" s="102"/>
      <c r="K188" s="102"/>
      <c r="L188" s="102"/>
      <c r="M188" s="102"/>
      <c r="N188" s="102"/>
      <c r="O188" s="102"/>
      <c r="P188" s="81"/>
      <c r="Q188" s="81"/>
      <c r="R188" s="81"/>
      <c r="S188" s="81"/>
      <c r="T188" s="81"/>
      <c r="U188" s="81"/>
      <c r="V188" s="81"/>
      <c r="W188" s="81"/>
      <c r="X188" s="81"/>
      <c r="Y188" s="81"/>
      <c r="Z188" s="81"/>
    </row>
    <row r="189" customFormat="false" ht="12" hidden="false" customHeight="true" outlineLevel="0" collapsed="false">
      <c r="A189" s="91"/>
      <c r="B189" s="81"/>
      <c r="C189" s="81"/>
      <c r="D189" s="173"/>
      <c r="E189" s="173"/>
      <c r="F189" s="80"/>
      <c r="G189" s="173"/>
      <c r="H189" s="81"/>
      <c r="I189" s="81"/>
      <c r="J189" s="102"/>
      <c r="K189" s="102"/>
      <c r="L189" s="102"/>
      <c r="M189" s="102"/>
      <c r="N189" s="102"/>
      <c r="O189" s="102"/>
      <c r="P189" s="81"/>
      <c r="Q189" s="81"/>
      <c r="R189" s="81"/>
      <c r="S189" s="81"/>
      <c r="T189" s="81"/>
      <c r="U189" s="81"/>
      <c r="V189" s="81"/>
      <c r="W189" s="81"/>
      <c r="X189" s="81"/>
      <c r="Y189" s="81"/>
      <c r="Z189" s="81"/>
    </row>
    <row r="190" customFormat="false" ht="12" hidden="false" customHeight="true" outlineLevel="0" collapsed="false">
      <c r="A190" s="91"/>
      <c r="B190" s="81"/>
      <c r="C190" s="81"/>
      <c r="D190" s="173"/>
      <c r="E190" s="173"/>
      <c r="F190" s="80"/>
      <c r="G190" s="173"/>
      <c r="H190" s="81"/>
      <c r="I190" s="81"/>
      <c r="J190" s="102"/>
      <c r="K190" s="102"/>
      <c r="L190" s="102"/>
      <c r="M190" s="102"/>
      <c r="N190" s="102"/>
      <c r="O190" s="102"/>
      <c r="P190" s="81"/>
      <c r="Q190" s="81"/>
      <c r="R190" s="81"/>
      <c r="S190" s="81"/>
      <c r="T190" s="81"/>
      <c r="U190" s="81"/>
      <c r="V190" s="81"/>
      <c r="W190" s="81"/>
      <c r="X190" s="81"/>
      <c r="Y190" s="81"/>
      <c r="Z190" s="81"/>
    </row>
    <row r="191" customFormat="false" ht="12" hidden="false" customHeight="true" outlineLevel="0" collapsed="false">
      <c r="A191" s="91"/>
      <c r="B191" s="81"/>
      <c r="C191" s="81"/>
      <c r="D191" s="173"/>
      <c r="E191" s="173"/>
      <c r="F191" s="80"/>
      <c r="G191" s="173"/>
      <c r="H191" s="81"/>
      <c r="I191" s="81"/>
      <c r="J191" s="102"/>
      <c r="K191" s="102"/>
      <c r="L191" s="102"/>
      <c r="M191" s="102"/>
      <c r="N191" s="102"/>
      <c r="O191" s="102"/>
      <c r="P191" s="81"/>
      <c r="Q191" s="81"/>
      <c r="R191" s="81"/>
      <c r="S191" s="81"/>
      <c r="T191" s="81"/>
      <c r="U191" s="81"/>
      <c r="V191" s="81"/>
      <c r="W191" s="81"/>
      <c r="X191" s="81"/>
      <c r="Y191" s="81"/>
      <c r="Z191" s="81"/>
    </row>
    <row r="192" customFormat="false" ht="12" hidden="false" customHeight="true" outlineLevel="0" collapsed="false">
      <c r="A192" s="91"/>
      <c r="B192" s="81"/>
      <c r="C192" s="81"/>
      <c r="D192" s="173"/>
      <c r="E192" s="173"/>
      <c r="F192" s="80"/>
      <c r="G192" s="173"/>
      <c r="H192" s="81"/>
      <c r="I192" s="81"/>
      <c r="J192" s="102"/>
      <c r="K192" s="102"/>
      <c r="L192" s="102"/>
      <c r="M192" s="102"/>
      <c r="N192" s="102"/>
      <c r="O192" s="102"/>
      <c r="P192" s="81"/>
      <c r="Q192" s="81"/>
      <c r="R192" s="81"/>
      <c r="S192" s="81"/>
      <c r="T192" s="81"/>
      <c r="U192" s="81"/>
      <c r="V192" s="81"/>
      <c r="W192" s="81"/>
      <c r="X192" s="81"/>
      <c r="Y192" s="81"/>
      <c r="Z192" s="81"/>
    </row>
    <row r="193" customFormat="false" ht="12" hidden="false" customHeight="true" outlineLevel="0" collapsed="false">
      <c r="A193" s="91"/>
      <c r="B193" s="81"/>
      <c r="C193" s="81"/>
      <c r="D193" s="173"/>
      <c r="E193" s="173"/>
      <c r="F193" s="80"/>
      <c r="G193" s="173"/>
      <c r="H193" s="81"/>
      <c r="I193" s="81"/>
      <c r="J193" s="102"/>
      <c r="K193" s="102"/>
      <c r="L193" s="102"/>
      <c r="M193" s="102"/>
      <c r="N193" s="102"/>
      <c r="O193" s="102"/>
      <c r="P193" s="81"/>
      <c r="Q193" s="81"/>
      <c r="R193" s="81"/>
      <c r="S193" s="81"/>
      <c r="T193" s="81"/>
      <c r="U193" s="81"/>
      <c r="V193" s="81"/>
      <c r="W193" s="81"/>
      <c r="X193" s="81"/>
      <c r="Y193" s="81"/>
      <c r="Z193" s="81"/>
    </row>
    <row r="194" customFormat="false" ht="12" hidden="false" customHeight="true" outlineLevel="0" collapsed="false">
      <c r="A194" s="91"/>
      <c r="B194" s="81"/>
      <c r="C194" s="81"/>
      <c r="D194" s="173"/>
      <c r="E194" s="173"/>
      <c r="F194" s="80"/>
      <c r="G194" s="173"/>
      <c r="H194" s="81"/>
      <c r="I194" s="81"/>
      <c r="J194" s="102"/>
      <c r="K194" s="102"/>
      <c r="L194" s="102"/>
      <c r="M194" s="102"/>
      <c r="N194" s="102"/>
      <c r="O194" s="102"/>
      <c r="P194" s="81"/>
      <c r="Q194" s="81"/>
      <c r="R194" s="81"/>
      <c r="S194" s="81"/>
      <c r="T194" s="81"/>
      <c r="U194" s="81"/>
      <c r="V194" s="81"/>
      <c r="W194" s="81"/>
      <c r="X194" s="81"/>
      <c r="Y194" s="81"/>
      <c r="Z194" s="81"/>
    </row>
    <row r="195" customFormat="false" ht="12" hidden="false" customHeight="true" outlineLevel="0" collapsed="false">
      <c r="A195" s="91"/>
      <c r="B195" s="81"/>
      <c r="C195" s="81"/>
      <c r="D195" s="173"/>
      <c r="E195" s="173"/>
      <c r="F195" s="80"/>
      <c r="G195" s="173"/>
      <c r="H195" s="81"/>
      <c r="I195" s="81"/>
      <c r="J195" s="102"/>
      <c r="K195" s="102"/>
      <c r="L195" s="102"/>
      <c r="M195" s="102"/>
      <c r="N195" s="102"/>
      <c r="O195" s="102"/>
      <c r="P195" s="81"/>
      <c r="Q195" s="81"/>
      <c r="R195" s="81"/>
      <c r="S195" s="81"/>
      <c r="T195" s="81"/>
      <c r="U195" s="81"/>
      <c r="V195" s="81"/>
      <c r="W195" s="81"/>
      <c r="X195" s="81"/>
      <c r="Y195" s="81"/>
      <c r="Z195" s="81"/>
    </row>
    <row r="196" customFormat="false" ht="12" hidden="false" customHeight="true" outlineLevel="0" collapsed="false">
      <c r="A196" s="91"/>
      <c r="B196" s="81"/>
      <c r="C196" s="81"/>
      <c r="D196" s="173"/>
      <c r="E196" s="173"/>
      <c r="F196" s="80"/>
      <c r="G196" s="173"/>
      <c r="H196" s="81"/>
      <c r="I196" s="81"/>
      <c r="J196" s="102"/>
      <c r="K196" s="102"/>
      <c r="L196" s="102"/>
      <c r="M196" s="102"/>
      <c r="N196" s="102"/>
      <c r="O196" s="102"/>
      <c r="P196" s="81"/>
      <c r="Q196" s="81"/>
      <c r="R196" s="81"/>
      <c r="S196" s="81"/>
      <c r="T196" s="81"/>
      <c r="U196" s="81"/>
      <c r="V196" s="81"/>
      <c r="W196" s="81"/>
      <c r="X196" s="81"/>
      <c r="Y196" s="81"/>
      <c r="Z196" s="81"/>
    </row>
    <row r="197" customFormat="false" ht="12" hidden="false" customHeight="true" outlineLevel="0" collapsed="false">
      <c r="A197" s="91"/>
      <c r="B197" s="81"/>
      <c r="C197" s="81"/>
      <c r="D197" s="173"/>
      <c r="E197" s="173"/>
      <c r="F197" s="80"/>
      <c r="G197" s="173"/>
      <c r="H197" s="81"/>
      <c r="I197" s="81"/>
      <c r="J197" s="102"/>
      <c r="K197" s="102"/>
      <c r="L197" s="102"/>
      <c r="M197" s="102"/>
      <c r="N197" s="102"/>
      <c r="O197" s="102"/>
      <c r="P197" s="81"/>
      <c r="Q197" s="81"/>
      <c r="R197" s="81"/>
      <c r="S197" s="81"/>
      <c r="T197" s="81"/>
      <c r="U197" s="81"/>
      <c r="V197" s="81"/>
      <c r="W197" s="81"/>
      <c r="X197" s="81"/>
      <c r="Y197" s="81"/>
      <c r="Z197" s="81"/>
    </row>
    <row r="198" customFormat="false" ht="12" hidden="false" customHeight="true" outlineLevel="0" collapsed="false">
      <c r="A198" s="91"/>
      <c r="B198" s="81"/>
      <c r="C198" s="81"/>
      <c r="D198" s="173"/>
      <c r="E198" s="173"/>
      <c r="F198" s="80"/>
      <c r="G198" s="173"/>
      <c r="H198" s="81"/>
      <c r="I198" s="81"/>
      <c r="J198" s="102"/>
      <c r="K198" s="102"/>
      <c r="L198" s="102"/>
      <c r="M198" s="102"/>
      <c r="N198" s="102"/>
      <c r="O198" s="102"/>
      <c r="P198" s="81"/>
      <c r="Q198" s="81"/>
      <c r="R198" s="81"/>
      <c r="S198" s="81"/>
      <c r="T198" s="81"/>
      <c r="U198" s="81"/>
      <c r="V198" s="81"/>
      <c r="W198" s="81"/>
      <c r="X198" s="81"/>
      <c r="Y198" s="81"/>
      <c r="Z198" s="81"/>
    </row>
    <row r="199" customFormat="false" ht="12" hidden="false" customHeight="true" outlineLevel="0" collapsed="false">
      <c r="A199" s="91"/>
      <c r="B199" s="81"/>
      <c r="C199" s="81"/>
      <c r="D199" s="173"/>
      <c r="E199" s="173"/>
      <c r="F199" s="80"/>
      <c r="G199" s="173"/>
      <c r="H199" s="81"/>
      <c r="I199" s="81"/>
      <c r="J199" s="102"/>
      <c r="K199" s="102"/>
      <c r="L199" s="102"/>
      <c r="M199" s="102"/>
      <c r="N199" s="102"/>
      <c r="O199" s="102"/>
      <c r="P199" s="81"/>
      <c r="Q199" s="81"/>
      <c r="R199" s="81"/>
      <c r="S199" s="81"/>
      <c r="T199" s="81"/>
      <c r="U199" s="81"/>
      <c r="V199" s="81"/>
      <c r="W199" s="81"/>
      <c r="X199" s="81"/>
      <c r="Y199" s="81"/>
      <c r="Z199" s="81"/>
    </row>
    <row r="200" customFormat="false" ht="12" hidden="false" customHeight="true" outlineLevel="0" collapsed="false">
      <c r="A200" s="91"/>
      <c r="B200" s="81"/>
      <c r="C200" s="81"/>
      <c r="D200" s="173"/>
      <c r="E200" s="173"/>
      <c r="F200" s="80"/>
      <c r="G200" s="173"/>
      <c r="H200" s="81"/>
      <c r="I200" s="81"/>
      <c r="J200" s="102"/>
      <c r="K200" s="102"/>
      <c r="L200" s="102"/>
      <c r="M200" s="102"/>
      <c r="N200" s="102"/>
      <c r="O200" s="102"/>
      <c r="P200" s="81"/>
      <c r="Q200" s="81"/>
      <c r="R200" s="81"/>
      <c r="S200" s="81"/>
      <c r="T200" s="81"/>
      <c r="U200" s="81"/>
      <c r="V200" s="81"/>
      <c r="W200" s="81"/>
      <c r="X200" s="81"/>
      <c r="Y200" s="81"/>
      <c r="Z200" s="81"/>
    </row>
    <row r="201" customFormat="false" ht="12" hidden="false" customHeight="true" outlineLevel="0" collapsed="false">
      <c r="A201" s="91"/>
      <c r="B201" s="81"/>
      <c r="C201" s="81"/>
      <c r="D201" s="173"/>
      <c r="E201" s="173"/>
      <c r="F201" s="80"/>
      <c r="G201" s="173"/>
      <c r="H201" s="81"/>
      <c r="I201" s="81"/>
      <c r="J201" s="102"/>
      <c r="K201" s="102"/>
      <c r="L201" s="102"/>
      <c r="M201" s="102"/>
      <c r="N201" s="102"/>
      <c r="O201" s="102"/>
      <c r="P201" s="81"/>
      <c r="Q201" s="81"/>
      <c r="R201" s="81"/>
      <c r="S201" s="81"/>
      <c r="T201" s="81"/>
      <c r="U201" s="81"/>
      <c r="V201" s="81"/>
      <c r="W201" s="81"/>
      <c r="X201" s="81"/>
      <c r="Y201" s="81"/>
      <c r="Z201" s="81"/>
    </row>
    <row r="202" customFormat="false" ht="12" hidden="false" customHeight="true" outlineLevel="0" collapsed="false">
      <c r="A202" s="91"/>
      <c r="B202" s="81"/>
      <c r="C202" s="81"/>
      <c r="D202" s="173"/>
      <c r="E202" s="173"/>
      <c r="F202" s="80"/>
      <c r="G202" s="173"/>
      <c r="H202" s="81"/>
      <c r="I202" s="81"/>
      <c r="J202" s="102"/>
      <c r="K202" s="102"/>
      <c r="L202" s="102"/>
      <c r="M202" s="102"/>
      <c r="N202" s="102"/>
      <c r="O202" s="102"/>
      <c r="P202" s="81"/>
      <c r="Q202" s="81"/>
      <c r="R202" s="81"/>
      <c r="S202" s="81"/>
      <c r="T202" s="81"/>
      <c r="U202" s="81"/>
      <c r="V202" s="81"/>
      <c r="W202" s="81"/>
      <c r="X202" s="81"/>
      <c r="Y202" s="81"/>
      <c r="Z202" s="81"/>
    </row>
    <row r="203" customFormat="false" ht="12" hidden="false" customHeight="true" outlineLevel="0" collapsed="false">
      <c r="A203" s="91"/>
      <c r="B203" s="81"/>
      <c r="C203" s="81"/>
      <c r="D203" s="173"/>
      <c r="E203" s="173"/>
      <c r="F203" s="80"/>
      <c r="G203" s="173"/>
      <c r="H203" s="81"/>
      <c r="I203" s="81"/>
      <c r="J203" s="102"/>
      <c r="K203" s="102"/>
      <c r="L203" s="102"/>
      <c r="M203" s="102"/>
      <c r="N203" s="102"/>
      <c r="O203" s="102"/>
      <c r="P203" s="81"/>
      <c r="Q203" s="81"/>
      <c r="R203" s="81"/>
      <c r="S203" s="81"/>
      <c r="T203" s="81"/>
      <c r="U203" s="81"/>
      <c r="V203" s="81"/>
      <c r="W203" s="81"/>
      <c r="X203" s="81"/>
      <c r="Y203" s="81"/>
      <c r="Z203" s="81"/>
    </row>
    <row r="204" customFormat="false" ht="12" hidden="false" customHeight="true" outlineLevel="0" collapsed="false">
      <c r="A204" s="91"/>
      <c r="B204" s="81"/>
      <c r="C204" s="81"/>
      <c r="D204" s="173"/>
      <c r="E204" s="173"/>
      <c r="F204" s="80"/>
      <c r="G204" s="173"/>
      <c r="H204" s="81"/>
      <c r="I204" s="81"/>
      <c r="J204" s="102"/>
      <c r="K204" s="102"/>
      <c r="L204" s="102"/>
      <c r="M204" s="102"/>
      <c r="N204" s="102"/>
      <c r="O204" s="102"/>
      <c r="P204" s="81"/>
      <c r="Q204" s="81"/>
      <c r="R204" s="81"/>
      <c r="S204" s="81"/>
      <c r="T204" s="81"/>
      <c r="U204" s="81"/>
      <c r="V204" s="81"/>
      <c r="W204" s="81"/>
      <c r="X204" s="81"/>
      <c r="Y204" s="81"/>
      <c r="Z204" s="81"/>
    </row>
    <row r="205" customFormat="false" ht="12" hidden="false" customHeight="true" outlineLevel="0" collapsed="false">
      <c r="A205" s="91"/>
      <c r="B205" s="81"/>
      <c r="C205" s="81"/>
      <c r="D205" s="173"/>
      <c r="E205" s="173"/>
      <c r="F205" s="80"/>
      <c r="G205" s="173"/>
      <c r="H205" s="81"/>
      <c r="I205" s="81"/>
      <c r="J205" s="102"/>
      <c r="K205" s="102"/>
      <c r="L205" s="102"/>
      <c r="M205" s="102"/>
      <c r="N205" s="102"/>
      <c r="O205" s="102"/>
      <c r="P205" s="81"/>
      <c r="Q205" s="81"/>
      <c r="R205" s="81"/>
      <c r="S205" s="81"/>
      <c r="T205" s="81"/>
      <c r="U205" s="81"/>
      <c r="V205" s="81"/>
      <c r="W205" s="81"/>
      <c r="X205" s="81"/>
      <c r="Y205" s="81"/>
      <c r="Z205" s="81"/>
    </row>
    <row r="206" customFormat="false" ht="12" hidden="false" customHeight="true" outlineLevel="0" collapsed="false">
      <c r="A206" s="91"/>
      <c r="B206" s="81"/>
      <c r="C206" s="81"/>
      <c r="D206" s="173"/>
      <c r="E206" s="173"/>
      <c r="F206" s="80"/>
      <c r="G206" s="173"/>
      <c r="H206" s="81"/>
      <c r="I206" s="81"/>
      <c r="J206" s="102"/>
      <c r="K206" s="102"/>
      <c r="L206" s="102"/>
      <c r="M206" s="102"/>
      <c r="N206" s="102"/>
      <c r="O206" s="102"/>
      <c r="P206" s="81"/>
      <c r="Q206" s="81"/>
      <c r="R206" s="81"/>
      <c r="S206" s="81"/>
      <c r="T206" s="81"/>
      <c r="U206" s="81"/>
      <c r="V206" s="81"/>
      <c r="W206" s="81"/>
      <c r="X206" s="81"/>
      <c r="Y206" s="81"/>
      <c r="Z206" s="81"/>
    </row>
    <row r="207" customFormat="false" ht="12" hidden="false" customHeight="true" outlineLevel="0" collapsed="false">
      <c r="A207" s="91"/>
      <c r="B207" s="81"/>
      <c r="C207" s="81"/>
      <c r="D207" s="173"/>
      <c r="E207" s="173"/>
      <c r="F207" s="80"/>
      <c r="G207" s="173"/>
      <c r="H207" s="81"/>
      <c r="I207" s="81"/>
      <c r="J207" s="102"/>
      <c r="K207" s="102"/>
      <c r="L207" s="102"/>
      <c r="M207" s="102"/>
      <c r="N207" s="102"/>
      <c r="O207" s="102"/>
      <c r="P207" s="81"/>
      <c r="Q207" s="81"/>
      <c r="R207" s="81"/>
      <c r="S207" s="81"/>
      <c r="T207" s="81"/>
      <c r="U207" s="81"/>
      <c r="V207" s="81"/>
      <c r="W207" s="81"/>
      <c r="X207" s="81"/>
      <c r="Y207" s="81"/>
      <c r="Z207" s="81"/>
    </row>
    <row r="208" customFormat="false" ht="12" hidden="false" customHeight="true" outlineLevel="0" collapsed="false">
      <c r="A208" s="91"/>
      <c r="B208" s="81"/>
      <c r="C208" s="81"/>
      <c r="D208" s="173"/>
      <c r="E208" s="173"/>
      <c r="F208" s="80"/>
      <c r="G208" s="173"/>
      <c r="H208" s="81"/>
      <c r="I208" s="81"/>
      <c r="J208" s="102"/>
      <c r="K208" s="102"/>
      <c r="L208" s="102"/>
      <c r="M208" s="102"/>
      <c r="N208" s="102"/>
      <c r="O208" s="102"/>
      <c r="P208" s="81"/>
      <c r="Q208" s="81"/>
      <c r="R208" s="81"/>
      <c r="S208" s="81"/>
      <c r="T208" s="81"/>
      <c r="U208" s="81"/>
      <c r="V208" s="81"/>
      <c r="W208" s="81"/>
      <c r="X208" s="81"/>
      <c r="Y208" s="81"/>
      <c r="Z208" s="81"/>
    </row>
    <row r="209" customFormat="false" ht="12" hidden="false" customHeight="true" outlineLevel="0" collapsed="false">
      <c r="A209" s="91"/>
      <c r="B209" s="81"/>
      <c r="C209" s="81"/>
      <c r="D209" s="173"/>
      <c r="E209" s="173"/>
      <c r="F209" s="80"/>
      <c r="G209" s="173"/>
      <c r="H209" s="81"/>
      <c r="I209" s="81"/>
      <c r="J209" s="102"/>
      <c r="K209" s="102"/>
      <c r="L209" s="102"/>
      <c r="M209" s="102"/>
      <c r="N209" s="102"/>
      <c r="O209" s="102"/>
      <c r="P209" s="81"/>
      <c r="Q209" s="81"/>
      <c r="R209" s="81"/>
      <c r="S209" s="81"/>
      <c r="T209" s="81"/>
      <c r="U209" s="81"/>
      <c r="V209" s="81"/>
      <c r="W209" s="81"/>
      <c r="X209" s="81"/>
      <c r="Y209" s="81"/>
      <c r="Z209" s="81"/>
    </row>
    <row r="210" customFormat="false" ht="12" hidden="false" customHeight="true" outlineLevel="0" collapsed="false">
      <c r="A210" s="91"/>
      <c r="B210" s="81"/>
      <c r="C210" s="81"/>
      <c r="D210" s="173"/>
      <c r="E210" s="173"/>
      <c r="F210" s="80"/>
      <c r="G210" s="173"/>
      <c r="H210" s="81"/>
      <c r="I210" s="81"/>
      <c r="J210" s="102"/>
      <c r="K210" s="102"/>
      <c r="L210" s="102"/>
      <c r="M210" s="102"/>
      <c r="N210" s="102"/>
      <c r="O210" s="102"/>
      <c r="P210" s="81"/>
      <c r="Q210" s="81"/>
      <c r="R210" s="81"/>
      <c r="S210" s="81"/>
      <c r="T210" s="81"/>
      <c r="U210" s="81"/>
      <c r="V210" s="81"/>
      <c r="W210" s="81"/>
      <c r="X210" s="81"/>
      <c r="Y210" s="81"/>
      <c r="Z210" s="81"/>
    </row>
    <row r="211" customFormat="false" ht="12" hidden="false" customHeight="true" outlineLevel="0" collapsed="false">
      <c r="A211" s="91"/>
      <c r="B211" s="81"/>
      <c r="C211" s="81"/>
      <c r="D211" s="173"/>
      <c r="E211" s="173"/>
      <c r="F211" s="80"/>
      <c r="G211" s="173"/>
      <c r="H211" s="81"/>
      <c r="I211" s="81"/>
      <c r="J211" s="102"/>
      <c r="K211" s="102"/>
      <c r="L211" s="102"/>
      <c r="M211" s="102"/>
      <c r="N211" s="102"/>
      <c r="O211" s="102"/>
      <c r="P211" s="81"/>
      <c r="Q211" s="81"/>
      <c r="R211" s="81"/>
      <c r="S211" s="81"/>
      <c r="T211" s="81"/>
      <c r="U211" s="81"/>
      <c r="V211" s="81"/>
      <c r="W211" s="81"/>
      <c r="X211" s="81"/>
      <c r="Y211" s="81"/>
      <c r="Z211" s="81"/>
    </row>
    <row r="212" customFormat="false" ht="12" hidden="false" customHeight="true" outlineLevel="0" collapsed="false">
      <c r="A212" s="91"/>
      <c r="B212" s="81"/>
      <c r="C212" s="81"/>
      <c r="D212" s="173"/>
      <c r="E212" s="173"/>
      <c r="F212" s="80"/>
      <c r="G212" s="173"/>
      <c r="H212" s="81"/>
      <c r="I212" s="81"/>
      <c r="J212" s="102"/>
      <c r="K212" s="102"/>
      <c r="L212" s="102"/>
      <c r="M212" s="102"/>
      <c r="N212" s="102"/>
      <c r="O212" s="102"/>
      <c r="P212" s="81"/>
      <c r="Q212" s="81"/>
      <c r="R212" s="81"/>
      <c r="S212" s="81"/>
      <c r="T212" s="81"/>
      <c r="U212" s="81"/>
      <c r="V212" s="81"/>
      <c r="W212" s="81"/>
      <c r="X212" s="81"/>
      <c r="Y212" s="81"/>
      <c r="Z212" s="81"/>
    </row>
    <row r="213" customFormat="false" ht="12" hidden="false" customHeight="true" outlineLevel="0" collapsed="false">
      <c r="A213" s="91"/>
      <c r="B213" s="81"/>
      <c r="C213" s="81"/>
      <c r="D213" s="173"/>
      <c r="E213" s="173"/>
      <c r="F213" s="80"/>
      <c r="G213" s="173"/>
      <c r="H213" s="81"/>
      <c r="I213" s="81"/>
      <c r="J213" s="102"/>
      <c r="K213" s="102"/>
      <c r="L213" s="102"/>
      <c r="M213" s="102"/>
      <c r="N213" s="102"/>
      <c r="O213" s="102"/>
      <c r="P213" s="81"/>
      <c r="Q213" s="81"/>
      <c r="R213" s="81"/>
      <c r="S213" s="81"/>
      <c r="T213" s="81"/>
      <c r="U213" s="81"/>
      <c r="V213" s="81"/>
      <c r="W213" s="81"/>
      <c r="X213" s="81"/>
      <c r="Y213" s="81"/>
      <c r="Z213" s="81"/>
    </row>
    <row r="214" customFormat="false" ht="12" hidden="false" customHeight="true" outlineLevel="0" collapsed="false">
      <c r="A214" s="91"/>
      <c r="B214" s="81"/>
      <c r="C214" s="81"/>
      <c r="D214" s="173"/>
      <c r="E214" s="173"/>
      <c r="F214" s="80"/>
      <c r="G214" s="173"/>
      <c r="H214" s="81"/>
      <c r="I214" s="81"/>
      <c r="J214" s="102"/>
      <c r="K214" s="102"/>
      <c r="L214" s="102"/>
      <c r="M214" s="102"/>
      <c r="N214" s="102"/>
      <c r="O214" s="102"/>
      <c r="P214" s="81"/>
      <c r="Q214" s="81"/>
      <c r="R214" s="81"/>
      <c r="S214" s="81"/>
      <c r="T214" s="81"/>
      <c r="U214" s="81"/>
      <c r="V214" s="81"/>
      <c r="W214" s="81"/>
      <c r="X214" s="81"/>
      <c r="Y214" s="81"/>
      <c r="Z214" s="81"/>
    </row>
    <row r="215" customFormat="false" ht="12" hidden="false" customHeight="true" outlineLevel="0" collapsed="false">
      <c r="A215" s="91"/>
      <c r="B215" s="81"/>
      <c r="C215" s="81"/>
      <c r="D215" s="173"/>
      <c r="E215" s="173"/>
      <c r="F215" s="80"/>
      <c r="G215" s="173"/>
      <c r="H215" s="81"/>
      <c r="I215" s="81"/>
      <c r="J215" s="102"/>
      <c r="K215" s="102"/>
      <c r="L215" s="102"/>
      <c r="M215" s="102"/>
      <c r="N215" s="102"/>
      <c r="O215" s="102"/>
      <c r="P215" s="81"/>
      <c r="Q215" s="81"/>
      <c r="R215" s="81"/>
      <c r="S215" s="81"/>
      <c r="T215" s="81"/>
      <c r="U215" s="81"/>
      <c r="V215" s="81"/>
      <c r="W215" s="81"/>
      <c r="X215" s="81"/>
      <c r="Y215" s="81"/>
      <c r="Z215" s="81"/>
    </row>
    <row r="216" customFormat="false" ht="12" hidden="false" customHeight="true" outlineLevel="0" collapsed="false">
      <c r="A216" s="91"/>
      <c r="B216" s="81"/>
      <c r="C216" s="81"/>
      <c r="D216" s="173"/>
      <c r="E216" s="173"/>
      <c r="F216" s="80"/>
      <c r="G216" s="173"/>
      <c r="H216" s="81"/>
      <c r="I216" s="81"/>
      <c r="J216" s="102"/>
      <c r="K216" s="102"/>
      <c r="L216" s="102"/>
      <c r="M216" s="102"/>
      <c r="N216" s="102"/>
      <c r="O216" s="102"/>
      <c r="P216" s="81"/>
      <c r="Q216" s="81"/>
      <c r="R216" s="81"/>
      <c r="S216" s="81"/>
      <c r="T216" s="81"/>
      <c r="U216" s="81"/>
      <c r="V216" s="81"/>
      <c r="W216" s="81"/>
      <c r="X216" s="81"/>
      <c r="Y216" s="81"/>
      <c r="Z216" s="81"/>
    </row>
    <row r="217" customFormat="false" ht="12" hidden="false" customHeight="true" outlineLevel="0" collapsed="false">
      <c r="A217" s="91"/>
      <c r="B217" s="81"/>
      <c r="C217" s="81"/>
      <c r="D217" s="173"/>
      <c r="E217" s="173"/>
      <c r="F217" s="80"/>
      <c r="G217" s="173"/>
      <c r="H217" s="81"/>
      <c r="I217" s="81"/>
      <c r="J217" s="102"/>
      <c r="K217" s="102"/>
      <c r="L217" s="102"/>
      <c r="M217" s="102"/>
      <c r="N217" s="102"/>
      <c r="O217" s="102"/>
      <c r="P217" s="81"/>
      <c r="Q217" s="81"/>
      <c r="R217" s="81"/>
      <c r="S217" s="81"/>
      <c r="T217" s="81"/>
      <c r="U217" s="81"/>
      <c r="V217" s="81"/>
      <c r="W217" s="81"/>
      <c r="X217" s="81"/>
      <c r="Y217" s="81"/>
      <c r="Z217" s="81"/>
    </row>
    <row r="218" customFormat="false" ht="12" hidden="false" customHeight="true" outlineLevel="0" collapsed="false">
      <c r="A218" s="91"/>
      <c r="B218" s="81"/>
      <c r="C218" s="81"/>
      <c r="D218" s="173"/>
      <c r="E218" s="173"/>
      <c r="F218" s="80"/>
      <c r="G218" s="173"/>
      <c r="H218" s="81"/>
      <c r="I218" s="81"/>
      <c r="J218" s="102"/>
      <c r="K218" s="102"/>
      <c r="L218" s="102"/>
      <c r="M218" s="102"/>
      <c r="N218" s="102"/>
      <c r="O218" s="102"/>
      <c r="P218" s="81"/>
      <c r="Q218" s="81"/>
      <c r="R218" s="81"/>
      <c r="S218" s="81"/>
      <c r="T218" s="81"/>
      <c r="U218" s="81"/>
      <c r="V218" s="81"/>
      <c r="W218" s="81"/>
      <c r="X218" s="81"/>
      <c r="Y218" s="81"/>
      <c r="Z218" s="81"/>
    </row>
    <row r="219" customFormat="false" ht="12" hidden="false" customHeight="true" outlineLevel="0" collapsed="false">
      <c r="A219" s="91"/>
      <c r="B219" s="81"/>
      <c r="C219" s="81"/>
      <c r="D219" s="173"/>
      <c r="E219" s="173"/>
      <c r="F219" s="80"/>
      <c r="G219" s="173"/>
      <c r="H219" s="81"/>
      <c r="I219" s="81"/>
      <c r="J219" s="102"/>
      <c r="K219" s="102"/>
      <c r="L219" s="102"/>
      <c r="M219" s="102"/>
      <c r="N219" s="102"/>
      <c r="O219" s="102"/>
      <c r="P219" s="81"/>
      <c r="Q219" s="81"/>
      <c r="R219" s="81"/>
      <c r="S219" s="81"/>
      <c r="T219" s="81"/>
      <c r="U219" s="81"/>
      <c r="V219" s="81"/>
      <c r="W219" s="81"/>
      <c r="X219" s="81"/>
      <c r="Y219" s="81"/>
      <c r="Z219" s="81"/>
    </row>
    <row r="220" customFormat="false" ht="12" hidden="false" customHeight="true" outlineLevel="0" collapsed="false">
      <c r="A220" s="91"/>
      <c r="B220" s="81"/>
      <c r="C220" s="81"/>
      <c r="D220" s="173"/>
      <c r="E220" s="173"/>
      <c r="F220" s="80"/>
      <c r="G220" s="173"/>
      <c r="H220" s="81"/>
      <c r="I220" s="81"/>
      <c r="J220" s="102"/>
      <c r="K220" s="102"/>
      <c r="L220" s="102"/>
      <c r="M220" s="102"/>
      <c r="N220" s="102"/>
      <c r="O220" s="102"/>
      <c r="P220" s="81"/>
      <c r="Q220" s="81"/>
      <c r="R220" s="81"/>
      <c r="S220" s="81"/>
      <c r="T220" s="81"/>
      <c r="U220" s="81"/>
      <c r="V220" s="81"/>
      <c r="W220" s="81"/>
      <c r="X220" s="81"/>
      <c r="Y220" s="81"/>
      <c r="Z220" s="81"/>
    </row>
    <row r="221" customFormat="false" ht="12" hidden="false" customHeight="true" outlineLevel="0" collapsed="false">
      <c r="A221" s="91"/>
      <c r="B221" s="81"/>
      <c r="C221" s="81"/>
      <c r="D221" s="173"/>
      <c r="E221" s="173"/>
      <c r="F221" s="80"/>
      <c r="G221" s="173"/>
      <c r="H221" s="81"/>
      <c r="I221" s="81"/>
      <c r="J221" s="102"/>
      <c r="K221" s="102"/>
      <c r="L221" s="102"/>
      <c r="M221" s="102"/>
      <c r="N221" s="102"/>
      <c r="O221" s="102"/>
      <c r="P221" s="81"/>
      <c r="Q221" s="81"/>
      <c r="R221" s="81"/>
      <c r="S221" s="81"/>
      <c r="T221" s="81"/>
      <c r="U221" s="81"/>
      <c r="V221" s="81"/>
      <c r="W221" s="81"/>
      <c r="X221" s="81"/>
      <c r="Y221" s="81"/>
      <c r="Z221" s="81"/>
    </row>
    <row r="222" customFormat="false" ht="12" hidden="false" customHeight="true" outlineLevel="0" collapsed="false">
      <c r="A222" s="91"/>
      <c r="B222" s="81"/>
      <c r="C222" s="81"/>
      <c r="D222" s="173"/>
      <c r="E222" s="173"/>
      <c r="F222" s="80"/>
      <c r="G222" s="173"/>
      <c r="H222" s="81"/>
      <c r="I222" s="81"/>
      <c r="J222" s="102"/>
      <c r="K222" s="102"/>
      <c r="L222" s="102"/>
      <c r="M222" s="102"/>
      <c r="N222" s="102"/>
      <c r="O222" s="102"/>
      <c r="P222" s="81"/>
      <c r="Q222" s="81"/>
      <c r="R222" s="81"/>
      <c r="S222" s="81"/>
      <c r="T222" s="81"/>
      <c r="U222" s="81"/>
      <c r="V222" s="81"/>
      <c r="W222" s="81"/>
      <c r="X222" s="81"/>
      <c r="Y222" s="81"/>
      <c r="Z222" s="81"/>
    </row>
    <row r="223" customFormat="false" ht="12" hidden="false" customHeight="true" outlineLevel="0" collapsed="false">
      <c r="A223" s="91"/>
      <c r="B223" s="81"/>
      <c r="C223" s="81"/>
      <c r="D223" s="173"/>
      <c r="E223" s="173"/>
      <c r="F223" s="80"/>
      <c r="G223" s="173"/>
      <c r="H223" s="81"/>
      <c r="I223" s="81"/>
      <c r="J223" s="102"/>
      <c r="K223" s="102"/>
      <c r="L223" s="102"/>
      <c r="M223" s="102"/>
      <c r="N223" s="102"/>
      <c r="O223" s="102"/>
      <c r="P223" s="81"/>
      <c r="Q223" s="81"/>
      <c r="R223" s="81"/>
      <c r="S223" s="81"/>
      <c r="T223" s="81"/>
      <c r="U223" s="81"/>
      <c r="V223" s="81"/>
      <c r="W223" s="81"/>
      <c r="X223" s="81"/>
      <c r="Y223" s="81"/>
      <c r="Z223" s="81"/>
    </row>
    <row r="224" customFormat="false" ht="12" hidden="false" customHeight="true" outlineLevel="0" collapsed="false">
      <c r="A224" s="91"/>
      <c r="B224" s="81"/>
      <c r="C224" s="81"/>
      <c r="D224" s="173"/>
      <c r="E224" s="173"/>
      <c r="F224" s="80"/>
      <c r="G224" s="173"/>
      <c r="H224" s="81"/>
      <c r="I224" s="81"/>
      <c r="J224" s="102"/>
      <c r="K224" s="102"/>
      <c r="L224" s="102"/>
      <c r="M224" s="102"/>
      <c r="N224" s="102"/>
      <c r="O224" s="102"/>
      <c r="P224" s="81"/>
      <c r="Q224" s="81"/>
      <c r="R224" s="81"/>
      <c r="S224" s="81"/>
      <c r="T224" s="81"/>
      <c r="U224" s="81"/>
      <c r="V224" s="81"/>
      <c r="W224" s="81"/>
      <c r="X224" s="81"/>
      <c r="Y224" s="81"/>
      <c r="Z224" s="81"/>
    </row>
    <row r="225" customFormat="false" ht="12" hidden="false" customHeight="true" outlineLevel="0" collapsed="false">
      <c r="A225" s="91"/>
      <c r="B225" s="81"/>
      <c r="C225" s="81"/>
      <c r="D225" s="173"/>
      <c r="E225" s="173"/>
      <c r="F225" s="80"/>
      <c r="G225" s="173"/>
      <c r="H225" s="81"/>
      <c r="I225" s="81"/>
      <c r="J225" s="102"/>
      <c r="K225" s="102"/>
      <c r="L225" s="102"/>
      <c r="M225" s="102"/>
      <c r="N225" s="102"/>
      <c r="O225" s="102"/>
      <c r="P225" s="81"/>
      <c r="Q225" s="81"/>
      <c r="R225" s="81"/>
      <c r="S225" s="81"/>
      <c r="T225" s="81"/>
      <c r="U225" s="81"/>
      <c r="V225" s="81"/>
      <c r="W225" s="81"/>
      <c r="X225" s="81"/>
      <c r="Y225" s="81"/>
      <c r="Z225" s="81"/>
    </row>
    <row r="226" customFormat="false" ht="12" hidden="false" customHeight="true" outlineLevel="0" collapsed="false">
      <c r="A226" s="91"/>
      <c r="B226" s="81"/>
      <c r="C226" s="81"/>
      <c r="D226" s="173"/>
      <c r="E226" s="173"/>
      <c r="F226" s="80"/>
      <c r="G226" s="173"/>
      <c r="H226" s="81"/>
      <c r="I226" s="81"/>
      <c r="J226" s="102"/>
      <c r="K226" s="102"/>
      <c r="L226" s="102"/>
      <c r="M226" s="102"/>
      <c r="N226" s="102"/>
      <c r="O226" s="102"/>
      <c r="P226" s="81"/>
      <c r="Q226" s="81"/>
      <c r="R226" s="81"/>
      <c r="S226" s="81"/>
      <c r="T226" s="81"/>
      <c r="U226" s="81"/>
      <c r="V226" s="81"/>
      <c r="W226" s="81"/>
      <c r="X226" s="81"/>
      <c r="Y226" s="81"/>
      <c r="Z226" s="81"/>
    </row>
    <row r="227" customFormat="false" ht="12" hidden="false" customHeight="true" outlineLevel="0" collapsed="false">
      <c r="A227" s="91"/>
      <c r="B227" s="81"/>
      <c r="C227" s="81"/>
      <c r="D227" s="173"/>
      <c r="E227" s="173"/>
      <c r="F227" s="80"/>
      <c r="G227" s="173"/>
      <c r="H227" s="81"/>
      <c r="I227" s="81"/>
      <c r="J227" s="102"/>
      <c r="K227" s="102"/>
      <c r="L227" s="102"/>
      <c r="M227" s="102"/>
      <c r="N227" s="102"/>
      <c r="O227" s="102"/>
      <c r="P227" s="81"/>
      <c r="Q227" s="81"/>
      <c r="R227" s="81"/>
      <c r="S227" s="81"/>
      <c r="T227" s="81"/>
      <c r="U227" s="81"/>
      <c r="V227" s="81"/>
      <c r="W227" s="81"/>
      <c r="X227" s="81"/>
      <c r="Y227" s="81"/>
      <c r="Z227" s="81"/>
    </row>
    <row r="228" customFormat="false" ht="12" hidden="false" customHeight="true" outlineLevel="0" collapsed="false">
      <c r="A228" s="91"/>
      <c r="B228" s="81"/>
      <c r="C228" s="81"/>
      <c r="D228" s="173"/>
      <c r="E228" s="173"/>
      <c r="F228" s="80"/>
      <c r="G228" s="173"/>
      <c r="H228" s="81"/>
      <c r="I228" s="81"/>
      <c r="J228" s="102"/>
      <c r="K228" s="102"/>
      <c r="L228" s="102"/>
      <c r="M228" s="102"/>
      <c r="N228" s="102"/>
      <c r="O228" s="102"/>
      <c r="P228" s="81"/>
      <c r="Q228" s="81"/>
      <c r="R228" s="81"/>
      <c r="S228" s="81"/>
      <c r="T228" s="81"/>
      <c r="U228" s="81"/>
      <c r="V228" s="81"/>
      <c r="W228" s="81"/>
      <c r="X228" s="81"/>
      <c r="Y228" s="81"/>
      <c r="Z228" s="81"/>
    </row>
    <row r="229" customFormat="false" ht="12" hidden="false" customHeight="true" outlineLevel="0" collapsed="false">
      <c r="A229" s="91"/>
      <c r="B229" s="81"/>
      <c r="C229" s="81"/>
      <c r="D229" s="173"/>
      <c r="E229" s="173"/>
      <c r="F229" s="80"/>
      <c r="G229" s="173"/>
      <c r="H229" s="81"/>
      <c r="I229" s="81"/>
      <c r="J229" s="102"/>
      <c r="K229" s="102"/>
      <c r="L229" s="102"/>
      <c r="M229" s="102"/>
      <c r="N229" s="102"/>
      <c r="O229" s="102"/>
      <c r="P229" s="81"/>
      <c r="Q229" s="81"/>
      <c r="R229" s="81"/>
      <c r="S229" s="81"/>
      <c r="T229" s="81"/>
      <c r="U229" s="81"/>
      <c r="V229" s="81"/>
      <c r="W229" s="81"/>
      <c r="X229" s="81"/>
      <c r="Y229" s="81"/>
      <c r="Z229" s="81"/>
    </row>
    <row r="230" customFormat="false" ht="12" hidden="false" customHeight="true" outlineLevel="0" collapsed="false">
      <c r="A230" s="91"/>
      <c r="B230" s="81"/>
      <c r="C230" s="81"/>
      <c r="D230" s="173"/>
      <c r="E230" s="173"/>
      <c r="F230" s="80"/>
      <c r="G230" s="173"/>
      <c r="H230" s="81"/>
      <c r="I230" s="81"/>
      <c r="J230" s="102"/>
      <c r="K230" s="102"/>
      <c r="L230" s="102"/>
      <c r="M230" s="102"/>
      <c r="N230" s="102"/>
      <c r="O230" s="102"/>
      <c r="P230" s="81"/>
      <c r="Q230" s="81"/>
      <c r="R230" s="81"/>
      <c r="S230" s="81"/>
      <c r="T230" s="81"/>
      <c r="U230" s="81"/>
      <c r="V230" s="81"/>
      <c r="W230" s="81"/>
      <c r="X230" s="81"/>
      <c r="Y230" s="81"/>
      <c r="Z230" s="81"/>
    </row>
    <row r="231" customFormat="false" ht="12" hidden="false" customHeight="true" outlineLevel="0" collapsed="false">
      <c r="A231" s="91"/>
      <c r="B231" s="81"/>
      <c r="C231" s="81"/>
      <c r="D231" s="173"/>
      <c r="E231" s="173"/>
      <c r="F231" s="80"/>
      <c r="G231" s="173"/>
      <c r="H231" s="81"/>
      <c r="I231" s="81"/>
      <c r="J231" s="102"/>
      <c r="K231" s="102"/>
      <c r="L231" s="102"/>
      <c r="M231" s="102"/>
      <c r="N231" s="102"/>
      <c r="O231" s="102"/>
      <c r="P231" s="81"/>
      <c r="Q231" s="81"/>
      <c r="R231" s="81"/>
      <c r="S231" s="81"/>
      <c r="T231" s="81"/>
      <c r="U231" s="81"/>
      <c r="V231" s="81"/>
      <c r="W231" s="81"/>
      <c r="X231" s="81"/>
      <c r="Y231" s="81"/>
      <c r="Z231" s="81"/>
    </row>
    <row r="232" customFormat="false" ht="12" hidden="false" customHeight="true" outlineLevel="0" collapsed="false">
      <c r="A232" s="91"/>
      <c r="B232" s="81"/>
      <c r="C232" s="81"/>
      <c r="D232" s="173"/>
      <c r="E232" s="173"/>
      <c r="F232" s="80"/>
      <c r="G232" s="173"/>
      <c r="H232" s="81"/>
      <c r="I232" s="81"/>
      <c r="J232" s="102"/>
      <c r="K232" s="102"/>
      <c r="L232" s="102"/>
      <c r="M232" s="102"/>
      <c r="N232" s="102"/>
      <c r="O232" s="102"/>
      <c r="P232" s="81"/>
      <c r="Q232" s="81"/>
      <c r="R232" s="81"/>
      <c r="S232" s="81"/>
      <c r="T232" s="81"/>
      <c r="U232" s="81"/>
      <c r="V232" s="81"/>
      <c r="W232" s="81"/>
      <c r="X232" s="81"/>
      <c r="Y232" s="81"/>
      <c r="Z232" s="81"/>
    </row>
    <row r="233" customFormat="false" ht="12" hidden="false" customHeight="true" outlineLevel="0" collapsed="false">
      <c r="A233" s="91"/>
      <c r="B233" s="81"/>
      <c r="C233" s="81"/>
      <c r="D233" s="173"/>
      <c r="E233" s="173"/>
      <c r="F233" s="80"/>
      <c r="G233" s="173"/>
      <c r="H233" s="81"/>
      <c r="I233" s="81"/>
      <c r="J233" s="102"/>
      <c r="K233" s="102"/>
      <c r="L233" s="102"/>
      <c r="M233" s="102"/>
      <c r="N233" s="102"/>
      <c r="O233" s="102"/>
      <c r="P233" s="81"/>
      <c r="Q233" s="81"/>
      <c r="R233" s="81"/>
      <c r="S233" s="81"/>
      <c r="T233" s="81"/>
      <c r="U233" s="81"/>
      <c r="V233" s="81"/>
      <c r="W233" s="81"/>
      <c r="X233" s="81"/>
      <c r="Y233" s="81"/>
      <c r="Z233" s="81"/>
    </row>
    <row r="234" customFormat="false" ht="12" hidden="false" customHeight="true" outlineLevel="0" collapsed="false">
      <c r="A234" s="91"/>
      <c r="B234" s="81"/>
      <c r="C234" s="81"/>
      <c r="D234" s="173"/>
      <c r="E234" s="173"/>
      <c r="F234" s="80"/>
      <c r="G234" s="173"/>
      <c r="H234" s="81"/>
      <c r="I234" s="81"/>
      <c r="J234" s="102"/>
      <c r="K234" s="102"/>
      <c r="L234" s="102"/>
      <c r="M234" s="102"/>
      <c r="N234" s="102"/>
      <c r="O234" s="102"/>
      <c r="P234" s="81"/>
      <c r="Q234" s="81"/>
      <c r="R234" s="81"/>
      <c r="S234" s="81"/>
      <c r="T234" s="81"/>
      <c r="U234" s="81"/>
      <c r="V234" s="81"/>
      <c r="W234" s="81"/>
      <c r="X234" s="81"/>
      <c r="Y234" s="81"/>
      <c r="Z234" s="81"/>
    </row>
    <row r="235" customFormat="false" ht="12" hidden="false" customHeight="true" outlineLevel="0" collapsed="false">
      <c r="A235" s="91"/>
      <c r="B235" s="81"/>
      <c r="C235" s="81"/>
      <c r="D235" s="173"/>
      <c r="E235" s="173"/>
      <c r="F235" s="80"/>
      <c r="G235" s="173"/>
      <c r="H235" s="81"/>
      <c r="I235" s="81"/>
      <c r="J235" s="102"/>
      <c r="K235" s="102"/>
      <c r="L235" s="102"/>
      <c r="M235" s="102"/>
      <c r="N235" s="102"/>
      <c r="O235" s="102"/>
      <c r="P235" s="81"/>
      <c r="Q235" s="81"/>
      <c r="R235" s="81"/>
      <c r="S235" s="81"/>
      <c r="T235" s="81"/>
      <c r="U235" s="81"/>
      <c r="V235" s="81"/>
      <c r="W235" s="81"/>
      <c r="X235" s="81"/>
      <c r="Y235" s="81"/>
      <c r="Z235" s="81"/>
    </row>
    <row r="236" customFormat="false" ht="12" hidden="false" customHeight="true" outlineLevel="0" collapsed="false">
      <c r="A236" s="91"/>
      <c r="B236" s="81"/>
      <c r="C236" s="81"/>
      <c r="D236" s="173"/>
      <c r="E236" s="173"/>
      <c r="F236" s="80"/>
      <c r="G236" s="173"/>
      <c r="H236" s="81"/>
      <c r="I236" s="81"/>
      <c r="J236" s="102"/>
      <c r="K236" s="102"/>
      <c r="L236" s="102"/>
      <c r="M236" s="102"/>
      <c r="N236" s="102"/>
      <c r="O236" s="102"/>
      <c r="P236" s="81"/>
      <c r="Q236" s="81"/>
      <c r="R236" s="81"/>
      <c r="S236" s="81"/>
      <c r="T236" s="81"/>
      <c r="U236" s="81"/>
      <c r="V236" s="81"/>
      <c r="W236" s="81"/>
      <c r="X236" s="81"/>
      <c r="Y236" s="81"/>
      <c r="Z236" s="81"/>
    </row>
    <row r="237" customFormat="false" ht="12" hidden="false" customHeight="true" outlineLevel="0" collapsed="false">
      <c r="A237" s="91"/>
      <c r="B237" s="81"/>
      <c r="C237" s="81"/>
      <c r="D237" s="173"/>
      <c r="E237" s="173"/>
      <c r="F237" s="80"/>
      <c r="G237" s="173"/>
      <c r="H237" s="81"/>
      <c r="I237" s="81"/>
      <c r="J237" s="102"/>
      <c r="K237" s="102"/>
      <c r="L237" s="102"/>
      <c r="M237" s="102"/>
      <c r="N237" s="102"/>
      <c r="O237" s="102"/>
      <c r="P237" s="81"/>
      <c r="Q237" s="81"/>
      <c r="R237" s="81"/>
      <c r="S237" s="81"/>
      <c r="T237" s="81"/>
      <c r="U237" s="81"/>
      <c r="V237" s="81"/>
      <c r="W237" s="81"/>
      <c r="X237" s="81"/>
      <c r="Y237" s="81"/>
      <c r="Z237" s="81"/>
    </row>
    <row r="238" customFormat="false" ht="12" hidden="false" customHeight="true" outlineLevel="0" collapsed="false">
      <c r="A238" s="91"/>
      <c r="B238" s="81"/>
      <c r="C238" s="81"/>
      <c r="D238" s="173"/>
      <c r="E238" s="173"/>
      <c r="F238" s="80"/>
      <c r="G238" s="173"/>
      <c r="H238" s="81"/>
      <c r="I238" s="81"/>
      <c r="J238" s="102"/>
      <c r="K238" s="102"/>
      <c r="L238" s="102"/>
      <c r="M238" s="102"/>
      <c r="N238" s="102"/>
      <c r="O238" s="102"/>
      <c r="P238" s="81"/>
      <c r="Q238" s="81"/>
      <c r="R238" s="81"/>
      <c r="S238" s="81"/>
      <c r="T238" s="81"/>
      <c r="U238" s="81"/>
      <c r="V238" s="81"/>
      <c r="W238" s="81"/>
      <c r="X238" s="81"/>
      <c r="Y238" s="81"/>
      <c r="Z238" s="81"/>
    </row>
    <row r="239" customFormat="false" ht="12" hidden="false" customHeight="true" outlineLevel="0" collapsed="false">
      <c r="A239" s="91"/>
      <c r="B239" s="81"/>
      <c r="C239" s="81"/>
      <c r="D239" s="173"/>
      <c r="E239" s="173"/>
      <c r="F239" s="80"/>
      <c r="G239" s="173"/>
      <c r="H239" s="81"/>
      <c r="I239" s="81"/>
      <c r="J239" s="102"/>
      <c r="K239" s="102"/>
      <c r="L239" s="102"/>
      <c r="M239" s="102"/>
      <c r="N239" s="102"/>
      <c r="O239" s="102"/>
      <c r="P239" s="81"/>
      <c r="Q239" s="81"/>
      <c r="R239" s="81"/>
      <c r="S239" s="81"/>
      <c r="T239" s="81"/>
      <c r="U239" s="81"/>
      <c r="V239" s="81"/>
      <c r="W239" s="81"/>
      <c r="X239" s="81"/>
      <c r="Y239" s="81"/>
      <c r="Z239" s="81"/>
    </row>
    <row r="240" customFormat="false" ht="12" hidden="false" customHeight="true" outlineLevel="0" collapsed="false">
      <c r="A240" s="91"/>
      <c r="B240" s="81"/>
      <c r="C240" s="81"/>
      <c r="D240" s="173"/>
      <c r="E240" s="173"/>
      <c r="F240" s="80"/>
      <c r="G240" s="173"/>
      <c r="H240" s="81"/>
      <c r="I240" s="81"/>
      <c r="J240" s="102"/>
      <c r="K240" s="102"/>
      <c r="L240" s="102"/>
      <c r="M240" s="102"/>
      <c r="N240" s="102"/>
      <c r="O240" s="102"/>
      <c r="P240" s="81"/>
      <c r="Q240" s="81"/>
      <c r="R240" s="81"/>
      <c r="S240" s="81"/>
      <c r="T240" s="81"/>
      <c r="U240" s="81"/>
      <c r="V240" s="81"/>
      <c r="W240" s="81"/>
      <c r="X240" s="81"/>
      <c r="Y240" s="81"/>
      <c r="Z240" s="81"/>
    </row>
    <row r="241" customFormat="false" ht="12" hidden="false" customHeight="true" outlineLevel="0" collapsed="false">
      <c r="A241" s="91"/>
      <c r="B241" s="81"/>
      <c r="C241" s="81"/>
      <c r="D241" s="173"/>
      <c r="E241" s="173"/>
      <c r="F241" s="80"/>
      <c r="G241" s="173"/>
      <c r="H241" s="81"/>
      <c r="I241" s="81"/>
      <c r="J241" s="102"/>
      <c r="K241" s="102"/>
      <c r="L241" s="102"/>
      <c r="M241" s="102"/>
      <c r="N241" s="102"/>
      <c r="O241" s="102"/>
      <c r="P241" s="81"/>
      <c r="Q241" s="81"/>
      <c r="R241" s="81"/>
      <c r="S241" s="81"/>
      <c r="T241" s="81"/>
      <c r="U241" s="81"/>
      <c r="V241" s="81"/>
      <c r="W241" s="81"/>
      <c r="X241" s="81"/>
      <c r="Y241" s="81"/>
      <c r="Z241" s="81"/>
    </row>
    <row r="242" customFormat="false" ht="12" hidden="false" customHeight="true" outlineLevel="0" collapsed="false">
      <c r="A242" s="91"/>
      <c r="B242" s="81"/>
      <c r="C242" s="81"/>
      <c r="D242" s="173"/>
      <c r="E242" s="173"/>
      <c r="F242" s="80"/>
      <c r="G242" s="173"/>
      <c r="H242" s="81"/>
      <c r="I242" s="81"/>
      <c r="J242" s="102"/>
      <c r="K242" s="102"/>
      <c r="L242" s="102"/>
      <c r="M242" s="102"/>
      <c r="N242" s="102"/>
      <c r="O242" s="102"/>
      <c r="P242" s="81"/>
      <c r="Q242" s="81"/>
      <c r="R242" s="81"/>
      <c r="S242" s="81"/>
      <c r="T242" s="81"/>
      <c r="U242" s="81"/>
      <c r="V242" s="81"/>
      <c r="W242" s="81"/>
      <c r="X242" s="81"/>
      <c r="Y242" s="81"/>
      <c r="Z242" s="81"/>
    </row>
    <row r="243" customFormat="false" ht="12" hidden="false" customHeight="true" outlineLevel="0" collapsed="false">
      <c r="A243" s="91"/>
      <c r="B243" s="81"/>
      <c r="C243" s="81"/>
      <c r="D243" s="173"/>
      <c r="E243" s="173"/>
      <c r="F243" s="80"/>
      <c r="G243" s="173"/>
      <c r="H243" s="81"/>
      <c r="I243" s="81"/>
      <c r="J243" s="102"/>
      <c r="K243" s="102"/>
      <c r="L243" s="102"/>
      <c r="M243" s="102"/>
      <c r="N243" s="102"/>
      <c r="O243" s="102"/>
      <c r="P243" s="81"/>
      <c r="Q243" s="81"/>
      <c r="R243" s="81"/>
      <c r="S243" s="81"/>
      <c r="T243" s="81"/>
      <c r="U243" s="81"/>
      <c r="V243" s="81"/>
      <c r="W243" s="81"/>
      <c r="X243" s="81"/>
      <c r="Y243" s="81"/>
      <c r="Z243" s="81"/>
    </row>
    <row r="244" customFormat="false" ht="12" hidden="false" customHeight="true" outlineLevel="0" collapsed="false">
      <c r="A244" s="91"/>
      <c r="B244" s="81"/>
      <c r="C244" s="81"/>
      <c r="D244" s="173"/>
      <c r="E244" s="173"/>
      <c r="F244" s="80"/>
      <c r="G244" s="173"/>
      <c r="H244" s="81"/>
      <c r="I244" s="81"/>
      <c r="J244" s="102"/>
      <c r="K244" s="102"/>
      <c r="L244" s="102"/>
      <c r="M244" s="102"/>
      <c r="N244" s="102"/>
      <c r="O244" s="102"/>
      <c r="P244" s="81"/>
      <c r="Q244" s="81"/>
      <c r="R244" s="81"/>
      <c r="S244" s="81"/>
      <c r="T244" s="81"/>
      <c r="U244" s="81"/>
      <c r="V244" s="81"/>
      <c r="W244" s="81"/>
      <c r="X244" s="81"/>
      <c r="Y244" s="81"/>
      <c r="Z244" s="81"/>
    </row>
    <row r="245" customFormat="false" ht="12" hidden="false" customHeight="true" outlineLevel="0" collapsed="false">
      <c r="A245" s="91"/>
      <c r="B245" s="81"/>
      <c r="C245" s="81"/>
      <c r="D245" s="173"/>
      <c r="E245" s="173"/>
      <c r="F245" s="80"/>
      <c r="G245" s="173"/>
      <c r="H245" s="81"/>
      <c r="I245" s="81"/>
      <c r="J245" s="102"/>
      <c r="K245" s="102"/>
      <c r="L245" s="102"/>
      <c r="M245" s="102"/>
      <c r="N245" s="102"/>
      <c r="O245" s="102"/>
      <c r="P245" s="81"/>
      <c r="Q245" s="81"/>
      <c r="R245" s="81"/>
      <c r="S245" s="81"/>
      <c r="T245" s="81"/>
      <c r="U245" s="81"/>
      <c r="V245" s="81"/>
      <c r="W245" s="81"/>
      <c r="X245" s="81"/>
      <c r="Y245" s="81"/>
      <c r="Z245" s="81"/>
    </row>
    <row r="246" customFormat="false" ht="12" hidden="false" customHeight="true" outlineLevel="0" collapsed="false">
      <c r="A246" s="91"/>
      <c r="B246" s="81"/>
      <c r="C246" s="81"/>
      <c r="D246" s="173"/>
      <c r="E246" s="173"/>
      <c r="F246" s="80"/>
      <c r="G246" s="173"/>
      <c r="H246" s="81"/>
      <c r="I246" s="81"/>
      <c r="J246" s="102"/>
      <c r="K246" s="102"/>
      <c r="L246" s="102"/>
      <c r="M246" s="102"/>
      <c r="N246" s="102"/>
      <c r="O246" s="102"/>
      <c r="P246" s="81"/>
      <c r="Q246" s="81"/>
      <c r="R246" s="81"/>
      <c r="S246" s="81"/>
      <c r="T246" s="81"/>
      <c r="U246" s="81"/>
      <c r="V246" s="81"/>
      <c r="W246" s="81"/>
      <c r="X246" s="81"/>
      <c r="Y246" s="81"/>
      <c r="Z246" s="81"/>
    </row>
    <row r="247" customFormat="false" ht="12" hidden="false" customHeight="true" outlineLevel="0" collapsed="false">
      <c r="A247" s="91"/>
      <c r="B247" s="81"/>
      <c r="C247" s="81"/>
      <c r="D247" s="173"/>
      <c r="E247" s="173"/>
      <c r="F247" s="80"/>
      <c r="G247" s="173"/>
      <c r="H247" s="81"/>
      <c r="I247" s="81"/>
      <c r="J247" s="102"/>
      <c r="K247" s="102"/>
      <c r="L247" s="102"/>
      <c r="M247" s="102"/>
      <c r="N247" s="102"/>
      <c r="O247" s="102"/>
      <c r="P247" s="81"/>
      <c r="Q247" s="81"/>
      <c r="R247" s="81"/>
      <c r="S247" s="81"/>
      <c r="T247" s="81"/>
      <c r="U247" s="81"/>
      <c r="V247" s="81"/>
      <c r="W247" s="81"/>
      <c r="X247" s="81"/>
      <c r="Y247" s="81"/>
      <c r="Z247" s="81"/>
    </row>
    <row r="248" customFormat="false" ht="12" hidden="false" customHeight="true" outlineLevel="0" collapsed="false">
      <c r="A248" s="91"/>
      <c r="B248" s="81"/>
      <c r="C248" s="81"/>
      <c r="D248" s="173"/>
      <c r="E248" s="173"/>
      <c r="F248" s="80"/>
      <c r="G248" s="173"/>
      <c r="H248" s="81"/>
      <c r="I248" s="81"/>
      <c r="J248" s="102"/>
      <c r="K248" s="102"/>
      <c r="L248" s="102"/>
      <c r="M248" s="102"/>
      <c r="N248" s="102"/>
      <c r="O248" s="102"/>
      <c r="P248" s="81"/>
      <c r="Q248" s="81"/>
      <c r="R248" s="81"/>
      <c r="S248" s="81"/>
      <c r="T248" s="81"/>
      <c r="U248" s="81"/>
      <c r="V248" s="81"/>
      <c r="W248" s="81"/>
      <c r="X248" s="81"/>
      <c r="Y248" s="81"/>
      <c r="Z248" s="81"/>
    </row>
    <row r="249" customFormat="false" ht="12" hidden="false" customHeight="true" outlineLevel="0" collapsed="false">
      <c r="A249" s="91"/>
      <c r="B249" s="81"/>
      <c r="C249" s="81"/>
      <c r="D249" s="173"/>
      <c r="E249" s="173"/>
      <c r="F249" s="80"/>
      <c r="G249" s="173"/>
      <c r="H249" s="81"/>
      <c r="I249" s="81"/>
      <c r="J249" s="102"/>
      <c r="K249" s="102"/>
      <c r="L249" s="102"/>
      <c r="M249" s="102"/>
      <c r="N249" s="102"/>
      <c r="O249" s="102"/>
      <c r="P249" s="81"/>
      <c r="Q249" s="81"/>
      <c r="R249" s="81"/>
      <c r="S249" s="81"/>
      <c r="T249" s="81"/>
      <c r="U249" s="81"/>
      <c r="V249" s="81"/>
      <c r="W249" s="81"/>
      <c r="X249" s="81"/>
      <c r="Y249" s="81"/>
      <c r="Z249" s="81"/>
    </row>
    <row r="250" customFormat="false" ht="12" hidden="false" customHeight="true" outlineLevel="0" collapsed="false">
      <c r="A250" s="91"/>
      <c r="B250" s="81"/>
      <c r="C250" s="81"/>
      <c r="D250" s="173"/>
      <c r="E250" s="173"/>
      <c r="F250" s="80"/>
      <c r="G250" s="173"/>
      <c r="H250" s="81"/>
      <c r="I250" s="81"/>
      <c r="J250" s="102"/>
      <c r="K250" s="102"/>
      <c r="L250" s="102"/>
      <c r="M250" s="102"/>
      <c r="N250" s="102"/>
      <c r="O250" s="102"/>
      <c r="P250" s="81"/>
      <c r="Q250" s="81"/>
      <c r="R250" s="81"/>
      <c r="S250" s="81"/>
      <c r="T250" s="81"/>
      <c r="U250" s="81"/>
      <c r="V250" s="81"/>
      <c r="W250" s="81"/>
      <c r="X250" s="81"/>
      <c r="Y250" s="81"/>
      <c r="Z250" s="81"/>
    </row>
    <row r="251" customFormat="false" ht="12" hidden="false" customHeight="true" outlineLevel="0" collapsed="false">
      <c r="A251" s="91"/>
      <c r="B251" s="81"/>
      <c r="C251" s="81"/>
      <c r="D251" s="173"/>
      <c r="E251" s="173"/>
      <c r="F251" s="80"/>
      <c r="G251" s="173"/>
      <c r="H251" s="81"/>
      <c r="I251" s="81"/>
      <c r="J251" s="102"/>
      <c r="K251" s="102"/>
      <c r="L251" s="102"/>
      <c r="M251" s="102"/>
      <c r="N251" s="102"/>
      <c r="O251" s="102"/>
      <c r="P251" s="81"/>
      <c r="Q251" s="81"/>
      <c r="R251" s="81"/>
      <c r="S251" s="81"/>
      <c r="T251" s="81"/>
      <c r="U251" s="81"/>
      <c r="V251" s="81"/>
      <c r="W251" s="81"/>
      <c r="X251" s="81"/>
      <c r="Y251" s="81"/>
      <c r="Z251" s="81"/>
    </row>
    <row r="252" customFormat="false" ht="12" hidden="false" customHeight="true" outlineLevel="0" collapsed="false">
      <c r="A252" s="91"/>
      <c r="B252" s="81"/>
      <c r="C252" s="81"/>
      <c r="D252" s="173"/>
      <c r="E252" s="173"/>
      <c r="F252" s="80"/>
      <c r="G252" s="173"/>
      <c r="H252" s="81"/>
      <c r="I252" s="81"/>
      <c r="J252" s="102"/>
      <c r="K252" s="102"/>
      <c r="L252" s="102"/>
      <c r="M252" s="102"/>
      <c r="N252" s="102"/>
      <c r="O252" s="102"/>
      <c r="P252" s="81"/>
      <c r="Q252" s="81"/>
      <c r="R252" s="81"/>
      <c r="S252" s="81"/>
      <c r="T252" s="81"/>
      <c r="U252" s="81"/>
      <c r="V252" s="81"/>
      <c r="W252" s="81"/>
      <c r="X252" s="81"/>
      <c r="Y252" s="81"/>
      <c r="Z252" s="81"/>
    </row>
    <row r="253" customFormat="false" ht="12" hidden="false" customHeight="true" outlineLevel="0" collapsed="false">
      <c r="A253" s="91"/>
      <c r="B253" s="81"/>
      <c r="C253" s="81"/>
      <c r="D253" s="173"/>
      <c r="E253" s="173"/>
      <c r="F253" s="80"/>
      <c r="G253" s="173"/>
      <c r="H253" s="81"/>
      <c r="I253" s="81"/>
      <c r="J253" s="102"/>
      <c r="K253" s="102"/>
      <c r="L253" s="102"/>
      <c r="M253" s="102"/>
      <c r="N253" s="102"/>
      <c r="O253" s="102"/>
      <c r="P253" s="81"/>
      <c r="Q253" s="81"/>
      <c r="R253" s="81"/>
      <c r="S253" s="81"/>
      <c r="T253" s="81"/>
      <c r="U253" s="81"/>
      <c r="V253" s="81"/>
      <c r="W253" s="81"/>
      <c r="X253" s="81"/>
      <c r="Y253" s="81"/>
      <c r="Z253" s="81"/>
    </row>
    <row r="254" customFormat="false" ht="12" hidden="false" customHeight="true" outlineLevel="0" collapsed="false">
      <c r="A254" s="91"/>
      <c r="B254" s="81"/>
      <c r="C254" s="81"/>
      <c r="D254" s="173"/>
      <c r="E254" s="173"/>
      <c r="F254" s="80"/>
      <c r="G254" s="173"/>
      <c r="H254" s="81"/>
      <c r="I254" s="81"/>
      <c r="J254" s="102"/>
      <c r="K254" s="102"/>
      <c r="L254" s="102"/>
      <c r="M254" s="102"/>
      <c r="N254" s="102"/>
      <c r="O254" s="102"/>
      <c r="P254" s="81"/>
      <c r="Q254" s="81"/>
      <c r="R254" s="81"/>
      <c r="S254" s="81"/>
      <c r="T254" s="81"/>
      <c r="U254" s="81"/>
      <c r="V254" s="81"/>
      <c r="W254" s="81"/>
      <c r="X254" s="81"/>
      <c r="Y254" s="81"/>
      <c r="Z254" s="81"/>
    </row>
    <row r="255" customFormat="false" ht="12" hidden="false" customHeight="true" outlineLevel="0" collapsed="false">
      <c r="A255" s="91"/>
      <c r="B255" s="81"/>
      <c r="C255" s="81"/>
      <c r="D255" s="173"/>
      <c r="E255" s="173"/>
      <c r="F255" s="80"/>
      <c r="G255" s="173"/>
      <c r="H255" s="81"/>
      <c r="I255" s="81"/>
      <c r="J255" s="102"/>
      <c r="K255" s="102"/>
      <c r="L255" s="102"/>
      <c r="M255" s="102"/>
      <c r="N255" s="102"/>
      <c r="O255" s="102"/>
      <c r="P255" s="81"/>
      <c r="Q255" s="81"/>
      <c r="R255" s="81"/>
      <c r="S255" s="81"/>
      <c r="T255" s="81"/>
      <c r="U255" s="81"/>
      <c r="V255" s="81"/>
      <c r="W255" s="81"/>
      <c r="X255" s="81"/>
      <c r="Y255" s="81"/>
      <c r="Z255" s="81"/>
    </row>
    <row r="256" customFormat="false" ht="12" hidden="false" customHeight="true" outlineLevel="0" collapsed="false">
      <c r="A256" s="91"/>
      <c r="B256" s="81"/>
      <c r="C256" s="81"/>
      <c r="D256" s="173"/>
      <c r="E256" s="173"/>
      <c r="F256" s="80"/>
      <c r="G256" s="173"/>
      <c r="H256" s="81"/>
      <c r="I256" s="81"/>
      <c r="J256" s="102"/>
      <c r="K256" s="102"/>
      <c r="L256" s="102"/>
      <c r="M256" s="102"/>
      <c r="N256" s="102"/>
      <c r="O256" s="102"/>
      <c r="P256" s="81"/>
      <c r="Q256" s="81"/>
      <c r="R256" s="81"/>
      <c r="S256" s="81"/>
      <c r="T256" s="81"/>
      <c r="U256" s="81"/>
      <c r="V256" s="81"/>
      <c r="W256" s="81"/>
      <c r="X256" s="81"/>
      <c r="Y256" s="81"/>
      <c r="Z256" s="81"/>
    </row>
    <row r="257" customFormat="false" ht="12" hidden="false" customHeight="true" outlineLevel="0" collapsed="false">
      <c r="A257" s="91"/>
      <c r="B257" s="81"/>
      <c r="C257" s="81"/>
      <c r="D257" s="173"/>
      <c r="E257" s="173"/>
      <c r="F257" s="80"/>
      <c r="G257" s="173"/>
      <c r="H257" s="81"/>
      <c r="I257" s="81"/>
      <c r="J257" s="102"/>
      <c r="K257" s="102"/>
      <c r="L257" s="102"/>
      <c r="M257" s="102"/>
      <c r="N257" s="102"/>
      <c r="O257" s="102"/>
      <c r="P257" s="81"/>
      <c r="Q257" s="81"/>
      <c r="R257" s="81"/>
      <c r="S257" s="81"/>
      <c r="T257" s="81"/>
      <c r="U257" s="81"/>
      <c r="V257" s="81"/>
      <c r="W257" s="81"/>
      <c r="X257" s="81"/>
      <c r="Y257" s="81"/>
      <c r="Z257" s="81"/>
    </row>
    <row r="258" customFormat="false" ht="12" hidden="false" customHeight="true" outlineLevel="0" collapsed="false">
      <c r="A258" s="91"/>
      <c r="B258" s="81"/>
      <c r="C258" s="81"/>
      <c r="D258" s="173"/>
      <c r="E258" s="173"/>
      <c r="F258" s="80"/>
      <c r="G258" s="173"/>
      <c r="H258" s="81"/>
      <c r="I258" s="81"/>
      <c r="J258" s="102"/>
      <c r="K258" s="102"/>
      <c r="L258" s="102"/>
      <c r="M258" s="102"/>
      <c r="N258" s="102"/>
      <c r="O258" s="102"/>
      <c r="P258" s="81"/>
      <c r="Q258" s="81"/>
      <c r="R258" s="81"/>
      <c r="S258" s="81"/>
      <c r="T258" s="81"/>
      <c r="U258" s="81"/>
      <c r="V258" s="81"/>
      <c r="W258" s="81"/>
      <c r="X258" s="81"/>
      <c r="Y258" s="81"/>
      <c r="Z258" s="81"/>
    </row>
    <row r="259" customFormat="false" ht="12" hidden="false" customHeight="true" outlineLevel="0" collapsed="false">
      <c r="A259" s="91"/>
      <c r="B259" s="81"/>
      <c r="C259" s="81"/>
      <c r="D259" s="173"/>
      <c r="E259" s="173"/>
      <c r="F259" s="80"/>
      <c r="G259" s="173"/>
      <c r="H259" s="81"/>
      <c r="I259" s="81"/>
      <c r="J259" s="102"/>
      <c r="K259" s="102"/>
      <c r="L259" s="102"/>
      <c r="M259" s="102"/>
      <c r="N259" s="102"/>
      <c r="O259" s="102"/>
      <c r="P259" s="81"/>
      <c r="Q259" s="81"/>
      <c r="R259" s="81"/>
      <c r="S259" s="81"/>
      <c r="T259" s="81"/>
      <c r="U259" s="81"/>
      <c r="V259" s="81"/>
      <c r="W259" s="81"/>
      <c r="X259" s="81"/>
      <c r="Y259" s="81"/>
      <c r="Z259" s="81"/>
    </row>
    <row r="260" customFormat="false" ht="12" hidden="false" customHeight="true" outlineLevel="0" collapsed="false">
      <c r="A260" s="91"/>
      <c r="B260" s="81"/>
      <c r="C260" s="81"/>
      <c r="D260" s="173"/>
      <c r="E260" s="173"/>
      <c r="F260" s="80"/>
      <c r="G260" s="173"/>
      <c r="H260" s="81"/>
      <c r="I260" s="81"/>
      <c r="J260" s="102"/>
      <c r="K260" s="102"/>
      <c r="L260" s="102"/>
      <c r="M260" s="102"/>
      <c r="N260" s="102"/>
      <c r="O260" s="102"/>
      <c r="P260" s="81"/>
      <c r="Q260" s="81"/>
      <c r="R260" s="81"/>
      <c r="S260" s="81"/>
      <c r="T260" s="81"/>
      <c r="U260" s="81"/>
      <c r="V260" s="81"/>
      <c r="W260" s="81"/>
      <c r="X260" s="81"/>
      <c r="Y260" s="81"/>
      <c r="Z260" s="81"/>
    </row>
    <row r="261" customFormat="false" ht="12" hidden="false" customHeight="true" outlineLevel="0" collapsed="false">
      <c r="A261" s="91"/>
      <c r="B261" s="81"/>
      <c r="C261" s="81"/>
      <c r="D261" s="173"/>
      <c r="E261" s="173"/>
      <c r="F261" s="80"/>
      <c r="G261" s="173"/>
      <c r="H261" s="81"/>
      <c r="I261" s="81"/>
      <c r="J261" s="102"/>
      <c r="K261" s="102"/>
      <c r="L261" s="102"/>
      <c r="M261" s="102"/>
      <c r="N261" s="102"/>
      <c r="O261" s="102"/>
      <c r="P261" s="81"/>
      <c r="Q261" s="81"/>
      <c r="R261" s="81"/>
      <c r="S261" s="81"/>
      <c r="T261" s="81"/>
      <c r="U261" s="81"/>
      <c r="V261" s="81"/>
      <c r="W261" s="81"/>
      <c r="X261" s="81"/>
      <c r="Y261" s="81"/>
      <c r="Z261" s="81"/>
    </row>
    <row r="262" customFormat="false" ht="12" hidden="false" customHeight="true" outlineLevel="0" collapsed="false">
      <c r="A262" s="91"/>
      <c r="B262" s="81"/>
      <c r="C262" s="81"/>
      <c r="D262" s="173"/>
      <c r="E262" s="173"/>
      <c r="F262" s="80"/>
      <c r="G262" s="173"/>
      <c r="H262" s="81"/>
      <c r="I262" s="81"/>
      <c r="J262" s="102"/>
      <c r="K262" s="102"/>
      <c r="L262" s="102"/>
      <c r="M262" s="102"/>
      <c r="N262" s="102"/>
      <c r="O262" s="102"/>
      <c r="P262" s="81"/>
      <c r="Q262" s="81"/>
      <c r="R262" s="81"/>
      <c r="S262" s="81"/>
      <c r="T262" s="81"/>
      <c r="U262" s="81"/>
      <c r="V262" s="81"/>
      <c r="W262" s="81"/>
      <c r="X262" s="81"/>
      <c r="Y262" s="81"/>
      <c r="Z262" s="81"/>
    </row>
    <row r="263" customFormat="false" ht="12" hidden="false" customHeight="true" outlineLevel="0" collapsed="false">
      <c r="A263" s="91"/>
      <c r="B263" s="81"/>
      <c r="C263" s="81"/>
      <c r="D263" s="173"/>
      <c r="E263" s="173"/>
      <c r="F263" s="80"/>
      <c r="G263" s="173"/>
      <c r="H263" s="81"/>
      <c r="I263" s="81"/>
      <c r="J263" s="102"/>
      <c r="K263" s="102"/>
      <c r="L263" s="102"/>
      <c r="M263" s="102"/>
      <c r="N263" s="102"/>
      <c r="O263" s="102"/>
      <c r="P263" s="81"/>
      <c r="Q263" s="81"/>
      <c r="R263" s="81"/>
      <c r="S263" s="81"/>
      <c r="T263" s="81"/>
      <c r="U263" s="81"/>
      <c r="V263" s="81"/>
      <c r="W263" s="81"/>
      <c r="X263" s="81"/>
      <c r="Y263" s="81"/>
      <c r="Z263" s="81"/>
    </row>
    <row r="264" customFormat="false" ht="12" hidden="false" customHeight="true" outlineLevel="0" collapsed="false">
      <c r="A264" s="91"/>
      <c r="B264" s="81"/>
      <c r="C264" s="81"/>
      <c r="D264" s="173"/>
      <c r="E264" s="173"/>
      <c r="F264" s="80"/>
      <c r="G264" s="173"/>
      <c r="H264" s="81"/>
      <c r="I264" s="81"/>
      <c r="J264" s="102"/>
      <c r="K264" s="102"/>
      <c r="L264" s="102"/>
      <c r="M264" s="102"/>
      <c r="N264" s="102"/>
      <c r="O264" s="102"/>
      <c r="P264" s="81"/>
      <c r="Q264" s="81"/>
      <c r="R264" s="81"/>
      <c r="S264" s="81"/>
      <c r="T264" s="81"/>
      <c r="U264" s="81"/>
      <c r="V264" s="81"/>
      <c r="W264" s="81"/>
      <c r="X264" s="81"/>
      <c r="Y264" s="81"/>
      <c r="Z264" s="81"/>
    </row>
    <row r="265" customFormat="false" ht="12" hidden="false" customHeight="true" outlineLevel="0" collapsed="false">
      <c r="A265" s="91"/>
      <c r="B265" s="81"/>
      <c r="C265" s="81"/>
      <c r="D265" s="173"/>
      <c r="E265" s="173"/>
      <c r="F265" s="80"/>
      <c r="G265" s="173"/>
      <c r="H265" s="81"/>
      <c r="I265" s="81"/>
      <c r="J265" s="102"/>
      <c r="K265" s="102"/>
      <c r="L265" s="102"/>
      <c r="M265" s="102"/>
      <c r="N265" s="102"/>
      <c r="O265" s="102"/>
      <c r="P265" s="81"/>
      <c r="Q265" s="81"/>
      <c r="R265" s="81"/>
      <c r="S265" s="81"/>
      <c r="T265" s="81"/>
      <c r="U265" s="81"/>
      <c r="V265" s="81"/>
      <c r="W265" s="81"/>
      <c r="X265" s="81"/>
      <c r="Y265" s="81"/>
      <c r="Z265" s="81"/>
    </row>
    <row r="266" customFormat="false" ht="12" hidden="false" customHeight="true" outlineLevel="0" collapsed="false">
      <c r="A266" s="91"/>
      <c r="B266" s="81"/>
      <c r="C266" s="81"/>
      <c r="D266" s="173"/>
      <c r="E266" s="173"/>
      <c r="F266" s="80"/>
      <c r="G266" s="173"/>
      <c r="H266" s="81"/>
      <c r="I266" s="81"/>
      <c r="J266" s="102"/>
      <c r="K266" s="102"/>
      <c r="L266" s="102"/>
      <c r="M266" s="102"/>
      <c r="N266" s="102"/>
      <c r="O266" s="102"/>
      <c r="P266" s="81"/>
      <c r="Q266" s="81"/>
      <c r="R266" s="81"/>
      <c r="S266" s="81"/>
      <c r="T266" s="81"/>
      <c r="U266" s="81"/>
      <c r="V266" s="81"/>
      <c r="W266" s="81"/>
      <c r="X266" s="81"/>
      <c r="Y266" s="81"/>
      <c r="Z266" s="81"/>
    </row>
    <row r="267" customFormat="false" ht="12" hidden="false" customHeight="true" outlineLevel="0" collapsed="false">
      <c r="A267" s="91"/>
      <c r="B267" s="81"/>
      <c r="C267" s="81"/>
      <c r="D267" s="173"/>
      <c r="E267" s="173"/>
      <c r="F267" s="80"/>
      <c r="G267" s="173"/>
      <c r="H267" s="81"/>
      <c r="I267" s="81"/>
      <c r="J267" s="102"/>
      <c r="K267" s="102"/>
      <c r="L267" s="102"/>
      <c r="M267" s="102"/>
      <c r="N267" s="102"/>
      <c r="O267" s="102"/>
      <c r="P267" s="81"/>
      <c r="Q267" s="81"/>
      <c r="R267" s="81"/>
      <c r="S267" s="81"/>
      <c r="T267" s="81"/>
      <c r="U267" s="81"/>
      <c r="V267" s="81"/>
      <c r="W267" s="81"/>
      <c r="X267" s="81"/>
      <c r="Y267" s="81"/>
      <c r="Z267" s="81"/>
    </row>
    <row r="268" customFormat="false" ht="12" hidden="false" customHeight="true" outlineLevel="0" collapsed="false">
      <c r="A268" s="91"/>
      <c r="B268" s="81"/>
      <c r="C268" s="81"/>
      <c r="D268" s="173"/>
      <c r="E268" s="173"/>
      <c r="F268" s="80"/>
      <c r="G268" s="173"/>
      <c r="H268" s="81"/>
      <c r="I268" s="81"/>
      <c r="J268" s="102"/>
      <c r="K268" s="102"/>
      <c r="L268" s="102"/>
      <c r="M268" s="102"/>
      <c r="N268" s="102"/>
      <c r="O268" s="102"/>
      <c r="P268" s="81"/>
      <c r="Q268" s="81"/>
      <c r="R268" s="81"/>
      <c r="S268" s="81"/>
      <c r="T268" s="81"/>
      <c r="U268" s="81"/>
      <c r="V268" s="81"/>
      <c r="W268" s="81"/>
      <c r="X268" s="81"/>
      <c r="Y268" s="81"/>
      <c r="Z268" s="81"/>
    </row>
    <row r="269" customFormat="false" ht="12" hidden="false" customHeight="true" outlineLevel="0" collapsed="false">
      <c r="A269" s="91"/>
      <c r="B269" s="81"/>
      <c r="C269" s="81"/>
      <c r="D269" s="173"/>
      <c r="E269" s="173"/>
      <c r="F269" s="80"/>
      <c r="G269" s="173"/>
      <c r="H269" s="81"/>
      <c r="I269" s="81"/>
      <c r="J269" s="102"/>
      <c r="K269" s="102"/>
      <c r="L269" s="102"/>
      <c r="M269" s="102"/>
      <c r="N269" s="102"/>
      <c r="O269" s="102"/>
      <c r="P269" s="81"/>
      <c r="Q269" s="81"/>
      <c r="R269" s="81"/>
      <c r="S269" s="81"/>
      <c r="T269" s="81"/>
      <c r="U269" s="81"/>
      <c r="V269" s="81"/>
      <c r="W269" s="81"/>
      <c r="X269" s="81"/>
      <c r="Y269" s="81"/>
      <c r="Z269" s="81"/>
    </row>
    <row r="270" customFormat="false" ht="12" hidden="false" customHeight="true" outlineLevel="0" collapsed="false">
      <c r="A270" s="91"/>
      <c r="B270" s="81"/>
      <c r="C270" s="81"/>
      <c r="D270" s="173"/>
      <c r="E270" s="173"/>
      <c r="F270" s="80"/>
      <c r="G270" s="173"/>
      <c r="H270" s="81"/>
      <c r="I270" s="81"/>
      <c r="J270" s="102"/>
      <c r="K270" s="102"/>
      <c r="L270" s="102"/>
      <c r="M270" s="102"/>
      <c r="N270" s="102"/>
      <c r="O270" s="102"/>
      <c r="P270" s="81"/>
      <c r="Q270" s="81"/>
      <c r="R270" s="81"/>
      <c r="S270" s="81"/>
      <c r="T270" s="81"/>
      <c r="U270" s="81"/>
      <c r="V270" s="81"/>
      <c r="W270" s="81"/>
      <c r="X270" s="81"/>
      <c r="Y270" s="81"/>
      <c r="Z270" s="81"/>
    </row>
    <row r="271" customFormat="false" ht="12" hidden="false" customHeight="true" outlineLevel="0" collapsed="false">
      <c r="A271" s="91"/>
      <c r="B271" s="81"/>
      <c r="C271" s="81"/>
      <c r="D271" s="173"/>
      <c r="E271" s="173"/>
      <c r="F271" s="80"/>
      <c r="G271" s="173"/>
      <c r="H271" s="81"/>
      <c r="I271" s="81"/>
      <c r="J271" s="102"/>
      <c r="K271" s="102"/>
      <c r="L271" s="102"/>
      <c r="M271" s="102"/>
      <c r="N271" s="102"/>
      <c r="O271" s="102"/>
      <c r="P271" s="81"/>
      <c r="Q271" s="81"/>
      <c r="R271" s="81"/>
      <c r="S271" s="81"/>
      <c r="T271" s="81"/>
      <c r="U271" s="81"/>
      <c r="V271" s="81"/>
      <c r="W271" s="81"/>
      <c r="X271" s="81"/>
      <c r="Y271" s="81"/>
      <c r="Z271" s="81"/>
    </row>
    <row r="272" customFormat="false" ht="12" hidden="false" customHeight="true" outlineLevel="0" collapsed="false">
      <c r="A272" s="91"/>
      <c r="B272" s="81"/>
      <c r="C272" s="81"/>
      <c r="D272" s="173"/>
      <c r="E272" s="173"/>
      <c r="F272" s="80"/>
      <c r="G272" s="173"/>
      <c r="H272" s="81"/>
      <c r="I272" s="81"/>
      <c r="J272" s="102"/>
      <c r="K272" s="102"/>
      <c r="L272" s="102"/>
      <c r="M272" s="102"/>
      <c r="N272" s="102"/>
      <c r="O272" s="102"/>
      <c r="P272" s="81"/>
      <c r="Q272" s="81"/>
      <c r="R272" s="81"/>
      <c r="S272" s="81"/>
      <c r="T272" s="81"/>
      <c r="U272" s="81"/>
      <c r="V272" s="81"/>
      <c r="W272" s="81"/>
      <c r="X272" s="81"/>
      <c r="Y272" s="81"/>
      <c r="Z272" s="81"/>
    </row>
    <row r="273" customFormat="false" ht="12" hidden="false" customHeight="true" outlineLevel="0" collapsed="false">
      <c r="A273" s="91"/>
      <c r="B273" s="81"/>
      <c r="C273" s="81"/>
      <c r="D273" s="173"/>
      <c r="E273" s="173"/>
      <c r="F273" s="80"/>
      <c r="G273" s="173"/>
      <c r="H273" s="81"/>
      <c r="I273" s="81"/>
      <c r="J273" s="102"/>
      <c r="K273" s="102"/>
      <c r="L273" s="102"/>
      <c r="M273" s="102"/>
      <c r="N273" s="102"/>
      <c r="O273" s="102"/>
      <c r="P273" s="81"/>
      <c r="Q273" s="81"/>
      <c r="R273" s="81"/>
      <c r="S273" s="81"/>
      <c r="T273" s="81"/>
      <c r="U273" s="81"/>
      <c r="V273" s="81"/>
      <c r="W273" s="81"/>
      <c r="X273" s="81"/>
      <c r="Y273" s="81"/>
      <c r="Z273" s="81"/>
    </row>
    <row r="274" customFormat="false" ht="12" hidden="false" customHeight="true" outlineLevel="0" collapsed="false">
      <c r="A274" s="91"/>
      <c r="B274" s="81"/>
      <c r="C274" s="81"/>
      <c r="D274" s="173"/>
      <c r="E274" s="173"/>
      <c r="F274" s="80"/>
      <c r="G274" s="173"/>
      <c r="H274" s="81"/>
      <c r="I274" s="81"/>
      <c r="J274" s="102"/>
      <c r="K274" s="102"/>
      <c r="L274" s="102"/>
      <c r="M274" s="102"/>
      <c r="N274" s="102"/>
      <c r="O274" s="102"/>
      <c r="P274" s="81"/>
      <c r="Q274" s="81"/>
      <c r="R274" s="81"/>
      <c r="S274" s="81"/>
      <c r="T274" s="81"/>
      <c r="U274" s="81"/>
      <c r="V274" s="81"/>
      <c r="W274" s="81"/>
      <c r="X274" s="81"/>
      <c r="Y274" s="81"/>
      <c r="Z274" s="81"/>
    </row>
    <row r="275" customFormat="false" ht="12" hidden="false" customHeight="true" outlineLevel="0" collapsed="false">
      <c r="A275" s="91"/>
      <c r="B275" s="81"/>
      <c r="C275" s="81"/>
      <c r="D275" s="173"/>
      <c r="E275" s="173"/>
      <c r="F275" s="80"/>
      <c r="G275" s="173"/>
      <c r="H275" s="81"/>
      <c r="I275" s="81"/>
      <c r="J275" s="102"/>
      <c r="K275" s="102"/>
      <c r="L275" s="102"/>
      <c r="M275" s="102"/>
      <c r="N275" s="102"/>
      <c r="O275" s="102"/>
      <c r="P275" s="81"/>
      <c r="Q275" s="81"/>
      <c r="R275" s="81"/>
      <c r="S275" s="81"/>
      <c r="T275" s="81"/>
      <c r="U275" s="81"/>
      <c r="V275" s="81"/>
      <c r="W275" s="81"/>
      <c r="X275" s="81"/>
      <c r="Y275" s="81"/>
      <c r="Z275" s="81"/>
    </row>
    <row r="276" customFormat="false" ht="12" hidden="false" customHeight="true" outlineLevel="0" collapsed="false">
      <c r="A276" s="91"/>
      <c r="B276" s="81"/>
      <c r="C276" s="81"/>
      <c r="D276" s="173"/>
      <c r="E276" s="173"/>
      <c r="F276" s="80"/>
      <c r="G276" s="173"/>
      <c r="H276" s="81"/>
      <c r="I276" s="81"/>
      <c r="J276" s="102"/>
      <c r="K276" s="102"/>
      <c r="L276" s="102"/>
      <c r="M276" s="102"/>
      <c r="N276" s="102"/>
      <c r="O276" s="102"/>
      <c r="P276" s="81"/>
      <c r="Q276" s="81"/>
      <c r="R276" s="81"/>
      <c r="S276" s="81"/>
      <c r="T276" s="81"/>
      <c r="U276" s="81"/>
      <c r="V276" s="81"/>
      <c r="W276" s="81"/>
      <c r="X276" s="81"/>
      <c r="Y276" s="81"/>
      <c r="Z276" s="81"/>
    </row>
    <row r="277" customFormat="false" ht="12" hidden="false" customHeight="true" outlineLevel="0" collapsed="false">
      <c r="A277" s="91"/>
      <c r="B277" s="81"/>
      <c r="C277" s="81"/>
      <c r="D277" s="173"/>
      <c r="E277" s="173"/>
      <c r="F277" s="80"/>
      <c r="G277" s="173"/>
      <c r="H277" s="81"/>
      <c r="I277" s="81"/>
      <c r="J277" s="102"/>
      <c r="K277" s="102"/>
      <c r="L277" s="102"/>
      <c r="M277" s="102"/>
      <c r="N277" s="102"/>
      <c r="O277" s="102"/>
      <c r="P277" s="81"/>
      <c r="Q277" s="81"/>
      <c r="R277" s="81"/>
      <c r="S277" s="81"/>
      <c r="T277" s="81"/>
      <c r="U277" s="81"/>
      <c r="V277" s="81"/>
      <c r="W277" s="81"/>
      <c r="X277" s="81"/>
      <c r="Y277" s="81"/>
      <c r="Z277" s="81"/>
    </row>
    <row r="278" customFormat="false" ht="12" hidden="false" customHeight="true" outlineLevel="0" collapsed="false">
      <c r="A278" s="91"/>
      <c r="B278" s="81"/>
      <c r="C278" s="81"/>
      <c r="D278" s="173"/>
      <c r="E278" s="173"/>
      <c r="F278" s="80"/>
      <c r="G278" s="173"/>
      <c r="H278" s="81"/>
      <c r="I278" s="81"/>
      <c r="J278" s="102"/>
      <c r="K278" s="102"/>
      <c r="L278" s="102"/>
      <c r="M278" s="102"/>
      <c r="N278" s="102"/>
      <c r="O278" s="102"/>
      <c r="P278" s="81"/>
      <c r="Q278" s="81"/>
      <c r="R278" s="81"/>
      <c r="S278" s="81"/>
      <c r="T278" s="81"/>
      <c r="U278" s="81"/>
      <c r="V278" s="81"/>
      <c r="W278" s="81"/>
      <c r="X278" s="81"/>
      <c r="Y278" s="81"/>
      <c r="Z278" s="81"/>
    </row>
    <row r="279" customFormat="false" ht="12" hidden="false" customHeight="true" outlineLevel="0" collapsed="false">
      <c r="A279" s="91"/>
      <c r="B279" s="81"/>
      <c r="C279" s="81"/>
      <c r="D279" s="173"/>
      <c r="E279" s="173"/>
      <c r="F279" s="80"/>
      <c r="G279" s="173"/>
      <c r="H279" s="81"/>
      <c r="I279" s="81"/>
      <c r="J279" s="102"/>
      <c r="K279" s="102"/>
      <c r="L279" s="102"/>
      <c r="M279" s="102"/>
      <c r="N279" s="102"/>
      <c r="O279" s="102"/>
      <c r="P279" s="81"/>
      <c r="Q279" s="81"/>
      <c r="R279" s="81"/>
      <c r="S279" s="81"/>
      <c r="T279" s="81"/>
      <c r="U279" s="81"/>
      <c r="V279" s="81"/>
      <c r="W279" s="81"/>
      <c r="X279" s="81"/>
      <c r="Y279" s="81"/>
      <c r="Z279" s="81"/>
    </row>
    <row r="280" customFormat="false" ht="12" hidden="false" customHeight="true" outlineLevel="0" collapsed="false">
      <c r="A280" s="91"/>
      <c r="B280" s="81"/>
      <c r="C280" s="81"/>
      <c r="D280" s="173"/>
      <c r="E280" s="173"/>
      <c r="F280" s="80"/>
      <c r="G280" s="173"/>
      <c r="H280" s="81"/>
      <c r="I280" s="81"/>
      <c r="J280" s="102"/>
      <c r="K280" s="102"/>
      <c r="L280" s="102"/>
      <c r="M280" s="102"/>
      <c r="N280" s="102"/>
      <c r="O280" s="102"/>
      <c r="P280" s="81"/>
      <c r="Q280" s="81"/>
      <c r="R280" s="81"/>
      <c r="S280" s="81"/>
      <c r="T280" s="81"/>
      <c r="U280" s="81"/>
      <c r="V280" s="81"/>
      <c r="W280" s="81"/>
      <c r="X280" s="81"/>
      <c r="Y280" s="81"/>
      <c r="Z280" s="81"/>
    </row>
    <row r="281" customFormat="false" ht="12" hidden="false" customHeight="true" outlineLevel="0" collapsed="false">
      <c r="A281" s="91"/>
      <c r="B281" s="81"/>
      <c r="C281" s="81"/>
      <c r="D281" s="173"/>
      <c r="E281" s="173"/>
      <c r="F281" s="80"/>
      <c r="G281" s="173"/>
      <c r="H281" s="81"/>
      <c r="I281" s="81"/>
      <c r="J281" s="102"/>
      <c r="K281" s="102"/>
      <c r="L281" s="102"/>
      <c r="M281" s="102"/>
      <c r="N281" s="102"/>
      <c r="O281" s="102"/>
      <c r="P281" s="81"/>
      <c r="Q281" s="81"/>
      <c r="R281" s="81"/>
      <c r="S281" s="81"/>
      <c r="T281" s="81"/>
      <c r="U281" s="81"/>
      <c r="V281" s="81"/>
      <c r="W281" s="81"/>
      <c r="X281" s="81"/>
      <c r="Y281" s="81"/>
      <c r="Z281" s="81"/>
    </row>
    <row r="282" customFormat="false" ht="12" hidden="false" customHeight="true" outlineLevel="0" collapsed="false">
      <c r="A282" s="91"/>
      <c r="B282" s="81"/>
      <c r="C282" s="81"/>
      <c r="D282" s="173"/>
      <c r="E282" s="173"/>
      <c r="F282" s="80"/>
      <c r="G282" s="173"/>
      <c r="H282" s="81"/>
      <c r="I282" s="81"/>
      <c r="J282" s="102"/>
      <c r="K282" s="102"/>
      <c r="L282" s="102"/>
      <c r="M282" s="102"/>
      <c r="N282" s="102"/>
      <c r="O282" s="102"/>
      <c r="P282" s="81"/>
      <c r="Q282" s="81"/>
      <c r="R282" s="81"/>
      <c r="S282" s="81"/>
      <c r="T282" s="81"/>
      <c r="U282" s="81"/>
      <c r="V282" s="81"/>
      <c r="W282" s="81"/>
      <c r="X282" s="81"/>
      <c r="Y282" s="81"/>
      <c r="Z282" s="81"/>
    </row>
    <row r="283" customFormat="false" ht="12" hidden="false" customHeight="true" outlineLevel="0" collapsed="false">
      <c r="A283" s="91"/>
      <c r="B283" s="81"/>
      <c r="C283" s="81"/>
      <c r="D283" s="173"/>
      <c r="E283" s="173"/>
      <c r="F283" s="80"/>
      <c r="G283" s="173"/>
      <c r="H283" s="81"/>
      <c r="I283" s="81"/>
      <c r="J283" s="102"/>
      <c r="K283" s="102"/>
      <c r="L283" s="102"/>
      <c r="M283" s="102"/>
      <c r="N283" s="102"/>
      <c r="O283" s="102"/>
      <c r="P283" s="81"/>
      <c r="Q283" s="81"/>
      <c r="R283" s="81"/>
      <c r="S283" s="81"/>
      <c r="T283" s="81"/>
      <c r="U283" s="81"/>
      <c r="V283" s="81"/>
      <c r="W283" s="81"/>
      <c r="X283" s="81"/>
      <c r="Y283" s="81"/>
      <c r="Z283" s="81"/>
    </row>
    <row r="284" customFormat="false" ht="12" hidden="false" customHeight="true" outlineLevel="0" collapsed="false">
      <c r="A284" s="91"/>
      <c r="B284" s="81"/>
      <c r="C284" s="81"/>
      <c r="D284" s="173"/>
      <c r="E284" s="173"/>
      <c r="F284" s="80"/>
      <c r="G284" s="173"/>
      <c r="H284" s="81"/>
      <c r="I284" s="81"/>
      <c r="J284" s="102"/>
      <c r="K284" s="102"/>
      <c r="L284" s="102"/>
      <c r="M284" s="102"/>
      <c r="N284" s="102"/>
      <c r="O284" s="102"/>
      <c r="P284" s="81"/>
      <c r="Q284" s="81"/>
      <c r="R284" s="81"/>
      <c r="S284" s="81"/>
      <c r="T284" s="81"/>
      <c r="U284" s="81"/>
      <c r="V284" s="81"/>
      <c r="W284" s="81"/>
      <c r="X284" s="81"/>
      <c r="Y284" s="81"/>
      <c r="Z284" s="81"/>
    </row>
    <row r="285" customFormat="false" ht="12" hidden="false" customHeight="true" outlineLevel="0" collapsed="false">
      <c r="A285" s="91"/>
      <c r="B285" s="81"/>
      <c r="C285" s="81"/>
      <c r="D285" s="173"/>
      <c r="E285" s="173"/>
      <c r="F285" s="80"/>
      <c r="G285" s="173"/>
      <c r="H285" s="81"/>
      <c r="I285" s="81"/>
      <c r="J285" s="102"/>
      <c r="K285" s="102"/>
      <c r="L285" s="102"/>
      <c r="M285" s="102"/>
      <c r="N285" s="102"/>
      <c r="O285" s="102"/>
      <c r="P285" s="81"/>
      <c r="Q285" s="81"/>
      <c r="R285" s="81"/>
      <c r="S285" s="81"/>
      <c r="T285" s="81"/>
      <c r="U285" s="81"/>
      <c r="V285" s="81"/>
      <c r="W285" s="81"/>
      <c r="X285" s="81"/>
      <c r="Y285" s="81"/>
      <c r="Z285" s="81"/>
    </row>
    <row r="286" customFormat="false" ht="12" hidden="false" customHeight="true" outlineLevel="0" collapsed="false">
      <c r="A286" s="91"/>
      <c r="B286" s="81"/>
      <c r="C286" s="81"/>
      <c r="D286" s="173"/>
      <c r="E286" s="173"/>
      <c r="F286" s="80"/>
      <c r="G286" s="173"/>
      <c r="H286" s="81"/>
      <c r="I286" s="81"/>
      <c r="J286" s="102"/>
      <c r="K286" s="102"/>
      <c r="L286" s="102"/>
      <c r="M286" s="102"/>
      <c r="N286" s="102"/>
      <c r="O286" s="102"/>
      <c r="P286" s="81"/>
      <c r="Q286" s="81"/>
      <c r="R286" s="81"/>
      <c r="S286" s="81"/>
      <c r="T286" s="81"/>
      <c r="U286" s="81"/>
      <c r="V286" s="81"/>
      <c r="W286" s="81"/>
      <c r="X286" s="81"/>
      <c r="Y286" s="81"/>
      <c r="Z286" s="81"/>
    </row>
    <row r="287" customFormat="false" ht="12" hidden="false" customHeight="true" outlineLevel="0" collapsed="false">
      <c r="A287" s="91"/>
      <c r="B287" s="81"/>
      <c r="C287" s="81"/>
      <c r="D287" s="173"/>
      <c r="E287" s="173"/>
      <c r="F287" s="80"/>
      <c r="G287" s="173"/>
      <c r="H287" s="81"/>
      <c r="I287" s="81"/>
      <c r="J287" s="102"/>
      <c r="K287" s="102"/>
      <c r="L287" s="102"/>
      <c r="M287" s="102"/>
      <c r="N287" s="102"/>
      <c r="O287" s="102"/>
      <c r="P287" s="81"/>
      <c r="Q287" s="81"/>
      <c r="R287" s="81"/>
      <c r="S287" s="81"/>
      <c r="T287" s="81"/>
      <c r="U287" s="81"/>
      <c r="V287" s="81"/>
      <c r="W287" s="81"/>
      <c r="X287" s="81"/>
      <c r="Y287" s="81"/>
      <c r="Z287" s="81"/>
    </row>
    <row r="288" customFormat="false" ht="12" hidden="false" customHeight="true" outlineLevel="0" collapsed="false">
      <c r="A288" s="91"/>
      <c r="B288" s="81"/>
      <c r="C288" s="81"/>
      <c r="D288" s="173"/>
      <c r="E288" s="173"/>
      <c r="F288" s="80"/>
      <c r="G288" s="173"/>
      <c r="H288" s="81"/>
      <c r="I288" s="81"/>
      <c r="J288" s="102"/>
      <c r="K288" s="102"/>
      <c r="L288" s="102"/>
      <c r="M288" s="102"/>
      <c r="N288" s="102"/>
      <c r="O288" s="102"/>
      <c r="P288" s="81"/>
      <c r="Q288" s="81"/>
      <c r="R288" s="81"/>
      <c r="S288" s="81"/>
      <c r="T288" s="81"/>
      <c r="U288" s="81"/>
      <c r="V288" s="81"/>
      <c r="W288" s="81"/>
      <c r="X288" s="81"/>
      <c r="Y288" s="81"/>
      <c r="Z288" s="81"/>
    </row>
    <row r="289" customFormat="false" ht="12" hidden="false" customHeight="true" outlineLevel="0" collapsed="false">
      <c r="A289" s="91"/>
      <c r="B289" s="81"/>
      <c r="C289" s="81"/>
      <c r="D289" s="173"/>
      <c r="E289" s="173"/>
      <c r="F289" s="80"/>
      <c r="G289" s="173"/>
      <c r="H289" s="81"/>
      <c r="I289" s="81"/>
      <c r="J289" s="102"/>
      <c r="K289" s="102"/>
      <c r="L289" s="102"/>
      <c r="M289" s="102"/>
      <c r="N289" s="102"/>
      <c r="O289" s="102"/>
      <c r="P289" s="81"/>
      <c r="Q289" s="81"/>
      <c r="R289" s="81"/>
      <c r="S289" s="81"/>
      <c r="T289" s="81"/>
      <c r="U289" s="81"/>
      <c r="V289" s="81"/>
      <c r="W289" s="81"/>
      <c r="X289" s="81"/>
      <c r="Y289" s="81"/>
      <c r="Z289" s="81"/>
    </row>
    <row r="290" customFormat="false" ht="12" hidden="false" customHeight="true" outlineLevel="0" collapsed="false">
      <c r="A290" s="91"/>
      <c r="B290" s="81"/>
      <c r="C290" s="81"/>
      <c r="D290" s="173"/>
      <c r="E290" s="173"/>
      <c r="F290" s="80"/>
      <c r="G290" s="173"/>
      <c r="H290" s="81"/>
      <c r="I290" s="81"/>
      <c r="J290" s="102"/>
      <c r="K290" s="102"/>
      <c r="L290" s="102"/>
      <c r="M290" s="102"/>
      <c r="N290" s="102"/>
      <c r="O290" s="102"/>
      <c r="P290" s="81"/>
      <c r="Q290" s="81"/>
      <c r="R290" s="81"/>
      <c r="S290" s="81"/>
      <c r="T290" s="81"/>
      <c r="U290" s="81"/>
      <c r="V290" s="81"/>
      <c r="W290" s="81"/>
      <c r="X290" s="81"/>
      <c r="Y290" s="81"/>
      <c r="Z290" s="81"/>
    </row>
    <row r="291" customFormat="false" ht="12" hidden="false" customHeight="true" outlineLevel="0" collapsed="false">
      <c r="A291" s="91"/>
      <c r="B291" s="81"/>
      <c r="C291" s="81"/>
      <c r="D291" s="173"/>
      <c r="E291" s="173"/>
      <c r="F291" s="80"/>
      <c r="G291" s="173"/>
      <c r="H291" s="81"/>
      <c r="I291" s="81"/>
      <c r="J291" s="102"/>
      <c r="K291" s="102"/>
      <c r="L291" s="102"/>
      <c r="M291" s="102"/>
      <c r="N291" s="102"/>
      <c r="O291" s="102"/>
      <c r="P291" s="81"/>
      <c r="Q291" s="81"/>
      <c r="R291" s="81"/>
      <c r="S291" s="81"/>
      <c r="T291" s="81"/>
      <c r="U291" s="81"/>
      <c r="V291" s="81"/>
      <c r="W291" s="81"/>
      <c r="X291" s="81"/>
      <c r="Y291" s="81"/>
      <c r="Z291" s="81"/>
    </row>
    <row r="292" customFormat="false" ht="12" hidden="false" customHeight="true" outlineLevel="0" collapsed="false">
      <c r="A292" s="91"/>
      <c r="B292" s="81"/>
      <c r="C292" s="81"/>
      <c r="D292" s="173"/>
      <c r="E292" s="173"/>
      <c r="F292" s="80"/>
      <c r="G292" s="173"/>
      <c r="H292" s="81"/>
      <c r="I292" s="81"/>
      <c r="J292" s="102"/>
      <c r="K292" s="102"/>
      <c r="L292" s="102"/>
      <c r="M292" s="102"/>
      <c r="N292" s="102"/>
      <c r="O292" s="102"/>
      <c r="P292" s="81"/>
      <c r="Q292" s="81"/>
      <c r="R292" s="81"/>
      <c r="S292" s="81"/>
      <c r="T292" s="81"/>
      <c r="U292" s="81"/>
      <c r="V292" s="81"/>
      <c r="W292" s="81"/>
      <c r="X292" s="81"/>
      <c r="Y292" s="81"/>
      <c r="Z292" s="81"/>
    </row>
    <row r="293" customFormat="false" ht="12" hidden="false" customHeight="true" outlineLevel="0" collapsed="false">
      <c r="A293" s="91"/>
      <c r="B293" s="81"/>
      <c r="C293" s="81"/>
      <c r="D293" s="173"/>
      <c r="E293" s="173"/>
      <c r="F293" s="80"/>
      <c r="G293" s="173"/>
      <c r="H293" s="81"/>
      <c r="I293" s="81"/>
      <c r="J293" s="102"/>
      <c r="K293" s="102"/>
      <c r="L293" s="102"/>
      <c r="M293" s="102"/>
      <c r="N293" s="102"/>
      <c r="O293" s="102"/>
      <c r="P293" s="81"/>
      <c r="Q293" s="81"/>
      <c r="R293" s="81"/>
      <c r="S293" s="81"/>
      <c r="T293" s="81"/>
      <c r="U293" s="81"/>
      <c r="V293" s="81"/>
      <c r="W293" s="81"/>
      <c r="X293" s="81"/>
      <c r="Y293" s="81"/>
      <c r="Z293" s="81"/>
    </row>
    <row r="294" customFormat="false" ht="12" hidden="false" customHeight="true" outlineLevel="0" collapsed="false">
      <c r="A294" s="91"/>
      <c r="B294" s="81"/>
      <c r="C294" s="81"/>
      <c r="D294" s="173"/>
      <c r="E294" s="173"/>
      <c r="F294" s="80"/>
      <c r="G294" s="173"/>
      <c r="H294" s="81"/>
      <c r="I294" s="81"/>
      <c r="J294" s="102"/>
      <c r="K294" s="102"/>
      <c r="L294" s="102"/>
      <c r="M294" s="102"/>
      <c r="N294" s="102"/>
      <c r="O294" s="102"/>
      <c r="P294" s="81"/>
      <c r="Q294" s="81"/>
      <c r="R294" s="81"/>
      <c r="S294" s="81"/>
      <c r="T294" s="81"/>
      <c r="U294" s="81"/>
      <c r="V294" s="81"/>
      <c r="W294" s="81"/>
      <c r="X294" s="81"/>
      <c r="Y294" s="81"/>
      <c r="Z294" s="81"/>
    </row>
    <row r="295" customFormat="false" ht="12" hidden="false" customHeight="true" outlineLevel="0" collapsed="false">
      <c r="A295" s="91"/>
      <c r="B295" s="81"/>
      <c r="C295" s="81"/>
      <c r="D295" s="173"/>
      <c r="E295" s="173"/>
      <c r="F295" s="80"/>
      <c r="G295" s="173"/>
      <c r="H295" s="81"/>
      <c r="I295" s="81"/>
      <c r="J295" s="102"/>
      <c r="K295" s="102"/>
      <c r="L295" s="102"/>
      <c r="M295" s="102"/>
      <c r="N295" s="102"/>
      <c r="O295" s="102"/>
      <c r="P295" s="81"/>
      <c r="Q295" s="81"/>
      <c r="R295" s="81"/>
      <c r="S295" s="81"/>
      <c r="T295" s="81"/>
      <c r="U295" s="81"/>
      <c r="V295" s="81"/>
      <c r="W295" s="81"/>
      <c r="X295" s="81"/>
      <c r="Y295" s="81"/>
      <c r="Z295" s="81"/>
    </row>
    <row r="296" customFormat="false" ht="12" hidden="false" customHeight="true" outlineLevel="0" collapsed="false">
      <c r="A296" s="91"/>
      <c r="B296" s="81"/>
      <c r="C296" s="81"/>
      <c r="D296" s="173"/>
      <c r="E296" s="173"/>
      <c r="F296" s="80"/>
      <c r="G296" s="173"/>
      <c r="H296" s="81"/>
      <c r="I296" s="81"/>
      <c r="J296" s="102"/>
      <c r="K296" s="102"/>
      <c r="L296" s="102"/>
      <c r="M296" s="102"/>
      <c r="N296" s="102"/>
      <c r="O296" s="102"/>
      <c r="P296" s="81"/>
      <c r="Q296" s="81"/>
      <c r="R296" s="81"/>
      <c r="S296" s="81"/>
      <c r="T296" s="81"/>
      <c r="U296" s="81"/>
      <c r="V296" s="81"/>
      <c r="W296" s="81"/>
      <c r="X296" s="81"/>
      <c r="Y296" s="81"/>
      <c r="Z296" s="81"/>
    </row>
    <row r="297" customFormat="false" ht="12" hidden="false" customHeight="true" outlineLevel="0" collapsed="false">
      <c r="A297" s="91"/>
      <c r="B297" s="81"/>
      <c r="C297" s="81"/>
      <c r="D297" s="173"/>
      <c r="E297" s="173"/>
      <c r="F297" s="80"/>
      <c r="G297" s="173"/>
      <c r="H297" s="81"/>
      <c r="I297" s="81"/>
      <c r="J297" s="102"/>
      <c r="K297" s="102"/>
      <c r="L297" s="102"/>
      <c r="M297" s="102"/>
      <c r="N297" s="102"/>
      <c r="O297" s="102"/>
      <c r="P297" s="81"/>
      <c r="Q297" s="81"/>
      <c r="R297" s="81"/>
      <c r="S297" s="81"/>
      <c r="T297" s="81"/>
      <c r="U297" s="81"/>
      <c r="V297" s="81"/>
      <c r="W297" s="81"/>
      <c r="X297" s="81"/>
      <c r="Y297" s="81"/>
      <c r="Z297" s="81"/>
    </row>
    <row r="298" customFormat="false" ht="12" hidden="false" customHeight="true" outlineLevel="0" collapsed="false">
      <c r="A298" s="91"/>
      <c r="B298" s="81"/>
      <c r="C298" s="81"/>
      <c r="D298" s="173"/>
      <c r="E298" s="173"/>
      <c r="F298" s="80"/>
      <c r="G298" s="173"/>
      <c r="H298" s="81"/>
      <c r="I298" s="81"/>
      <c r="J298" s="102"/>
      <c r="K298" s="102"/>
      <c r="L298" s="102"/>
      <c r="M298" s="102"/>
      <c r="N298" s="102"/>
      <c r="O298" s="102"/>
      <c r="P298" s="81"/>
      <c r="Q298" s="81"/>
      <c r="R298" s="81"/>
      <c r="S298" s="81"/>
      <c r="T298" s="81"/>
      <c r="U298" s="81"/>
      <c r="V298" s="81"/>
      <c r="W298" s="81"/>
      <c r="X298" s="81"/>
      <c r="Y298" s="81"/>
      <c r="Z298" s="81"/>
    </row>
    <row r="299" customFormat="false" ht="12" hidden="false" customHeight="true" outlineLevel="0" collapsed="false">
      <c r="A299" s="91"/>
      <c r="B299" s="81"/>
      <c r="C299" s="81"/>
      <c r="D299" s="173"/>
      <c r="E299" s="173"/>
      <c r="F299" s="80"/>
      <c r="G299" s="173"/>
      <c r="H299" s="81"/>
      <c r="I299" s="81"/>
      <c r="J299" s="102"/>
      <c r="K299" s="102"/>
      <c r="L299" s="102"/>
      <c r="M299" s="102"/>
      <c r="N299" s="102"/>
      <c r="O299" s="102"/>
      <c r="P299" s="81"/>
      <c r="Q299" s="81"/>
      <c r="R299" s="81"/>
      <c r="S299" s="81"/>
      <c r="T299" s="81"/>
      <c r="U299" s="81"/>
      <c r="V299" s="81"/>
      <c r="W299" s="81"/>
      <c r="X299" s="81"/>
      <c r="Y299" s="81"/>
      <c r="Z299" s="81"/>
    </row>
    <row r="300" customFormat="false" ht="12" hidden="false" customHeight="true" outlineLevel="0" collapsed="false">
      <c r="A300" s="91"/>
      <c r="B300" s="81"/>
      <c r="C300" s="81"/>
      <c r="D300" s="173"/>
      <c r="E300" s="173"/>
      <c r="F300" s="80"/>
      <c r="G300" s="173"/>
      <c r="H300" s="81"/>
      <c r="I300" s="81"/>
      <c r="J300" s="102"/>
      <c r="K300" s="102"/>
      <c r="L300" s="102"/>
      <c r="M300" s="102"/>
      <c r="N300" s="102"/>
      <c r="O300" s="102"/>
      <c r="P300" s="81"/>
      <c r="Q300" s="81"/>
      <c r="R300" s="81"/>
      <c r="S300" s="81"/>
      <c r="T300" s="81"/>
      <c r="U300" s="81"/>
      <c r="V300" s="81"/>
      <c r="W300" s="81"/>
      <c r="X300" s="81"/>
      <c r="Y300" s="81"/>
      <c r="Z300" s="81"/>
    </row>
    <row r="301" customFormat="false" ht="12" hidden="false" customHeight="true" outlineLevel="0" collapsed="false">
      <c r="A301" s="91"/>
      <c r="B301" s="81"/>
      <c r="C301" s="81"/>
      <c r="D301" s="173"/>
      <c r="E301" s="173"/>
      <c r="F301" s="80"/>
      <c r="G301" s="173"/>
      <c r="H301" s="81"/>
      <c r="I301" s="81"/>
      <c r="J301" s="102"/>
      <c r="K301" s="102"/>
      <c r="L301" s="102"/>
      <c r="M301" s="102"/>
      <c r="N301" s="102"/>
      <c r="O301" s="102"/>
      <c r="P301" s="81"/>
      <c r="Q301" s="81"/>
      <c r="R301" s="81"/>
      <c r="S301" s="81"/>
      <c r="T301" s="81"/>
      <c r="U301" s="81"/>
      <c r="V301" s="81"/>
      <c r="W301" s="81"/>
      <c r="X301" s="81"/>
      <c r="Y301" s="81"/>
      <c r="Z301" s="81"/>
    </row>
    <row r="302" customFormat="false" ht="12" hidden="false" customHeight="true" outlineLevel="0" collapsed="false">
      <c r="A302" s="91"/>
      <c r="B302" s="81"/>
      <c r="C302" s="81"/>
      <c r="D302" s="173"/>
      <c r="E302" s="173"/>
      <c r="F302" s="80"/>
      <c r="G302" s="173"/>
      <c r="H302" s="81"/>
      <c r="I302" s="81"/>
      <c r="J302" s="102"/>
      <c r="K302" s="102"/>
      <c r="L302" s="102"/>
      <c r="M302" s="102"/>
      <c r="N302" s="102"/>
      <c r="O302" s="102"/>
      <c r="P302" s="81"/>
      <c r="Q302" s="81"/>
      <c r="R302" s="81"/>
      <c r="S302" s="81"/>
      <c r="T302" s="81"/>
      <c r="U302" s="81"/>
      <c r="V302" s="81"/>
      <c r="W302" s="81"/>
      <c r="X302" s="81"/>
      <c r="Y302" s="81"/>
      <c r="Z302" s="81"/>
    </row>
    <row r="303" customFormat="false" ht="12" hidden="false" customHeight="true" outlineLevel="0" collapsed="false">
      <c r="A303" s="91"/>
      <c r="B303" s="81"/>
      <c r="C303" s="81"/>
      <c r="D303" s="173"/>
      <c r="E303" s="173"/>
      <c r="F303" s="80"/>
      <c r="G303" s="173"/>
      <c r="H303" s="81"/>
      <c r="I303" s="81"/>
      <c r="J303" s="102"/>
      <c r="K303" s="102"/>
      <c r="L303" s="102"/>
      <c r="M303" s="102"/>
      <c r="N303" s="102"/>
      <c r="O303" s="102"/>
      <c r="P303" s="81"/>
      <c r="Q303" s="81"/>
      <c r="R303" s="81"/>
      <c r="S303" s="81"/>
      <c r="T303" s="81"/>
      <c r="U303" s="81"/>
      <c r="V303" s="81"/>
      <c r="W303" s="81"/>
      <c r="X303" s="81"/>
      <c r="Y303" s="81"/>
      <c r="Z303" s="81"/>
    </row>
    <row r="304" customFormat="false" ht="12" hidden="false" customHeight="true" outlineLevel="0" collapsed="false">
      <c r="A304" s="91"/>
      <c r="B304" s="81"/>
      <c r="C304" s="81"/>
      <c r="D304" s="173"/>
      <c r="E304" s="173"/>
      <c r="F304" s="80"/>
      <c r="G304" s="173"/>
      <c r="H304" s="81"/>
      <c r="I304" s="81"/>
      <c r="J304" s="102"/>
      <c r="K304" s="102"/>
      <c r="L304" s="102"/>
      <c r="M304" s="102"/>
      <c r="N304" s="102"/>
      <c r="O304" s="102"/>
      <c r="P304" s="81"/>
      <c r="Q304" s="81"/>
      <c r="R304" s="81"/>
      <c r="S304" s="81"/>
      <c r="T304" s="81"/>
      <c r="U304" s="81"/>
      <c r="V304" s="81"/>
      <c r="W304" s="81"/>
      <c r="X304" s="81"/>
      <c r="Y304" s="81"/>
      <c r="Z304" s="81"/>
    </row>
    <row r="305" customFormat="false" ht="12" hidden="false" customHeight="true" outlineLevel="0" collapsed="false">
      <c r="A305" s="91"/>
      <c r="B305" s="81"/>
      <c r="C305" s="81"/>
      <c r="D305" s="173"/>
      <c r="E305" s="173"/>
      <c r="F305" s="80"/>
      <c r="G305" s="173"/>
      <c r="H305" s="81"/>
      <c r="I305" s="81"/>
      <c r="J305" s="102"/>
      <c r="K305" s="102"/>
      <c r="L305" s="102"/>
      <c r="M305" s="102"/>
      <c r="N305" s="102"/>
      <c r="O305" s="102"/>
      <c r="P305" s="81"/>
      <c r="Q305" s="81"/>
      <c r="R305" s="81"/>
      <c r="S305" s="81"/>
      <c r="T305" s="81"/>
      <c r="U305" s="81"/>
      <c r="V305" s="81"/>
      <c r="W305" s="81"/>
      <c r="X305" s="81"/>
      <c r="Y305" s="81"/>
      <c r="Z305" s="81"/>
    </row>
    <row r="306" customFormat="false" ht="12" hidden="false" customHeight="true" outlineLevel="0" collapsed="false">
      <c r="A306" s="91"/>
      <c r="B306" s="81"/>
      <c r="C306" s="81"/>
      <c r="D306" s="173"/>
      <c r="E306" s="173"/>
      <c r="F306" s="80"/>
      <c r="G306" s="173"/>
      <c r="H306" s="81"/>
      <c r="I306" s="81"/>
      <c r="J306" s="102"/>
      <c r="K306" s="102"/>
      <c r="L306" s="102"/>
      <c r="M306" s="102"/>
      <c r="N306" s="102"/>
      <c r="O306" s="102"/>
      <c r="P306" s="81"/>
      <c r="Q306" s="81"/>
      <c r="R306" s="81"/>
      <c r="S306" s="81"/>
      <c r="T306" s="81"/>
      <c r="U306" s="81"/>
      <c r="V306" s="81"/>
      <c r="W306" s="81"/>
      <c r="X306" s="81"/>
      <c r="Y306" s="81"/>
      <c r="Z306" s="81"/>
    </row>
    <row r="307" customFormat="false" ht="12" hidden="false" customHeight="true" outlineLevel="0" collapsed="false">
      <c r="A307" s="91"/>
      <c r="B307" s="81"/>
      <c r="C307" s="81"/>
      <c r="D307" s="173"/>
      <c r="E307" s="173"/>
      <c r="F307" s="80"/>
      <c r="G307" s="173"/>
      <c r="H307" s="81"/>
      <c r="I307" s="81"/>
      <c r="J307" s="102"/>
      <c r="K307" s="102"/>
      <c r="L307" s="102"/>
      <c r="M307" s="102"/>
      <c r="N307" s="102"/>
      <c r="O307" s="102"/>
      <c r="P307" s="81"/>
      <c r="Q307" s="81"/>
      <c r="R307" s="81"/>
      <c r="S307" s="81"/>
      <c r="T307" s="81"/>
      <c r="U307" s="81"/>
      <c r="V307" s="81"/>
      <c r="W307" s="81"/>
      <c r="X307" s="81"/>
      <c r="Y307" s="81"/>
      <c r="Z307" s="81"/>
    </row>
    <row r="308" customFormat="false" ht="12" hidden="false" customHeight="true" outlineLevel="0" collapsed="false">
      <c r="A308" s="91"/>
      <c r="B308" s="81"/>
      <c r="C308" s="81"/>
      <c r="D308" s="173"/>
      <c r="E308" s="173"/>
      <c r="F308" s="80"/>
      <c r="G308" s="173"/>
      <c r="H308" s="81"/>
      <c r="I308" s="81"/>
      <c r="J308" s="102"/>
      <c r="K308" s="102"/>
      <c r="L308" s="102"/>
      <c r="M308" s="102"/>
      <c r="N308" s="102"/>
      <c r="O308" s="102"/>
      <c r="P308" s="81"/>
      <c r="Q308" s="81"/>
      <c r="R308" s="81"/>
      <c r="S308" s="81"/>
      <c r="T308" s="81"/>
      <c r="U308" s="81"/>
      <c r="V308" s="81"/>
      <c r="W308" s="81"/>
      <c r="X308" s="81"/>
      <c r="Y308" s="81"/>
      <c r="Z308" s="81"/>
    </row>
    <row r="309" customFormat="false" ht="12" hidden="false" customHeight="true" outlineLevel="0" collapsed="false">
      <c r="A309" s="91"/>
      <c r="B309" s="81"/>
      <c r="C309" s="81"/>
      <c r="D309" s="173"/>
      <c r="E309" s="173"/>
      <c r="F309" s="80"/>
      <c r="G309" s="173"/>
      <c r="H309" s="81"/>
      <c r="I309" s="81"/>
      <c r="J309" s="102"/>
      <c r="K309" s="102"/>
      <c r="L309" s="102"/>
      <c r="M309" s="102"/>
      <c r="N309" s="102"/>
      <c r="O309" s="102"/>
      <c r="P309" s="81"/>
      <c r="Q309" s="81"/>
      <c r="R309" s="81"/>
      <c r="S309" s="81"/>
      <c r="T309" s="81"/>
      <c r="U309" s="81"/>
      <c r="V309" s="81"/>
      <c r="W309" s="81"/>
      <c r="X309" s="81"/>
      <c r="Y309" s="81"/>
      <c r="Z309" s="81"/>
    </row>
    <row r="310" customFormat="false" ht="12" hidden="false" customHeight="true" outlineLevel="0" collapsed="false">
      <c r="A310" s="91"/>
      <c r="B310" s="81"/>
      <c r="C310" s="81"/>
      <c r="D310" s="173"/>
      <c r="E310" s="173"/>
      <c r="F310" s="80"/>
      <c r="G310" s="173"/>
      <c r="H310" s="81"/>
      <c r="I310" s="81"/>
      <c r="J310" s="102"/>
      <c r="K310" s="102"/>
      <c r="L310" s="102"/>
      <c r="M310" s="102"/>
      <c r="N310" s="102"/>
      <c r="O310" s="102"/>
      <c r="P310" s="81"/>
      <c r="Q310" s="81"/>
      <c r="R310" s="81"/>
      <c r="S310" s="81"/>
      <c r="T310" s="81"/>
      <c r="U310" s="81"/>
      <c r="V310" s="81"/>
      <c r="W310" s="81"/>
      <c r="X310" s="81"/>
      <c r="Y310" s="81"/>
      <c r="Z310" s="81"/>
    </row>
    <row r="311" customFormat="false" ht="12" hidden="false" customHeight="true" outlineLevel="0" collapsed="false">
      <c r="A311" s="91"/>
      <c r="B311" s="81"/>
      <c r="C311" s="81"/>
      <c r="D311" s="173"/>
      <c r="E311" s="173"/>
      <c r="F311" s="80"/>
      <c r="G311" s="173"/>
      <c r="H311" s="81"/>
      <c r="I311" s="81"/>
      <c r="J311" s="102"/>
      <c r="K311" s="102"/>
      <c r="L311" s="102"/>
      <c r="M311" s="102"/>
      <c r="N311" s="102"/>
      <c r="O311" s="102"/>
      <c r="P311" s="81"/>
      <c r="Q311" s="81"/>
      <c r="R311" s="81"/>
      <c r="S311" s="81"/>
      <c r="T311" s="81"/>
      <c r="U311" s="81"/>
      <c r="V311" s="81"/>
      <c r="W311" s="81"/>
      <c r="X311" s="81"/>
      <c r="Y311" s="81"/>
      <c r="Z311" s="81"/>
    </row>
    <row r="312" customFormat="false" ht="12" hidden="false" customHeight="true" outlineLevel="0" collapsed="false">
      <c r="A312" s="91"/>
      <c r="B312" s="81"/>
      <c r="C312" s="81"/>
      <c r="D312" s="173"/>
      <c r="E312" s="173"/>
      <c r="F312" s="80"/>
      <c r="G312" s="173"/>
      <c r="H312" s="81"/>
      <c r="I312" s="81"/>
      <c r="J312" s="102"/>
      <c r="K312" s="102"/>
      <c r="L312" s="102"/>
      <c r="M312" s="102"/>
      <c r="N312" s="102"/>
      <c r="O312" s="102"/>
      <c r="P312" s="81"/>
      <c r="Q312" s="81"/>
      <c r="R312" s="81"/>
      <c r="S312" s="81"/>
      <c r="T312" s="81"/>
      <c r="U312" s="81"/>
      <c r="V312" s="81"/>
      <c r="W312" s="81"/>
      <c r="X312" s="81"/>
      <c r="Y312" s="81"/>
      <c r="Z312" s="81"/>
    </row>
    <row r="313" customFormat="false" ht="12" hidden="false" customHeight="true" outlineLevel="0" collapsed="false">
      <c r="A313" s="91"/>
      <c r="B313" s="81"/>
      <c r="C313" s="81"/>
      <c r="D313" s="173"/>
      <c r="E313" s="173"/>
      <c r="F313" s="80"/>
      <c r="G313" s="173"/>
      <c r="H313" s="81"/>
      <c r="I313" s="81"/>
      <c r="J313" s="102"/>
      <c r="K313" s="102"/>
      <c r="L313" s="102"/>
      <c r="M313" s="102"/>
      <c r="N313" s="102"/>
      <c r="O313" s="102"/>
      <c r="P313" s="81"/>
      <c r="Q313" s="81"/>
      <c r="R313" s="81"/>
      <c r="S313" s="81"/>
      <c r="T313" s="81"/>
      <c r="U313" s="81"/>
      <c r="V313" s="81"/>
      <c r="W313" s="81"/>
      <c r="X313" s="81"/>
      <c r="Y313" s="81"/>
      <c r="Z313" s="81"/>
    </row>
    <row r="314" customFormat="false" ht="12" hidden="false" customHeight="true" outlineLevel="0" collapsed="false">
      <c r="A314" s="91"/>
      <c r="B314" s="81"/>
      <c r="C314" s="81"/>
      <c r="D314" s="173"/>
      <c r="E314" s="173"/>
      <c r="F314" s="80"/>
      <c r="G314" s="173"/>
      <c r="H314" s="81"/>
      <c r="I314" s="81"/>
      <c r="J314" s="102"/>
      <c r="K314" s="102"/>
      <c r="L314" s="102"/>
      <c r="M314" s="102"/>
      <c r="N314" s="102"/>
      <c r="O314" s="102"/>
      <c r="P314" s="81"/>
      <c r="Q314" s="81"/>
      <c r="R314" s="81"/>
      <c r="S314" s="81"/>
      <c r="T314" s="81"/>
      <c r="U314" s="81"/>
      <c r="V314" s="81"/>
      <c r="W314" s="81"/>
      <c r="X314" s="81"/>
      <c r="Y314" s="81"/>
      <c r="Z314" s="81"/>
    </row>
    <row r="315" customFormat="false" ht="12" hidden="false" customHeight="true" outlineLevel="0" collapsed="false">
      <c r="A315" s="91"/>
      <c r="B315" s="81"/>
      <c r="C315" s="81"/>
      <c r="D315" s="173"/>
      <c r="E315" s="173"/>
      <c r="F315" s="80"/>
      <c r="G315" s="173"/>
      <c r="H315" s="81"/>
      <c r="I315" s="81"/>
      <c r="J315" s="102"/>
      <c r="K315" s="102"/>
      <c r="L315" s="102"/>
      <c r="M315" s="102"/>
      <c r="N315" s="102"/>
      <c r="O315" s="102"/>
      <c r="P315" s="81"/>
      <c r="Q315" s="81"/>
      <c r="R315" s="81"/>
      <c r="S315" s="81"/>
      <c r="T315" s="81"/>
      <c r="U315" s="81"/>
      <c r="V315" s="81"/>
      <c r="W315" s="81"/>
      <c r="X315" s="81"/>
      <c r="Y315" s="81"/>
      <c r="Z315" s="81"/>
    </row>
    <row r="316" customFormat="false" ht="12" hidden="false" customHeight="true" outlineLevel="0" collapsed="false">
      <c r="A316" s="91"/>
      <c r="B316" s="81"/>
      <c r="C316" s="81"/>
      <c r="D316" s="173"/>
      <c r="E316" s="173"/>
      <c r="F316" s="80"/>
      <c r="G316" s="173"/>
      <c r="H316" s="81"/>
      <c r="I316" s="81"/>
      <c r="J316" s="102"/>
      <c r="K316" s="102"/>
      <c r="L316" s="102"/>
      <c r="M316" s="102"/>
      <c r="N316" s="102"/>
      <c r="O316" s="102"/>
      <c r="P316" s="81"/>
      <c r="Q316" s="81"/>
      <c r="R316" s="81"/>
      <c r="S316" s="81"/>
      <c r="T316" s="81"/>
      <c r="U316" s="81"/>
      <c r="V316" s="81"/>
      <c r="W316" s="81"/>
      <c r="X316" s="81"/>
      <c r="Y316" s="81"/>
      <c r="Z316" s="81"/>
    </row>
    <row r="317" customFormat="false" ht="12" hidden="false" customHeight="true" outlineLevel="0" collapsed="false">
      <c r="A317" s="91"/>
      <c r="B317" s="81"/>
      <c r="C317" s="81"/>
      <c r="D317" s="173"/>
      <c r="E317" s="173"/>
      <c r="F317" s="80"/>
      <c r="G317" s="173"/>
      <c r="H317" s="81"/>
      <c r="I317" s="81"/>
      <c r="J317" s="102"/>
      <c r="K317" s="102"/>
      <c r="L317" s="102"/>
      <c r="M317" s="102"/>
      <c r="N317" s="102"/>
      <c r="O317" s="102"/>
      <c r="P317" s="81"/>
      <c r="Q317" s="81"/>
      <c r="R317" s="81"/>
      <c r="S317" s="81"/>
      <c r="T317" s="81"/>
      <c r="U317" s="81"/>
      <c r="V317" s="81"/>
      <c r="W317" s="81"/>
      <c r="X317" s="81"/>
      <c r="Y317" s="81"/>
      <c r="Z317" s="81"/>
    </row>
    <row r="318" customFormat="false" ht="12" hidden="false" customHeight="true" outlineLevel="0" collapsed="false">
      <c r="A318" s="91"/>
      <c r="B318" s="81"/>
      <c r="C318" s="81"/>
      <c r="D318" s="173"/>
      <c r="E318" s="173"/>
      <c r="F318" s="80"/>
      <c r="G318" s="173"/>
      <c r="H318" s="81"/>
      <c r="I318" s="81"/>
      <c r="J318" s="102"/>
      <c r="K318" s="102"/>
      <c r="L318" s="102"/>
      <c r="M318" s="102"/>
      <c r="N318" s="102"/>
      <c r="O318" s="102"/>
      <c r="P318" s="81"/>
      <c r="Q318" s="81"/>
      <c r="R318" s="81"/>
      <c r="S318" s="81"/>
      <c r="T318" s="81"/>
      <c r="U318" s="81"/>
      <c r="V318" s="81"/>
      <c r="W318" s="81"/>
      <c r="X318" s="81"/>
      <c r="Y318" s="81"/>
      <c r="Z318" s="81"/>
    </row>
    <row r="319" customFormat="false" ht="12" hidden="false" customHeight="true" outlineLevel="0" collapsed="false">
      <c r="A319" s="91"/>
      <c r="B319" s="81"/>
      <c r="C319" s="81"/>
      <c r="D319" s="173"/>
      <c r="E319" s="173"/>
      <c r="F319" s="80"/>
      <c r="G319" s="173"/>
      <c r="H319" s="81"/>
      <c r="I319" s="81"/>
      <c r="J319" s="102"/>
      <c r="K319" s="102"/>
      <c r="L319" s="102"/>
      <c r="M319" s="102"/>
      <c r="N319" s="102"/>
      <c r="O319" s="102"/>
      <c r="P319" s="81"/>
      <c r="Q319" s="81"/>
      <c r="R319" s="81"/>
      <c r="S319" s="81"/>
      <c r="T319" s="81"/>
      <c r="U319" s="81"/>
      <c r="V319" s="81"/>
      <c r="W319" s="81"/>
      <c r="X319" s="81"/>
      <c r="Y319" s="81"/>
      <c r="Z319" s="81"/>
    </row>
    <row r="320" customFormat="false" ht="12" hidden="false" customHeight="true" outlineLevel="0" collapsed="false">
      <c r="A320" s="91"/>
      <c r="B320" s="81"/>
      <c r="C320" s="81"/>
      <c r="D320" s="173"/>
      <c r="E320" s="173"/>
      <c r="F320" s="80"/>
      <c r="G320" s="173"/>
      <c r="H320" s="81"/>
      <c r="I320" s="81"/>
      <c r="J320" s="102"/>
      <c r="K320" s="102"/>
      <c r="L320" s="102"/>
      <c r="M320" s="102"/>
      <c r="N320" s="102"/>
      <c r="O320" s="102"/>
      <c r="P320" s="81"/>
      <c r="Q320" s="81"/>
      <c r="R320" s="81"/>
      <c r="S320" s="81"/>
      <c r="T320" s="81"/>
      <c r="U320" s="81"/>
      <c r="V320" s="81"/>
      <c r="W320" s="81"/>
      <c r="X320" s="81"/>
      <c r="Y320" s="81"/>
      <c r="Z320" s="81"/>
    </row>
    <row r="321" customFormat="false" ht="12" hidden="false" customHeight="true" outlineLevel="0" collapsed="false">
      <c r="A321" s="91"/>
      <c r="B321" s="81"/>
      <c r="C321" s="81"/>
      <c r="D321" s="173"/>
      <c r="E321" s="173"/>
      <c r="F321" s="80"/>
      <c r="G321" s="173"/>
      <c r="H321" s="81"/>
      <c r="I321" s="81"/>
      <c r="J321" s="102"/>
      <c r="K321" s="102"/>
      <c r="L321" s="102"/>
      <c r="M321" s="102"/>
      <c r="N321" s="102"/>
      <c r="O321" s="102"/>
      <c r="P321" s="81"/>
      <c r="Q321" s="81"/>
      <c r="R321" s="81"/>
      <c r="S321" s="81"/>
      <c r="T321" s="81"/>
      <c r="U321" s="81"/>
      <c r="V321" s="81"/>
      <c r="W321" s="81"/>
      <c r="X321" s="81"/>
      <c r="Y321" s="81"/>
      <c r="Z321" s="81"/>
    </row>
    <row r="322" customFormat="false" ht="12" hidden="false" customHeight="true" outlineLevel="0" collapsed="false">
      <c r="A322" s="91"/>
      <c r="B322" s="81"/>
      <c r="C322" s="81"/>
      <c r="D322" s="173"/>
      <c r="E322" s="173"/>
      <c r="F322" s="80"/>
      <c r="G322" s="173"/>
      <c r="H322" s="81"/>
      <c r="I322" s="81"/>
      <c r="J322" s="102"/>
      <c r="K322" s="102"/>
      <c r="L322" s="102"/>
      <c r="M322" s="102"/>
      <c r="N322" s="102"/>
      <c r="O322" s="102"/>
      <c r="P322" s="81"/>
      <c r="Q322" s="81"/>
      <c r="R322" s="81"/>
      <c r="S322" s="81"/>
      <c r="T322" s="81"/>
      <c r="U322" s="81"/>
      <c r="V322" s="81"/>
      <c r="W322" s="81"/>
      <c r="X322" s="81"/>
      <c r="Y322" s="81"/>
      <c r="Z322" s="81"/>
    </row>
    <row r="323" customFormat="false" ht="12" hidden="false" customHeight="true" outlineLevel="0" collapsed="false">
      <c r="A323" s="91"/>
      <c r="B323" s="81"/>
      <c r="C323" s="81"/>
      <c r="D323" s="173"/>
      <c r="E323" s="173"/>
      <c r="F323" s="80"/>
      <c r="G323" s="173"/>
      <c r="H323" s="81"/>
      <c r="I323" s="81"/>
      <c r="J323" s="102"/>
      <c r="K323" s="102"/>
      <c r="L323" s="102"/>
      <c r="M323" s="102"/>
      <c r="N323" s="102"/>
      <c r="O323" s="102"/>
      <c r="P323" s="81"/>
      <c r="Q323" s="81"/>
      <c r="R323" s="81"/>
      <c r="S323" s="81"/>
      <c r="T323" s="81"/>
      <c r="U323" s="81"/>
      <c r="V323" s="81"/>
      <c r="W323" s="81"/>
      <c r="X323" s="81"/>
      <c r="Y323" s="81"/>
      <c r="Z323" s="81"/>
    </row>
    <row r="324" customFormat="false" ht="12" hidden="false" customHeight="true" outlineLevel="0" collapsed="false">
      <c r="A324" s="91"/>
      <c r="B324" s="81"/>
      <c r="C324" s="81"/>
      <c r="D324" s="173"/>
      <c r="E324" s="173"/>
      <c r="F324" s="80"/>
      <c r="G324" s="173"/>
      <c r="H324" s="81"/>
      <c r="I324" s="81"/>
      <c r="J324" s="102"/>
      <c r="K324" s="102"/>
      <c r="L324" s="102"/>
      <c r="M324" s="102"/>
      <c r="N324" s="102"/>
      <c r="O324" s="102"/>
      <c r="P324" s="81"/>
      <c r="Q324" s="81"/>
      <c r="R324" s="81"/>
      <c r="S324" s="81"/>
      <c r="T324" s="81"/>
      <c r="U324" s="81"/>
      <c r="V324" s="81"/>
      <c r="W324" s="81"/>
      <c r="X324" s="81"/>
      <c r="Y324" s="81"/>
      <c r="Z324" s="81"/>
    </row>
    <row r="325" customFormat="false" ht="12" hidden="false" customHeight="true" outlineLevel="0" collapsed="false">
      <c r="A325" s="91"/>
      <c r="B325" s="81"/>
      <c r="C325" s="81"/>
      <c r="D325" s="173"/>
      <c r="E325" s="173"/>
      <c r="F325" s="80"/>
      <c r="G325" s="173"/>
      <c r="H325" s="81"/>
      <c r="I325" s="81"/>
      <c r="J325" s="102"/>
      <c r="K325" s="102"/>
      <c r="L325" s="102"/>
      <c r="M325" s="102"/>
      <c r="N325" s="102"/>
      <c r="O325" s="102"/>
      <c r="P325" s="81"/>
      <c r="Q325" s="81"/>
      <c r="R325" s="81"/>
      <c r="S325" s="81"/>
      <c r="T325" s="81"/>
      <c r="U325" s="81"/>
      <c r="V325" s="81"/>
      <c r="W325" s="81"/>
      <c r="X325" s="81"/>
      <c r="Y325" s="81"/>
      <c r="Z325" s="81"/>
    </row>
    <row r="326" customFormat="false" ht="12" hidden="false" customHeight="true" outlineLevel="0" collapsed="false">
      <c r="A326" s="91"/>
      <c r="B326" s="81"/>
      <c r="C326" s="81"/>
      <c r="D326" s="173"/>
      <c r="E326" s="173"/>
      <c r="F326" s="80"/>
      <c r="G326" s="173"/>
      <c r="H326" s="81"/>
      <c r="I326" s="81"/>
      <c r="J326" s="102"/>
      <c r="K326" s="102"/>
      <c r="L326" s="102"/>
      <c r="M326" s="102"/>
      <c r="N326" s="102"/>
      <c r="O326" s="102"/>
      <c r="P326" s="81"/>
      <c r="Q326" s="81"/>
      <c r="R326" s="81"/>
      <c r="S326" s="81"/>
      <c r="T326" s="81"/>
      <c r="U326" s="81"/>
      <c r="V326" s="81"/>
      <c r="W326" s="81"/>
      <c r="X326" s="81"/>
      <c r="Y326" s="81"/>
      <c r="Z326" s="81"/>
    </row>
    <row r="327" customFormat="false" ht="12" hidden="false" customHeight="true" outlineLevel="0" collapsed="false">
      <c r="A327" s="91"/>
      <c r="B327" s="81"/>
      <c r="C327" s="81"/>
      <c r="D327" s="173"/>
      <c r="E327" s="173"/>
      <c r="F327" s="80"/>
      <c r="G327" s="173"/>
      <c r="H327" s="81"/>
      <c r="I327" s="81"/>
      <c r="J327" s="102"/>
      <c r="K327" s="102"/>
      <c r="L327" s="102"/>
      <c r="M327" s="102"/>
      <c r="N327" s="102"/>
      <c r="O327" s="102"/>
      <c r="P327" s="81"/>
      <c r="Q327" s="81"/>
      <c r="R327" s="81"/>
      <c r="S327" s="81"/>
      <c r="T327" s="81"/>
      <c r="U327" s="81"/>
      <c r="V327" s="81"/>
      <c r="W327" s="81"/>
      <c r="X327" s="81"/>
      <c r="Y327" s="81"/>
      <c r="Z327" s="81"/>
    </row>
    <row r="328" customFormat="false" ht="12" hidden="false" customHeight="true" outlineLevel="0" collapsed="false">
      <c r="A328" s="91"/>
      <c r="B328" s="81"/>
      <c r="C328" s="81"/>
      <c r="D328" s="173"/>
      <c r="E328" s="173"/>
      <c r="F328" s="80"/>
      <c r="G328" s="173"/>
      <c r="H328" s="81"/>
      <c r="I328" s="81"/>
      <c r="J328" s="102"/>
      <c r="K328" s="102"/>
      <c r="L328" s="102"/>
      <c r="M328" s="102"/>
      <c r="N328" s="102"/>
      <c r="O328" s="102"/>
      <c r="P328" s="81"/>
      <c r="Q328" s="81"/>
      <c r="R328" s="81"/>
      <c r="S328" s="81"/>
      <c r="T328" s="81"/>
      <c r="U328" s="81"/>
      <c r="V328" s="81"/>
      <c r="W328" s="81"/>
      <c r="X328" s="81"/>
      <c r="Y328" s="81"/>
      <c r="Z328" s="81"/>
    </row>
    <row r="329" customFormat="false" ht="12" hidden="false" customHeight="true" outlineLevel="0" collapsed="false">
      <c r="A329" s="91"/>
      <c r="B329" s="81"/>
      <c r="C329" s="81"/>
      <c r="D329" s="173"/>
      <c r="E329" s="173"/>
      <c r="F329" s="80"/>
      <c r="G329" s="173"/>
      <c r="H329" s="81"/>
      <c r="I329" s="81"/>
      <c r="J329" s="102"/>
      <c r="K329" s="102"/>
      <c r="L329" s="102"/>
      <c r="M329" s="102"/>
      <c r="N329" s="102"/>
      <c r="O329" s="102"/>
      <c r="P329" s="81"/>
      <c r="Q329" s="81"/>
      <c r="R329" s="81"/>
      <c r="S329" s="81"/>
      <c r="T329" s="81"/>
      <c r="U329" s="81"/>
      <c r="V329" s="81"/>
      <c r="W329" s="81"/>
      <c r="X329" s="81"/>
      <c r="Y329" s="81"/>
      <c r="Z329" s="81"/>
    </row>
    <row r="330" customFormat="false" ht="12" hidden="false" customHeight="true" outlineLevel="0" collapsed="false">
      <c r="A330" s="91"/>
      <c r="B330" s="81"/>
      <c r="C330" s="81"/>
      <c r="D330" s="173"/>
      <c r="E330" s="173"/>
      <c r="F330" s="80"/>
      <c r="G330" s="173"/>
      <c r="H330" s="81"/>
      <c r="I330" s="81"/>
      <c r="J330" s="102"/>
      <c r="K330" s="102"/>
      <c r="L330" s="102"/>
      <c r="M330" s="102"/>
      <c r="N330" s="102"/>
      <c r="O330" s="102"/>
      <c r="P330" s="81"/>
      <c r="Q330" s="81"/>
      <c r="R330" s="81"/>
      <c r="S330" s="81"/>
      <c r="T330" s="81"/>
      <c r="U330" s="81"/>
      <c r="V330" s="81"/>
      <c r="W330" s="81"/>
      <c r="X330" s="81"/>
      <c r="Y330" s="81"/>
      <c r="Z330" s="81"/>
    </row>
    <row r="331" customFormat="false" ht="12" hidden="false" customHeight="true" outlineLevel="0" collapsed="false">
      <c r="A331" s="91"/>
      <c r="B331" s="81"/>
      <c r="C331" s="81"/>
      <c r="D331" s="173"/>
      <c r="E331" s="173"/>
      <c r="F331" s="80"/>
      <c r="G331" s="173"/>
      <c r="H331" s="81"/>
      <c r="I331" s="81"/>
      <c r="J331" s="102"/>
      <c r="K331" s="102"/>
      <c r="L331" s="102"/>
      <c r="M331" s="102"/>
      <c r="N331" s="102"/>
      <c r="O331" s="102"/>
      <c r="P331" s="81"/>
      <c r="Q331" s="81"/>
      <c r="R331" s="81"/>
      <c r="S331" s="81"/>
      <c r="T331" s="81"/>
      <c r="U331" s="81"/>
      <c r="V331" s="81"/>
      <c r="W331" s="81"/>
      <c r="X331" s="81"/>
      <c r="Y331" s="81"/>
      <c r="Z331" s="81"/>
    </row>
    <row r="332" customFormat="false" ht="12" hidden="false" customHeight="true" outlineLevel="0" collapsed="false">
      <c r="A332" s="91"/>
      <c r="B332" s="81"/>
      <c r="C332" s="81"/>
      <c r="D332" s="173"/>
      <c r="E332" s="173"/>
      <c r="F332" s="80"/>
      <c r="G332" s="173"/>
      <c r="H332" s="81"/>
      <c r="I332" s="81"/>
      <c r="J332" s="102"/>
      <c r="K332" s="102"/>
      <c r="L332" s="102"/>
      <c r="M332" s="102"/>
      <c r="N332" s="102"/>
      <c r="O332" s="102"/>
      <c r="P332" s="81"/>
      <c r="Q332" s="81"/>
      <c r="R332" s="81"/>
      <c r="S332" s="81"/>
      <c r="T332" s="81"/>
      <c r="U332" s="81"/>
      <c r="V332" s="81"/>
      <c r="W332" s="81"/>
      <c r="X332" s="81"/>
      <c r="Y332" s="81"/>
      <c r="Z332" s="81"/>
    </row>
    <row r="333" customFormat="false" ht="12" hidden="false" customHeight="true" outlineLevel="0" collapsed="false">
      <c r="A333" s="91"/>
      <c r="B333" s="81"/>
      <c r="C333" s="81"/>
      <c r="D333" s="173"/>
      <c r="E333" s="173"/>
      <c r="F333" s="80"/>
      <c r="G333" s="173"/>
      <c r="H333" s="81"/>
      <c r="I333" s="81"/>
      <c r="J333" s="102"/>
      <c r="K333" s="102"/>
      <c r="L333" s="102"/>
      <c r="M333" s="102"/>
      <c r="N333" s="102"/>
      <c r="O333" s="102"/>
      <c r="P333" s="81"/>
      <c r="Q333" s="81"/>
      <c r="R333" s="81"/>
      <c r="S333" s="81"/>
      <c r="T333" s="81"/>
      <c r="U333" s="81"/>
      <c r="V333" s="81"/>
      <c r="W333" s="81"/>
      <c r="X333" s="81"/>
      <c r="Y333" s="81"/>
      <c r="Z333" s="81"/>
    </row>
    <row r="334" customFormat="false" ht="12" hidden="false" customHeight="true" outlineLevel="0" collapsed="false">
      <c r="A334" s="91"/>
      <c r="B334" s="81"/>
      <c r="C334" s="81"/>
      <c r="D334" s="173"/>
      <c r="E334" s="173"/>
      <c r="F334" s="80"/>
      <c r="G334" s="173"/>
      <c r="H334" s="81"/>
      <c r="I334" s="81"/>
      <c r="J334" s="102"/>
      <c r="K334" s="102"/>
      <c r="L334" s="102"/>
      <c r="M334" s="102"/>
      <c r="N334" s="102"/>
      <c r="O334" s="102"/>
      <c r="P334" s="81"/>
      <c r="Q334" s="81"/>
      <c r="R334" s="81"/>
      <c r="S334" s="81"/>
      <c r="T334" s="81"/>
      <c r="U334" s="81"/>
      <c r="V334" s="81"/>
      <c r="W334" s="81"/>
      <c r="X334" s="81"/>
      <c r="Y334" s="81"/>
      <c r="Z334" s="81"/>
    </row>
    <row r="335" customFormat="false" ht="12" hidden="false" customHeight="true" outlineLevel="0" collapsed="false">
      <c r="A335" s="91"/>
      <c r="B335" s="81"/>
      <c r="C335" s="81"/>
      <c r="D335" s="173"/>
      <c r="E335" s="173"/>
      <c r="F335" s="80"/>
      <c r="G335" s="173"/>
      <c r="H335" s="81"/>
      <c r="I335" s="81"/>
      <c r="J335" s="102"/>
      <c r="K335" s="102"/>
      <c r="L335" s="102"/>
      <c r="M335" s="102"/>
      <c r="N335" s="102"/>
      <c r="O335" s="102"/>
      <c r="P335" s="81"/>
      <c r="Q335" s="81"/>
      <c r="R335" s="81"/>
      <c r="S335" s="81"/>
      <c r="T335" s="81"/>
      <c r="U335" s="81"/>
      <c r="V335" s="81"/>
      <c r="W335" s="81"/>
      <c r="X335" s="81"/>
      <c r="Y335" s="81"/>
      <c r="Z335" s="81"/>
    </row>
    <row r="336" customFormat="false" ht="12" hidden="false" customHeight="true" outlineLevel="0" collapsed="false">
      <c r="A336" s="91"/>
      <c r="B336" s="81"/>
      <c r="C336" s="81"/>
      <c r="D336" s="173"/>
      <c r="E336" s="173"/>
      <c r="F336" s="80"/>
      <c r="G336" s="173"/>
      <c r="H336" s="81"/>
      <c r="I336" s="81"/>
      <c r="J336" s="102"/>
      <c r="K336" s="102"/>
      <c r="L336" s="102"/>
      <c r="M336" s="102"/>
      <c r="N336" s="102"/>
      <c r="O336" s="102"/>
      <c r="P336" s="81"/>
      <c r="Q336" s="81"/>
      <c r="R336" s="81"/>
      <c r="S336" s="81"/>
      <c r="T336" s="81"/>
      <c r="U336" s="81"/>
      <c r="V336" s="81"/>
      <c r="W336" s="81"/>
      <c r="X336" s="81"/>
      <c r="Y336" s="81"/>
      <c r="Z336" s="81"/>
    </row>
    <row r="337" customFormat="false" ht="12" hidden="false" customHeight="true" outlineLevel="0" collapsed="false">
      <c r="A337" s="91"/>
      <c r="B337" s="81"/>
      <c r="C337" s="81"/>
      <c r="D337" s="173"/>
      <c r="E337" s="173"/>
      <c r="F337" s="80"/>
      <c r="G337" s="173"/>
      <c r="H337" s="81"/>
      <c r="I337" s="81"/>
      <c r="J337" s="102"/>
      <c r="K337" s="102"/>
      <c r="L337" s="102"/>
      <c r="M337" s="102"/>
      <c r="N337" s="102"/>
      <c r="O337" s="102"/>
      <c r="P337" s="81"/>
      <c r="Q337" s="81"/>
      <c r="R337" s="81"/>
      <c r="S337" s="81"/>
      <c r="T337" s="81"/>
      <c r="U337" s="81"/>
      <c r="V337" s="81"/>
      <c r="W337" s="81"/>
      <c r="X337" s="81"/>
      <c r="Y337" s="81"/>
      <c r="Z337" s="81"/>
    </row>
    <row r="338" customFormat="false" ht="12" hidden="false" customHeight="true" outlineLevel="0" collapsed="false">
      <c r="A338" s="91"/>
      <c r="B338" s="81"/>
      <c r="C338" s="81"/>
      <c r="D338" s="173"/>
      <c r="E338" s="173"/>
      <c r="F338" s="80"/>
      <c r="G338" s="173"/>
      <c r="H338" s="81"/>
      <c r="I338" s="81"/>
      <c r="J338" s="102"/>
      <c r="K338" s="102"/>
      <c r="L338" s="102"/>
      <c r="M338" s="102"/>
      <c r="N338" s="102"/>
      <c r="O338" s="102"/>
      <c r="P338" s="81"/>
      <c r="Q338" s="81"/>
      <c r="R338" s="81"/>
      <c r="S338" s="81"/>
      <c r="T338" s="81"/>
      <c r="U338" s="81"/>
      <c r="V338" s="81"/>
      <c r="W338" s="81"/>
      <c r="X338" s="81"/>
      <c r="Y338" s="81"/>
      <c r="Z338" s="81"/>
    </row>
    <row r="339" customFormat="false" ht="12" hidden="false" customHeight="true" outlineLevel="0" collapsed="false">
      <c r="A339" s="91"/>
      <c r="B339" s="81"/>
      <c r="C339" s="81"/>
      <c r="D339" s="173"/>
      <c r="E339" s="173"/>
      <c r="F339" s="80"/>
      <c r="G339" s="173"/>
      <c r="H339" s="81"/>
      <c r="I339" s="81"/>
      <c r="J339" s="102"/>
      <c r="K339" s="102"/>
      <c r="L339" s="102"/>
      <c r="M339" s="102"/>
      <c r="N339" s="102"/>
      <c r="O339" s="102"/>
      <c r="P339" s="81"/>
      <c r="Q339" s="81"/>
      <c r="R339" s="81"/>
      <c r="S339" s="81"/>
      <c r="T339" s="81"/>
      <c r="U339" s="81"/>
      <c r="V339" s="81"/>
      <c r="W339" s="81"/>
      <c r="X339" s="81"/>
      <c r="Y339" s="81"/>
      <c r="Z339" s="81"/>
    </row>
    <row r="340" customFormat="false" ht="12" hidden="false" customHeight="true" outlineLevel="0" collapsed="false">
      <c r="A340" s="91"/>
      <c r="B340" s="81"/>
      <c r="C340" s="81"/>
      <c r="D340" s="173"/>
      <c r="E340" s="173"/>
      <c r="F340" s="80"/>
      <c r="G340" s="173"/>
      <c r="H340" s="81"/>
      <c r="I340" s="81"/>
      <c r="J340" s="102"/>
      <c r="K340" s="102"/>
      <c r="L340" s="102"/>
      <c r="M340" s="102"/>
      <c r="N340" s="102"/>
      <c r="O340" s="102"/>
      <c r="P340" s="81"/>
      <c r="Q340" s="81"/>
      <c r="R340" s="81"/>
      <c r="S340" s="81"/>
      <c r="T340" s="81"/>
      <c r="U340" s="81"/>
      <c r="V340" s="81"/>
      <c r="W340" s="81"/>
      <c r="X340" s="81"/>
      <c r="Y340" s="81"/>
      <c r="Z340" s="81"/>
    </row>
    <row r="341" customFormat="false" ht="12" hidden="false" customHeight="true" outlineLevel="0" collapsed="false">
      <c r="A341" s="91"/>
      <c r="B341" s="81"/>
      <c r="C341" s="81"/>
      <c r="D341" s="173"/>
      <c r="E341" s="173"/>
      <c r="F341" s="80"/>
      <c r="G341" s="173"/>
      <c r="H341" s="81"/>
      <c r="I341" s="81"/>
      <c r="J341" s="102"/>
      <c r="K341" s="102"/>
      <c r="L341" s="102"/>
      <c r="M341" s="102"/>
      <c r="N341" s="102"/>
      <c r="O341" s="102"/>
      <c r="P341" s="81"/>
      <c r="Q341" s="81"/>
      <c r="R341" s="81"/>
      <c r="S341" s="81"/>
      <c r="T341" s="81"/>
      <c r="U341" s="81"/>
      <c r="V341" s="81"/>
      <c r="W341" s="81"/>
      <c r="X341" s="81"/>
      <c r="Y341" s="81"/>
      <c r="Z341" s="81"/>
    </row>
    <row r="342" customFormat="false" ht="12" hidden="false" customHeight="true" outlineLevel="0" collapsed="false">
      <c r="A342" s="91"/>
      <c r="B342" s="81"/>
      <c r="C342" s="81"/>
      <c r="D342" s="173"/>
      <c r="E342" s="173"/>
      <c r="F342" s="80"/>
      <c r="G342" s="173"/>
      <c r="H342" s="81"/>
      <c r="I342" s="81"/>
      <c r="J342" s="102"/>
      <c r="K342" s="102"/>
      <c r="L342" s="102"/>
      <c r="M342" s="102"/>
      <c r="N342" s="102"/>
      <c r="O342" s="102"/>
      <c r="P342" s="81"/>
      <c r="Q342" s="81"/>
      <c r="R342" s="81"/>
      <c r="S342" s="81"/>
      <c r="T342" s="81"/>
      <c r="U342" s="81"/>
      <c r="V342" s="81"/>
      <c r="W342" s="81"/>
      <c r="X342" s="81"/>
      <c r="Y342" s="81"/>
      <c r="Z342" s="81"/>
    </row>
    <row r="343" customFormat="false" ht="12" hidden="false" customHeight="true" outlineLevel="0" collapsed="false">
      <c r="A343" s="91"/>
      <c r="B343" s="81"/>
      <c r="C343" s="81"/>
      <c r="D343" s="173"/>
      <c r="E343" s="173"/>
      <c r="F343" s="80"/>
      <c r="G343" s="173"/>
      <c r="H343" s="81"/>
      <c r="I343" s="81"/>
      <c r="J343" s="102"/>
      <c r="K343" s="102"/>
      <c r="L343" s="102"/>
      <c r="M343" s="102"/>
      <c r="N343" s="102"/>
      <c r="O343" s="102"/>
      <c r="P343" s="81"/>
      <c r="Q343" s="81"/>
      <c r="R343" s="81"/>
      <c r="S343" s="81"/>
      <c r="T343" s="81"/>
      <c r="U343" s="81"/>
      <c r="V343" s="81"/>
      <c r="W343" s="81"/>
      <c r="X343" s="81"/>
      <c r="Y343" s="81"/>
      <c r="Z343" s="81"/>
    </row>
    <row r="344" customFormat="false" ht="12" hidden="false" customHeight="true" outlineLevel="0" collapsed="false">
      <c r="A344" s="91"/>
      <c r="B344" s="81"/>
      <c r="C344" s="81"/>
      <c r="D344" s="173"/>
      <c r="E344" s="173"/>
      <c r="F344" s="80"/>
      <c r="G344" s="173"/>
      <c r="H344" s="81"/>
      <c r="I344" s="81"/>
      <c r="J344" s="102"/>
      <c r="K344" s="102"/>
      <c r="L344" s="102"/>
      <c r="M344" s="102"/>
      <c r="N344" s="102"/>
      <c r="O344" s="102"/>
      <c r="P344" s="81"/>
      <c r="Q344" s="81"/>
      <c r="R344" s="81"/>
      <c r="S344" s="81"/>
      <c r="T344" s="81"/>
      <c r="U344" s="81"/>
      <c r="V344" s="81"/>
      <c r="W344" s="81"/>
      <c r="X344" s="81"/>
      <c r="Y344" s="81"/>
      <c r="Z344" s="81"/>
    </row>
    <row r="345" customFormat="false" ht="12" hidden="false" customHeight="true" outlineLevel="0" collapsed="false">
      <c r="A345" s="91"/>
      <c r="B345" s="81"/>
      <c r="C345" s="81"/>
      <c r="D345" s="173"/>
      <c r="E345" s="173"/>
      <c r="F345" s="80"/>
      <c r="G345" s="173"/>
      <c r="H345" s="81"/>
      <c r="I345" s="81"/>
      <c r="J345" s="102"/>
      <c r="K345" s="102"/>
      <c r="L345" s="102"/>
      <c r="M345" s="102"/>
      <c r="N345" s="102"/>
      <c r="O345" s="102"/>
      <c r="P345" s="81"/>
      <c r="Q345" s="81"/>
      <c r="R345" s="81"/>
      <c r="S345" s="81"/>
      <c r="T345" s="81"/>
      <c r="U345" s="81"/>
      <c r="V345" s="81"/>
      <c r="W345" s="81"/>
      <c r="X345" s="81"/>
      <c r="Y345" s="81"/>
      <c r="Z345" s="81"/>
    </row>
    <row r="346" customFormat="false" ht="12" hidden="false" customHeight="true" outlineLevel="0" collapsed="false">
      <c r="A346" s="91"/>
      <c r="B346" s="81"/>
      <c r="C346" s="81"/>
      <c r="D346" s="173"/>
      <c r="E346" s="173"/>
      <c r="F346" s="80"/>
      <c r="G346" s="173"/>
      <c r="H346" s="81"/>
      <c r="I346" s="81"/>
      <c r="J346" s="102"/>
      <c r="K346" s="102"/>
      <c r="L346" s="102"/>
      <c r="M346" s="102"/>
      <c r="N346" s="102"/>
      <c r="O346" s="102"/>
      <c r="P346" s="81"/>
      <c r="Q346" s="81"/>
      <c r="R346" s="81"/>
      <c r="S346" s="81"/>
      <c r="T346" s="81"/>
      <c r="U346" s="81"/>
      <c r="V346" s="81"/>
      <c r="W346" s="81"/>
      <c r="X346" s="81"/>
      <c r="Y346" s="81"/>
      <c r="Z346" s="81"/>
    </row>
    <row r="347" customFormat="false" ht="12" hidden="false" customHeight="true" outlineLevel="0" collapsed="false">
      <c r="A347" s="91"/>
      <c r="B347" s="81"/>
      <c r="C347" s="81"/>
      <c r="D347" s="173"/>
      <c r="E347" s="173"/>
      <c r="F347" s="80"/>
      <c r="G347" s="173"/>
      <c r="H347" s="81"/>
      <c r="I347" s="81"/>
      <c r="J347" s="102"/>
      <c r="K347" s="102"/>
      <c r="L347" s="102"/>
      <c r="M347" s="102"/>
      <c r="N347" s="102"/>
      <c r="O347" s="102"/>
      <c r="P347" s="81"/>
      <c r="Q347" s="81"/>
      <c r="R347" s="81"/>
      <c r="S347" s="81"/>
      <c r="T347" s="81"/>
      <c r="U347" s="81"/>
      <c r="V347" s="81"/>
      <c r="W347" s="81"/>
      <c r="X347" s="81"/>
      <c r="Y347" s="81"/>
      <c r="Z347" s="81"/>
    </row>
    <row r="348" customFormat="false" ht="12" hidden="false" customHeight="true" outlineLevel="0" collapsed="false">
      <c r="A348" s="91"/>
      <c r="B348" s="81"/>
      <c r="C348" s="81"/>
      <c r="D348" s="173"/>
      <c r="E348" s="173"/>
      <c r="F348" s="80"/>
      <c r="G348" s="173"/>
      <c r="H348" s="81"/>
      <c r="I348" s="81"/>
      <c r="J348" s="102"/>
      <c r="K348" s="102"/>
      <c r="L348" s="102"/>
      <c r="M348" s="102"/>
      <c r="N348" s="102"/>
      <c r="O348" s="102"/>
      <c r="P348" s="81"/>
      <c r="Q348" s="81"/>
      <c r="R348" s="81"/>
      <c r="S348" s="81"/>
      <c r="T348" s="81"/>
      <c r="U348" s="81"/>
      <c r="V348" s="81"/>
      <c r="W348" s="81"/>
      <c r="X348" s="81"/>
      <c r="Y348" s="81"/>
      <c r="Z348" s="81"/>
    </row>
    <row r="349" customFormat="false" ht="12" hidden="false" customHeight="true" outlineLevel="0" collapsed="false">
      <c r="A349" s="91"/>
      <c r="B349" s="81"/>
      <c r="C349" s="81"/>
      <c r="D349" s="173"/>
      <c r="E349" s="173"/>
      <c r="F349" s="80"/>
      <c r="G349" s="173"/>
      <c r="H349" s="81"/>
      <c r="I349" s="81"/>
      <c r="J349" s="102"/>
      <c r="K349" s="102"/>
      <c r="L349" s="102"/>
      <c r="M349" s="102"/>
      <c r="N349" s="102"/>
      <c r="O349" s="102"/>
      <c r="P349" s="81"/>
      <c r="Q349" s="81"/>
      <c r="R349" s="81"/>
      <c r="S349" s="81"/>
      <c r="T349" s="81"/>
      <c r="U349" s="81"/>
      <c r="V349" s="81"/>
      <c r="W349" s="81"/>
      <c r="X349" s="81"/>
      <c r="Y349" s="81"/>
      <c r="Z349" s="81"/>
    </row>
    <row r="350" customFormat="false" ht="12" hidden="false" customHeight="true" outlineLevel="0" collapsed="false">
      <c r="A350" s="91"/>
      <c r="B350" s="81"/>
      <c r="C350" s="81"/>
      <c r="D350" s="173"/>
      <c r="E350" s="173"/>
      <c r="F350" s="80"/>
      <c r="G350" s="173"/>
      <c r="H350" s="81"/>
      <c r="I350" s="81"/>
      <c r="J350" s="102"/>
      <c r="K350" s="102"/>
      <c r="L350" s="102"/>
      <c r="M350" s="102"/>
      <c r="N350" s="102"/>
      <c r="O350" s="102"/>
      <c r="P350" s="81"/>
      <c r="Q350" s="81"/>
      <c r="R350" s="81"/>
      <c r="S350" s="81"/>
      <c r="T350" s="81"/>
      <c r="U350" s="81"/>
      <c r="V350" s="81"/>
      <c r="W350" s="81"/>
      <c r="X350" s="81"/>
      <c r="Y350" s="81"/>
      <c r="Z350" s="81"/>
    </row>
    <row r="351" customFormat="false" ht="12" hidden="false" customHeight="true" outlineLevel="0" collapsed="false">
      <c r="A351" s="91"/>
      <c r="B351" s="81"/>
      <c r="C351" s="81"/>
      <c r="D351" s="173"/>
      <c r="E351" s="173"/>
      <c r="F351" s="80"/>
      <c r="G351" s="173"/>
      <c r="H351" s="81"/>
      <c r="I351" s="81"/>
      <c r="J351" s="102"/>
      <c r="K351" s="102"/>
      <c r="L351" s="102"/>
      <c r="M351" s="102"/>
      <c r="N351" s="102"/>
      <c r="O351" s="102"/>
      <c r="P351" s="81"/>
      <c r="Q351" s="81"/>
      <c r="R351" s="81"/>
      <c r="S351" s="81"/>
      <c r="T351" s="81"/>
      <c r="U351" s="81"/>
      <c r="V351" s="81"/>
      <c r="W351" s="81"/>
      <c r="X351" s="81"/>
      <c r="Y351" s="81"/>
      <c r="Z351" s="81"/>
    </row>
    <row r="352" customFormat="false" ht="12" hidden="false" customHeight="true" outlineLevel="0" collapsed="false">
      <c r="A352" s="91"/>
      <c r="B352" s="81"/>
      <c r="C352" s="81"/>
      <c r="D352" s="173"/>
      <c r="E352" s="173"/>
      <c r="F352" s="80"/>
      <c r="G352" s="173"/>
      <c r="H352" s="81"/>
      <c r="I352" s="81"/>
      <c r="J352" s="102"/>
      <c r="K352" s="102"/>
      <c r="L352" s="102"/>
      <c r="M352" s="102"/>
      <c r="N352" s="102"/>
      <c r="O352" s="102"/>
      <c r="P352" s="81"/>
      <c r="Q352" s="81"/>
      <c r="R352" s="81"/>
      <c r="S352" s="81"/>
      <c r="T352" s="81"/>
      <c r="U352" s="81"/>
      <c r="V352" s="81"/>
      <c r="W352" s="81"/>
      <c r="X352" s="81"/>
      <c r="Y352" s="81"/>
      <c r="Z352" s="81"/>
    </row>
    <row r="353" customFormat="false" ht="12" hidden="false" customHeight="true" outlineLevel="0" collapsed="false">
      <c r="A353" s="91"/>
      <c r="B353" s="81"/>
      <c r="C353" s="81"/>
      <c r="D353" s="173"/>
      <c r="E353" s="173"/>
      <c r="F353" s="80"/>
      <c r="G353" s="173"/>
      <c r="H353" s="81"/>
      <c r="I353" s="81"/>
      <c r="J353" s="102"/>
      <c r="K353" s="102"/>
      <c r="L353" s="102"/>
      <c r="M353" s="102"/>
      <c r="N353" s="102"/>
      <c r="O353" s="102"/>
      <c r="P353" s="81"/>
      <c r="Q353" s="81"/>
      <c r="R353" s="81"/>
      <c r="S353" s="81"/>
      <c r="T353" s="81"/>
      <c r="U353" s="81"/>
      <c r="V353" s="81"/>
      <c r="W353" s="81"/>
      <c r="X353" s="81"/>
      <c r="Y353" s="81"/>
      <c r="Z353" s="81"/>
    </row>
    <row r="354" customFormat="false" ht="12" hidden="false" customHeight="true" outlineLevel="0" collapsed="false">
      <c r="A354" s="91"/>
      <c r="B354" s="81"/>
      <c r="C354" s="81"/>
      <c r="D354" s="173"/>
      <c r="E354" s="173"/>
      <c r="F354" s="80"/>
      <c r="G354" s="173"/>
      <c r="H354" s="81"/>
      <c r="I354" s="81"/>
      <c r="J354" s="102"/>
      <c r="K354" s="102"/>
      <c r="L354" s="102"/>
      <c r="M354" s="102"/>
      <c r="N354" s="102"/>
      <c r="O354" s="102"/>
      <c r="P354" s="81"/>
      <c r="Q354" s="81"/>
      <c r="R354" s="81"/>
      <c r="S354" s="81"/>
      <c r="T354" s="81"/>
      <c r="U354" s="81"/>
      <c r="V354" s="81"/>
      <c r="W354" s="81"/>
      <c r="X354" s="81"/>
      <c r="Y354" s="81"/>
      <c r="Z354" s="81"/>
    </row>
    <row r="355" customFormat="false" ht="12" hidden="false" customHeight="true" outlineLevel="0" collapsed="false">
      <c r="A355" s="91"/>
      <c r="B355" s="81"/>
      <c r="C355" s="81"/>
      <c r="D355" s="173"/>
      <c r="E355" s="173"/>
      <c r="F355" s="80"/>
      <c r="G355" s="173"/>
      <c r="H355" s="81"/>
      <c r="I355" s="81"/>
      <c r="J355" s="102"/>
      <c r="K355" s="102"/>
      <c r="L355" s="102"/>
      <c r="M355" s="102"/>
      <c r="N355" s="102"/>
      <c r="O355" s="102"/>
      <c r="P355" s="81"/>
      <c r="Q355" s="81"/>
      <c r="R355" s="81"/>
      <c r="S355" s="81"/>
      <c r="T355" s="81"/>
      <c r="U355" s="81"/>
      <c r="V355" s="81"/>
      <c r="W355" s="81"/>
      <c r="X355" s="81"/>
      <c r="Y355" s="81"/>
      <c r="Z355" s="81"/>
    </row>
    <row r="356" customFormat="false" ht="12" hidden="false" customHeight="true" outlineLevel="0" collapsed="false">
      <c r="A356" s="91"/>
      <c r="B356" s="81"/>
      <c r="C356" s="81"/>
      <c r="D356" s="173"/>
      <c r="E356" s="173"/>
      <c r="F356" s="80"/>
      <c r="G356" s="173"/>
      <c r="H356" s="81"/>
      <c r="I356" s="81"/>
      <c r="J356" s="102"/>
      <c r="K356" s="102"/>
      <c r="L356" s="102"/>
      <c r="M356" s="102"/>
      <c r="N356" s="102"/>
      <c r="O356" s="102"/>
      <c r="P356" s="81"/>
      <c r="Q356" s="81"/>
      <c r="R356" s="81"/>
      <c r="S356" s="81"/>
      <c r="T356" s="81"/>
      <c r="U356" s="81"/>
      <c r="V356" s="81"/>
      <c r="W356" s="81"/>
      <c r="X356" s="81"/>
      <c r="Y356" s="81"/>
      <c r="Z356" s="81"/>
    </row>
    <row r="357" customFormat="false" ht="12" hidden="false" customHeight="true" outlineLevel="0" collapsed="false">
      <c r="A357" s="91"/>
      <c r="B357" s="81"/>
      <c r="C357" s="81"/>
      <c r="D357" s="173"/>
      <c r="E357" s="173"/>
      <c r="F357" s="80"/>
      <c r="G357" s="173"/>
      <c r="H357" s="81"/>
      <c r="I357" s="81"/>
      <c r="J357" s="102"/>
      <c r="K357" s="102"/>
      <c r="L357" s="102"/>
      <c r="M357" s="102"/>
      <c r="N357" s="102"/>
      <c r="O357" s="102"/>
      <c r="P357" s="81"/>
      <c r="Q357" s="81"/>
      <c r="R357" s="81"/>
      <c r="S357" s="81"/>
      <c r="T357" s="81"/>
      <c r="U357" s="81"/>
      <c r="V357" s="81"/>
      <c r="W357" s="81"/>
      <c r="X357" s="81"/>
      <c r="Y357" s="81"/>
      <c r="Z357" s="81"/>
    </row>
    <row r="358" customFormat="false" ht="12" hidden="false" customHeight="true" outlineLevel="0" collapsed="false">
      <c r="A358" s="91"/>
      <c r="B358" s="81"/>
      <c r="C358" s="81"/>
      <c r="D358" s="173"/>
      <c r="E358" s="173"/>
      <c r="F358" s="80"/>
      <c r="G358" s="173"/>
      <c r="H358" s="81"/>
      <c r="I358" s="81"/>
      <c r="J358" s="102"/>
      <c r="K358" s="102"/>
      <c r="L358" s="102"/>
      <c r="M358" s="102"/>
      <c r="N358" s="102"/>
      <c r="O358" s="102"/>
      <c r="P358" s="81"/>
      <c r="Q358" s="81"/>
      <c r="R358" s="81"/>
      <c r="S358" s="81"/>
      <c r="T358" s="81"/>
      <c r="U358" s="81"/>
      <c r="V358" s="81"/>
      <c r="W358" s="81"/>
      <c r="X358" s="81"/>
      <c r="Y358" s="81"/>
      <c r="Z358" s="81"/>
    </row>
    <row r="359" customFormat="false" ht="12" hidden="false" customHeight="true" outlineLevel="0" collapsed="false">
      <c r="A359" s="91"/>
      <c r="B359" s="81"/>
      <c r="C359" s="81"/>
      <c r="D359" s="173"/>
      <c r="E359" s="173"/>
      <c r="F359" s="80"/>
      <c r="G359" s="173"/>
      <c r="H359" s="81"/>
      <c r="I359" s="81"/>
      <c r="J359" s="102"/>
      <c r="K359" s="102"/>
      <c r="L359" s="102"/>
      <c r="M359" s="102"/>
      <c r="N359" s="102"/>
      <c r="O359" s="102"/>
      <c r="P359" s="81"/>
      <c r="Q359" s="81"/>
      <c r="R359" s="81"/>
      <c r="S359" s="81"/>
      <c r="T359" s="81"/>
      <c r="U359" s="81"/>
      <c r="V359" s="81"/>
      <c r="W359" s="81"/>
      <c r="X359" s="81"/>
      <c r="Y359" s="81"/>
      <c r="Z359" s="81"/>
    </row>
    <row r="360" customFormat="false" ht="12" hidden="false" customHeight="true" outlineLevel="0" collapsed="false">
      <c r="A360" s="91"/>
      <c r="B360" s="81"/>
      <c r="C360" s="81"/>
      <c r="D360" s="173"/>
      <c r="E360" s="173"/>
      <c r="F360" s="80"/>
      <c r="G360" s="173"/>
      <c r="H360" s="81"/>
      <c r="I360" s="81"/>
      <c r="J360" s="102"/>
      <c r="K360" s="102"/>
      <c r="L360" s="102"/>
      <c r="M360" s="102"/>
      <c r="N360" s="102"/>
      <c r="O360" s="102"/>
      <c r="P360" s="81"/>
      <c r="Q360" s="81"/>
      <c r="R360" s="81"/>
      <c r="S360" s="81"/>
      <c r="T360" s="81"/>
      <c r="U360" s="81"/>
      <c r="V360" s="81"/>
      <c r="W360" s="81"/>
      <c r="X360" s="81"/>
      <c r="Y360" s="81"/>
      <c r="Z360" s="81"/>
    </row>
    <row r="361" customFormat="false" ht="12" hidden="false" customHeight="true" outlineLevel="0" collapsed="false">
      <c r="A361" s="91"/>
      <c r="B361" s="81"/>
      <c r="C361" s="81"/>
      <c r="D361" s="173"/>
      <c r="E361" s="173"/>
      <c r="F361" s="80"/>
      <c r="G361" s="173"/>
      <c r="H361" s="81"/>
      <c r="I361" s="81"/>
      <c r="J361" s="102"/>
      <c r="K361" s="102"/>
      <c r="L361" s="102"/>
      <c r="M361" s="102"/>
      <c r="N361" s="102"/>
      <c r="O361" s="102"/>
      <c r="P361" s="81"/>
      <c r="Q361" s="81"/>
      <c r="R361" s="81"/>
      <c r="S361" s="81"/>
      <c r="T361" s="81"/>
      <c r="U361" s="81"/>
      <c r="V361" s="81"/>
      <c r="W361" s="81"/>
      <c r="X361" s="81"/>
      <c r="Y361" s="81"/>
      <c r="Z361" s="81"/>
    </row>
    <row r="362" customFormat="false" ht="12" hidden="false" customHeight="true" outlineLevel="0" collapsed="false">
      <c r="A362" s="91"/>
      <c r="B362" s="81"/>
      <c r="C362" s="81"/>
      <c r="D362" s="173"/>
      <c r="E362" s="173"/>
      <c r="F362" s="80"/>
      <c r="G362" s="173"/>
      <c r="H362" s="81"/>
      <c r="I362" s="81"/>
      <c r="J362" s="102"/>
      <c r="K362" s="102"/>
      <c r="L362" s="102"/>
      <c r="M362" s="102"/>
      <c r="N362" s="102"/>
      <c r="O362" s="102"/>
      <c r="P362" s="81"/>
      <c r="Q362" s="81"/>
      <c r="R362" s="81"/>
      <c r="S362" s="81"/>
      <c r="T362" s="81"/>
      <c r="U362" s="81"/>
      <c r="V362" s="81"/>
      <c r="W362" s="81"/>
      <c r="X362" s="81"/>
      <c r="Y362" s="81"/>
      <c r="Z362" s="81"/>
    </row>
    <row r="363" customFormat="false" ht="12" hidden="false" customHeight="true" outlineLevel="0" collapsed="false">
      <c r="A363" s="91"/>
      <c r="B363" s="81"/>
      <c r="C363" s="81"/>
      <c r="D363" s="173"/>
      <c r="E363" s="173"/>
      <c r="F363" s="80"/>
      <c r="G363" s="173"/>
      <c r="H363" s="81"/>
      <c r="I363" s="81"/>
      <c r="J363" s="102"/>
      <c r="K363" s="102"/>
      <c r="L363" s="102"/>
      <c r="M363" s="102"/>
      <c r="N363" s="102"/>
      <c r="O363" s="102"/>
      <c r="P363" s="81"/>
      <c r="Q363" s="81"/>
      <c r="R363" s="81"/>
      <c r="S363" s="81"/>
      <c r="T363" s="81"/>
      <c r="U363" s="81"/>
      <c r="V363" s="81"/>
      <c r="W363" s="81"/>
      <c r="X363" s="81"/>
      <c r="Y363" s="81"/>
      <c r="Z363" s="81"/>
    </row>
    <row r="364" customFormat="false" ht="12" hidden="false" customHeight="true" outlineLevel="0" collapsed="false">
      <c r="A364" s="91"/>
      <c r="B364" s="81"/>
      <c r="C364" s="81"/>
      <c r="D364" s="173"/>
      <c r="E364" s="173"/>
      <c r="F364" s="80"/>
      <c r="G364" s="173"/>
      <c r="H364" s="81"/>
      <c r="I364" s="81"/>
      <c r="J364" s="102"/>
      <c r="K364" s="102"/>
      <c r="L364" s="102"/>
      <c r="M364" s="102"/>
      <c r="N364" s="102"/>
      <c r="O364" s="102"/>
      <c r="P364" s="81"/>
      <c r="Q364" s="81"/>
      <c r="R364" s="81"/>
      <c r="S364" s="81"/>
      <c r="T364" s="81"/>
      <c r="U364" s="81"/>
      <c r="V364" s="81"/>
      <c r="W364" s="81"/>
      <c r="X364" s="81"/>
      <c r="Y364" s="81"/>
      <c r="Z364" s="81"/>
    </row>
    <row r="365" customFormat="false" ht="12" hidden="false" customHeight="true" outlineLevel="0" collapsed="false">
      <c r="A365" s="91"/>
      <c r="B365" s="81"/>
      <c r="C365" s="81"/>
      <c r="D365" s="173"/>
      <c r="E365" s="173"/>
      <c r="F365" s="80"/>
      <c r="G365" s="173"/>
      <c r="H365" s="81"/>
      <c r="I365" s="81"/>
      <c r="J365" s="102"/>
      <c r="K365" s="102"/>
      <c r="L365" s="102"/>
      <c r="M365" s="102"/>
      <c r="N365" s="102"/>
      <c r="O365" s="102"/>
      <c r="P365" s="81"/>
      <c r="Q365" s="81"/>
      <c r="R365" s="81"/>
      <c r="S365" s="81"/>
      <c r="T365" s="81"/>
      <c r="U365" s="81"/>
      <c r="V365" s="81"/>
      <c r="W365" s="81"/>
      <c r="X365" s="81"/>
      <c r="Y365" s="81"/>
      <c r="Z365" s="81"/>
    </row>
    <row r="366" customFormat="false" ht="12" hidden="false" customHeight="true" outlineLevel="0" collapsed="false">
      <c r="A366" s="91"/>
      <c r="B366" s="81"/>
      <c r="C366" s="81"/>
      <c r="D366" s="173"/>
      <c r="E366" s="173"/>
      <c r="F366" s="80"/>
      <c r="G366" s="173"/>
      <c r="H366" s="81"/>
      <c r="I366" s="81"/>
      <c r="J366" s="102"/>
      <c r="K366" s="102"/>
      <c r="L366" s="102"/>
      <c r="M366" s="102"/>
      <c r="N366" s="102"/>
      <c r="O366" s="102"/>
      <c r="P366" s="81"/>
      <c r="Q366" s="81"/>
      <c r="R366" s="81"/>
      <c r="S366" s="81"/>
      <c r="T366" s="81"/>
      <c r="U366" s="81"/>
      <c r="V366" s="81"/>
      <c r="W366" s="81"/>
      <c r="X366" s="81"/>
      <c r="Y366" s="81"/>
      <c r="Z366" s="81"/>
    </row>
    <row r="367" customFormat="false" ht="12" hidden="false" customHeight="true" outlineLevel="0" collapsed="false">
      <c r="A367" s="91"/>
      <c r="B367" s="81"/>
      <c r="C367" s="81"/>
      <c r="D367" s="173"/>
      <c r="E367" s="173"/>
      <c r="F367" s="80"/>
      <c r="G367" s="173"/>
      <c r="H367" s="81"/>
      <c r="I367" s="81"/>
      <c r="J367" s="102"/>
      <c r="K367" s="102"/>
      <c r="L367" s="102"/>
      <c r="M367" s="102"/>
      <c r="N367" s="102"/>
      <c r="O367" s="102"/>
      <c r="P367" s="81"/>
      <c r="Q367" s="81"/>
      <c r="R367" s="81"/>
      <c r="S367" s="81"/>
      <c r="T367" s="81"/>
      <c r="U367" s="81"/>
      <c r="V367" s="81"/>
      <c r="W367" s="81"/>
      <c r="X367" s="81"/>
      <c r="Y367" s="81"/>
      <c r="Z367" s="81"/>
    </row>
    <row r="368" customFormat="false" ht="12" hidden="false" customHeight="true" outlineLevel="0" collapsed="false">
      <c r="A368" s="91"/>
      <c r="B368" s="81"/>
      <c r="C368" s="81"/>
      <c r="D368" s="173"/>
      <c r="E368" s="173"/>
      <c r="F368" s="80"/>
      <c r="G368" s="173"/>
      <c r="H368" s="81"/>
      <c r="I368" s="81"/>
      <c r="J368" s="102"/>
      <c r="K368" s="102"/>
      <c r="L368" s="102"/>
      <c r="M368" s="102"/>
      <c r="N368" s="102"/>
      <c r="O368" s="102"/>
      <c r="P368" s="81"/>
      <c r="Q368" s="81"/>
      <c r="R368" s="81"/>
      <c r="S368" s="81"/>
      <c r="T368" s="81"/>
      <c r="U368" s="81"/>
      <c r="V368" s="81"/>
      <c r="W368" s="81"/>
      <c r="X368" s="81"/>
      <c r="Y368" s="81"/>
      <c r="Z368" s="81"/>
    </row>
    <row r="369" customFormat="false" ht="12" hidden="false" customHeight="true" outlineLevel="0" collapsed="false">
      <c r="A369" s="91"/>
      <c r="B369" s="81"/>
      <c r="C369" s="81"/>
      <c r="D369" s="173"/>
      <c r="E369" s="173"/>
      <c r="F369" s="80"/>
      <c r="G369" s="173"/>
      <c r="H369" s="81"/>
      <c r="I369" s="81"/>
      <c r="J369" s="102"/>
      <c r="K369" s="102"/>
      <c r="L369" s="102"/>
      <c r="M369" s="102"/>
      <c r="N369" s="102"/>
      <c r="O369" s="102"/>
      <c r="P369" s="81"/>
      <c r="Q369" s="81"/>
      <c r="R369" s="81"/>
      <c r="S369" s="81"/>
      <c r="T369" s="81"/>
      <c r="U369" s="81"/>
      <c r="V369" s="81"/>
      <c r="W369" s="81"/>
      <c r="X369" s="81"/>
      <c r="Y369" s="81"/>
      <c r="Z369" s="81"/>
    </row>
    <row r="370" customFormat="false" ht="12" hidden="false" customHeight="true" outlineLevel="0" collapsed="false">
      <c r="A370" s="91"/>
      <c r="B370" s="81"/>
      <c r="C370" s="81"/>
      <c r="D370" s="173"/>
      <c r="E370" s="173"/>
      <c r="F370" s="80"/>
      <c r="G370" s="173"/>
      <c r="H370" s="81"/>
      <c r="I370" s="81"/>
      <c r="J370" s="102"/>
      <c r="K370" s="102"/>
      <c r="L370" s="102"/>
      <c r="M370" s="102"/>
      <c r="N370" s="102"/>
      <c r="O370" s="102"/>
      <c r="P370" s="81"/>
      <c r="Q370" s="81"/>
      <c r="R370" s="81"/>
      <c r="S370" s="81"/>
      <c r="T370" s="81"/>
      <c r="U370" s="81"/>
      <c r="V370" s="81"/>
      <c r="W370" s="81"/>
      <c r="X370" s="81"/>
      <c r="Y370" s="81"/>
      <c r="Z370" s="81"/>
    </row>
    <row r="371" customFormat="false" ht="12" hidden="false" customHeight="true" outlineLevel="0" collapsed="false">
      <c r="A371" s="91"/>
      <c r="B371" s="81"/>
      <c r="C371" s="81"/>
      <c r="D371" s="173"/>
      <c r="E371" s="173"/>
      <c r="F371" s="80"/>
      <c r="G371" s="173"/>
      <c r="H371" s="81"/>
      <c r="I371" s="81"/>
      <c r="J371" s="102"/>
      <c r="K371" s="102"/>
      <c r="L371" s="102"/>
      <c r="M371" s="102"/>
      <c r="N371" s="102"/>
      <c r="O371" s="102"/>
      <c r="P371" s="81"/>
      <c r="Q371" s="81"/>
      <c r="R371" s="81"/>
      <c r="S371" s="81"/>
      <c r="T371" s="81"/>
      <c r="U371" s="81"/>
      <c r="V371" s="81"/>
      <c r="W371" s="81"/>
      <c r="X371" s="81"/>
      <c r="Y371" s="81"/>
      <c r="Z371" s="81"/>
    </row>
    <row r="372" customFormat="false" ht="12" hidden="false" customHeight="true" outlineLevel="0" collapsed="false">
      <c r="A372" s="91"/>
      <c r="B372" s="81"/>
      <c r="C372" s="81"/>
      <c r="D372" s="173"/>
      <c r="E372" s="173"/>
      <c r="F372" s="80"/>
      <c r="G372" s="173"/>
      <c r="H372" s="81"/>
      <c r="I372" s="81"/>
      <c r="J372" s="102"/>
      <c r="K372" s="102"/>
      <c r="L372" s="102"/>
      <c r="M372" s="102"/>
      <c r="N372" s="102"/>
      <c r="O372" s="102"/>
      <c r="P372" s="81"/>
      <c r="Q372" s="81"/>
      <c r="R372" s="81"/>
      <c r="S372" s="81"/>
      <c r="T372" s="81"/>
      <c r="U372" s="81"/>
      <c r="V372" s="81"/>
      <c r="W372" s="81"/>
      <c r="X372" s="81"/>
      <c r="Y372" s="81"/>
      <c r="Z372" s="81"/>
    </row>
    <row r="373" customFormat="false" ht="12" hidden="false" customHeight="true" outlineLevel="0" collapsed="false">
      <c r="A373" s="91"/>
      <c r="B373" s="81"/>
      <c r="C373" s="81"/>
      <c r="D373" s="173"/>
      <c r="E373" s="173"/>
      <c r="F373" s="80"/>
      <c r="G373" s="173"/>
      <c r="H373" s="81"/>
      <c r="I373" s="81"/>
      <c r="J373" s="102"/>
      <c r="K373" s="102"/>
      <c r="L373" s="102"/>
      <c r="M373" s="102"/>
      <c r="N373" s="102"/>
      <c r="O373" s="102"/>
      <c r="P373" s="81"/>
      <c r="Q373" s="81"/>
      <c r="R373" s="81"/>
      <c r="S373" s="81"/>
      <c r="T373" s="81"/>
      <c r="U373" s="81"/>
      <c r="V373" s="81"/>
      <c r="W373" s="81"/>
      <c r="X373" s="81"/>
      <c r="Y373" s="81"/>
      <c r="Z373" s="81"/>
    </row>
    <row r="374" customFormat="false" ht="12" hidden="false" customHeight="true" outlineLevel="0" collapsed="false">
      <c r="A374" s="91"/>
      <c r="B374" s="81"/>
      <c r="C374" s="81"/>
      <c r="D374" s="173"/>
      <c r="E374" s="173"/>
      <c r="F374" s="80"/>
      <c r="G374" s="173"/>
      <c r="H374" s="81"/>
      <c r="I374" s="81"/>
      <c r="J374" s="102"/>
      <c r="K374" s="102"/>
      <c r="L374" s="102"/>
      <c r="M374" s="102"/>
      <c r="N374" s="102"/>
      <c r="O374" s="102"/>
      <c r="P374" s="81"/>
      <c r="Q374" s="81"/>
      <c r="R374" s="81"/>
      <c r="S374" s="81"/>
      <c r="T374" s="81"/>
      <c r="U374" s="81"/>
      <c r="V374" s="81"/>
      <c r="W374" s="81"/>
      <c r="X374" s="81"/>
      <c r="Y374" s="81"/>
      <c r="Z374" s="81"/>
    </row>
    <row r="375" customFormat="false" ht="12" hidden="false" customHeight="true" outlineLevel="0" collapsed="false">
      <c r="A375" s="91"/>
      <c r="B375" s="81"/>
      <c r="C375" s="81"/>
      <c r="D375" s="173"/>
      <c r="E375" s="173"/>
      <c r="F375" s="80"/>
      <c r="G375" s="173"/>
      <c r="H375" s="81"/>
      <c r="I375" s="81"/>
      <c r="J375" s="102"/>
      <c r="K375" s="102"/>
      <c r="L375" s="102"/>
      <c r="M375" s="102"/>
      <c r="N375" s="102"/>
      <c r="O375" s="102"/>
      <c r="P375" s="81"/>
      <c r="Q375" s="81"/>
      <c r="R375" s="81"/>
      <c r="S375" s="81"/>
      <c r="T375" s="81"/>
      <c r="U375" s="81"/>
      <c r="V375" s="81"/>
      <c r="W375" s="81"/>
      <c r="X375" s="81"/>
      <c r="Y375" s="81"/>
      <c r="Z375" s="81"/>
    </row>
    <row r="376" customFormat="false" ht="12" hidden="false" customHeight="true" outlineLevel="0" collapsed="false">
      <c r="A376" s="91"/>
      <c r="B376" s="81"/>
      <c r="C376" s="81"/>
      <c r="D376" s="173"/>
      <c r="E376" s="173"/>
      <c r="F376" s="80"/>
      <c r="G376" s="173"/>
      <c r="H376" s="81"/>
      <c r="I376" s="81"/>
      <c r="J376" s="102"/>
      <c r="K376" s="102"/>
      <c r="L376" s="102"/>
      <c r="M376" s="102"/>
      <c r="N376" s="102"/>
      <c r="O376" s="102"/>
      <c r="P376" s="81"/>
      <c r="Q376" s="81"/>
      <c r="R376" s="81"/>
      <c r="S376" s="81"/>
      <c r="T376" s="81"/>
      <c r="U376" s="81"/>
      <c r="V376" s="81"/>
      <c r="W376" s="81"/>
      <c r="X376" s="81"/>
      <c r="Y376" s="81"/>
      <c r="Z376" s="81"/>
    </row>
    <row r="377" customFormat="false" ht="12" hidden="false" customHeight="true" outlineLevel="0" collapsed="false">
      <c r="A377" s="91"/>
      <c r="B377" s="81"/>
      <c r="C377" s="81"/>
      <c r="D377" s="173"/>
      <c r="E377" s="173"/>
      <c r="F377" s="80"/>
      <c r="G377" s="173"/>
      <c r="H377" s="81"/>
      <c r="I377" s="81"/>
      <c r="J377" s="102"/>
      <c r="K377" s="102"/>
      <c r="L377" s="102"/>
      <c r="M377" s="102"/>
      <c r="N377" s="102"/>
      <c r="O377" s="102"/>
      <c r="P377" s="81"/>
      <c r="Q377" s="81"/>
      <c r="R377" s="81"/>
      <c r="S377" s="81"/>
      <c r="T377" s="81"/>
      <c r="U377" s="81"/>
      <c r="V377" s="81"/>
      <c r="W377" s="81"/>
      <c r="X377" s="81"/>
      <c r="Y377" s="81"/>
      <c r="Z377" s="81"/>
    </row>
    <row r="378" customFormat="false" ht="12" hidden="false" customHeight="true" outlineLevel="0" collapsed="false">
      <c r="A378" s="91"/>
      <c r="B378" s="81"/>
      <c r="C378" s="81"/>
      <c r="D378" s="173"/>
      <c r="E378" s="173"/>
      <c r="F378" s="80"/>
      <c r="G378" s="173"/>
      <c r="H378" s="81"/>
      <c r="I378" s="81"/>
      <c r="J378" s="102"/>
      <c r="K378" s="102"/>
      <c r="L378" s="102"/>
      <c r="M378" s="102"/>
      <c r="N378" s="102"/>
      <c r="O378" s="102"/>
      <c r="P378" s="81"/>
      <c r="Q378" s="81"/>
      <c r="R378" s="81"/>
      <c r="S378" s="81"/>
      <c r="T378" s="81"/>
      <c r="U378" s="81"/>
      <c r="V378" s="81"/>
      <c r="W378" s="81"/>
      <c r="X378" s="81"/>
      <c r="Y378" s="81"/>
      <c r="Z378" s="81"/>
    </row>
    <row r="379" customFormat="false" ht="12" hidden="false" customHeight="true" outlineLevel="0" collapsed="false">
      <c r="A379" s="91"/>
      <c r="B379" s="81"/>
      <c r="C379" s="81"/>
      <c r="D379" s="173"/>
      <c r="E379" s="173"/>
      <c r="F379" s="80"/>
      <c r="G379" s="173"/>
      <c r="H379" s="81"/>
      <c r="I379" s="81"/>
      <c r="J379" s="102"/>
      <c r="K379" s="102"/>
      <c r="L379" s="102"/>
      <c r="M379" s="102"/>
      <c r="N379" s="102"/>
      <c r="O379" s="102"/>
      <c r="P379" s="81"/>
      <c r="Q379" s="81"/>
      <c r="R379" s="81"/>
      <c r="S379" s="81"/>
      <c r="T379" s="81"/>
      <c r="U379" s="81"/>
      <c r="V379" s="81"/>
      <c r="W379" s="81"/>
      <c r="X379" s="81"/>
      <c r="Y379" s="81"/>
      <c r="Z379" s="81"/>
    </row>
    <row r="380" customFormat="false" ht="12" hidden="false" customHeight="true" outlineLevel="0" collapsed="false">
      <c r="A380" s="91"/>
      <c r="B380" s="81"/>
      <c r="C380" s="81"/>
      <c r="D380" s="173"/>
      <c r="E380" s="173"/>
      <c r="F380" s="80"/>
      <c r="G380" s="173"/>
      <c r="H380" s="81"/>
      <c r="I380" s="81"/>
      <c r="J380" s="102"/>
      <c r="K380" s="102"/>
      <c r="L380" s="102"/>
      <c r="M380" s="102"/>
      <c r="N380" s="102"/>
      <c r="O380" s="102"/>
      <c r="P380" s="81"/>
      <c r="Q380" s="81"/>
      <c r="R380" s="81"/>
      <c r="S380" s="81"/>
      <c r="T380" s="81"/>
      <c r="U380" s="81"/>
      <c r="V380" s="81"/>
      <c r="W380" s="81"/>
      <c r="X380" s="81"/>
      <c r="Y380" s="81"/>
      <c r="Z380" s="81"/>
    </row>
    <row r="381" customFormat="false" ht="12" hidden="false" customHeight="true" outlineLevel="0" collapsed="false">
      <c r="A381" s="91"/>
      <c r="B381" s="81"/>
      <c r="C381" s="81"/>
      <c r="D381" s="173"/>
      <c r="E381" s="173"/>
      <c r="F381" s="80"/>
      <c r="G381" s="173"/>
      <c r="H381" s="81"/>
      <c r="I381" s="81"/>
      <c r="J381" s="102"/>
      <c r="K381" s="102"/>
      <c r="L381" s="102"/>
      <c r="M381" s="102"/>
      <c r="N381" s="102"/>
      <c r="O381" s="102"/>
      <c r="P381" s="81"/>
      <c r="Q381" s="81"/>
      <c r="R381" s="81"/>
      <c r="S381" s="81"/>
      <c r="T381" s="81"/>
      <c r="U381" s="81"/>
      <c r="V381" s="81"/>
      <c r="W381" s="81"/>
      <c r="X381" s="81"/>
      <c r="Y381" s="81"/>
      <c r="Z381" s="81"/>
    </row>
    <row r="382" customFormat="false" ht="12" hidden="false" customHeight="true" outlineLevel="0" collapsed="false">
      <c r="A382" s="91"/>
      <c r="B382" s="81"/>
      <c r="C382" s="81"/>
      <c r="D382" s="173"/>
      <c r="E382" s="173"/>
      <c r="F382" s="80"/>
      <c r="G382" s="173"/>
      <c r="H382" s="81"/>
      <c r="I382" s="81"/>
      <c r="J382" s="102"/>
      <c r="K382" s="102"/>
      <c r="L382" s="102"/>
      <c r="M382" s="102"/>
      <c r="N382" s="102"/>
      <c r="O382" s="102"/>
      <c r="P382" s="81"/>
      <c r="Q382" s="81"/>
      <c r="R382" s="81"/>
      <c r="S382" s="81"/>
      <c r="T382" s="81"/>
      <c r="U382" s="81"/>
      <c r="V382" s="81"/>
      <c r="W382" s="81"/>
      <c r="X382" s="81"/>
      <c r="Y382" s="81"/>
      <c r="Z382" s="81"/>
    </row>
    <row r="383" customFormat="false" ht="12" hidden="false" customHeight="true" outlineLevel="0" collapsed="false">
      <c r="A383" s="91"/>
      <c r="B383" s="81"/>
      <c r="C383" s="81"/>
      <c r="D383" s="173"/>
      <c r="E383" s="173"/>
      <c r="F383" s="80"/>
      <c r="G383" s="173"/>
      <c r="H383" s="81"/>
      <c r="I383" s="81"/>
      <c r="J383" s="102"/>
      <c r="K383" s="102"/>
      <c r="L383" s="102"/>
      <c r="M383" s="102"/>
      <c r="N383" s="102"/>
      <c r="O383" s="102"/>
      <c r="P383" s="81"/>
      <c r="Q383" s="81"/>
      <c r="R383" s="81"/>
      <c r="S383" s="81"/>
      <c r="T383" s="81"/>
      <c r="U383" s="81"/>
      <c r="V383" s="81"/>
      <c r="W383" s="81"/>
      <c r="X383" s="81"/>
      <c r="Y383" s="81"/>
      <c r="Z383" s="81"/>
    </row>
    <row r="384" customFormat="false" ht="12" hidden="false" customHeight="true" outlineLevel="0" collapsed="false">
      <c r="A384" s="91"/>
      <c r="B384" s="81"/>
      <c r="C384" s="81"/>
      <c r="D384" s="173"/>
      <c r="E384" s="173"/>
      <c r="F384" s="80"/>
      <c r="G384" s="173"/>
      <c r="H384" s="81"/>
      <c r="I384" s="81"/>
      <c r="J384" s="102"/>
      <c r="K384" s="102"/>
      <c r="L384" s="102"/>
      <c r="M384" s="102"/>
      <c r="N384" s="102"/>
      <c r="O384" s="102"/>
      <c r="P384" s="81"/>
      <c r="Q384" s="81"/>
      <c r="R384" s="81"/>
      <c r="S384" s="81"/>
      <c r="T384" s="81"/>
      <c r="U384" s="81"/>
      <c r="V384" s="81"/>
      <c r="W384" s="81"/>
      <c r="X384" s="81"/>
      <c r="Y384" s="81"/>
      <c r="Z384" s="81"/>
    </row>
    <row r="385" customFormat="false" ht="12" hidden="false" customHeight="true" outlineLevel="0" collapsed="false">
      <c r="A385" s="91"/>
      <c r="B385" s="81"/>
      <c r="C385" s="81"/>
      <c r="D385" s="173"/>
      <c r="E385" s="173"/>
      <c r="F385" s="80"/>
      <c r="G385" s="173"/>
      <c r="H385" s="81"/>
      <c r="I385" s="81"/>
      <c r="J385" s="102"/>
      <c r="K385" s="102"/>
      <c r="L385" s="102"/>
      <c r="M385" s="102"/>
      <c r="N385" s="102"/>
      <c r="O385" s="102"/>
      <c r="P385" s="81"/>
      <c r="Q385" s="81"/>
      <c r="R385" s="81"/>
      <c r="S385" s="81"/>
      <c r="T385" s="81"/>
      <c r="U385" s="81"/>
      <c r="V385" s="81"/>
      <c r="W385" s="81"/>
      <c r="X385" s="81"/>
      <c r="Y385" s="81"/>
      <c r="Z385" s="81"/>
    </row>
    <row r="386" customFormat="false" ht="12" hidden="false" customHeight="true" outlineLevel="0" collapsed="false">
      <c r="A386" s="91"/>
      <c r="B386" s="81"/>
      <c r="C386" s="81"/>
      <c r="D386" s="173"/>
      <c r="E386" s="173"/>
      <c r="F386" s="80"/>
      <c r="G386" s="173"/>
      <c r="H386" s="81"/>
      <c r="I386" s="81"/>
      <c r="J386" s="102"/>
      <c r="K386" s="102"/>
      <c r="L386" s="102"/>
      <c r="M386" s="102"/>
      <c r="N386" s="102"/>
      <c r="O386" s="102"/>
      <c r="P386" s="81"/>
      <c r="Q386" s="81"/>
      <c r="R386" s="81"/>
      <c r="S386" s="81"/>
      <c r="T386" s="81"/>
      <c r="U386" s="81"/>
      <c r="V386" s="81"/>
      <c r="W386" s="81"/>
      <c r="X386" s="81"/>
      <c r="Y386" s="81"/>
      <c r="Z386" s="81"/>
    </row>
    <row r="387" customFormat="false" ht="12" hidden="false" customHeight="true" outlineLevel="0" collapsed="false">
      <c r="A387" s="91"/>
      <c r="B387" s="81"/>
      <c r="C387" s="81"/>
      <c r="D387" s="173"/>
      <c r="E387" s="173"/>
      <c r="F387" s="80"/>
      <c r="G387" s="173"/>
      <c r="H387" s="81"/>
      <c r="I387" s="81"/>
      <c r="J387" s="102"/>
      <c r="K387" s="102"/>
      <c r="L387" s="102"/>
      <c r="M387" s="102"/>
      <c r="N387" s="102"/>
      <c r="O387" s="102"/>
      <c r="P387" s="81"/>
      <c r="Q387" s="81"/>
      <c r="R387" s="81"/>
      <c r="S387" s="81"/>
      <c r="T387" s="81"/>
      <c r="U387" s="81"/>
      <c r="V387" s="81"/>
      <c r="W387" s="81"/>
      <c r="X387" s="81"/>
      <c r="Y387" s="81"/>
      <c r="Z387" s="81"/>
    </row>
    <row r="388" customFormat="false" ht="12" hidden="false" customHeight="true" outlineLevel="0" collapsed="false">
      <c r="A388" s="91"/>
      <c r="B388" s="81"/>
      <c r="C388" s="81"/>
      <c r="D388" s="173"/>
      <c r="E388" s="173"/>
      <c r="F388" s="80"/>
      <c r="G388" s="173"/>
      <c r="H388" s="81"/>
      <c r="I388" s="81"/>
      <c r="J388" s="102"/>
      <c r="K388" s="102"/>
      <c r="L388" s="102"/>
      <c r="M388" s="102"/>
      <c r="N388" s="102"/>
      <c r="O388" s="102"/>
      <c r="P388" s="81"/>
      <c r="Q388" s="81"/>
      <c r="R388" s="81"/>
      <c r="S388" s="81"/>
      <c r="T388" s="81"/>
      <c r="U388" s="81"/>
      <c r="V388" s="81"/>
      <c r="W388" s="81"/>
      <c r="X388" s="81"/>
      <c r="Y388" s="81"/>
      <c r="Z388" s="81"/>
    </row>
    <row r="389" customFormat="false" ht="12" hidden="false" customHeight="true" outlineLevel="0" collapsed="false">
      <c r="A389" s="91"/>
      <c r="B389" s="81"/>
      <c r="C389" s="81"/>
      <c r="D389" s="173"/>
      <c r="E389" s="173"/>
      <c r="F389" s="80"/>
      <c r="G389" s="173"/>
      <c r="H389" s="81"/>
      <c r="I389" s="81"/>
      <c r="J389" s="102"/>
      <c r="K389" s="102"/>
      <c r="L389" s="102"/>
      <c r="M389" s="102"/>
      <c r="N389" s="102"/>
      <c r="O389" s="102"/>
      <c r="P389" s="81"/>
      <c r="Q389" s="81"/>
      <c r="R389" s="81"/>
      <c r="S389" s="81"/>
      <c r="T389" s="81"/>
      <c r="U389" s="81"/>
      <c r="V389" s="81"/>
      <c r="W389" s="81"/>
      <c r="X389" s="81"/>
      <c r="Y389" s="81"/>
      <c r="Z389" s="81"/>
    </row>
    <row r="390" customFormat="false" ht="12" hidden="false" customHeight="true" outlineLevel="0" collapsed="false">
      <c r="A390" s="91"/>
      <c r="B390" s="81"/>
      <c r="C390" s="81"/>
      <c r="D390" s="173"/>
      <c r="E390" s="173"/>
      <c r="F390" s="80"/>
      <c r="G390" s="173"/>
      <c r="H390" s="81"/>
      <c r="I390" s="81"/>
      <c r="J390" s="102"/>
      <c r="K390" s="102"/>
      <c r="L390" s="102"/>
      <c r="M390" s="102"/>
      <c r="N390" s="102"/>
      <c r="O390" s="102"/>
      <c r="P390" s="81"/>
      <c r="Q390" s="81"/>
      <c r="R390" s="81"/>
      <c r="S390" s="81"/>
      <c r="T390" s="81"/>
      <c r="U390" s="81"/>
      <c r="V390" s="81"/>
      <c r="W390" s="81"/>
      <c r="X390" s="81"/>
      <c r="Y390" s="81"/>
      <c r="Z390" s="81"/>
    </row>
    <row r="391" customFormat="false" ht="12" hidden="false" customHeight="true" outlineLevel="0" collapsed="false">
      <c r="A391" s="91"/>
      <c r="B391" s="81"/>
      <c r="C391" s="81"/>
      <c r="D391" s="173"/>
      <c r="E391" s="173"/>
      <c r="F391" s="80"/>
      <c r="G391" s="173"/>
      <c r="H391" s="81"/>
      <c r="I391" s="81"/>
      <c r="J391" s="102"/>
      <c r="K391" s="102"/>
      <c r="L391" s="102"/>
      <c r="M391" s="102"/>
      <c r="N391" s="102"/>
      <c r="O391" s="102"/>
      <c r="P391" s="81"/>
      <c r="Q391" s="81"/>
      <c r="R391" s="81"/>
      <c r="S391" s="81"/>
      <c r="T391" s="81"/>
      <c r="U391" s="81"/>
      <c r="V391" s="81"/>
      <c r="W391" s="81"/>
      <c r="X391" s="81"/>
      <c r="Y391" s="81"/>
      <c r="Z391" s="81"/>
    </row>
    <row r="392" customFormat="false" ht="12" hidden="false" customHeight="true" outlineLevel="0" collapsed="false">
      <c r="A392" s="91"/>
      <c r="B392" s="81"/>
      <c r="C392" s="81"/>
      <c r="D392" s="173"/>
      <c r="E392" s="173"/>
      <c r="F392" s="80"/>
      <c r="G392" s="173"/>
      <c r="H392" s="81"/>
      <c r="I392" s="81"/>
      <c r="J392" s="102"/>
      <c r="K392" s="102"/>
      <c r="L392" s="102"/>
      <c r="M392" s="102"/>
      <c r="N392" s="102"/>
      <c r="O392" s="102"/>
      <c r="P392" s="81"/>
      <c r="Q392" s="81"/>
      <c r="R392" s="81"/>
      <c r="S392" s="81"/>
      <c r="T392" s="81"/>
      <c r="U392" s="81"/>
      <c r="V392" s="81"/>
      <c r="W392" s="81"/>
      <c r="X392" s="81"/>
      <c r="Y392" s="81"/>
      <c r="Z392" s="81"/>
    </row>
    <row r="393" customFormat="false" ht="12" hidden="false" customHeight="true" outlineLevel="0" collapsed="false">
      <c r="A393" s="91"/>
      <c r="B393" s="81"/>
      <c r="C393" s="81"/>
      <c r="D393" s="173"/>
      <c r="E393" s="173"/>
      <c r="F393" s="80"/>
      <c r="G393" s="173"/>
      <c r="H393" s="81"/>
      <c r="I393" s="81"/>
      <c r="J393" s="102"/>
      <c r="K393" s="102"/>
      <c r="L393" s="102"/>
      <c r="M393" s="102"/>
      <c r="N393" s="102"/>
      <c r="O393" s="102"/>
      <c r="P393" s="81"/>
      <c r="Q393" s="81"/>
      <c r="R393" s="81"/>
      <c r="S393" s="81"/>
      <c r="T393" s="81"/>
      <c r="U393" s="81"/>
      <c r="V393" s="81"/>
      <c r="W393" s="81"/>
      <c r="X393" s="81"/>
      <c r="Y393" s="81"/>
      <c r="Z393" s="81"/>
    </row>
    <row r="394" customFormat="false" ht="12" hidden="false" customHeight="true" outlineLevel="0" collapsed="false">
      <c r="A394" s="91"/>
      <c r="B394" s="81"/>
      <c r="C394" s="81"/>
      <c r="D394" s="173"/>
      <c r="E394" s="173"/>
      <c r="F394" s="80"/>
      <c r="G394" s="173"/>
      <c r="H394" s="81"/>
      <c r="I394" s="81"/>
      <c r="J394" s="102"/>
      <c r="K394" s="102"/>
      <c r="L394" s="102"/>
      <c r="M394" s="102"/>
      <c r="N394" s="102"/>
      <c r="O394" s="102"/>
      <c r="P394" s="81"/>
      <c r="Q394" s="81"/>
      <c r="R394" s="81"/>
      <c r="S394" s="81"/>
      <c r="T394" s="81"/>
      <c r="U394" s="81"/>
      <c r="V394" s="81"/>
      <c r="W394" s="81"/>
      <c r="X394" s="81"/>
      <c r="Y394" s="81"/>
      <c r="Z394" s="81"/>
    </row>
    <row r="395" customFormat="false" ht="12" hidden="false" customHeight="true" outlineLevel="0" collapsed="false">
      <c r="A395" s="91"/>
      <c r="B395" s="81"/>
      <c r="C395" s="81"/>
      <c r="D395" s="173"/>
      <c r="E395" s="173"/>
      <c r="F395" s="80"/>
      <c r="G395" s="173"/>
      <c r="H395" s="81"/>
      <c r="I395" s="81"/>
      <c r="J395" s="102"/>
      <c r="K395" s="102"/>
      <c r="L395" s="102"/>
      <c r="M395" s="102"/>
      <c r="N395" s="102"/>
      <c r="O395" s="102"/>
      <c r="P395" s="81"/>
      <c r="Q395" s="81"/>
      <c r="R395" s="81"/>
      <c r="S395" s="81"/>
      <c r="T395" s="81"/>
      <c r="U395" s="81"/>
      <c r="V395" s="81"/>
      <c r="W395" s="81"/>
      <c r="X395" s="81"/>
      <c r="Y395" s="81"/>
      <c r="Z395" s="81"/>
    </row>
    <row r="396" customFormat="false" ht="12" hidden="false" customHeight="true" outlineLevel="0" collapsed="false">
      <c r="A396" s="91"/>
      <c r="B396" s="81"/>
      <c r="C396" s="81"/>
      <c r="D396" s="173"/>
      <c r="E396" s="173"/>
      <c r="F396" s="80"/>
      <c r="G396" s="173"/>
      <c r="H396" s="81"/>
      <c r="I396" s="81"/>
      <c r="J396" s="102"/>
      <c r="K396" s="102"/>
      <c r="L396" s="102"/>
      <c r="M396" s="102"/>
      <c r="N396" s="102"/>
      <c r="O396" s="102"/>
      <c r="P396" s="81"/>
      <c r="Q396" s="81"/>
      <c r="R396" s="81"/>
      <c r="S396" s="81"/>
      <c r="T396" s="81"/>
      <c r="U396" s="81"/>
      <c r="V396" s="81"/>
      <c r="W396" s="81"/>
      <c r="X396" s="81"/>
      <c r="Y396" s="81"/>
      <c r="Z396" s="81"/>
    </row>
    <row r="397" customFormat="false" ht="12" hidden="false" customHeight="true" outlineLevel="0" collapsed="false">
      <c r="A397" s="91"/>
      <c r="B397" s="81"/>
      <c r="C397" s="81"/>
      <c r="D397" s="173"/>
      <c r="E397" s="173"/>
      <c r="F397" s="80"/>
      <c r="G397" s="173"/>
      <c r="H397" s="81"/>
      <c r="I397" s="81"/>
      <c r="J397" s="102"/>
      <c r="K397" s="102"/>
      <c r="L397" s="102"/>
      <c r="M397" s="102"/>
      <c r="N397" s="102"/>
      <c r="O397" s="102"/>
      <c r="P397" s="81"/>
      <c r="Q397" s="81"/>
      <c r="R397" s="81"/>
      <c r="S397" s="81"/>
      <c r="T397" s="81"/>
      <c r="U397" s="81"/>
      <c r="V397" s="81"/>
      <c r="W397" s="81"/>
      <c r="X397" s="81"/>
      <c r="Y397" s="81"/>
      <c r="Z397" s="81"/>
    </row>
    <row r="398" customFormat="false" ht="12" hidden="false" customHeight="true" outlineLevel="0" collapsed="false">
      <c r="A398" s="91"/>
      <c r="B398" s="81"/>
      <c r="C398" s="81"/>
      <c r="D398" s="173"/>
      <c r="E398" s="173"/>
      <c r="F398" s="80"/>
      <c r="G398" s="173"/>
      <c r="H398" s="81"/>
      <c r="I398" s="81"/>
      <c r="J398" s="102"/>
      <c r="K398" s="102"/>
      <c r="L398" s="102"/>
      <c r="M398" s="102"/>
      <c r="N398" s="102"/>
      <c r="O398" s="102"/>
      <c r="P398" s="81"/>
      <c r="Q398" s="81"/>
      <c r="R398" s="81"/>
      <c r="S398" s="81"/>
      <c r="T398" s="81"/>
      <c r="U398" s="81"/>
      <c r="V398" s="81"/>
      <c r="W398" s="81"/>
      <c r="X398" s="81"/>
      <c r="Y398" s="81"/>
      <c r="Z398" s="81"/>
    </row>
    <row r="399" customFormat="false" ht="12" hidden="false" customHeight="true" outlineLevel="0" collapsed="false">
      <c r="A399" s="91"/>
      <c r="B399" s="81"/>
      <c r="C399" s="81"/>
      <c r="D399" s="173"/>
      <c r="E399" s="173"/>
      <c r="F399" s="80"/>
      <c r="G399" s="173"/>
      <c r="H399" s="81"/>
      <c r="I399" s="81"/>
      <c r="J399" s="102"/>
      <c r="K399" s="102"/>
      <c r="L399" s="102"/>
      <c r="M399" s="102"/>
      <c r="N399" s="102"/>
      <c r="O399" s="102"/>
      <c r="P399" s="81"/>
      <c r="Q399" s="81"/>
      <c r="R399" s="81"/>
      <c r="S399" s="81"/>
      <c r="T399" s="81"/>
      <c r="U399" s="81"/>
      <c r="V399" s="81"/>
      <c r="W399" s="81"/>
      <c r="X399" s="81"/>
      <c r="Y399" s="81"/>
      <c r="Z399" s="81"/>
    </row>
    <row r="400" customFormat="false" ht="12" hidden="false" customHeight="true" outlineLevel="0" collapsed="false">
      <c r="A400" s="91"/>
      <c r="B400" s="81"/>
      <c r="C400" s="81"/>
      <c r="D400" s="173"/>
      <c r="E400" s="173"/>
      <c r="F400" s="80"/>
      <c r="G400" s="173"/>
      <c r="H400" s="81"/>
      <c r="I400" s="81"/>
      <c r="J400" s="102"/>
      <c r="K400" s="102"/>
      <c r="L400" s="102"/>
      <c r="M400" s="102"/>
      <c r="N400" s="102"/>
      <c r="O400" s="102"/>
      <c r="P400" s="81"/>
      <c r="Q400" s="81"/>
      <c r="R400" s="81"/>
      <c r="S400" s="81"/>
      <c r="T400" s="81"/>
      <c r="U400" s="81"/>
      <c r="V400" s="81"/>
      <c r="W400" s="81"/>
      <c r="X400" s="81"/>
      <c r="Y400" s="81"/>
      <c r="Z400" s="81"/>
    </row>
    <row r="401" customFormat="false" ht="12" hidden="false" customHeight="true" outlineLevel="0" collapsed="false">
      <c r="A401" s="91"/>
      <c r="B401" s="81"/>
      <c r="C401" s="81"/>
      <c r="D401" s="173"/>
      <c r="E401" s="173"/>
      <c r="F401" s="80"/>
      <c r="G401" s="173"/>
      <c r="H401" s="81"/>
      <c r="I401" s="81"/>
      <c r="J401" s="102"/>
      <c r="K401" s="102"/>
      <c r="L401" s="102"/>
      <c r="M401" s="102"/>
      <c r="N401" s="102"/>
      <c r="O401" s="102"/>
      <c r="P401" s="81"/>
      <c r="Q401" s="81"/>
      <c r="R401" s="81"/>
      <c r="S401" s="81"/>
      <c r="T401" s="81"/>
      <c r="U401" s="81"/>
      <c r="V401" s="81"/>
      <c r="W401" s="81"/>
      <c r="X401" s="81"/>
      <c r="Y401" s="81"/>
      <c r="Z401" s="81"/>
    </row>
    <row r="402" customFormat="false" ht="12" hidden="false" customHeight="true" outlineLevel="0" collapsed="false">
      <c r="A402" s="91"/>
      <c r="B402" s="81"/>
      <c r="C402" s="81"/>
      <c r="D402" s="173"/>
      <c r="E402" s="173"/>
      <c r="F402" s="80"/>
      <c r="G402" s="173"/>
      <c r="H402" s="81"/>
      <c r="I402" s="81"/>
      <c r="J402" s="102"/>
      <c r="K402" s="102"/>
      <c r="L402" s="102"/>
      <c r="M402" s="102"/>
      <c r="N402" s="102"/>
      <c r="O402" s="102"/>
      <c r="P402" s="81"/>
      <c r="Q402" s="81"/>
      <c r="R402" s="81"/>
      <c r="S402" s="81"/>
      <c r="T402" s="81"/>
      <c r="U402" s="81"/>
      <c r="V402" s="81"/>
      <c r="W402" s="81"/>
      <c r="X402" s="81"/>
      <c r="Y402" s="81"/>
      <c r="Z402" s="81"/>
    </row>
    <row r="403" customFormat="false" ht="12" hidden="false" customHeight="true" outlineLevel="0" collapsed="false">
      <c r="A403" s="91"/>
      <c r="B403" s="81"/>
      <c r="C403" s="81"/>
      <c r="D403" s="173"/>
      <c r="E403" s="173"/>
      <c r="F403" s="80"/>
      <c r="G403" s="173"/>
      <c r="H403" s="81"/>
      <c r="I403" s="81"/>
      <c r="J403" s="102"/>
      <c r="K403" s="102"/>
      <c r="L403" s="102"/>
      <c r="M403" s="102"/>
      <c r="N403" s="102"/>
      <c r="O403" s="102"/>
      <c r="P403" s="81"/>
      <c r="Q403" s="81"/>
      <c r="R403" s="81"/>
      <c r="S403" s="81"/>
      <c r="T403" s="81"/>
      <c r="U403" s="81"/>
      <c r="V403" s="81"/>
      <c r="W403" s="81"/>
      <c r="X403" s="81"/>
      <c r="Y403" s="81"/>
      <c r="Z403" s="81"/>
    </row>
    <row r="404" customFormat="false" ht="12" hidden="false" customHeight="true" outlineLevel="0" collapsed="false">
      <c r="A404" s="91"/>
      <c r="B404" s="81"/>
      <c r="C404" s="81"/>
      <c r="D404" s="173"/>
      <c r="E404" s="173"/>
      <c r="F404" s="80"/>
      <c r="G404" s="173"/>
      <c r="H404" s="81"/>
      <c r="I404" s="81"/>
      <c r="J404" s="102"/>
      <c r="K404" s="102"/>
      <c r="L404" s="102"/>
      <c r="M404" s="102"/>
      <c r="N404" s="102"/>
      <c r="O404" s="102"/>
      <c r="P404" s="81"/>
      <c r="Q404" s="81"/>
      <c r="R404" s="81"/>
      <c r="S404" s="81"/>
      <c r="T404" s="81"/>
      <c r="U404" s="81"/>
      <c r="V404" s="81"/>
      <c r="W404" s="81"/>
      <c r="X404" s="81"/>
      <c r="Y404" s="81"/>
      <c r="Z404" s="81"/>
    </row>
    <row r="405" customFormat="false" ht="12" hidden="false" customHeight="true" outlineLevel="0" collapsed="false">
      <c r="A405" s="91"/>
      <c r="B405" s="81"/>
      <c r="C405" s="81"/>
      <c r="D405" s="173"/>
      <c r="E405" s="173"/>
      <c r="F405" s="80"/>
      <c r="G405" s="173"/>
      <c r="H405" s="81"/>
      <c r="I405" s="81"/>
      <c r="J405" s="102"/>
      <c r="K405" s="102"/>
      <c r="L405" s="102"/>
      <c r="M405" s="102"/>
      <c r="N405" s="102"/>
      <c r="O405" s="102"/>
      <c r="P405" s="81"/>
      <c r="Q405" s="81"/>
      <c r="R405" s="81"/>
      <c r="S405" s="81"/>
      <c r="T405" s="81"/>
      <c r="U405" s="81"/>
      <c r="V405" s="81"/>
      <c r="W405" s="81"/>
      <c r="X405" s="81"/>
      <c r="Y405" s="81"/>
      <c r="Z405" s="81"/>
    </row>
    <row r="406" customFormat="false" ht="12" hidden="false" customHeight="true" outlineLevel="0" collapsed="false">
      <c r="A406" s="91"/>
      <c r="B406" s="81"/>
      <c r="C406" s="81"/>
      <c r="D406" s="173"/>
      <c r="E406" s="173"/>
      <c r="F406" s="80"/>
      <c r="G406" s="173"/>
      <c r="H406" s="81"/>
      <c r="I406" s="81"/>
      <c r="J406" s="102"/>
      <c r="K406" s="102"/>
      <c r="L406" s="102"/>
      <c r="M406" s="102"/>
      <c r="N406" s="102"/>
      <c r="O406" s="102"/>
      <c r="P406" s="81"/>
      <c r="Q406" s="81"/>
      <c r="R406" s="81"/>
      <c r="S406" s="81"/>
      <c r="T406" s="81"/>
      <c r="U406" s="81"/>
      <c r="V406" s="81"/>
      <c r="W406" s="81"/>
      <c r="X406" s="81"/>
      <c r="Y406" s="81"/>
      <c r="Z406" s="81"/>
    </row>
    <row r="407" customFormat="false" ht="12" hidden="false" customHeight="true" outlineLevel="0" collapsed="false">
      <c r="A407" s="91"/>
      <c r="B407" s="81"/>
      <c r="C407" s="81"/>
      <c r="D407" s="173"/>
      <c r="E407" s="173"/>
      <c r="F407" s="80"/>
      <c r="G407" s="173"/>
      <c r="H407" s="81"/>
      <c r="I407" s="81"/>
      <c r="J407" s="102"/>
      <c r="K407" s="102"/>
      <c r="L407" s="102"/>
      <c r="M407" s="102"/>
      <c r="N407" s="102"/>
      <c r="O407" s="102"/>
      <c r="P407" s="81"/>
      <c r="Q407" s="81"/>
      <c r="R407" s="81"/>
      <c r="S407" s="81"/>
      <c r="T407" s="81"/>
      <c r="U407" s="81"/>
      <c r="V407" s="81"/>
      <c r="W407" s="81"/>
      <c r="X407" s="81"/>
      <c r="Y407" s="81"/>
      <c r="Z407" s="81"/>
    </row>
    <row r="408" customFormat="false" ht="12" hidden="false" customHeight="true" outlineLevel="0" collapsed="false">
      <c r="A408" s="91"/>
      <c r="B408" s="81"/>
      <c r="C408" s="81"/>
      <c r="D408" s="173"/>
      <c r="E408" s="173"/>
      <c r="F408" s="80"/>
      <c r="G408" s="173"/>
      <c r="H408" s="81"/>
      <c r="I408" s="81"/>
      <c r="J408" s="102"/>
      <c r="K408" s="102"/>
      <c r="L408" s="102"/>
      <c r="M408" s="102"/>
      <c r="N408" s="102"/>
      <c r="O408" s="102"/>
      <c r="P408" s="81"/>
      <c r="Q408" s="81"/>
      <c r="R408" s="81"/>
      <c r="S408" s="81"/>
      <c r="T408" s="81"/>
      <c r="U408" s="81"/>
      <c r="V408" s="81"/>
      <c r="W408" s="81"/>
      <c r="X408" s="81"/>
      <c r="Y408" s="81"/>
      <c r="Z408" s="81"/>
    </row>
    <row r="409" customFormat="false" ht="12" hidden="false" customHeight="true" outlineLevel="0" collapsed="false">
      <c r="A409" s="91"/>
      <c r="B409" s="81"/>
      <c r="C409" s="81"/>
      <c r="D409" s="173"/>
      <c r="E409" s="173"/>
      <c r="F409" s="80"/>
      <c r="G409" s="173"/>
      <c r="H409" s="81"/>
      <c r="I409" s="81"/>
      <c r="J409" s="102"/>
      <c r="K409" s="102"/>
      <c r="L409" s="102"/>
      <c r="M409" s="102"/>
      <c r="N409" s="102"/>
      <c r="O409" s="102"/>
      <c r="P409" s="81"/>
      <c r="Q409" s="81"/>
      <c r="R409" s="81"/>
      <c r="S409" s="81"/>
      <c r="T409" s="81"/>
      <c r="U409" s="81"/>
      <c r="V409" s="81"/>
      <c r="W409" s="81"/>
      <c r="X409" s="81"/>
      <c r="Y409" s="81"/>
      <c r="Z409" s="81"/>
    </row>
    <row r="410" customFormat="false" ht="12" hidden="false" customHeight="true" outlineLevel="0" collapsed="false">
      <c r="A410" s="91"/>
      <c r="B410" s="81"/>
      <c r="C410" s="81"/>
      <c r="D410" s="173"/>
      <c r="E410" s="173"/>
      <c r="F410" s="80"/>
      <c r="G410" s="173"/>
      <c r="H410" s="81"/>
      <c r="I410" s="81"/>
      <c r="J410" s="102"/>
      <c r="K410" s="102"/>
      <c r="L410" s="102"/>
      <c r="M410" s="102"/>
      <c r="N410" s="102"/>
      <c r="O410" s="102"/>
      <c r="P410" s="81"/>
      <c r="Q410" s="81"/>
      <c r="R410" s="81"/>
      <c r="S410" s="81"/>
      <c r="T410" s="81"/>
      <c r="U410" s="81"/>
      <c r="V410" s="81"/>
      <c r="W410" s="81"/>
      <c r="X410" s="81"/>
      <c r="Y410" s="81"/>
      <c r="Z410" s="81"/>
    </row>
    <row r="411" customFormat="false" ht="12" hidden="false" customHeight="true" outlineLevel="0" collapsed="false">
      <c r="A411" s="91"/>
      <c r="B411" s="81"/>
      <c r="C411" s="81"/>
      <c r="D411" s="173"/>
      <c r="E411" s="173"/>
      <c r="F411" s="80"/>
      <c r="G411" s="173"/>
      <c r="H411" s="81"/>
      <c r="I411" s="81"/>
      <c r="J411" s="102"/>
      <c r="K411" s="102"/>
      <c r="L411" s="102"/>
      <c r="M411" s="102"/>
      <c r="N411" s="102"/>
      <c r="O411" s="102"/>
      <c r="P411" s="81"/>
      <c r="Q411" s="81"/>
      <c r="R411" s="81"/>
      <c r="S411" s="81"/>
      <c r="T411" s="81"/>
      <c r="U411" s="81"/>
      <c r="V411" s="81"/>
      <c r="W411" s="81"/>
      <c r="X411" s="81"/>
      <c r="Y411" s="81"/>
      <c r="Z411" s="81"/>
    </row>
    <row r="412" customFormat="false" ht="12" hidden="false" customHeight="true" outlineLevel="0" collapsed="false">
      <c r="A412" s="91"/>
      <c r="B412" s="81"/>
      <c r="C412" s="81"/>
      <c r="D412" s="173"/>
      <c r="E412" s="173"/>
      <c r="F412" s="80"/>
      <c r="G412" s="173"/>
      <c r="H412" s="81"/>
      <c r="I412" s="81"/>
      <c r="J412" s="102"/>
      <c r="K412" s="102"/>
      <c r="L412" s="102"/>
      <c r="M412" s="102"/>
      <c r="N412" s="102"/>
      <c r="O412" s="102"/>
      <c r="P412" s="81"/>
      <c r="Q412" s="81"/>
      <c r="R412" s="81"/>
      <c r="S412" s="81"/>
      <c r="T412" s="81"/>
      <c r="U412" s="81"/>
      <c r="V412" s="81"/>
      <c r="W412" s="81"/>
      <c r="X412" s="81"/>
      <c r="Y412" s="81"/>
      <c r="Z412" s="81"/>
    </row>
    <row r="413" customFormat="false" ht="12" hidden="false" customHeight="true" outlineLevel="0" collapsed="false">
      <c r="A413" s="91"/>
      <c r="B413" s="81"/>
      <c r="C413" s="81"/>
      <c r="D413" s="173"/>
      <c r="E413" s="173"/>
      <c r="F413" s="80"/>
      <c r="G413" s="173"/>
      <c r="H413" s="81"/>
      <c r="I413" s="81"/>
      <c r="J413" s="102"/>
      <c r="K413" s="102"/>
      <c r="L413" s="102"/>
      <c r="M413" s="102"/>
      <c r="N413" s="102"/>
      <c r="O413" s="102"/>
      <c r="P413" s="81"/>
      <c r="Q413" s="81"/>
      <c r="R413" s="81"/>
      <c r="S413" s="81"/>
      <c r="T413" s="81"/>
      <c r="U413" s="81"/>
      <c r="V413" s="81"/>
      <c r="W413" s="81"/>
      <c r="X413" s="81"/>
      <c r="Y413" s="81"/>
      <c r="Z413" s="81"/>
    </row>
    <row r="414" customFormat="false" ht="12" hidden="false" customHeight="true" outlineLevel="0" collapsed="false">
      <c r="A414" s="91"/>
      <c r="B414" s="81"/>
      <c r="C414" s="81"/>
      <c r="D414" s="173"/>
      <c r="E414" s="173"/>
      <c r="F414" s="80"/>
      <c r="G414" s="173"/>
      <c r="H414" s="81"/>
      <c r="I414" s="81"/>
      <c r="J414" s="102"/>
      <c r="K414" s="102"/>
      <c r="L414" s="102"/>
      <c r="M414" s="102"/>
      <c r="N414" s="102"/>
      <c r="O414" s="102"/>
      <c r="P414" s="81"/>
      <c r="Q414" s="81"/>
      <c r="R414" s="81"/>
      <c r="S414" s="81"/>
      <c r="T414" s="81"/>
      <c r="U414" s="81"/>
      <c r="V414" s="81"/>
      <c r="W414" s="81"/>
      <c r="X414" s="81"/>
      <c r="Y414" s="81"/>
      <c r="Z414" s="81"/>
    </row>
    <row r="415" customFormat="false" ht="12" hidden="false" customHeight="true" outlineLevel="0" collapsed="false">
      <c r="A415" s="91"/>
      <c r="B415" s="81"/>
      <c r="C415" s="81"/>
      <c r="D415" s="173"/>
      <c r="E415" s="173"/>
      <c r="F415" s="80"/>
      <c r="G415" s="173"/>
      <c r="H415" s="81"/>
      <c r="I415" s="81"/>
      <c r="J415" s="102"/>
      <c r="K415" s="102"/>
      <c r="L415" s="102"/>
      <c r="M415" s="102"/>
      <c r="N415" s="102"/>
      <c r="O415" s="102"/>
      <c r="P415" s="81"/>
      <c r="Q415" s="81"/>
      <c r="R415" s="81"/>
      <c r="S415" s="81"/>
      <c r="T415" s="81"/>
      <c r="U415" s="81"/>
      <c r="V415" s="81"/>
      <c r="W415" s="81"/>
      <c r="X415" s="81"/>
      <c r="Y415" s="81"/>
      <c r="Z415" s="81"/>
    </row>
    <row r="416" customFormat="false" ht="12" hidden="false" customHeight="true" outlineLevel="0" collapsed="false">
      <c r="A416" s="91"/>
      <c r="B416" s="81"/>
      <c r="C416" s="81"/>
      <c r="D416" s="173"/>
      <c r="E416" s="173"/>
      <c r="F416" s="80"/>
      <c r="G416" s="173"/>
      <c r="H416" s="81"/>
      <c r="I416" s="81"/>
      <c r="J416" s="102"/>
      <c r="K416" s="102"/>
      <c r="L416" s="102"/>
      <c r="M416" s="102"/>
      <c r="N416" s="102"/>
      <c r="O416" s="102"/>
      <c r="P416" s="81"/>
      <c r="Q416" s="81"/>
      <c r="R416" s="81"/>
      <c r="S416" s="81"/>
      <c r="T416" s="81"/>
      <c r="U416" s="81"/>
      <c r="V416" s="81"/>
      <c r="W416" s="81"/>
      <c r="X416" s="81"/>
      <c r="Y416" s="81"/>
      <c r="Z416" s="81"/>
    </row>
    <row r="417" customFormat="false" ht="12" hidden="false" customHeight="true" outlineLevel="0" collapsed="false">
      <c r="A417" s="91"/>
      <c r="B417" s="81"/>
      <c r="C417" s="81"/>
      <c r="D417" s="173"/>
      <c r="E417" s="173"/>
      <c r="F417" s="80"/>
      <c r="G417" s="173"/>
      <c r="H417" s="81"/>
      <c r="I417" s="81"/>
      <c r="J417" s="102"/>
      <c r="K417" s="102"/>
      <c r="L417" s="102"/>
      <c r="M417" s="102"/>
      <c r="N417" s="102"/>
      <c r="O417" s="102"/>
      <c r="P417" s="81"/>
      <c r="Q417" s="81"/>
      <c r="R417" s="81"/>
      <c r="S417" s="81"/>
      <c r="T417" s="81"/>
      <c r="U417" s="81"/>
      <c r="V417" s="81"/>
      <c r="W417" s="81"/>
      <c r="X417" s="81"/>
      <c r="Y417" s="81"/>
      <c r="Z417" s="81"/>
    </row>
    <row r="418" customFormat="false" ht="12" hidden="false" customHeight="true" outlineLevel="0" collapsed="false">
      <c r="A418" s="91"/>
      <c r="B418" s="81"/>
      <c r="C418" s="81"/>
      <c r="D418" s="173"/>
      <c r="E418" s="173"/>
      <c r="F418" s="80"/>
      <c r="G418" s="173"/>
      <c r="H418" s="81"/>
      <c r="I418" s="81"/>
      <c r="J418" s="102"/>
      <c r="K418" s="102"/>
      <c r="L418" s="102"/>
      <c r="M418" s="102"/>
      <c r="N418" s="102"/>
      <c r="O418" s="102"/>
      <c r="P418" s="81"/>
      <c r="Q418" s="81"/>
      <c r="R418" s="81"/>
      <c r="S418" s="81"/>
      <c r="T418" s="81"/>
      <c r="U418" s="81"/>
      <c r="V418" s="81"/>
      <c r="W418" s="81"/>
      <c r="X418" s="81"/>
      <c r="Y418" s="81"/>
      <c r="Z418" s="81"/>
    </row>
    <row r="419" customFormat="false" ht="12" hidden="false" customHeight="true" outlineLevel="0" collapsed="false">
      <c r="A419" s="91"/>
      <c r="B419" s="81"/>
      <c r="C419" s="81"/>
      <c r="D419" s="173"/>
      <c r="E419" s="173"/>
      <c r="F419" s="80"/>
      <c r="G419" s="173"/>
      <c r="H419" s="81"/>
      <c r="I419" s="81"/>
      <c r="J419" s="102"/>
      <c r="K419" s="102"/>
      <c r="L419" s="102"/>
      <c r="M419" s="102"/>
      <c r="N419" s="102"/>
      <c r="O419" s="102"/>
      <c r="P419" s="81"/>
      <c r="Q419" s="81"/>
      <c r="R419" s="81"/>
      <c r="S419" s="81"/>
      <c r="T419" s="81"/>
      <c r="U419" s="81"/>
      <c r="V419" s="81"/>
      <c r="W419" s="81"/>
      <c r="X419" s="81"/>
      <c r="Y419" s="81"/>
      <c r="Z419" s="81"/>
    </row>
    <row r="420" customFormat="false" ht="12" hidden="false" customHeight="true" outlineLevel="0" collapsed="false">
      <c r="A420" s="91"/>
      <c r="B420" s="81"/>
      <c r="C420" s="81"/>
      <c r="D420" s="173"/>
      <c r="E420" s="173"/>
      <c r="F420" s="80"/>
      <c r="G420" s="173"/>
      <c r="H420" s="81"/>
      <c r="I420" s="81"/>
      <c r="J420" s="102"/>
      <c r="K420" s="102"/>
      <c r="L420" s="102"/>
      <c r="M420" s="102"/>
      <c r="N420" s="102"/>
      <c r="O420" s="102"/>
      <c r="P420" s="81"/>
      <c r="Q420" s="81"/>
      <c r="R420" s="81"/>
      <c r="S420" s="81"/>
      <c r="T420" s="81"/>
      <c r="U420" s="81"/>
      <c r="V420" s="81"/>
      <c r="W420" s="81"/>
      <c r="X420" s="81"/>
      <c r="Y420" s="81"/>
      <c r="Z420" s="81"/>
    </row>
    <row r="421" customFormat="false" ht="12" hidden="false" customHeight="true" outlineLevel="0" collapsed="false">
      <c r="A421" s="91"/>
      <c r="B421" s="81"/>
      <c r="C421" s="81"/>
      <c r="D421" s="173"/>
      <c r="E421" s="173"/>
      <c r="F421" s="80"/>
      <c r="G421" s="173"/>
      <c r="H421" s="81"/>
      <c r="I421" s="81"/>
      <c r="J421" s="102"/>
      <c r="K421" s="102"/>
      <c r="L421" s="102"/>
      <c r="M421" s="102"/>
      <c r="N421" s="102"/>
      <c r="O421" s="102"/>
      <c r="P421" s="81"/>
      <c r="Q421" s="81"/>
      <c r="R421" s="81"/>
      <c r="S421" s="81"/>
      <c r="T421" s="81"/>
      <c r="U421" s="81"/>
      <c r="V421" s="81"/>
      <c r="W421" s="81"/>
      <c r="X421" s="81"/>
      <c r="Y421" s="81"/>
      <c r="Z421" s="81"/>
    </row>
    <row r="422" customFormat="false" ht="12" hidden="false" customHeight="true" outlineLevel="0" collapsed="false">
      <c r="A422" s="91"/>
      <c r="B422" s="81"/>
      <c r="C422" s="81"/>
      <c r="D422" s="173"/>
      <c r="E422" s="173"/>
      <c r="F422" s="80"/>
      <c r="G422" s="173"/>
      <c r="H422" s="81"/>
      <c r="I422" s="81"/>
      <c r="J422" s="102"/>
      <c r="K422" s="102"/>
      <c r="L422" s="102"/>
      <c r="M422" s="102"/>
      <c r="N422" s="102"/>
      <c r="O422" s="102"/>
      <c r="P422" s="81"/>
      <c r="Q422" s="81"/>
      <c r="R422" s="81"/>
      <c r="S422" s="81"/>
      <c r="T422" s="81"/>
      <c r="U422" s="81"/>
      <c r="V422" s="81"/>
      <c r="W422" s="81"/>
      <c r="X422" s="81"/>
      <c r="Y422" s="81"/>
      <c r="Z422" s="81"/>
    </row>
    <row r="423" customFormat="false" ht="12" hidden="false" customHeight="true" outlineLevel="0" collapsed="false">
      <c r="A423" s="91"/>
      <c r="B423" s="81"/>
      <c r="C423" s="81"/>
      <c r="D423" s="173"/>
      <c r="E423" s="173"/>
      <c r="F423" s="80"/>
      <c r="G423" s="173"/>
      <c r="H423" s="81"/>
      <c r="I423" s="81"/>
      <c r="J423" s="102"/>
      <c r="K423" s="102"/>
      <c r="L423" s="102"/>
      <c r="M423" s="102"/>
      <c r="N423" s="102"/>
      <c r="O423" s="102"/>
      <c r="P423" s="81"/>
      <c r="Q423" s="81"/>
      <c r="R423" s="81"/>
      <c r="S423" s="81"/>
      <c r="T423" s="81"/>
      <c r="U423" s="81"/>
      <c r="V423" s="81"/>
      <c r="W423" s="81"/>
      <c r="X423" s="81"/>
      <c r="Y423" s="81"/>
      <c r="Z423" s="81"/>
    </row>
    <row r="424" customFormat="false" ht="12" hidden="false" customHeight="true" outlineLevel="0" collapsed="false">
      <c r="A424" s="91"/>
      <c r="B424" s="81"/>
      <c r="C424" s="81"/>
      <c r="D424" s="173"/>
      <c r="E424" s="173"/>
      <c r="F424" s="80"/>
      <c r="G424" s="173"/>
      <c r="H424" s="81"/>
      <c r="I424" s="81"/>
      <c r="J424" s="102"/>
      <c r="K424" s="102"/>
      <c r="L424" s="102"/>
      <c r="M424" s="102"/>
      <c r="N424" s="102"/>
      <c r="O424" s="102"/>
      <c r="P424" s="81"/>
      <c r="Q424" s="81"/>
      <c r="R424" s="81"/>
      <c r="S424" s="81"/>
      <c r="T424" s="81"/>
      <c r="U424" s="81"/>
      <c r="V424" s="81"/>
      <c r="W424" s="81"/>
      <c r="X424" s="81"/>
      <c r="Y424" s="81"/>
      <c r="Z424" s="81"/>
    </row>
    <row r="425" customFormat="false" ht="12" hidden="false" customHeight="true" outlineLevel="0" collapsed="false">
      <c r="A425" s="91"/>
      <c r="B425" s="81"/>
      <c r="C425" s="81"/>
      <c r="D425" s="173"/>
      <c r="E425" s="173"/>
      <c r="F425" s="80"/>
      <c r="G425" s="173"/>
      <c r="H425" s="81"/>
      <c r="I425" s="81"/>
      <c r="J425" s="102"/>
      <c r="K425" s="102"/>
      <c r="L425" s="102"/>
      <c r="M425" s="102"/>
      <c r="N425" s="102"/>
      <c r="O425" s="102"/>
      <c r="P425" s="81"/>
      <c r="Q425" s="81"/>
      <c r="R425" s="81"/>
      <c r="S425" s="81"/>
      <c r="T425" s="81"/>
      <c r="U425" s="81"/>
      <c r="V425" s="81"/>
      <c r="W425" s="81"/>
      <c r="X425" s="81"/>
      <c r="Y425" s="81"/>
      <c r="Z425" s="81"/>
    </row>
    <row r="426" customFormat="false" ht="12" hidden="false" customHeight="true" outlineLevel="0" collapsed="false">
      <c r="A426" s="91"/>
      <c r="B426" s="81"/>
      <c r="C426" s="81"/>
      <c r="D426" s="173"/>
      <c r="E426" s="173"/>
      <c r="F426" s="80"/>
      <c r="G426" s="173"/>
      <c r="H426" s="81"/>
      <c r="I426" s="81"/>
      <c r="J426" s="102"/>
      <c r="K426" s="102"/>
      <c r="L426" s="102"/>
      <c r="M426" s="102"/>
      <c r="N426" s="102"/>
      <c r="O426" s="102"/>
      <c r="P426" s="81"/>
      <c r="Q426" s="81"/>
      <c r="R426" s="81"/>
      <c r="S426" s="81"/>
      <c r="T426" s="81"/>
      <c r="U426" s="81"/>
      <c r="V426" s="81"/>
      <c r="W426" s="81"/>
      <c r="X426" s="81"/>
      <c r="Y426" s="81"/>
      <c r="Z426" s="81"/>
    </row>
    <row r="427" customFormat="false" ht="12" hidden="false" customHeight="true" outlineLevel="0" collapsed="false">
      <c r="A427" s="91"/>
      <c r="B427" s="81"/>
      <c r="C427" s="81"/>
      <c r="D427" s="173"/>
      <c r="E427" s="173"/>
      <c r="F427" s="80"/>
      <c r="G427" s="173"/>
      <c r="H427" s="81"/>
      <c r="I427" s="81"/>
      <c r="J427" s="102"/>
      <c r="K427" s="102"/>
      <c r="L427" s="102"/>
      <c r="M427" s="102"/>
      <c r="N427" s="102"/>
      <c r="O427" s="102"/>
      <c r="P427" s="81"/>
      <c r="Q427" s="81"/>
      <c r="R427" s="81"/>
      <c r="S427" s="81"/>
      <c r="T427" s="81"/>
      <c r="U427" s="81"/>
      <c r="V427" s="81"/>
      <c r="W427" s="81"/>
      <c r="X427" s="81"/>
      <c r="Y427" s="81"/>
      <c r="Z427" s="81"/>
    </row>
    <row r="428" customFormat="false" ht="12" hidden="false" customHeight="true" outlineLevel="0" collapsed="false">
      <c r="A428" s="91"/>
      <c r="B428" s="81"/>
      <c r="C428" s="81"/>
      <c r="D428" s="173"/>
      <c r="E428" s="173"/>
      <c r="F428" s="80"/>
      <c r="G428" s="173"/>
      <c r="H428" s="81"/>
      <c r="I428" s="81"/>
      <c r="J428" s="102"/>
      <c r="K428" s="102"/>
      <c r="L428" s="102"/>
      <c r="M428" s="102"/>
      <c r="N428" s="102"/>
      <c r="O428" s="102"/>
      <c r="P428" s="81"/>
      <c r="Q428" s="81"/>
      <c r="R428" s="81"/>
      <c r="S428" s="81"/>
      <c r="T428" s="81"/>
      <c r="U428" s="81"/>
      <c r="V428" s="81"/>
      <c r="W428" s="81"/>
      <c r="X428" s="81"/>
      <c r="Y428" s="81"/>
      <c r="Z428" s="81"/>
    </row>
    <row r="429" customFormat="false" ht="12" hidden="false" customHeight="true" outlineLevel="0" collapsed="false">
      <c r="A429" s="91"/>
      <c r="B429" s="81"/>
      <c r="C429" s="81"/>
      <c r="D429" s="173"/>
      <c r="E429" s="173"/>
      <c r="F429" s="80"/>
      <c r="G429" s="173"/>
      <c r="H429" s="81"/>
      <c r="I429" s="81"/>
      <c r="J429" s="102"/>
      <c r="K429" s="102"/>
      <c r="L429" s="102"/>
      <c r="M429" s="102"/>
      <c r="N429" s="102"/>
      <c r="O429" s="102"/>
      <c r="P429" s="81"/>
      <c r="Q429" s="81"/>
      <c r="R429" s="81"/>
      <c r="S429" s="81"/>
      <c r="T429" s="81"/>
      <c r="U429" s="81"/>
      <c r="V429" s="81"/>
      <c r="W429" s="81"/>
      <c r="X429" s="81"/>
      <c r="Y429" s="81"/>
      <c r="Z429" s="81"/>
    </row>
    <row r="430" customFormat="false" ht="12" hidden="false" customHeight="true" outlineLevel="0" collapsed="false">
      <c r="A430" s="91"/>
      <c r="B430" s="81"/>
      <c r="C430" s="81"/>
      <c r="D430" s="173"/>
      <c r="E430" s="173"/>
      <c r="F430" s="80"/>
      <c r="G430" s="173"/>
      <c r="H430" s="81"/>
      <c r="I430" s="81"/>
      <c r="J430" s="102"/>
      <c r="K430" s="102"/>
      <c r="L430" s="102"/>
      <c r="M430" s="102"/>
      <c r="N430" s="102"/>
      <c r="O430" s="102"/>
      <c r="P430" s="81"/>
      <c r="Q430" s="81"/>
      <c r="R430" s="81"/>
      <c r="S430" s="81"/>
      <c r="T430" s="81"/>
      <c r="U430" s="81"/>
      <c r="V430" s="81"/>
      <c r="W430" s="81"/>
      <c r="X430" s="81"/>
      <c r="Y430" s="81"/>
      <c r="Z430" s="81"/>
    </row>
    <row r="431" customFormat="false" ht="12" hidden="false" customHeight="true" outlineLevel="0" collapsed="false">
      <c r="A431" s="91"/>
      <c r="B431" s="81"/>
      <c r="C431" s="81"/>
      <c r="D431" s="173"/>
      <c r="E431" s="173"/>
      <c r="F431" s="80"/>
      <c r="G431" s="173"/>
      <c r="H431" s="81"/>
      <c r="I431" s="81"/>
      <c r="J431" s="102"/>
      <c r="K431" s="102"/>
      <c r="L431" s="102"/>
      <c r="M431" s="102"/>
      <c r="N431" s="102"/>
      <c r="O431" s="102"/>
      <c r="P431" s="81"/>
      <c r="Q431" s="81"/>
      <c r="R431" s="81"/>
      <c r="S431" s="81"/>
      <c r="T431" s="81"/>
      <c r="U431" s="81"/>
      <c r="V431" s="81"/>
      <c r="W431" s="81"/>
      <c r="X431" s="81"/>
      <c r="Y431" s="81"/>
      <c r="Z431" s="81"/>
    </row>
    <row r="432" customFormat="false" ht="12" hidden="false" customHeight="true" outlineLevel="0" collapsed="false">
      <c r="A432" s="91"/>
      <c r="B432" s="81"/>
      <c r="C432" s="81"/>
      <c r="D432" s="173"/>
      <c r="E432" s="173"/>
      <c r="F432" s="80"/>
      <c r="G432" s="173"/>
      <c r="H432" s="81"/>
      <c r="I432" s="81"/>
      <c r="J432" s="102"/>
      <c r="K432" s="102"/>
      <c r="L432" s="102"/>
      <c r="M432" s="102"/>
      <c r="N432" s="102"/>
      <c r="O432" s="102"/>
      <c r="P432" s="81"/>
      <c r="Q432" s="81"/>
      <c r="R432" s="81"/>
      <c r="S432" s="81"/>
      <c r="T432" s="81"/>
      <c r="U432" s="81"/>
      <c r="V432" s="81"/>
      <c r="W432" s="81"/>
      <c r="X432" s="81"/>
      <c r="Y432" s="81"/>
      <c r="Z432" s="81"/>
    </row>
    <row r="433" customFormat="false" ht="12" hidden="false" customHeight="true" outlineLevel="0" collapsed="false">
      <c r="A433" s="91"/>
      <c r="B433" s="81"/>
      <c r="C433" s="81"/>
      <c r="D433" s="173"/>
      <c r="E433" s="173"/>
      <c r="F433" s="80"/>
      <c r="G433" s="173"/>
      <c r="H433" s="81"/>
      <c r="I433" s="81"/>
      <c r="J433" s="102"/>
      <c r="K433" s="102"/>
      <c r="L433" s="102"/>
      <c r="M433" s="102"/>
      <c r="N433" s="102"/>
      <c r="O433" s="102"/>
      <c r="P433" s="81"/>
      <c r="Q433" s="81"/>
      <c r="R433" s="81"/>
      <c r="S433" s="81"/>
      <c r="T433" s="81"/>
      <c r="U433" s="81"/>
      <c r="V433" s="81"/>
      <c r="W433" s="81"/>
      <c r="X433" s="81"/>
      <c r="Y433" s="81"/>
      <c r="Z433" s="81"/>
    </row>
    <row r="434" customFormat="false" ht="12" hidden="false" customHeight="true" outlineLevel="0" collapsed="false">
      <c r="A434" s="91"/>
      <c r="B434" s="81"/>
      <c r="C434" s="81"/>
      <c r="D434" s="173"/>
      <c r="E434" s="173"/>
      <c r="F434" s="80"/>
      <c r="G434" s="173"/>
      <c r="H434" s="81"/>
      <c r="I434" s="81"/>
      <c r="J434" s="102"/>
      <c r="K434" s="102"/>
      <c r="L434" s="102"/>
      <c r="M434" s="102"/>
      <c r="N434" s="102"/>
      <c r="O434" s="102"/>
      <c r="P434" s="81"/>
      <c r="Q434" s="81"/>
      <c r="R434" s="81"/>
      <c r="S434" s="81"/>
      <c r="T434" s="81"/>
      <c r="U434" s="81"/>
      <c r="V434" s="81"/>
      <c r="W434" s="81"/>
      <c r="X434" s="81"/>
      <c r="Y434" s="81"/>
      <c r="Z434" s="81"/>
    </row>
    <row r="435" customFormat="false" ht="12" hidden="false" customHeight="true" outlineLevel="0" collapsed="false">
      <c r="A435" s="91"/>
      <c r="B435" s="81"/>
      <c r="C435" s="81"/>
      <c r="D435" s="173"/>
      <c r="E435" s="173"/>
      <c r="F435" s="80"/>
      <c r="G435" s="173"/>
      <c r="H435" s="81"/>
      <c r="I435" s="81"/>
      <c r="J435" s="102"/>
      <c r="K435" s="102"/>
      <c r="L435" s="102"/>
      <c r="M435" s="102"/>
      <c r="N435" s="102"/>
      <c r="O435" s="102"/>
      <c r="P435" s="81"/>
      <c r="Q435" s="81"/>
      <c r="R435" s="81"/>
      <c r="S435" s="81"/>
      <c r="T435" s="81"/>
      <c r="U435" s="81"/>
      <c r="V435" s="81"/>
      <c r="W435" s="81"/>
      <c r="X435" s="81"/>
      <c r="Y435" s="81"/>
      <c r="Z435" s="81"/>
    </row>
    <row r="436" customFormat="false" ht="12" hidden="false" customHeight="true" outlineLevel="0" collapsed="false">
      <c r="A436" s="91"/>
      <c r="B436" s="81"/>
      <c r="C436" s="81"/>
      <c r="D436" s="173"/>
      <c r="E436" s="173"/>
      <c r="F436" s="80"/>
      <c r="G436" s="173"/>
      <c r="H436" s="81"/>
      <c r="I436" s="81"/>
      <c r="J436" s="102"/>
      <c r="K436" s="102"/>
      <c r="L436" s="102"/>
      <c r="M436" s="102"/>
      <c r="N436" s="102"/>
      <c r="O436" s="102"/>
      <c r="P436" s="81"/>
      <c r="Q436" s="81"/>
      <c r="R436" s="81"/>
      <c r="S436" s="81"/>
      <c r="T436" s="81"/>
      <c r="U436" s="81"/>
      <c r="V436" s="81"/>
      <c r="W436" s="81"/>
      <c r="X436" s="81"/>
      <c r="Y436" s="81"/>
      <c r="Z436" s="81"/>
    </row>
    <row r="437" customFormat="false" ht="12" hidden="false" customHeight="true" outlineLevel="0" collapsed="false">
      <c r="A437" s="91"/>
      <c r="B437" s="81"/>
      <c r="C437" s="81"/>
      <c r="D437" s="173"/>
      <c r="E437" s="173"/>
      <c r="F437" s="80"/>
      <c r="G437" s="173"/>
      <c r="H437" s="81"/>
      <c r="I437" s="81"/>
      <c r="J437" s="102"/>
      <c r="K437" s="102"/>
      <c r="L437" s="102"/>
      <c r="M437" s="102"/>
      <c r="N437" s="102"/>
      <c r="O437" s="102"/>
      <c r="P437" s="81"/>
      <c r="Q437" s="81"/>
      <c r="R437" s="81"/>
      <c r="S437" s="81"/>
      <c r="T437" s="81"/>
      <c r="U437" s="81"/>
      <c r="V437" s="81"/>
      <c r="W437" s="81"/>
      <c r="X437" s="81"/>
      <c r="Y437" s="81"/>
      <c r="Z437" s="81"/>
    </row>
    <row r="438" customFormat="false" ht="12" hidden="false" customHeight="true" outlineLevel="0" collapsed="false">
      <c r="A438" s="91"/>
      <c r="B438" s="81"/>
      <c r="C438" s="81"/>
      <c r="D438" s="173"/>
      <c r="E438" s="173"/>
      <c r="F438" s="80"/>
      <c r="G438" s="173"/>
      <c r="H438" s="81"/>
      <c r="I438" s="81"/>
      <c r="J438" s="102"/>
      <c r="K438" s="102"/>
      <c r="L438" s="102"/>
      <c r="M438" s="102"/>
      <c r="N438" s="102"/>
      <c r="O438" s="102"/>
      <c r="P438" s="81"/>
      <c r="Q438" s="81"/>
      <c r="R438" s="81"/>
      <c r="S438" s="81"/>
      <c r="T438" s="81"/>
      <c r="U438" s="81"/>
      <c r="V438" s="81"/>
      <c r="W438" s="81"/>
      <c r="X438" s="81"/>
      <c r="Y438" s="81"/>
      <c r="Z438" s="81"/>
    </row>
    <row r="439" customFormat="false" ht="12" hidden="false" customHeight="true" outlineLevel="0" collapsed="false">
      <c r="A439" s="91"/>
      <c r="B439" s="81"/>
      <c r="C439" s="81"/>
      <c r="D439" s="173"/>
      <c r="E439" s="173"/>
      <c r="F439" s="80"/>
      <c r="G439" s="173"/>
      <c r="H439" s="81"/>
      <c r="I439" s="81"/>
      <c r="J439" s="102"/>
      <c r="K439" s="102"/>
      <c r="L439" s="102"/>
      <c r="M439" s="102"/>
      <c r="N439" s="102"/>
      <c r="O439" s="102"/>
      <c r="P439" s="81"/>
      <c r="Q439" s="81"/>
      <c r="R439" s="81"/>
      <c r="S439" s="81"/>
      <c r="T439" s="81"/>
      <c r="U439" s="81"/>
      <c r="V439" s="81"/>
      <c r="W439" s="81"/>
      <c r="X439" s="81"/>
      <c r="Y439" s="81"/>
      <c r="Z439" s="81"/>
    </row>
    <row r="440" customFormat="false" ht="12" hidden="false" customHeight="true" outlineLevel="0" collapsed="false">
      <c r="A440" s="91"/>
      <c r="B440" s="81"/>
      <c r="C440" s="81"/>
      <c r="D440" s="173"/>
      <c r="E440" s="173"/>
      <c r="F440" s="80"/>
      <c r="G440" s="173"/>
      <c r="H440" s="81"/>
      <c r="I440" s="81"/>
      <c r="J440" s="102"/>
      <c r="K440" s="102"/>
      <c r="L440" s="102"/>
      <c r="M440" s="102"/>
      <c r="N440" s="102"/>
      <c r="O440" s="102"/>
      <c r="P440" s="81"/>
      <c r="Q440" s="81"/>
      <c r="R440" s="81"/>
      <c r="S440" s="81"/>
      <c r="T440" s="81"/>
      <c r="U440" s="81"/>
      <c r="V440" s="81"/>
      <c r="W440" s="81"/>
      <c r="X440" s="81"/>
      <c r="Y440" s="81"/>
      <c r="Z440" s="81"/>
    </row>
    <row r="441" customFormat="false" ht="12" hidden="false" customHeight="true" outlineLevel="0" collapsed="false">
      <c r="A441" s="91"/>
      <c r="B441" s="81"/>
      <c r="C441" s="81"/>
      <c r="D441" s="173"/>
      <c r="E441" s="173"/>
      <c r="F441" s="80"/>
      <c r="G441" s="173"/>
      <c r="H441" s="81"/>
      <c r="I441" s="81"/>
      <c r="J441" s="102"/>
      <c r="K441" s="102"/>
      <c r="L441" s="102"/>
      <c r="M441" s="102"/>
      <c r="N441" s="102"/>
      <c r="O441" s="102"/>
      <c r="P441" s="81"/>
      <c r="Q441" s="81"/>
      <c r="R441" s="81"/>
      <c r="S441" s="81"/>
      <c r="T441" s="81"/>
      <c r="U441" s="81"/>
      <c r="V441" s="81"/>
      <c r="W441" s="81"/>
      <c r="X441" s="81"/>
      <c r="Y441" s="81"/>
      <c r="Z441" s="81"/>
    </row>
    <row r="442" customFormat="false" ht="12" hidden="false" customHeight="true" outlineLevel="0" collapsed="false">
      <c r="A442" s="91"/>
      <c r="B442" s="81"/>
      <c r="C442" s="81"/>
      <c r="D442" s="173"/>
      <c r="E442" s="173"/>
      <c r="F442" s="80"/>
      <c r="G442" s="173"/>
      <c r="H442" s="81"/>
      <c r="I442" s="81"/>
      <c r="J442" s="102"/>
      <c r="K442" s="102"/>
      <c r="L442" s="102"/>
      <c r="M442" s="102"/>
      <c r="N442" s="102"/>
      <c r="O442" s="102"/>
      <c r="P442" s="81"/>
      <c r="Q442" s="81"/>
      <c r="R442" s="81"/>
      <c r="S442" s="81"/>
      <c r="T442" s="81"/>
      <c r="U442" s="81"/>
      <c r="V442" s="81"/>
      <c r="W442" s="81"/>
      <c r="X442" s="81"/>
      <c r="Y442" s="81"/>
      <c r="Z442" s="81"/>
    </row>
    <row r="443" customFormat="false" ht="12" hidden="false" customHeight="true" outlineLevel="0" collapsed="false">
      <c r="A443" s="91"/>
      <c r="B443" s="81"/>
      <c r="C443" s="81"/>
      <c r="D443" s="173"/>
      <c r="E443" s="173"/>
      <c r="F443" s="80"/>
      <c r="G443" s="173"/>
      <c r="H443" s="81"/>
      <c r="I443" s="81"/>
      <c r="J443" s="102"/>
      <c r="K443" s="102"/>
      <c r="L443" s="102"/>
      <c r="M443" s="102"/>
      <c r="N443" s="102"/>
      <c r="O443" s="102"/>
      <c r="P443" s="81"/>
      <c r="Q443" s="81"/>
      <c r="R443" s="81"/>
      <c r="S443" s="81"/>
      <c r="T443" s="81"/>
      <c r="U443" s="81"/>
      <c r="V443" s="81"/>
      <c r="W443" s="81"/>
      <c r="X443" s="81"/>
      <c r="Y443" s="81"/>
      <c r="Z443" s="81"/>
    </row>
    <row r="444" customFormat="false" ht="12" hidden="false" customHeight="true" outlineLevel="0" collapsed="false">
      <c r="A444" s="91"/>
      <c r="B444" s="81"/>
      <c r="C444" s="81"/>
      <c r="D444" s="173"/>
      <c r="E444" s="173"/>
      <c r="F444" s="80"/>
      <c r="G444" s="173"/>
      <c r="H444" s="81"/>
      <c r="I444" s="81"/>
      <c r="J444" s="102"/>
      <c r="K444" s="102"/>
      <c r="L444" s="102"/>
      <c r="M444" s="102"/>
      <c r="N444" s="102"/>
      <c r="O444" s="102"/>
      <c r="P444" s="81"/>
      <c r="Q444" s="81"/>
      <c r="R444" s="81"/>
      <c r="S444" s="81"/>
      <c r="T444" s="81"/>
      <c r="U444" s="81"/>
      <c r="V444" s="81"/>
      <c r="W444" s="81"/>
      <c r="X444" s="81"/>
      <c r="Y444" s="81"/>
      <c r="Z444" s="81"/>
    </row>
    <row r="445" customFormat="false" ht="12" hidden="false" customHeight="true" outlineLevel="0" collapsed="false">
      <c r="A445" s="91"/>
      <c r="B445" s="81"/>
      <c r="C445" s="81"/>
      <c r="D445" s="173"/>
      <c r="E445" s="173"/>
      <c r="F445" s="80"/>
      <c r="G445" s="173"/>
      <c r="H445" s="81"/>
      <c r="I445" s="81"/>
      <c r="J445" s="102"/>
      <c r="K445" s="102"/>
      <c r="L445" s="102"/>
      <c r="M445" s="102"/>
      <c r="N445" s="102"/>
      <c r="O445" s="102"/>
      <c r="P445" s="81"/>
      <c r="Q445" s="81"/>
      <c r="R445" s="81"/>
      <c r="S445" s="81"/>
      <c r="T445" s="81"/>
      <c r="U445" s="81"/>
      <c r="V445" s="81"/>
      <c r="W445" s="81"/>
      <c r="X445" s="81"/>
      <c r="Y445" s="81"/>
      <c r="Z445" s="81"/>
    </row>
    <row r="446" customFormat="false" ht="12" hidden="false" customHeight="true" outlineLevel="0" collapsed="false">
      <c r="A446" s="91"/>
      <c r="B446" s="81"/>
      <c r="C446" s="81"/>
      <c r="D446" s="173"/>
      <c r="E446" s="173"/>
      <c r="F446" s="80"/>
      <c r="G446" s="173"/>
      <c r="H446" s="81"/>
      <c r="I446" s="81"/>
      <c r="J446" s="102"/>
      <c r="K446" s="102"/>
      <c r="L446" s="102"/>
      <c r="M446" s="102"/>
      <c r="N446" s="102"/>
      <c r="O446" s="102"/>
      <c r="P446" s="81"/>
      <c r="Q446" s="81"/>
      <c r="R446" s="81"/>
      <c r="S446" s="81"/>
      <c r="T446" s="81"/>
      <c r="U446" s="81"/>
      <c r="V446" s="81"/>
      <c r="W446" s="81"/>
      <c r="X446" s="81"/>
      <c r="Y446" s="81"/>
      <c r="Z446" s="81"/>
    </row>
    <row r="447" customFormat="false" ht="12" hidden="false" customHeight="true" outlineLevel="0" collapsed="false">
      <c r="A447" s="91"/>
      <c r="B447" s="81"/>
      <c r="C447" s="81"/>
      <c r="D447" s="173"/>
      <c r="E447" s="173"/>
      <c r="F447" s="80"/>
      <c r="G447" s="173"/>
      <c r="H447" s="81"/>
      <c r="I447" s="81"/>
      <c r="J447" s="102"/>
      <c r="K447" s="102"/>
      <c r="L447" s="102"/>
      <c r="M447" s="102"/>
      <c r="N447" s="102"/>
      <c r="O447" s="102"/>
      <c r="P447" s="81"/>
      <c r="Q447" s="81"/>
      <c r="R447" s="81"/>
      <c r="S447" s="81"/>
      <c r="T447" s="81"/>
      <c r="U447" s="81"/>
      <c r="V447" s="81"/>
      <c r="W447" s="81"/>
      <c r="X447" s="81"/>
      <c r="Y447" s="81"/>
      <c r="Z447" s="81"/>
    </row>
    <row r="448" customFormat="false" ht="12" hidden="false" customHeight="true" outlineLevel="0" collapsed="false">
      <c r="A448" s="91"/>
      <c r="B448" s="81"/>
      <c r="C448" s="81"/>
      <c r="D448" s="173"/>
      <c r="E448" s="173"/>
      <c r="F448" s="80"/>
      <c r="G448" s="173"/>
      <c r="H448" s="81"/>
      <c r="I448" s="81"/>
      <c r="J448" s="102"/>
      <c r="K448" s="102"/>
      <c r="L448" s="102"/>
      <c r="M448" s="102"/>
      <c r="N448" s="102"/>
      <c r="O448" s="102"/>
      <c r="P448" s="81"/>
      <c r="Q448" s="81"/>
      <c r="R448" s="81"/>
      <c r="S448" s="81"/>
      <c r="T448" s="81"/>
      <c r="U448" s="81"/>
      <c r="V448" s="81"/>
      <c r="W448" s="81"/>
      <c r="X448" s="81"/>
      <c r="Y448" s="81"/>
      <c r="Z448" s="81"/>
    </row>
    <row r="449" customFormat="false" ht="12" hidden="false" customHeight="true" outlineLevel="0" collapsed="false">
      <c r="A449" s="91"/>
      <c r="B449" s="81"/>
      <c r="C449" s="81"/>
      <c r="D449" s="173"/>
      <c r="E449" s="173"/>
      <c r="F449" s="80"/>
      <c r="G449" s="173"/>
      <c r="H449" s="81"/>
      <c r="I449" s="81"/>
      <c r="J449" s="102"/>
      <c r="K449" s="102"/>
      <c r="L449" s="102"/>
      <c r="M449" s="102"/>
      <c r="N449" s="102"/>
      <c r="O449" s="102"/>
      <c r="P449" s="81"/>
      <c r="Q449" s="81"/>
      <c r="R449" s="81"/>
      <c r="S449" s="81"/>
      <c r="T449" s="81"/>
      <c r="U449" s="81"/>
      <c r="V449" s="81"/>
      <c r="W449" s="81"/>
      <c r="X449" s="81"/>
      <c r="Y449" s="81"/>
      <c r="Z449" s="81"/>
    </row>
    <row r="450" customFormat="false" ht="12" hidden="false" customHeight="true" outlineLevel="0" collapsed="false">
      <c r="A450" s="91"/>
      <c r="B450" s="81"/>
      <c r="C450" s="81"/>
      <c r="D450" s="173"/>
      <c r="E450" s="173"/>
      <c r="F450" s="80"/>
      <c r="G450" s="173"/>
      <c r="H450" s="81"/>
      <c r="I450" s="81"/>
      <c r="J450" s="102"/>
      <c r="K450" s="102"/>
      <c r="L450" s="102"/>
      <c r="M450" s="102"/>
      <c r="N450" s="102"/>
      <c r="O450" s="102"/>
      <c r="P450" s="81"/>
      <c r="Q450" s="81"/>
      <c r="R450" s="81"/>
      <c r="S450" s="81"/>
      <c r="T450" s="81"/>
      <c r="U450" s="81"/>
      <c r="V450" s="81"/>
      <c r="W450" s="81"/>
      <c r="X450" s="81"/>
      <c r="Y450" s="81"/>
      <c r="Z450" s="81"/>
    </row>
    <row r="451" customFormat="false" ht="12" hidden="false" customHeight="true" outlineLevel="0" collapsed="false">
      <c r="A451" s="91"/>
      <c r="B451" s="81"/>
      <c r="C451" s="81"/>
      <c r="D451" s="173"/>
      <c r="E451" s="173"/>
      <c r="F451" s="80"/>
      <c r="G451" s="173"/>
      <c r="H451" s="81"/>
      <c r="I451" s="81"/>
      <c r="J451" s="102"/>
      <c r="K451" s="102"/>
      <c r="L451" s="102"/>
      <c r="M451" s="102"/>
      <c r="N451" s="102"/>
      <c r="O451" s="102"/>
      <c r="P451" s="81"/>
      <c r="Q451" s="81"/>
      <c r="R451" s="81"/>
      <c r="S451" s="81"/>
      <c r="T451" s="81"/>
      <c r="U451" s="81"/>
      <c r="V451" s="81"/>
      <c r="W451" s="81"/>
      <c r="X451" s="81"/>
      <c r="Y451" s="81"/>
      <c r="Z451" s="81"/>
    </row>
    <row r="452" customFormat="false" ht="12" hidden="false" customHeight="true" outlineLevel="0" collapsed="false">
      <c r="A452" s="91"/>
      <c r="B452" s="81"/>
      <c r="C452" s="81"/>
      <c r="D452" s="173"/>
      <c r="E452" s="173"/>
      <c r="F452" s="80"/>
      <c r="G452" s="173"/>
      <c r="H452" s="81"/>
      <c r="I452" s="81"/>
      <c r="J452" s="102"/>
      <c r="K452" s="102"/>
      <c r="L452" s="102"/>
      <c r="M452" s="102"/>
      <c r="N452" s="102"/>
      <c r="O452" s="102"/>
      <c r="P452" s="81"/>
      <c r="Q452" s="81"/>
      <c r="R452" s="81"/>
      <c r="S452" s="81"/>
      <c r="T452" s="81"/>
      <c r="U452" s="81"/>
      <c r="V452" s="81"/>
      <c r="W452" s="81"/>
      <c r="X452" s="81"/>
      <c r="Y452" s="81"/>
      <c r="Z452" s="81"/>
    </row>
    <row r="453" customFormat="false" ht="12" hidden="false" customHeight="true" outlineLevel="0" collapsed="false">
      <c r="A453" s="91"/>
      <c r="B453" s="81"/>
      <c r="C453" s="81"/>
      <c r="D453" s="173"/>
      <c r="E453" s="173"/>
      <c r="F453" s="80"/>
      <c r="G453" s="173"/>
      <c r="H453" s="81"/>
      <c r="I453" s="81"/>
      <c r="J453" s="102"/>
      <c r="K453" s="102"/>
      <c r="L453" s="102"/>
      <c r="M453" s="102"/>
      <c r="N453" s="102"/>
      <c r="O453" s="102"/>
      <c r="P453" s="81"/>
      <c r="Q453" s="81"/>
      <c r="R453" s="81"/>
      <c r="S453" s="81"/>
      <c r="T453" s="81"/>
      <c r="U453" s="81"/>
      <c r="V453" s="81"/>
      <c r="W453" s="81"/>
      <c r="X453" s="81"/>
      <c r="Y453" s="81"/>
      <c r="Z453" s="81"/>
    </row>
    <row r="454" customFormat="false" ht="12" hidden="false" customHeight="true" outlineLevel="0" collapsed="false">
      <c r="A454" s="91"/>
      <c r="B454" s="81"/>
      <c r="C454" s="81"/>
      <c r="D454" s="173"/>
      <c r="E454" s="173"/>
      <c r="F454" s="80"/>
      <c r="G454" s="173"/>
      <c r="H454" s="81"/>
      <c r="I454" s="81"/>
      <c r="J454" s="102"/>
      <c r="K454" s="102"/>
      <c r="L454" s="102"/>
      <c r="M454" s="102"/>
      <c r="N454" s="102"/>
      <c r="O454" s="102"/>
      <c r="P454" s="81"/>
      <c r="Q454" s="81"/>
      <c r="R454" s="81"/>
      <c r="S454" s="81"/>
      <c r="T454" s="81"/>
      <c r="U454" s="81"/>
      <c r="V454" s="81"/>
      <c r="W454" s="81"/>
      <c r="X454" s="81"/>
      <c r="Y454" s="81"/>
      <c r="Z454" s="81"/>
    </row>
    <row r="455" customFormat="false" ht="12" hidden="false" customHeight="true" outlineLevel="0" collapsed="false">
      <c r="A455" s="91"/>
      <c r="B455" s="81"/>
      <c r="C455" s="81"/>
      <c r="D455" s="173"/>
      <c r="E455" s="173"/>
      <c r="F455" s="80"/>
      <c r="G455" s="173"/>
      <c r="H455" s="81"/>
      <c r="I455" s="81"/>
      <c r="J455" s="102"/>
      <c r="K455" s="102"/>
      <c r="L455" s="102"/>
      <c r="M455" s="102"/>
      <c r="N455" s="102"/>
      <c r="O455" s="102"/>
      <c r="P455" s="81"/>
      <c r="Q455" s="81"/>
      <c r="R455" s="81"/>
      <c r="S455" s="81"/>
      <c r="T455" s="81"/>
      <c r="U455" s="81"/>
      <c r="V455" s="81"/>
      <c r="W455" s="81"/>
      <c r="X455" s="81"/>
      <c r="Y455" s="81"/>
      <c r="Z455" s="81"/>
    </row>
    <row r="456" customFormat="false" ht="12" hidden="false" customHeight="true" outlineLevel="0" collapsed="false">
      <c r="A456" s="91"/>
      <c r="B456" s="81"/>
      <c r="C456" s="81"/>
      <c r="D456" s="173"/>
      <c r="E456" s="173"/>
      <c r="F456" s="80"/>
      <c r="G456" s="173"/>
      <c r="H456" s="81"/>
      <c r="I456" s="81"/>
      <c r="J456" s="102"/>
      <c r="K456" s="102"/>
      <c r="L456" s="102"/>
      <c r="M456" s="102"/>
      <c r="N456" s="102"/>
      <c r="O456" s="102"/>
      <c r="P456" s="81"/>
      <c r="Q456" s="81"/>
      <c r="R456" s="81"/>
      <c r="S456" s="81"/>
      <c r="T456" s="81"/>
      <c r="U456" s="81"/>
      <c r="V456" s="81"/>
      <c r="W456" s="81"/>
      <c r="X456" s="81"/>
      <c r="Y456" s="81"/>
      <c r="Z456" s="81"/>
    </row>
    <row r="457" customFormat="false" ht="12" hidden="false" customHeight="true" outlineLevel="0" collapsed="false">
      <c r="A457" s="91"/>
      <c r="B457" s="81"/>
      <c r="C457" s="81"/>
      <c r="D457" s="173"/>
      <c r="E457" s="173"/>
      <c r="F457" s="80"/>
      <c r="G457" s="173"/>
      <c r="H457" s="81"/>
      <c r="I457" s="81"/>
      <c r="J457" s="102"/>
      <c r="K457" s="102"/>
      <c r="L457" s="102"/>
      <c r="M457" s="102"/>
      <c r="N457" s="102"/>
      <c r="O457" s="102"/>
      <c r="P457" s="81"/>
      <c r="Q457" s="81"/>
      <c r="R457" s="81"/>
      <c r="S457" s="81"/>
      <c r="T457" s="81"/>
      <c r="U457" s="81"/>
      <c r="V457" s="81"/>
      <c r="W457" s="81"/>
      <c r="X457" s="81"/>
      <c r="Y457" s="81"/>
      <c r="Z457" s="81"/>
    </row>
    <row r="458" customFormat="false" ht="12" hidden="false" customHeight="true" outlineLevel="0" collapsed="false">
      <c r="A458" s="91"/>
      <c r="B458" s="81"/>
      <c r="C458" s="81"/>
      <c r="D458" s="173"/>
      <c r="E458" s="173"/>
      <c r="F458" s="80"/>
      <c r="G458" s="173"/>
      <c r="H458" s="81"/>
      <c r="I458" s="81"/>
      <c r="J458" s="102"/>
      <c r="K458" s="102"/>
      <c r="L458" s="102"/>
      <c r="M458" s="102"/>
      <c r="N458" s="102"/>
      <c r="O458" s="102"/>
      <c r="P458" s="81"/>
      <c r="Q458" s="81"/>
      <c r="R458" s="81"/>
      <c r="S458" s="81"/>
      <c r="T458" s="81"/>
      <c r="U458" s="81"/>
      <c r="V458" s="81"/>
      <c r="W458" s="81"/>
      <c r="X458" s="81"/>
      <c r="Y458" s="81"/>
      <c r="Z458" s="81"/>
    </row>
    <row r="459" customFormat="false" ht="12" hidden="false" customHeight="true" outlineLevel="0" collapsed="false">
      <c r="A459" s="91"/>
      <c r="B459" s="81"/>
      <c r="C459" s="81"/>
      <c r="D459" s="173"/>
      <c r="E459" s="173"/>
      <c r="F459" s="80"/>
      <c r="G459" s="173"/>
      <c r="H459" s="81"/>
      <c r="I459" s="81"/>
      <c r="J459" s="102"/>
      <c r="K459" s="102"/>
      <c r="L459" s="102"/>
      <c r="M459" s="102"/>
      <c r="N459" s="102"/>
      <c r="O459" s="102"/>
      <c r="P459" s="81"/>
      <c r="Q459" s="81"/>
      <c r="R459" s="81"/>
      <c r="S459" s="81"/>
      <c r="T459" s="81"/>
      <c r="U459" s="81"/>
      <c r="V459" s="81"/>
      <c r="W459" s="81"/>
      <c r="X459" s="81"/>
      <c r="Y459" s="81"/>
      <c r="Z459" s="81"/>
    </row>
    <row r="460" customFormat="false" ht="12" hidden="false" customHeight="true" outlineLevel="0" collapsed="false">
      <c r="A460" s="91"/>
      <c r="B460" s="81"/>
      <c r="C460" s="81"/>
      <c r="D460" s="173"/>
      <c r="E460" s="173"/>
      <c r="F460" s="80"/>
      <c r="G460" s="173"/>
      <c r="H460" s="81"/>
      <c r="I460" s="81"/>
      <c r="J460" s="102"/>
      <c r="K460" s="102"/>
      <c r="L460" s="102"/>
      <c r="M460" s="102"/>
      <c r="N460" s="102"/>
      <c r="O460" s="102"/>
      <c r="P460" s="81"/>
      <c r="Q460" s="81"/>
      <c r="R460" s="81"/>
      <c r="S460" s="81"/>
      <c r="T460" s="81"/>
      <c r="U460" s="81"/>
      <c r="V460" s="81"/>
      <c r="W460" s="81"/>
      <c r="X460" s="81"/>
      <c r="Y460" s="81"/>
      <c r="Z460" s="81"/>
    </row>
    <row r="461" customFormat="false" ht="12" hidden="false" customHeight="true" outlineLevel="0" collapsed="false">
      <c r="A461" s="91"/>
      <c r="B461" s="81"/>
      <c r="C461" s="81"/>
      <c r="D461" s="173"/>
      <c r="E461" s="173"/>
      <c r="F461" s="80"/>
      <c r="G461" s="173"/>
      <c r="H461" s="81"/>
      <c r="I461" s="81"/>
      <c r="J461" s="102"/>
      <c r="K461" s="102"/>
      <c r="L461" s="102"/>
      <c r="M461" s="102"/>
      <c r="N461" s="102"/>
      <c r="O461" s="102"/>
      <c r="P461" s="81"/>
      <c r="Q461" s="81"/>
      <c r="R461" s="81"/>
      <c r="S461" s="81"/>
      <c r="T461" s="81"/>
      <c r="U461" s="81"/>
      <c r="V461" s="81"/>
      <c r="W461" s="81"/>
      <c r="X461" s="81"/>
      <c r="Y461" s="81"/>
      <c r="Z461" s="81"/>
    </row>
    <row r="462" customFormat="false" ht="12" hidden="false" customHeight="true" outlineLevel="0" collapsed="false">
      <c r="A462" s="91"/>
      <c r="B462" s="81"/>
      <c r="C462" s="81"/>
      <c r="D462" s="173"/>
      <c r="E462" s="173"/>
      <c r="F462" s="80"/>
      <c r="G462" s="173"/>
      <c r="H462" s="81"/>
      <c r="I462" s="81"/>
      <c r="J462" s="102"/>
      <c r="K462" s="102"/>
      <c r="L462" s="102"/>
      <c r="M462" s="102"/>
      <c r="N462" s="102"/>
      <c r="O462" s="102"/>
      <c r="P462" s="81"/>
      <c r="Q462" s="81"/>
      <c r="R462" s="81"/>
      <c r="S462" s="81"/>
      <c r="T462" s="81"/>
      <c r="U462" s="81"/>
      <c r="V462" s="81"/>
      <c r="W462" s="81"/>
      <c r="X462" s="81"/>
      <c r="Y462" s="81"/>
      <c r="Z462" s="81"/>
    </row>
    <row r="463" customFormat="false" ht="12" hidden="false" customHeight="true" outlineLevel="0" collapsed="false">
      <c r="A463" s="91"/>
      <c r="B463" s="81"/>
      <c r="C463" s="81"/>
      <c r="D463" s="173"/>
      <c r="E463" s="173"/>
      <c r="F463" s="80"/>
      <c r="G463" s="173"/>
      <c r="H463" s="81"/>
      <c r="I463" s="81"/>
      <c r="J463" s="102"/>
      <c r="K463" s="102"/>
      <c r="L463" s="102"/>
      <c r="M463" s="102"/>
      <c r="N463" s="102"/>
      <c r="O463" s="102"/>
      <c r="P463" s="81"/>
      <c r="Q463" s="81"/>
      <c r="R463" s="81"/>
      <c r="S463" s="81"/>
      <c r="T463" s="81"/>
      <c r="U463" s="81"/>
      <c r="V463" s="81"/>
      <c r="W463" s="81"/>
      <c r="X463" s="81"/>
      <c r="Y463" s="81"/>
      <c r="Z463" s="81"/>
    </row>
    <row r="464" customFormat="false" ht="12" hidden="false" customHeight="true" outlineLevel="0" collapsed="false">
      <c r="A464" s="91"/>
      <c r="B464" s="81"/>
      <c r="C464" s="81"/>
      <c r="D464" s="173"/>
      <c r="E464" s="173"/>
      <c r="F464" s="80"/>
      <c r="G464" s="173"/>
      <c r="H464" s="81"/>
      <c r="I464" s="81"/>
      <c r="J464" s="102"/>
      <c r="K464" s="102"/>
      <c r="L464" s="102"/>
      <c r="M464" s="102"/>
      <c r="N464" s="102"/>
      <c r="O464" s="102"/>
      <c r="P464" s="81"/>
      <c r="Q464" s="81"/>
      <c r="R464" s="81"/>
      <c r="S464" s="81"/>
      <c r="T464" s="81"/>
      <c r="U464" s="81"/>
      <c r="V464" s="81"/>
      <c r="W464" s="81"/>
      <c r="X464" s="81"/>
      <c r="Y464" s="81"/>
      <c r="Z464" s="81"/>
    </row>
    <row r="465" customFormat="false" ht="12" hidden="false" customHeight="true" outlineLevel="0" collapsed="false">
      <c r="A465" s="91"/>
      <c r="B465" s="81"/>
      <c r="C465" s="81"/>
      <c r="D465" s="173"/>
      <c r="E465" s="173"/>
      <c r="F465" s="80"/>
      <c r="G465" s="173"/>
      <c r="H465" s="81"/>
      <c r="I465" s="81"/>
      <c r="J465" s="102"/>
      <c r="K465" s="102"/>
      <c r="L465" s="102"/>
      <c r="M465" s="102"/>
      <c r="N465" s="102"/>
      <c r="O465" s="102"/>
      <c r="P465" s="81"/>
      <c r="Q465" s="81"/>
      <c r="R465" s="81"/>
      <c r="S465" s="81"/>
      <c r="T465" s="81"/>
      <c r="U465" s="81"/>
      <c r="V465" s="81"/>
      <c r="W465" s="81"/>
      <c r="X465" s="81"/>
      <c r="Y465" s="81"/>
      <c r="Z465" s="81"/>
    </row>
    <row r="466" customFormat="false" ht="12" hidden="false" customHeight="true" outlineLevel="0" collapsed="false">
      <c r="A466" s="91"/>
      <c r="B466" s="81"/>
      <c r="C466" s="81"/>
      <c r="D466" s="173"/>
      <c r="E466" s="173"/>
      <c r="F466" s="80"/>
      <c r="G466" s="173"/>
      <c r="H466" s="81"/>
      <c r="I466" s="81"/>
      <c r="J466" s="102"/>
      <c r="K466" s="102"/>
      <c r="L466" s="102"/>
      <c r="M466" s="102"/>
      <c r="N466" s="102"/>
      <c r="O466" s="102"/>
      <c r="P466" s="81"/>
      <c r="Q466" s="81"/>
      <c r="R466" s="81"/>
      <c r="S466" s="81"/>
      <c r="T466" s="81"/>
      <c r="U466" s="81"/>
      <c r="V466" s="81"/>
      <c r="W466" s="81"/>
      <c r="X466" s="81"/>
      <c r="Y466" s="81"/>
      <c r="Z466" s="81"/>
    </row>
    <row r="467" customFormat="false" ht="12" hidden="false" customHeight="true" outlineLevel="0" collapsed="false">
      <c r="A467" s="91"/>
      <c r="B467" s="81"/>
      <c r="C467" s="81"/>
      <c r="D467" s="173"/>
      <c r="E467" s="173"/>
      <c r="F467" s="80"/>
      <c r="G467" s="173"/>
      <c r="H467" s="81"/>
      <c r="I467" s="81"/>
      <c r="J467" s="102"/>
      <c r="K467" s="102"/>
      <c r="L467" s="102"/>
      <c r="M467" s="102"/>
      <c r="N467" s="102"/>
      <c r="O467" s="102"/>
      <c r="P467" s="81"/>
      <c r="Q467" s="81"/>
      <c r="R467" s="81"/>
      <c r="S467" s="81"/>
      <c r="T467" s="81"/>
      <c r="U467" s="81"/>
      <c r="V467" s="81"/>
      <c r="W467" s="81"/>
      <c r="X467" s="81"/>
      <c r="Y467" s="81"/>
      <c r="Z467" s="81"/>
    </row>
    <row r="468" customFormat="false" ht="12" hidden="false" customHeight="true" outlineLevel="0" collapsed="false">
      <c r="A468" s="91"/>
      <c r="B468" s="81"/>
      <c r="C468" s="81"/>
      <c r="D468" s="173"/>
      <c r="E468" s="173"/>
      <c r="F468" s="80"/>
      <c r="G468" s="173"/>
      <c r="H468" s="81"/>
      <c r="I468" s="81"/>
      <c r="J468" s="102"/>
      <c r="K468" s="102"/>
      <c r="L468" s="102"/>
      <c r="M468" s="102"/>
      <c r="N468" s="102"/>
      <c r="O468" s="102"/>
      <c r="P468" s="81"/>
      <c r="Q468" s="81"/>
      <c r="R468" s="81"/>
      <c r="S468" s="81"/>
      <c r="T468" s="81"/>
      <c r="U468" s="81"/>
      <c r="V468" s="81"/>
      <c r="W468" s="81"/>
      <c r="X468" s="81"/>
      <c r="Y468" s="81"/>
      <c r="Z468" s="81"/>
    </row>
    <row r="469" customFormat="false" ht="12" hidden="false" customHeight="true" outlineLevel="0" collapsed="false">
      <c r="A469" s="91"/>
      <c r="B469" s="81"/>
      <c r="C469" s="81"/>
      <c r="D469" s="173"/>
      <c r="E469" s="173"/>
      <c r="F469" s="80"/>
      <c r="G469" s="173"/>
      <c r="H469" s="81"/>
      <c r="I469" s="81"/>
      <c r="J469" s="102"/>
      <c r="K469" s="102"/>
      <c r="L469" s="102"/>
      <c r="M469" s="102"/>
      <c r="N469" s="102"/>
      <c r="O469" s="102"/>
      <c r="P469" s="81"/>
      <c r="Q469" s="81"/>
      <c r="R469" s="81"/>
      <c r="S469" s="81"/>
      <c r="T469" s="81"/>
      <c r="U469" s="81"/>
      <c r="V469" s="81"/>
      <c r="W469" s="81"/>
      <c r="X469" s="81"/>
      <c r="Y469" s="81"/>
      <c r="Z469" s="81"/>
    </row>
    <row r="470" customFormat="false" ht="12" hidden="false" customHeight="true" outlineLevel="0" collapsed="false">
      <c r="A470" s="91"/>
      <c r="B470" s="81"/>
      <c r="C470" s="81"/>
      <c r="D470" s="173"/>
      <c r="E470" s="173"/>
      <c r="F470" s="80"/>
      <c r="G470" s="173"/>
      <c r="H470" s="81"/>
      <c r="I470" s="81"/>
      <c r="J470" s="102"/>
      <c r="K470" s="102"/>
      <c r="L470" s="102"/>
      <c r="M470" s="102"/>
      <c r="N470" s="102"/>
      <c r="O470" s="102"/>
      <c r="P470" s="81"/>
      <c r="Q470" s="81"/>
      <c r="R470" s="81"/>
      <c r="S470" s="81"/>
      <c r="T470" s="81"/>
      <c r="U470" s="81"/>
      <c r="V470" s="81"/>
      <c r="W470" s="81"/>
      <c r="X470" s="81"/>
      <c r="Y470" s="81"/>
      <c r="Z470" s="81"/>
    </row>
    <row r="471" customFormat="false" ht="12" hidden="false" customHeight="true" outlineLevel="0" collapsed="false">
      <c r="A471" s="91"/>
      <c r="B471" s="81"/>
      <c r="C471" s="81"/>
      <c r="D471" s="173"/>
      <c r="E471" s="173"/>
      <c r="F471" s="80"/>
      <c r="G471" s="173"/>
      <c r="H471" s="81"/>
      <c r="I471" s="81"/>
      <c r="J471" s="102"/>
      <c r="K471" s="102"/>
      <c r="L471" s="102"/>
      <c r="M471" s="102"/>
      <c r="N471" s="102"/>
      <c r="O471" s="102"/>
      <c r="P471" s="81"/>
      <c r="Q471" s="81"/>
      <c r="R471" s="81"/>
      <c r="S471" s="81"/>
      <c r="T471" s="81"/>
      <c r="U471" s="81"/>
      <c r="V471" s="81"/>
      <c r="W471" s="81"/>
      <c r="X471" s="81"/>
      <c r="Y471" s="81"/>
      <c r="Z471" s="81"/>
    </row>
    <row r="472" customFormat="false" ht="12" hidden="false" customHeight="true" outlineLevel="0" collapsed="false">
      <c r="A472" s="91"/>
      <c r="B472" s="81"/>
      <c r="C472" s="81"/>
      <c r="D472" s="173"/>
      <c r="E472" s="173"/>
      <c r="F472" s="80"/>
      <c r="G472" s="173"/>
      <c r="H472" s="81"/>
      <c r="I472" s="81"/>
      <c r="J472" s="102"/>
      <c r="K472" s="102"/>
      <c r="L472" s="102"/>
      <c r="M472" s="102"/>
      <c r="N472" s="102"/>
      <c r="O472" s="102"/>
      <c r="P472" s="81"/>
      <c r="Q472" s="81"/>
      <c r="R472" s="81"/>
      <c r="S472" s="81"/>
      <c r="T472" s="81"/>
      <c r="U472" s="81"/>
      <c r="V472" s="81"/>
      <c r="W472" s="81"/>
      <c r="X472" s="81"/>
      <c r="Y472" s="81"/>
      <c r="Z472" s="81"/>
    </row>
    <row r="473" customFormat="false" ht="12" hidden="false" customHeight="true" outlineLevel="0" collapsed="false">
      <c r="A473" s="91"/>
      <c r="B473" s="81"/>
      <c r="C473" s="81"/>
      <c r="D473" s="173"/>
      <c r="E473" s="173"/>
      <c r="F473" s="80"/>
      <c r="G473" s="173"/>
      <c r="H473" s="81"/>
      <c r="I473" s="81"/>
      <c r="J473" s="102"/>
      <c r="K473" s="102"/>
      <c r="L473" s="102"/>
      <c r="M473" s="102"/>
      <c r="N473" s="102"/>
      <c r="O473" s="102"/>
      <c r="P473" s="81"/>
      <c r="Q473" s="81"/>
      <c r="R473" s="81"/>
      <c r="S473" s="81"/>
      <c r="T473" s="81"/>
      <c r="U473" s="81"/>
      <c r="V473" s="81"/>
      <c r="W473" s="81"/>
      <c r="X473" s="81"/>
      <c r="Y473" s="81"/>
      <c r="Z473" s="81"/>
    </row>
    <row r="474" customFormat="false" ht="12" hidden="false" customHeight="true" outlineLevel="0" collapsed="false">
      <c r="A474" s="91"/>
      <c r="B474" s="81"/>
      <c r="C474" s="81"/>
      <c r="D474" s="173"/>
      <c r="E474" s="173"/>
      <c r="F474" s="80"/>
      <c r="G474" s="173"/>
      <c r="H474" s="81"/>
      <c r="I474" s="81"/>
      <c r="J474" s="102"/>
      <c r="K474" s="102"/>
      <c r="L474" s="102"/>
      <c r="M474" s="102"/>
      <c r="N474" s="102"/>
      <c r="O474" s="102"/>
      <c r="P474" s="81"/>
      <c r="Q474" s="81"/>
      <c r="R474" s="81"/>
      <c r="S474" s="81"/>
      <c r="T474" s="81"/>
      <c r="U474" s="81"/>
      <c r="V474" s="81"/>
      <c r="W474" s="81"/>
      <c r="X474" s="81"/>
      <c r="Y474" s="81"/>
      <c r="Z474" s="81"/>
    </row>
    <row r="475" customFormat="false" ht="12" hidden="false" customHeight="true" outlineLevel="0" collapsed="false">
      <c r="A475" s="91"/>
      <c r="B475" s="81"/>
      <c r="C475" s="81"/>
      <c r="D475" s="173"/>
      <c r="E475" s="173"/>
      <c r="F475" s="80"/>
      <c r="G475" s="173"/>
      <c r="H475" s="81"/>
      <c r="I475" s="81"/>
      <c r="J475" s="102"/>
      <c r="K475" s="102"/>
      <c r="L475" s="102"/>
      <c r="M475" s="102"/>
      <c r="N475" s="102"/>
      <c r="O475" s="102"/>
      <c r="P475" s="81"/>
      <c r="Q475" s="81"/>
      <c r="R475" s="81"/>
      <c r="S475" s="81"/>
      <c r="T475" s="81"/>
      <c r="U475" s="81"/>
      <c r="V475" s="81"/>
      <c r="W475" s="81"/>
      <c r="X475" s="81"/>
      <c r="Y475" s="81"/>
      <c r="Z475" s="81"/>
    </row>
    <row r="476" customFormat="false" ht="12" hidden="false" customHeight="true" outlineLevel="0" collapsed="false">
      <c r="A476" s="91"/>
      <c r="B476" s="81"/>
      <c r="C476" s="81"/>
      <c r="D476" s="173"/>
      <c r="E476" s="173"/>
      <c r="F476" s="80"/>
      <c r="G476" s="173"/>
      <c r="H476" s="81"/>
      <c r="I476" s="81"/>
      <c r="J476" s="102"/>
      <c r="K476" s="102"/>
      <c r="L476" s="102"/>
      <c r="M476" s="102"/>
      <c r="N476" s="102"/>
      <c r="O476" s="102"/>
      <c r="P476" s="81"/>
      <c r="Q476" s="81"/>
      <c r="R476" s="81"/>
      <c r="S476" s="81"/>
      <c r="T476" s="81"/>
      <c r="U476" s="81"/>
      <c r="V476" s="81"/>
      <c r="W476" s="81"/>
      <c r="X476" s="81"/>
      <c r="Y476" s="81"/>
      <c r="Z476" s="81"/>
    </row>
    <row r="477" customFormat="false" ht="12" hidden="false" customHeight="true" outlineLevel="0" collapsed="false">
      <c r="A477" s="91"/>
      <c r="B477" s="81"/>
      <c r="C477" s="81"/>
      <c r="D477" s="173"/>
      <c r="E477" s="173"/>
      <c r="F477" s="80"/>
      <c r="G477" s="173"/>
      <c r="H477" s="81"/>
      <c r="I477" s="81"/>
      <c r="J477" s="102"/>
      <c r="K477" s="102"/>
      <c r="L477" s="102"/>
      <c r="M477" s="102"/>
      <c r="N477" s="102"/>
      <c r="O477" s="102"/>
      <c r="P477" s="81"/>
      <c r="Q477" s="81"/>
      <c r="R477" s="81"/>
      <c r="S477" s="81"/>
      <c r="T477" s="81"/>
      <c r="U477" s="81"/>
      <c r="V477" s="81"/>
      <c r="W477" s="81"/>
      <c r="X477" s="81"/>
      <c r="Y477" s="81"/>
      <c r="Z477" s="81"/>
    </row>
    <row r="478" customFormat="false" ht="12" hidden="false" customHeight="true" outlineLevel="0" collapsed="false">
      <c r="A478" s="91"/>
      <c r="B478" s="81"/>
      <c r="C478" s="81"/>
      <c r="D478" s="173"/>
      <c r="E478" s="173"/>
      <c r="F478" s="80"/>
      <c r="G478" s="173"/>
      <c r="H478" s="81"/>
      <c r="I478" s="81"/>
      <c r="J478" s="102"/>
      <c r="K478" s="102"/>
      <c r="L478" s="102"/>
      <c r="M478" s="102"/>
      <c r="N478" s="102"/>
      <c r="O478" s="102"/>
      <c r="P478" s="81"/>
      <c r="Q478" s="81"/>
      <c r="R478" s="81"/>
      <c r="S478" s="81"/>
      <c r="T478" s="81"/>
      <c r="U478" s="81"/>
      <c r="V478" s="81"/>
      <c r="W478" s="81"/>
      <c r="X478" s="81"/>
      <c r="Y478" s="81"/>
      <c r="Z478" s="81"/>
    </row>
    <row r="479" customFormat="false" ht="12" hidden="false" customHeight="true" outlineLevel="0" collapsed="false">
      <c r="A479" s="91"/>
      <c r="B479" s="81"/>
      <c r="C479" s="81"/>
      <c r="D479" s="173"/>
      <c r="E479" s="173"/>
      <c r="F479" s="80"/>
      <c r="G479" s="173"/>
      <c r="H479" s="81"/>
      <c r="I479" s="81"/>
      <c r="J479" s="102"/>
      <c r="K479" s="102"/>
      <c r="L479" s="102"/>
      <c r="M479" s="102"/>
      <c r="N479" s="102"/>
      <c r="O479" s="102"/>
      <c r="P479" s="81"/>
      <c r="Q479" s="81"/>
      <c r="R479" s="81"/>
      <c r="S479" s="81"/>
      <c r="T479" s="81"/>
      <c r="U479" s="81"/>
      <c r="V479" s="81"/>
      <c r="W479" s="81"/>
      <c r="X479" s="81"/>
      <c r="Y479" s="81"/>
      <c r="Z479" s="81"/>
    </row>
    <row r="480" customFormat="false" ht="12" hidden="false" customHeight="true" outlineLevel="0" collapsed="false">
      <c r="A480" s="91"/>
      <c r="B480" s="81"/>
      <c r="C480" s="81"/>
      <c r="D480" s="173"/>
      <c r="E480" s="173"/>
      <c r="F480" s="80"/>
      <c r="G480" s="173"/>
      <c r="H480" s="81"/>
      <c r="I480" s="81"/>
      <c r="J480" s="102"/>
      <c r="K480" s="102"/>
      <c r="L480" s="102"/>
      <c r="M480" s="102"/>
      <c r="N480" s="102"/>
      <c r="O480" s="102"/>
      <c r="P480" s="81"/>
      <c r="Q480" s="81"/>
      <c r="R480" s="81"/>
      <c r="S480" s="81"/>
      <c r="T480" s="81"/>
      <c r="U480" s="81"/>
      <c r="V480" s="81"/>
      <c r="W480" s="81"/>
      <c r="X480" s="81"/>
      <c r="Y480" s="81"/>
      <c r="Z480" s="81"/>
    </row>
    <row r="481" customFormat="false" ht="12" hidden="false" customHeight="true" outlineLevel="0" collapsed="false">
      <c r="A481" s="91"/>
      <c r="B481" s="81"/>
      <c r="C481" s="81"/>
      <c r="D481" s="173"/>
      <c r="E481" s="173"/>
      <c r="F481" s="80"/>
      <c r="G481" s="173"/>
      <c r="H481" s="81"/>
      <c r="I481" s="81"/>
      <c r="J481" s="102"/>
      <c r="K481" s="102"/>
      <c r="L481" s="102"/>
      <c r="M481" s="102"/>
      <c r="N481" s="102"/>
      <c r="O481" s="102"/>
      <c r="P481" s="81"/>
      <c r="Q481" s="81"/>
      <c r="R481" s="81"/>
      <c r="S481" s="81"/>
      <c r="T481" s="81"/>
      <c r="U481" s="81"/>
      <c r="V481" s="81"/>
      <c r="W481" s="81"/>
      <c r="X481" s="81"/>
      <c r="Y481" s="81"/>
      <c r="Z481" s="81"/>
    </row>
    <row r="482" customFormat="false" ht="12" hidden="false" customHeight="true" outlineLevel="0" collapsed="false">
      <c r="A482" s="91"/>
      <c r="B482" s="81"/>
      <c r="C482" s="81"/>
      <c r="D482" s="173"/>
      <c r="E482" s="173"/>
      <c r="F482" s="80"/>
      <c r="G482" s="173"/>
      <c r="H482" s="81"/>
      <c r="I482" s="81"/>
      <c r="J482" s="102"/>
      <c r="K482" s="102"/>
      <c r="L482" s="102"/>
      <c r="M482" s="102"/>
      <c r="N482" s="102"/>
      <c r="O482" s="102"/>
      <c r="P482" s="81"/>
      <c r="Q482" s="81"/>
      <c r="R482" s="81"/>
      <c r="S482" s="81"/>
      <c r="T482" s="81"/>
      <c r="U482" s="81"/>
      <c r="V482" s="81"/>
      <c r="W482" s="81"/>
      <c r="X482" s="81"/>
      <c r="Y482" s="81"/>
      <c r="Z482" s="81"/>
    </row>
    <row r="483" customFormat="false" ht="12" hidden="false" customHeight="true" outlineLevel="0" collapsed="false">
      <c r="A483" s="91"/>
      <c r="B483" s="81"/>
      <c r="C483" s="81"/>
      <c r="D483" s="173"/>
      <c r="E483" s="173"/>
      <c r="F483" s="80"/>
      <c r="G483" s="173"/>
      <c r="H483" s="81"/>
      <c r="I483" s="81"/>
      <c r="J483" s="102"/>
      <c r="K483" s="102"/>
      <c r="L483" s="102"/>
      <c r="M483" s="102"/>
      <c r="N483" s="102"/>
      <c r="O483" s="102"/>
      <c r="P483" s="81"/>
      <c r="Q483" s="81"/>
      <c r="R483" s="81"/>
      <c r="S483" s="81"/>
      <c r="T483" s="81"/>
      <c r="U483" s="81"/>
      <c r="V483" s="81"/>
      <c r="W483" s="81"/>
      <c r="X483" s="81"/>
      <c r="Y483" s="81"/>
      <c r="Z483" s="81"/>
    </row>
    <row r="484" customFormat="false" ht="12" hidden="false" customHeight="true" outlineLevel="0" collapsed="false">
      <c r="A484" s="91"/>
      <c r="B484" s="81"/>
      <c r="C484" s="81"/>
      <c r="D484" s="173"/>
      <c r="E484" s="173"/>
      <c r="F484" s="80"/>
      <c r="G484" s="173"/>
      <c r="H484" s="81"/>
      <c r="I484" s="81"/>
      <c r="J484" s="102"/>
      <c r="K484" s="102"/>
      <c r="L484" s="102"/>
      <c r="M484" s="102"/>
      <c r="N484" s="102"/>
      <c r="O484" s="102"/>
      <c r="P484" s="81"/>
      <c r="Q484" s="81"/>
      <c r="R484" s="81"/>
      <c r="S484" s="81"/>
      <c r="T484" s="81"/>
      <c r="U484" s="81"/>
      <c r="V484" s="81"/>
      <c r="W484" s="81"/>
      <c r="X484" s="81"/>
      <c r="Y484" s="81"/>
      <c r="Z484" s="81"/>
    </row>
    <row r="485" customFormat="false" ht="12" hidden="false" customHeight="true" outlineLevel="0" collapsed="false">
      <c r="A485" s="91"/>
      <c r="B485" s="81"/>
      <c r="C485" s="81"/>
      <c r="D485" s="173"/>
      <c r="E485" s="173"/>
      <c r="F485" s="80"/>
      <c r="G485" s="173"/>
      <c r="H485" s="81"/>
      <c r="I485" s="81"/>
      <c r="J485" s="102"/>
      <c r="K485" s="102"/>
      <c r="L485" s="102"/>
      <c r="M485" s="102"/>
      <c r="N485" s="102"/>
      <c r="O485" s="102"/>
      <c r="P485" s="81"/>
      <c r="Q485" s="81"/>
      <c r="R485" s="81"/>
      <c r="S485" s="81"/>
      <c r="T485" s="81"/>
      <c r="U485" s="81"/>
      <c r="V485" s="81"/>
      <c r="W485" s="81"/>
      <c r="X485" s="81"/>
      <c r="Y485" s="81"/>
      <c r="Z485" s="81"/>
    </row>
    <row r="486" customFormat="false" ht="12" hidden="false" customHeight="true" outlineLevel="0" collapsed="false">
      <c r="A486" s="91"/>
      <c r="B486" s="81"/>
      <c r="C486" s="81"/>
      <c r="D486" s="173"/>
      <c r="E486" s="173"/>
      <c r="F486" s="80"/>
      <c r="G486" s="173"/>
      <c r="H486" s="81"/>
      <c r="I486" s="81"/>
      <c r="J486" s="102"/>
      <c r="K486" s="102"/>
      <c r="L486" s="102"/>
      <c r="M486" s="102"/>
      <c r="N486" s="102"/>
      <c r="O486" s="102"/>
      <c r="P486" s="81"/>
      <c r="Q486" s="81"/>
      <c r="R486" s="81"/>
      <c r="S486" s="81"/>
      <c r="T486" s="81"/>
      <c r="U486" s="81"/>
      <c r="V486" s="81"/>
      <c r="W486" s="81"/>
      <c r="X486" s="81"/>
      <c r="Y486" s="81"/>
      <c r="Z486" s="81"/>
    </row>
    <row r="487" customFormat="false" ht="12" hidden="false" customHeight="true" outlineLevel="0" collapsed="false">
      <c r="A487" s="91"/>
      <c r="B487" s="81"/>
      <c r="C487" s="81"/>
      <c r="D487" s="173"/>
      <c r="E487" s="173"/>
      <c r="F487" s="80"/>
      <c r="G487" s="173"/>
      <c r="H487" s="81"/>
      <c r="I487" s="81"/>
      <c r="J487" s="102"/>
      <c r="K487" s="102"/>
      <c r="L487" s="102"/>
      <c r="M487" s="102"/>
      <c r="N487" s="102"/>
      <c r="O487" s="102"/>
      <c r="P487" s="81"/>
      <c r="Q487" s="81"/>
      <c r="R487" s="81"/>
      <c r="S487" s="81"/>
      <c r="T487" s="81"/>
      <c r="U487" s="81"/>
      <c r="V487" s="81"/>
      <c r="W487" s="81"/>
      <c r="X487" s="81"/>
      <c r="Y487" s="81"/>
      <c r="Z487" s="81"/>
    </row>
    <row r="488" customFormat="false" ht="12" hidden="false" customHeight="true" outlineLevel="0" collapsed="false">
      <c r="A488" s="91"/>
      <c r="B488" s="81"/>
      <c r="C488" s="81"/>
      <c r="D488" s="173"/>
      <c r="E488" s="173"/>
      <c r="F488" s="80"/>
      <c r="G488" s="173"/>
      <c r="H488" s="81"/>
      <c r="I488" s="81"/>
      <c r="J488" s="102"/>
      <c r="K488" s="102"/>
      <c r="L488" s="102"/>
      <c r="M488" s="102"/>
      <c r="N488" s="102"/>
      <c r="O488" s="102"/>
      <c r="P488" s="81"/>
      <c r="Q488" s="81"/>
      <c r="R488" s="81"/>
      <c r="S488" s="81"/>
      <c r="T488" s="81"/>
      <c r="U488" s="81"/>
      <c r="V488" s="81"/>
      <c r="W488" s="81"/>
      <c r="X488" s="81"/>
      <c r="Y488" s="81"/>
      <c r="Z488" s="81"/>
    </row>
    <row r="489" customFormat="false" ht="12" hidden="false" customHeight="true" outlineLevel="0" collapsed="false">
      <c r="A489" s="91"/>
      <c r="B489" s="81"/>
      <c r="C489" s="81"/>
      <c r="D489" s="173"/>
      <c r="E489" s="173"/>
      <c r="F489" s="80"/>
      <c r="G489" s="173"/>
      <c r="H489" s="81"/>
      <c r="I489" s="81"/>
      <c r="J489" s="102"/>
      <c r="K489" s="102"/>
      <c r="L489" s="102"/>
      <c r="M489" s="102"/>
      <c r="N489" s="102"/>
      <c r="O489" s="102"/>
      <c r="P489" s="81"/>
      <c r="Q489" s="81"/>
      <c r="R489" s="81"/>
      <c r="S489" s="81"/>
      <c r="T489" s="81"/>
      <c r="U489" s="81"/>
      <c r="V489" s="81"/>
      <c r="W489" s="81"/>
      <c r="X489" s="81"/>
      <c r="Y489" s="81"/>
      <c r="Z489" s="81"/>
    </row>
    <row r="490" customFormat="false" ht="12" hidden="false" customHeight="true" outlineLevel="0" collapsed="false">
      <c r="A490" s="91"/>
      <c r="B490" s="81"/>
      <c r="C490" s="81"/>
      <c r="D490" s="173"/>
      <c r="E490" s="173"/>
      <c r="F490" s="80"/>
      <c r="G490" s="173"/>
      <c r="H490" s="81"/>
      <c r="I490" s="81"/>
      <c r="J490" s="102"/>
      <c r="K490" s="102"/>
      <c r="L490" s="102"/>
      <c r="M490" s="102"/>
      <c r="N490" s="102"/>
      <c r="O490" s="102"/>
      <c r="P490" s="81"/>
      <c r="Q490" s="81"/>
      <c r="R490" s="81"/>
      <c r="S490" s="81"/>
      <c r="T490" s="81"/>
      <c r="U490" s="81"/>
      <c r="V490" s="81"/>
      <c r="W490" s="81"/>
      <c r="X490" s="81"/>
      <c r="Y490" s="81"/>
      <c r="Z490" s="81"/>
    </row>
    <row r="491" customFormat="false" ht="12" hidden="false" customHeight="true" outlineLevel="0" collapsed="false">
      <c r="A491" s="91"/>
      <c r="B491" s="81"/>
      <c r="C491" s="81"/>
      <c r="D491" s="173"/>
      <c r="E491" s="173"/>
      <c r="F491" s="80"/>
      <c r="G491" s="173"/>
      <c r="H491" s="81"/>
      <c r="I491" s="81"/>
      <c r="J491" s="102"/>
      <c r="K491" s="102"/>
      <c r="L491" s="102"/>
      <c r="M491" s="102"/>
      <c r="N491" s="102"/>
      <c r="O491" s="102"/>
      <c r="P491" s="81"/>
      <c r="Q491" s="81"/>
      <c r="R491" s="81"/>
      <c r="S491" s="81"/>
      <c r="T491" s="81"/>
      <c r="U491" s="81"/>
      <c r="V491" s="81"/>
      <c r="W491" s="81"/>
      <c r="X491" s="81"/>
      <c r="Y491" s="81"/>
      <c r="Z491" s="81"/>
    </row>
    <row r="492" customFormat="false" ht="12" hidden="false" customHeight="true" outlineLevel="0" collapsed="false">
      <c r="A492" s="91"/>
      <c r="B492" s="81"/>
      <c r="C492" s="81"/>
      <c r="D492" s="173"/>
      <c r="E492" s="173"/>
      <c r="F492" s="80"/>
      <c r="G492" s="173"/>
      <c r="H492" s="81"/>
      <c r="I492" s="81"/>
      <c r="J492" s="102"/>
      <c r="K492" s="102"/>
      <c r="L492" s="102"/>
      <c r="M492" s="102"/>
      <c r="N492" s="102"/>
      <c r="O492" s="102"/>
      <c r="P492" s="81"/>
      <c r="Q492" s="81"/>
      <c r="R492" s="81"/>
      <c r="S492" s="81"/>
      <c r="T492" s="81"/>
      <c r="U492" s="81"/>
      <c r="V492" s="81"/>
      <c r="W492" s="81"/>
      <c r="X492" s="81"/>
      <c r="Y492" s="81"/>
      <c r="Z492" s="81"/>
    </row>
    <row r="493" customFormat="false" ht="12" hidden="false" customHeight="true" outlineLevel="0" collapsed="false">
      <c r="A493" s="91"/>
      <c r="B493" s="81"/>
      <c r="C493" s="81"/>
      <c r="D493" s="173"/>
      <c r="E493" s="173"/>
      <c r="F493" s="80"/>
      <c r="G493" s="173"/>
      <c r="H493" s="81"/>
      <c r="I493" s="81"/>
      <c r="J493" s="102"/>
      <c r="K493" s="102"/>
      <c r="L493" s="102"/>
      <c r="M493" s="102"/>
      <c r="N493" s="102"/>
      <c r="O493" s="102"/>
      <c r="P493" s="81"/>
      <c r="Q493" s="81"/>
      <c r="R493" s="81"/>
      <c r="S493" s="81"/>
      <c r="T493" s="81"/>
      <c r="U493" s="81"/>
      <c r="V493" s="81"/>
      <c r="W493" s="81"/>
      <c r="X493" s="81"/>
      <c r="Y493" s="81"/>
      <c r="Z493" s="81"/>
    </row>
    <row r="494" customFormat="false" ht="12" hidden="false" customHeight="true" outlineLevel="0" collapsed="false">
      <c r="A494" s="91"/>
      <c r="B494" s="81"/>
      <c r="C494" s="81"/>
      <c r="D494" s="173"/>
      <c r="E494" s="173"/>
      <c r="F494" s="80"/>
      <c r="G494" s="173"/>
      <c r="H494" s="81"/>
      <c r="I494" s="81"/>
      <c r="J494" s="102"/>
      <c r="K494" s="102"/>
      <c r="L494" s="102"/>
      <c r="M494" s="102"/>
      <c r="N494" s="102"/>
      <c r="O494" s="102"/>
      <c r="P494" s="81"/>
      <c r="Q494" s="81"/>
      <c r="R494" s="81"/>
      <c r="S494" s="81"/>
      <c r="T494" s="81"/>
      <c r="U494" s="81"/>
      <c r="V494" s="81"/>
      <c r="W494" s="81"/>
      <c r="X494" s="81"/>
      <c r="Y494" s="81"/>
      <c r="Z494" s="81"/>
    </row>
    <row r="495" customFormat="false" ht="12" hidden="false" customHeight="true" outlineLevel="0" collapsed="false">
      <c r="A495" s="91"/>
      <c r="B495" s="81"/>
      <c r="C495" s="81"/>
      <c r="D495" s="173"/>
      <c r="E495" s="173"/>
      <c r="F495" s="80"/>
      <c r="G495" s="173"/>
      <c r="H495" s="81"/>
      <c r="I495" s="81"/>
      <c r="J495" s="102"/>
      <c r="K495" s="102"/>
      <c r="L495" s="102"/>
      <c r="M495" s="102"/>
      <c r="N495" s="102"/>
      <c r="O495" s="102"/>
      <c r="P495" s="81"/>
      <c r="Q495" s="81"/>
      <c r="R495" s="81"/>
      <c r="S495" s="81"/>
      <c r="T495" s="81"/>
      <c r="U495" s="81"/>
      <c r="V495" s="81"/>
      <c r="W495" s="81"/>
      <c r="X495" s="81"/>
      <c r="Y495" s="81"/>
      <c r="Z495" s="81"/>
    </row>
    <row r="496" customFormat="false" ht="12" hidden="false" customHeight="true" outlineLevel="0" collapsed="false">
      <c r="A496" s="91"/>
      <c r="B496" s="81"/>
      <c r="C496" s="81"/>
      <c r="D496" s="173"/>
      <c r="E496" s="173"/>
      <c r="F496" s="80"/>
      <c r="G496" s="173"/>
      <c r="H496" s="81"/>
      <c r="I496" s="81"/>
      <c r="J496" s="102"/>
      <c r="K496" s="102"/>
      <c r="L496" s="102"/>
      <c r="M496" s="102"/>
      <c r="N496" s="102"/>
      <c r="O496" s="102"/>
      <c r="P496" s="81"/>
      <c r="Q496" s="81"/>
      <c r="R496" s="81"/>
      <c r="S496" s="81"/>
      <c r="T496" s="81"/>
      <c r="U496" s="81"/>
      <c r="V496" s="81"/>
      <c r="W496" s="81"/>
      <c r="X496" s="81"/>
      <c r="Y496" s="81"/>
      <c r="Z496" s="81"/>
    </row>
    <row r="497" customFormat="false" ht="12" hidden="false" customHeight="true" outlineLevel="0" collapsed="false">
      <c r="A497" s="91"/>
      <c r="B497" s="81"/>
      <c r="C497" s="81"/>
      <c r="D497" s="173"/>
      <c r="E497" s="173"/>
      <c r="F497" s="80"/>
      <c r="G497" s="173"/>
      <c r="H497" s="81"/>
      <c r="I497" s="81"/>
      <c r="J497" s="102"/>
      <c r="K497" s="102"/>
      <c r="L497" s="102"/>
      <c r="M497" s="102"/>
      <c r="N497" s="102"/>
      <c r="O497" s="102"/>
      <c r="P497" s="81"/>
      <c r="Q497" s="81"/>
      <c r="R497" s="81"/>
      <c r="S497" s="81"/>
      <c r="T497" s="81"/>
      <c r="U497" s="81"/>
      <c r="V497" s="81"/>
      <c r="W497" s="81"/>
      <c r="X497" s="81"/>
      <c r="Y497" s="81"/>
      <c r="Z497" s="81"/>
    </row>
    <row r="498" customFormat="false" ht="12" hidden="false" customHeight="true" outlineLevel="0" collapsed="false">
      <c r="A498" s="91"/>
      <c r="B498" s="81"/>
      <c r="C498" s="81"/>
      <c r="D498" s="173"/>
      <c r="E498" s="173"/>
      <c r="F498" s="80"/>
      <c r="G498" s="173"/>
      <c r="H498" s="81"/>
      <c r="I498" s="81"/>
      <c r="J498" s="102"/>
      <c r="K498" s="102"/>
      <c r="L498" s="102"/>
      <c r="M498" s="102"/>
      <c r="N498" s="102"/>
      <c r="O498" s="102"/>
      <c r="P498" s="81"/>
      <c r="Q498" s="81"/>
      <c r="R498" s="81"/>
      <c r="S498" s="81"/>
      <c r="T498" s="81"/>
      <c r="U498" s="81"/>
      <c r="V498" s="81"/>
      <c r="W498" s="81"/>
      <c r="X498" s="81"/>
      <c r="Y498" s="81"/>
      <c r="Z498" s="81"/>
    </row>
    <row r="499" customFormat="false" ht="12" hidden="false" customHeight="true" outlineLevel="0" collapsed="false">
      <c r="A499" s="91"/>
      <c r="B499" s="81"/>
      <c r="C499" s="81"/>
      <c r="D499" s="173"/>
      <c r="E499" s="173"/>
      <c r="F499" s="80"/>
      <c r="G499" s="173"/>
      <c r="H499" s="81"/>
      <c r="I499" s="81"/>
      <c r="J499" s="102"/>
      <c r="K499" s="102"/>
      <c r="L499" s="102"/>
      <c r="M499" s="102"/>
      <c r="N499" s="102"/>
      <c r="O499" s="102"/>
      <c r="P499" s="81"/>
      <c r="Q499" s="81"/>
      <c r="R499" s="81"/>
      <c r="S499" s="81"/>
      <c r="T499" s="81"/>
      <c r="U499" s="81"/>
      <c r="V499" s="81"/>
      <c r="W499" s="81"/>
      <c r="X499" s="81"/>
      <c r="Y499" s="81"/>
      <c r="Z499" s="81"/>
    </row>
    <row r="500" customFormat="false" ht="12" hidden="false" customHeight="true" outlineLevel="0" collapsed="false">
      <c r="A500" s="91"/>
      <c r="B500" s="81"/>
      <c r="C500" s="81"/>
      <c r="D500" s="173"/>
      <c r="E500" s="173"/>
      <c r="F500" s="80"/>
      <c r="G500" s="173"/>
      <c r="H500" s="81"/>
      <c r="I500" s="81"/>
      <c r="J500" s="102"/>
      <c r="K500" s="102"/>
      <c r="L500" s="102"/>
      <c r="M500" s="102"/>
      <c r="N500" s="102"/>
      <c r="O500" s="102"/>
      <c r="P500" s="81"/>
      <c r="Q500" s="81"/>
      <c r="R500" s="81"/>
      <c r="S500" s="81"/>
      <c r="T500" s="81"/>
      <c r="U500" s="81"/>
      <c r="V500" s="81"/>
      <c r="W500" s="81"/>
      <c r="X500" s="81"/>
      <c r="Y500" s="81"/>
      <c r="Z500" s="81"/>
    </row>
    <row r="501" customFormat="false" ht="12" hidden="false" customHeight="true" outlineLevel="0" collapsed="false">
      <c r="A501" s="91"/>
      <c r="B501" s="81"/>
      <c r="C501" s="81"/>
      <c r="D501" s="173"/>
      <c r="E501" s="173"/>
      <c r="F501" s="80"/>
      <c r="G501" s="173"/>
      <c r="H501" s="81"/>
      <c r="I501" s="81"/>
      <c r="J501" s="102"/>
      <c r="K501" s="102"/>
      <c r="L501" s="102"/>
      <c r="M501" s="102"/>
      <c r="N501" s="102"/>
      <c r="O501" s="102"/>
      <c r="P501" s="81"/>
      <c r="Q501" s="81"/>
      <c r="R501" s="81"/>
      <c r="S501" s="81"/>
      <c r="T501" s="81"/>
      <c r="U501" s="81"/>
      <c r="V501" s="81"/>
      <c r="W501" s="81"/>
      <c r="X501" s="81"/>
      <c r="Y501" s="81"/>
      <c r="Z501" s="81"/>
    </row>
    <row r="502" customFormat="false" ht="12" hidden="false" customHeight="true" outlineLevel="0" collapsed="false">
      <c r="A502" s="91"/>
      <c r="B502" s="81"/>
      <c r="C502" s="81"/>
      <c r="D502" s="173"/>
      <c r="E502" s="173"/>
      <c r="F502" s="80"/>
      <c r="G502" s="173"/>
      <c r="H502" s="81"/>
      <c r="I502" s="81"/>
      <c r="J502" s="102"/>
      <c r="K502" s="102"/>
      <c r="L502" s="102"/>
      <c r="M502" s="102"/>
      <c r="N502" s="102"/>
      <c r="O502" s="102"/>
      <c r="P502" s="81"/>
      <c r="Q502" s="81"/>
      <c r="R502" s="81"/>
      <c r="S502" s="81"/>
      <c r="T502" s="81"/>
      <c r="U502" s="81"/>
      <c r="V502" s="81"/>
      <c r="W502" s="81"/>
      <c r="X502" s="81"/>
      <c r="Y502" s="81"/>
      <c r="Z502" s="81"/>
    </row>
    <row r="503" customFormat="false" ht="12" hidden="false" customHeight="true" outlineLevel="0" collapsed="false">
      <c r="A503" s="91"/>
      <c r="B503" s="81"/>
      <c r="C503" s="81"/>
      <c r="D503" s="173"/>
      <c r="E503" s="173"/>
      <c r="F503" s="80"/>
      <c r="G503" s="173"/>
      <c r="H503" s="81"/>
      <c r="I503" s="81"/>
      <c r="J503" s="102"/>
      <c r="K503" s="102"/>
      <c r="L503" s="102"/>
      <c r="M503" s="102"/>
      <c r="N503" s="102"/>
      <c r="O503" s="102"/>
      <c r="P503" s="81"/>
      <c r="Q503" s="81"/>
      <c r="R503" s="81"/>
      <c r="S503" s="81"/>
      <c r="T503" s="81"/>
      <c r="U503" s="81"/>
      <c r="V503" s="81"/>
      <c r="W503" s="81"/>
      <c r="X503" s="81"/>
      <c r="Y503" s="81"/>
      <c r="Z503" s="81"/>
    </row>
    <row r="504" customFormat="false" ht="12" hidden="false" customHeight="true" outlineLevel="0" collapsed="false">
      <c r="A504" s="91"/>
      <c r="B504" s="81"/>
      <c r="C504" s="81"/>
      <c r="D504" s="173"/>
      <c r="E504" s="173"/>
      <c r="F504" s="80"/>
      <c r="G504" s="173"/>
      <c r="H504" s="81"/>
      <c r="I504" s="81"/>
      <c r="J504" s="102"/>
      <c r="K504" s="102"/>
      <c r="L504" s="102"/>
      <c r="M504" s="102"/>
      <c r="N504" s="102"/>
      <c r="O504" s="102"/>
      <c r="P504" s="81"/>
      <c r="Q504" s="81"/>
      <c r="R504" s="81"/>
      <c r="S504" s="81"/>
      <c r="T504" s="81"/>
      <c r="U504" s="81"/>
      <c r="V504" s="81"/>
      <c r="W504" s="81"/>
      <c r="X504" s="81"/>
      <c r="Y504" s="81"/>
      <c r="Z504" s="81"/>
    </row>
    <row r="505" customFormat="false" ht="12" hidden="false" customHeight="true" outlineLevel="0" collapsed="false">
      <c r="A505" s="91"/>
      <c r="B505" s="81"/>
      <c r="C505" s="81"/>
      <c r="D505" s="173"/>
      <c r="E505" s="173"/>
      <c r="F505" s="80"/>
      <c r="G505" s="173"/>
      <c r="H505" s="81"/>
      <c r="I505" s="81"/>
      <c r="J505" s="102"/>
      <c r="K505" s="102"/>
      <c r="L505" s="102"/>
      <c r="M505" s="102"/>
      <c r="N505" s="102"/>
      <c r="O505" s="102"/>
      <c r="P505" s="81"/>
      <c r="Q505" s="81"/>
      <c r="R505" s="81"/>
      <c r="S505" s="81"/>
      <c r="T505" s="81"/>
      <c r="U505" s="81"/>
      <c r="V505" s="81"/>
      <c r="W505" s="81"/>
      <c r="X505" s="81"/>
      <c r="Y505" s="81"/>
      <c r="Z505" s="81"/>
    </row>
    <row r="506" customFormat="false" ht="12" hidden="false" customHeight="true" outlineLevel="0" collapsed="false">
      <c r="A506" s="91"/>
      <c r="B506" s="81"/>
      <c r="C506" s="81"/>
      <c r="D506" s="173"/>
      <c r="E506" s="173"/>
      <c r="F506" s="80"/>
      <c r="G506" s="173"/>
      <c r="H506" s="81"/>
      <c r="I506" s="81"/>
      <c r="J506" s="102"/>
      <c r="K506" s="102"/>
      <c r="L506" s="102"/>
      <c r="M506" s="102"/>
      <c r="N506" s="102"/>
      <c r="O506" s="102"/>
      <c r="P506" s="81"/>
      <c r="Q506" s="81"/>
      <c r="R506" s="81"/>
      <c r="S506" s="81"/>
      <c r="T506" s="81"/>
      <c r="U506" s="81"/>
      <c r="V506" s="81"/>
      <c r="W506" s="81"/>
      <c r="X506" s="81"/>
      <c r="Y506" s="81"/>
      <c r="Z506" s="81"/>
    </row>
    <row r="507" customFormat="false" ht="12" hidden="false" customHeight="true" outlineLevel="0" collapsed="false">
      <c r="A507" s="91"/>
      <c r="B507" s="81"/>
      <c r="C507" s="81"/>
      <c r="D507" s="173"/>
      <c r="E507" s="173"/>
      <c r="F507" s="80"/>
      <c r="G507" s="173"/>
      <c r="H507" s="81"/>
      <c r="I507" s="81"/>
      <c r="J507" s="102"/>
      <c r="K507" s="102"/>
      <c r="L507" s="102"/>
      <c r="M507" s="102"/>
      <c r="N507" s="102"/>
      <c r="O507" s="102"/>
      <c r="P507" s="81"/>
      <c r="Q507" s="81"/>
      <c r="R507" s="81"/>
      <c r="S507" s="81"/>
      <c r="T507" s="81"/>
      <c r="U507" s="81"/>
      <c r="V507" s="81"/>
      <c r="W507" s="81"/>
      <c r="X507" s="81"/>
      <c r="Y507" s="81"/>
      <c r="Z507" s="81"/>
    </row>
    <row r="508" customFormat="false" ht="12" hidden="false" customHeight="true" outlineLevel="0" collapsed="false">
      <c r="A508" s="91"/>
      <c r="B508" s="81"/>
      <c r="C508" s="81"/>
      <c r="D508" s="173"/>
      <c r="E508" s="173"/>
      <c r="F508" s="80"/>
      <c r="G508" s="173"/>
      <c r="H508" s="81"/>
      <c r="I508" s="81"/>
      <c r="J508" s="102"/>
      <c r="K508" s="102"/>
      <c r="L508" s="102"/>
      <c r="M508" s="102"/>
      <c r="N508" s="102"/>
      <c r="O508" s="102"/>
      <c r="P508" s="81"/>
      <c r="Q508" s="81"/>
      <c r="R508" s="81"/>
      <c r="S508" s="81"/>
      <c r="T508" s="81"/>
      <c r="U508" s="81"/>
      <c r="V508" s="81"/>
      <c r="W508" s="81"/>
      <c r="X508" s="81"/>
      <c r="Y508" s="81"/>
      <c r="Z508" s="81"/>
    </row>
    <row r="509" customFormat="false" ht="12" hidden="false" customHeight="true" outlineLevel="0" collapsed="false">
      <c r="A509" s="91"/>
      <c r="B509" s="81"/>
      <c r="C509" s="81"/>
      <c r="D509" s="173"/>
      <c r="E509" s="173"/>
      <c r="F509" s="80"/>
      <c r="G509" s="173"/>
      <c r="H509" s="81"/>
      <c r="I509" s="81"/>
      <c r="J509" s="102"/>
      <c r="K509" s="102"/>
      <c r="L509" s="102"/>
      <c r="M509" s="102"/>
      <c r="N509" s="102"/>
      <c r="O509" s="102"/>
      <c r="P509" s="81"/>
      <c r="Q509" s="81"/>
      <c r="R509" s="81"/>
      <c r="S509" s="81"/>
      <c r="T509" s="81"/>
      <c r="U509" s="81"/>
      <c r="V509" s="81"/>
      <c r="W509" s="81"/>
      <c r="X509" s="81"/>
      <c r="Y509" s="81"/>
      <c r="Z509" s="81"/>
    </row>
    <row r="510" customFormat="false" ht="12" hidden="false" customHeight="true" outlineLevel="0" collapsed="false">
      <c r="A510" s="91"/>
      <c r="B510" s="81"/>
      <c r="C510" s="81"/>
      <c r="D510" s="173"/>
      <c r="E510" s="173"/>
      <c r="F510" s="80"/>
      <c r="G510" s="173"/>
      <c r="H510" s="81"/>
      <c r="I510" s="81"/>
      <c r="J510" s="102"/>
      <c r="K510" s="102"/>
      <c r="L510" s="102"/>
      <c r="M510" s="102"/>
      <c r="N510" s="102"/>
      <c r="O510" s="102"/>
      <c r="P510" s="81"/>
      <c r="Q510" s="81"/>
      <c r="R510" s="81"/>
      <c r="S510" s="81"/>
      <c r="T510" s="81"/>
      <c r="U510" s="81"/>
      <c r="V510" s="81"/>
      <c r="W510" s="81"/>
      <c r="X510" s="81"/>
      <c r="Y510" s="81"/>
      <c r="Z510" s="81"/>
    </row>
    <row r="511" customFormat="false" ht="12" hidden="false" customHeight="true" outlineLevel="0" collapsed="false">
      <c r="A511" s="91"/>
      <c r="B511" s="81"/>
      <c r="C511" s="81"/>
      <c r="D511" s="173"/>
      <c r="E511" s="173"/>
      <c r="F511" s="80"/>
      <c r="G511" s="173"/>
      <c r="H511" s="81"/>
      <c r="I511" s="81"/>
      <c r="J511" s="102"/>
      <c r="K511" s="102"/>
      <c r="L511" s="102"/>
      <c r="M511" s="102"/>
      <c r="N511" s="102"/>
      <c r="O511" s="102"/>
      <c r="P511" s="81"/>
      <c r="Q511" s="81"/>
      <c r="R511" s="81"/>
      <c r="S511" s="81"/>
      <c r="T511" s="81"/>
      <c r="U511" s="81"/>
      <c r="V511" s="81"/>
      <c r="W511" s="81"/>
      <c r="X511" s="81"/>
      <c r="Y511" s="81"/>
      <c r="Z511" s="81"/>
    </row>
    <row r="512" customFormat="false" ht="12" hidden="false" customHeight="true" outlineLevel="0" collapsed="false">
      <c r="A512" s="91"/>
      <c r="B512" s="81"/>
      <c r="C512" s="81"/>
      <c r="D512" s="173"/>
      <c r="E512" s="173"/>
      <c r="F512" s="80"/>
      <c r="G512" s="173"/>
      <c r="H512" s="81"/>
      <c r="I512" s="81"/>
      <c r="J512" s="102"/>
      <c r="K512" s="102"/>
      <c r="L512" s="102"/>
      <c r="M512" s="102"/>
      <c r="N512" s="102"/>
      <c r="O512" s="102"/>
      <c r="P512" s="81"/>
      <c r="Q512" s="81"/>
      <c r="R512" s="81"/>
      <c r="S512" s="81"/>
      <c r="T512" s="81"/>
      <c r="U512" s="81"/>
      <c r="V512" s="81"/>
      <c r="W512" s="81"/>
      <c r="X512" s="81"/>
      <c r="Y512" s="81"/>
      <c r="Z512" s="81"/>
    </row>
    <row r="513" customFormat="false" ht="12" hidden="false" customHeight="true" outlineLevel="0" collapsed="false">
      <c r="A513" s="91"/>
      <c r="B513" s="81"/>
      <c r="C513" s="81"/>
      <c r="D513" s="173"/>
      <c r="E513" s="173"/>
      <c r="F513" s="80"/>
      <c r="G513" s="173"/>
      <c r="H513" s="81"/>
      <c r="I513" s="81"/>
      <c r="J513" s="102"/>
      <c r="K513" s="102"/>
      <c r="L513" s="102"/>
      <c r="M513" s="102"/>
      <c r="N513" s="102"/>
      <c r="O513" s="102"/>
      <c r="P513" s="81"/>
      <c r="Q513" s="81"/>
      <c r="R513" s="81"/>
      <c r="S513" s="81"/>
      <c r="T513" s="81"/>
      <c r="U513" s="81"/>
      <c r="V513" s="81"/>
      <c r="W513" s="81"/>
      <c r="X513" s="81"/>
      <c r="Y513" s="81"/>
      <c r="Z513" s="81"/>
    </row>
    <row r="514" customFormat="false" ht="12" hidden="false" customHeight="true" outlineLevel="0" collapsed="false">
      <c r="A514" s="91"/>
      <c r="B514" s="81"/>
      <c r="C514" s="81"/>
      <c r="D514" s="173"/>
      <c r="E514" s="173"/>
      <c r="F514" s="80"/>
      <c r="G514" s="173"/>
      <c r="H514" s="81"/>
      <c r="I514" s="81"/>
      <c r="J514" s="102"/>
      <c r="K514" s="102"/>
      <c r="L514" s="102"/>
      <c r="M514" s="102"/>
      <c r="N514" s="102"/>
      <c r="O514" s="102"/>
      <c r="P514" s="81"/>
      <c r="Q514" s="81"/>
      <c r="R514" s="81"/>
      <c r="S514" s="81"/>
      <c r="T514" s="81"/>
      <c r="U514" s="81"/>
      <c r="V514" s="81"/>
      <c r="W514" s="81"/>
      <c r="X514" s="81"/>
      <c r="Y514" s="81"/>
      <c r="Z514" s="81"/>
    </row>
    <row r="515" customFormat="false" ht="12" hidden="false" customHeight="true" outlineLevel="0" collapsed="false">
      <c r="A515" s="91"/>
      <c r="B515" s="81"/>
      <c r="C515" s="81"/>
      <c r="D515" s="173"/>
      <c r="E515" s="173"/>
      <c r="F515" s="80"/>
      <c r="G515" s="173"/>
      <c r="H515" s="81"/>
      <c r="I515" s="81"/>
      <c r="J515" s="102"/>
      <c r="K515" s="102"/>
      <c r="L515" s="102"/>
      <c r="M515" s="102"/>
      <c r="N515" s="102"/>
      <c r="O515" s="102"/>
      <c r="P515" s="81"/>
      <c r="Q515" s="81"/>
      <c r="R515" s="81"/>
      <c r="S515" s="81"/>
      <c r="T515" s="81"/>
      <c r="U515" s="81"/>
      <c r="V515" s="81"/>
      <c r="W515" s="81"/>
      <c r="X515" s="81"/>
      <c r="Y515" s="81"/>
      <c r="Z515" s="81"/>
    </row>
    <row r="516" customFormat="false" ht="12" hidden="false" customHeight="true" outlineLevel="0" collapsed="false">
      <c r="A516" s="91"/>
      <c r="B516" s="81"/>
      <c r="C516" s="81"/>
      <c r="D516" s="173"/>
      <c r="E516" s="173"/>
      <c r="F516" s="80"/>
      <c r="G516" s="173"/>
      <c r="H516" s="81"/>
      <c r="I516" s="81"/>
      <c r="J516" s="102"/>
      <c r="K516" s="102"/>
      <c r="L516" s="102"/>
      <c r="M516" s="102"/>
      <c r="N516" s="102"/>
      <c r="O516" s="102"/>
      <c r="P516" s="81"/>
      <c r="Q516" s="81"/>
      <c r="R516" s="81"/>
      <c r="S516" s="81"/>
      <c r="T516" s="81"/>
      <c r="U516" s="81"/>
      <c r="V516" s="81"/>
      <c r="W516" s="81"/>
      <c r="X516" s="81"/>
      <c r="Y516" s="81"/>
      <c r="Z516" s="81"/>
    </row>
    <row r="517" customFormat="false" ht="12" hidden="false" customHeight="true" outlineLevel="0" collapsed="false">
      <c r="A517" s="91"/>
      <c r="B517" s="81"/>
      <c r="C517" s="81"/>
      <c r="D517" s="173"/>
      <c r="E517" s="173"/>
      <c r="F517" s="80"/>
      <c r="G517" s="173"/>
      <c r="H517" s="81"/>
      <c r="I517" s="81"/>
      <c r="J517" s="102"/>
      <c r="K517" s="102"/>
      <c r="L517" s="102"/>
      <c r="M517" s="102"/>
      <c r="N517" s="102"/>
      <c r="O517" s="102"/>
      <c r="P517" s="81"/>
      <c r="Q517" s="81"/>
      <c r="R517" s="81"/>
      <c r="S517" s="81"/>
      <c r="T517" s="81"/>
      <c r="U517" s="81"/>
      <c r="V517" s="81"/>
      <c r="W517" s="81"/>
      <c r="X517" s="81"/>
      <c r="Y517" s="81"/>
      <c r="Z517" s="81"/>
    </row>
    <row r="518" customFormat="false" ht="12" hidden="false" customHeight="true" outlineLevel="0" collapsed="false">
      <c r="A518" s="91"/>
      <c r="B518" s="81"/>
      <c r="C518" s="81"/>
      <c r="D518" s="173"/>
      <c r="E518" s="173"/>
      <c r="F518" s="80"/>
      <c r="G518" s="173"/>
      <c r="H518" s="81"/>
      <c r="I518" s="81"/>
      <c r="J518" s="102"/>
      <c r="K518" s="102"/>
      <c r="L518" s="102"/>
      <c r="M518" s="102"/>
      <c r="N518" s="102"/>
      <c r="O518" s="102"/>
      <c r="P518" s="81"/>
      <c r="Q518" s="81"/>
      <c r="R518" s="81"/>
      <c r="S518" s="81"/>
      <c r="T518" s="81"/>
      <c r="U518" s="81"/>
      <c r="V518" s="81"/>
      <c r="W518" s="81"/>
      <c r="X518" s="81"/>
      <c r="Y518" s="81"/>
      <c r="Z518" s="81"/>
    </row>
    <row r="519" customFormat="false" ht="12" hidden="false" customHeight="true" outlineLevel="0" collapsed="false">
      <c r="A519" s="91"/>
      <c r="B519" s="81"/>
      <c r="C519" s="81"/>
      <c r="D519" s="173"/>
      <c r="E519" s="173"/>
      <c r="F519" s="80"/>
      <c r="G519" s="173"/>
      <c r="H519" s="81"/>
      <c r="I519" s="81"/>
      <c r="J519" s="102"/>
      <c r="K519" s="102"/>
      <c r="L519" s="102"/>
      <c r="M519" s="102"/>
      <c r="N519" s="102"/>
      <c r="O519" s="102"/>
      <c r="P519" s="81"/>
      <c r="Q519" s="81"/>
      <c r="R519" s="81"/>
      <c r="S519" s="81"/>
      <c r="T519" s="81"/>
      <c r="U519" s="81"/>
      <c r="V519" s="81"/>
      <c r="W519" s="81"/>
      <c r="X519" s="81"/>
      <c r="Y519" s="81"/>
      <c r="Z519" s="81"/>
    </row>
    <row r="520" customFormat="false" ht="12" hidden="false" customHeight="true" outlineLevel="0" collapsed="false">
      <c r="A520" s="91"/>
      <c r="B520" s="81"/>
      <c r="C520" s="81"/>
      <c r="D520" s="173"/>
      <c r="E520" s="173"/>
      <c r="F520" s="80"/>
      <c r="G520" s="173"/>
      <c r="H520" s="81"/>
      <c r="I520" s="81"/>
      <c r="J520" s="102"/>
      <c r="K520" s="102"/>
      <c r="L520" s="102"/>
      <c r="M520" s="102"/>
      <c r="N520" s="102"/>
      <c r="O520" s="102"/>
      <c r="P520" s="81"/>
      <c r="Q520" s="81"/>
      <c r="R520" s="81"/>
      <c r="S520" s="81"/>
      <c r="T520" s="81"/>
      <c r="U520" s="81"/>
      <c r="V520" s="81"/>
      <c r="W520" s="81"/>
      <c r="X520" s="81"/>
      <c r="Y520" s="81"/>
      <c r="Z520" s="81"/>
    </row>
    <row r="521" customFormat="false" ht="12" hidden="false" customHeight="true" outlineLevel="0" collapsed="false">
      <c r="A521" s="91"/>
      <c r="B521" s="81"/>
      <c r="C521" s="81"/>
      <c r="D521" s="173"/>
      <c r="E521" s="173"/>
      <c r="F521" s="80"/>
      <c r="G521" s="173"/>
      <c r="H521" s="81"/>
      <c r="I521" s="81"/>
      <c r="J521" s="102"/>
      <c r="K521" s="102"/>
      <c r="L521" s="102"/>
      <c r="M521" s="102"/>
      <c r="N521" s="102"/>
      <c r="O521" s="102"/>
      <c r="P521" s="81"/>
      <c r="Q521" s="81"/>
      <c r="R521" s="81"/>
      <c r="S521" s="81"/>
      <c r="T521" s="81"/>
      <c r="U521" s="81"/>
      <c r="V521" s="81"/>
      <c r="W521" s="81"/>
      <c r="X521" s="81"/>
      <c r="Y521" s="81"/>
      <c r="Z521" s="81"/>
    </row>
    <row r="522" customFormat="false" ht="12" hidden="false" customHeight="true" outlineLevel="0" collapsed="false">
      <c r="A522" s="91"/>
      <c r="B522" s="81"/>
      <c r="C522" s="81"/>
      <c r="D522" s="173"/>
      <c r="E522" s="173"/>
      <c r="F522" s="80"/>
      <c r="G522" s="173"/>
      <c r="H522" s="81"/>
      <c r="I522" s="81"/>
      <c r="J522" s="102"/>
      <c r="K522" s="102"/>
      <c r="L522" s="102"/>
      <c r="M522" s="102"/>
      <c r="N522" s="102"/>
      <c r="O522" s="102"/>
      <c r="P522" s="81"/>
      <c r="Q522" s="81"/>
      <c r="R522" s="81"/>
      <c r="S522" s="81"/>
      <c r="T522" s="81"/>
      <c r="U522" s="81"/>
      <c r="V522" s="81"/>
      <c r="W522" s="81"/>
      <c r="X522" s="81"/>
      <c r="Y522" s="81"/>
      <c r="Z522" s="81"/>
    </row>
    <row r="523" customFormat="false" ht="12" hidden="false" customHeight="true" outlineLevel="0" collapsed="false">
      <c r="A523" s="91"/>
      <c r="B523" s="81"/>
      <c r="C523" s="81"/>
      <c r="D523" s="173"/>
      <c r="E523" s="173"/>
      <c r="F523" s="80"/>
      <c r="G523" s="173"/>
      <c r="H523" s="81"/>
      <c r="I523" s="81"/>
      <c r="J523" s="102"/>
      <c r="K523" s="102"/>
      <c r="L523" s="102"/>
      <c r="M523" s="102"/>
      <c r="N523" s="102"/>
      <c r="O523" s="102"/>
      <c r="P523" s="81"/>
      <c r="Q523" s="81"/>
      <c r="R523" s="81"/>
      <c r="S523" s="81"/>
      <c r="T523" s="81"/>
      <c r="U523" s="81"/>
      <c r="V523" s="81"/>
      <c r="W523" s="81"/>
      <c r="X523" s="81"/>
      <c r="Y523" s="81"/>
      <c r="Z523" s="81"/>
    </row>
    <row r="524" customFormat="false" ht="12" hidden="false" customHeight="true" outlineLevel="0" collapsed="false">
      <c r="A524" s="91"/>
      <c r="B524" s="81"/>
      <c r="C524" s="81"/>
      <c r="D524" s="173"/>
      <c r="E524" s="173"/>
      <c r="F524" s="80"/>
      <c r="G524" s="173"/>
      <c r="H524" s="81"/>
      <c r="I524" s="81"/>
      <c r="J524" s="102"/>
      <c r="K524" s="102"/>
      <c r="L524" s="102"/>
      <c r="M524" s="102"/>
      <c r="N524" s="102"/>
      <c r="O524" s="102"/>
      <c r="P524" s="81"/>
      <c r="Q524" s="81"/>
      <c r="R524" s="81"/>
      <c r="S524" s="81"/>
      <c r="T524" s="81"/>
      <c r="U524" s="81"/>
      <c r="V524" s="81"/>
      <c r="W524" s="81"/>
      <c r="X524" s="81"/>
      <c r="Y524" s="81"/>
      <c r="Z524" s="81"/>
    </row>
    <row r="525" customFormat="false" ht="12" hidden="false" customHeight="true" outlineLevel="0" collapsed="false">
      <c r="A525" s="91"/>
      <c r="B525" s="81"/>
      <c r="C525" s="81"/>
      <c r="D525" s="173"/>
      <c r="E525" s="173"/>
      <c r="F525" s="80"/>
      <c r="G525" s="173"/>
      <c r="H525" s="81"/>
      <c r="I525" s="81"/>
      <c r="J525" s="102"/>
      <c r="K525" s="102"/>
      <c r="L525" s="102"/>
      <c r="M525" s="102"/>
      <c r="N525" s="102"/>
      <c r="O525" s="102"/>
      <c r="P525" s="81"/>
      <c r="Q525" s="81"/>
      <c r="R525" s="81"/>
      <c r="S525" s="81"/>
      <c r="T525" s="81"/>
      <c r="U525" s="81"/>
      <c r="V525" s="81"/>
      <c r="W525" s="81"/>
      <c r="X525" s="81"/>
      <c r="Y525" s="81"/>
      <c r="Z525" s="81"/>
    </row>
    <row r="526" customFormat="false" ht="12" hidden="false" customHeight="true" outlineLevel="0" collapsed="false">
      <c r="A526" s="91"/>
      <c r="B526" s="81"/>
      <c r="C526" s="81"/>
      <c r="D526" s="173"/>
      <c r="E526" s="173"/>
      <c r="F526" s="80"/>
      <c r="G526" s="173"/>
      <c r="H526" s="81"/>
      <c r="I526" s="81"/>
      <c r="J526" s="102"/>
      <c r="K526" s="102"/>
      <c r="L526" s="102"/>
      <c r="M526" s="102"/>
      <c r="N526" s="102"/>
      <c r="O526" s="102"/>
      <c r="P526" s="81"/>
      <c r="Q526" s="81"/>
      <c r="R526" s="81"/>
      <c r="S526" s="81"/>
      <c r="T526" s="81"/>
      <c r="U526" s="81"/>
      <c r="V526" s="81"/>
      <c r="W526" s="81"/>
      <c r="X526" s="81"/>
      <c r="Y526" s="81"/>
      <c r="Z526" s="81"/>
    </row>
    <row r="527" customFormat="false" ht="12" hidden="false" customHeight="true" outlineLevel="0" collapsed="false">
      <c r="A527" s="91"/>
      <c r="B527" s="81"/>
      <c r="C527" s="81"/>
      <c r="D527" s="173"/>
      <c r="E527" s="173"/>
      <c r="F527" s="80"/>
      <c r="G527" s="173"/>
      <c r="H527" s="81"/>
      <c r="I527" s="81"/>
      <c r="J527" s="102"/>
      <c r="K527" s="102"/>
      <c r="L527" s="102"/>
      <c r="M527" s="102"/>
      <c r="N527" s="102"/>
      <c r="O527" s="102"/>
      <c r="P527" s="81"/>
      <c r="Q527" s="81"/>
      <c r="R527" s="81"/>
      <c r="S527" s="81"/>
      <c r="T527" s="81"/>
      <c r="U527" s="81"/>
      <c r="V527" s="81"/>
      <c r="W527" s="81"/>
      <c r="X527" s="81"/>
      <c r="Y527" s="81"/>
      <c r="Z527" s="81"/>
    </row>
    <row r="528" customFormat="false" ht="12" hidden="false" customHeight="true" outlineLevel="0" collapsed="false">
      <c r="A528" s="91"/>
      <c r="B528" s="81"/>
      <c r="C528" s="81"/>
      <c r="D528" s="173"/>
      <c r="E528" s="173"/>
      <c r="F528" s="80"/>
      <c r="G528" s="173"/>
      <c r="H528" s="81"/>
      <c r="I528" s="81"/>
      <c r="J528" s="102"/>
      <c r="K528" s="102"/>
      <c r="L528" s="102"/>
      <c r="M528" s="102"/>
      <c r="N528" s="102"/>
      <c r="O528" s="102"/>
      <c r="P528" s="81"/>
      <c r="Q528" s="81"/>
      <c r="R528" s="81"/>
      <c r="S528" s="81"/>
      <c r="T528" s="81"/>
      <c r="U528" s="81"/>
      <c r="V528" s="81"/>
      <c r="W528" s="81"/>
      <c r="X528" s="81"/>
      <c r="Y528" s="81"/>
      <c r="Z528" s="81"/>
    </row>
    <row r="529" customFormat="false" ht="12" hidden="false" customHeight="true" outlineLevel="0" collapsed="false">
      <c r="A529" s="91"/>
      <c r="B529" s="81"/>
      <c r="C529" s="81"/>
      <c r="D529" s="173"/>
      <c r="E529" s="173"/>
      <c r="F529" s="80"/>
      <c r="G529" s="173"/>
      <c r="H529" s="81"/>
      <c r="I529" s="81"/>
      <c r="J529" s="102"/>
      <c r="K529" s="102"/>
      <c r="L529" s="102"/>
      <c r="M529" s="102"/>
      <c r="N529" s="102"/>
      <c r="O529" s="102"/>
      <c r="P529" s="81"/>
      <c r="Q529" s="81"/>
      <c r="R529" s="81"/>
      <c r="S529" s="81"/>
      <c r="T529" s="81"/>
      <c r="U529" s="81"/>
      <c r="V529" s="81"/>
      <c r="W529" s="81"/>
      <c r="X529" s="81"/>
      <c r="Y529" s="81"/>
      <c r="Z529" s="81"/>
    </row>
    <row r="530" customFormat="false" ht="12" hidden="false" customHeight="true" outlineLevel="0" collapsed="false">
      <c r="A530" s="91"/>
      <c r="B530" s="81"/>
      <c r="C530" s="81"/>
      <c r="D530" s="173"/>
      <c r="E530" s="173"/>
      <c r="F530" s="80"/>
      <c r="G530" s="173"/>
      <c r="H530" s="81"/>
      <c r="I530" s="81"/>
      <c r="J530" s="102"/>
      <c r="K530" s="102"/>
      <c r="L530" s="102"/>
      <c r="M530" s="102"/>
      <c r="N530" s="102"/>
      <c r="O530" s="102"/>
      <c r="P530" s="81"/>
      <c r="Q530" s="81"/>
      <c r="R530" s="81"/>
      <c r="S530" s="81"/>
      <c r="T530" s="81"/>
      <c r="U530" s="81"/>
      <c r="V530" s="81"/>
      <c r="W530" s="81"/>
      <c r="X530" s="81"/>
      <c r="Y530" s="81"/>
      <c r="Z530" s="81"/>
    </row>
    <row r="531" customFormat="false" ht="12" hidden="false" customHeight="true" outlineLevel="0" collapsed="false">
      <c r="A531" s="91"/>
      <c r="B531" s="81"/>
      <c r="C531" s="81"/>
      <c r="D531" s="173"/>
      <c r="E531" s="173"/>
      <c r="F531" s="80"/>
      <c r="G531" s="173"/>
      <c r="H531" s="81"/>
      <c r="I531" s="81"/>
      <c r="J531" s="102"/>
      <c r="K531" s="102"/>
      <c r="L531" s="102"/>
      <c r="M531" s="102"/>
      <c r="N531" s="102"/>
      <c r="O531" s="102"/>
      <c r="P531" s="81"/>
      <c r="Q531" s="81"/>
      <c r="R531" s="81"/>
      <c r="S531" s="81"/>
      <c r="T531" s="81"/>
      <c r="U531" s="81"/>
      <c r="V531" s="81"/>
      <c r="W531" s="81"/>
      <c r="X531" s="81"/>
      <c r="Y531" s="81"/>
      <c r="Z531" s="81"/>
    </row>
    <row r="532" customFormat="false" ht="12" hidden="false" customHeight="true" outlineLevel="0" collapsed="false">
      <c r="A532" s="91"/>
      <c r="B532" s="81"/>
      <c r="C532" s="81"/>
      <c r="D532" s="173"/>
      <c r="E532" s="173"/>
      <c r="F532" s="80"/>
      <c r="G532" s="173"/>
      <c r="H532" s="81"/>
      <c r="I532" s="81"/>
      <c r="J532" s="102"/>
      <c r="K532" s="102"/>
      <c r="L532" s="102"/>
      <c r="M532" s="102"/>
      <c r="N532" s="102"/>
      <c r="O532" s="102"/>
      <c r="P532" s="81"/>
      <c r="Q532" s="81"/>
      <c r="R532" s="81"/>
      <c r="S532" s="81"/>
      <c r="T532" s="81"/>
      <c r="U532" s="81"/>
      <c r="V532" s="81"/>
      <c r="W532" s="81"/>
      <c r="X532" s="81"/>
      <c r="Y532" s="81"/>
      <c r="Z532" s="81"/>
    </row>
    <row r="533" customFormat="false" ht="12" hidden="false" customHeight="true" outlineLevel="0" collapsed="false">
      <c r="A533" s="91"/>
      <c r="B533" s="81"/>
      <c r="C533" s="81"/>
      <c r="D533" s="173"/>
      <c r="E533" s="173"/>
      <c r="F533" s="80"/>
      <c r="G533" s="173"/>
      <c r="H533" s="81"/>
      <c r="I533" s="81"/>
      <c r="J533" s="102"/>
      <c r="K533" s="102"/>
      <c r="L533" s="102"/>
      <c r="M533" s="102"/>
      <c r="N533" s="102"/>
      <c r="O533" s="102"/>
      <c r="P533" s="81"/>
      <c r="Q533" s="81"/>
      <c r="R533" s="81"/>
      <c r="S533" s="81"/>
      <c r="T533" s="81"/>
      <c r="U533" s="81"/>
      <c r="V533" s="81"/>
      <c r="W533" s="81"/>
      <c r="X533" s="81"/>
      <c r="Y533" s="81"/>
      <c r="Z533" s="81"/>
    </row>
    <row r="534" customFormat="false" ht="12" hidden="false" customHeight="true" outlineLevel="0" collapsed="false">
      <c r="A534" s="91"/>
      <c r="B534" s="81"/>
      <c r="C534" s="81"/>
      <c r="D534" s="173"/>
      <c r="E534" s="173"/>
      <c r="F534" s="80"/>
      <c r="G534" s="173"/>
      <c r="H534" s="81"/>
      <c r="I534" s="81"/>
      <c r="J534" s="102"/>
      <c r="K534" s="102"/>
      <c r="L534" s="102"/>
      <c r="M534" s="102"/>
      <c r="N534" s="102"/>
      <c r="O534" s="102"/>
      <c r="P534" s="81"/>
      <c r="Q534" s="81"/>
      <c r="R534" s="81"/>
      <c r="S534" s="81"/>
      <c r="T534" s="81"/>
      <c r="U534" s="81"/>
      <c r="V534" s="81"/>
      <c r="W534" s="81"/>
      <c r="X534" s="81"/>
      <c r="Y534" s="81"/>
      <c r="Z534" s="81"/>
    </row>
    <row r="535" customFormat="false" ht="12" hidden="false" customHeight="true" outlineLevel="0" collapsed="false">
      <c r="A535" s="91"/>
      <c r="B535" s="81"/>
      <c r="C535" s="81"/>
      <c r="D535" s="173"/>
      <c r="E535" s="173"/>
      <c r="F535" s="80"/>
      <c r="G535" s="173"/>
      <c r="H535" s="81"/>
      <c r="I535" s="81"/>
      <c r="J535" s="102"/>
      <c r="K535" s="102"/>
      <c r="L535" s="102"/>
      <c r="M535" s="102"/>
      <c r="N535" s="102"/>
      <c r="O535" s="102"/>
      <c r="P535" s="81"/>
      <c r="Q535" s="81"/>
      <c r="R535" s="81"/>
      <c r="S535" s="81"/>
      <c r="T535" s="81"/>
      <c r="U535" s="81"/>
      <c r="V535" s="81"/>
      <c r="W535" s="81"/>
      <c r="X535" s="81"/>
      <c r="Y535" s="81"/>
      <c r="Z535" s="81"/>
    </row>
    <row r="536" customFormat="false" ht="12" hidden="false" customHeight="true" outlineLevel="0" collapsed="false">
      <c r="A536" s="91"/>
      <c r="B536" s="81"/>
      <c r="C536" s="81"/>
      <c r="D536" s="173"/>
      <c r="E536" s="173"/>
      <c r="F536" s="80"/>
      <c r="G536" s="173"/>
      <c r="H536" s="81"/>
      <c r="I536" s="81"/>
      <c r="J536" s="102"/>
      <c r="K536" s="102"/>
      <c r="L536" s="102"/>
      <c r="M536" s="102"/>
      <c r="N536" s="102"/>
      <c r="O536" s="102"/>
      <c r="P536" s="81"/>
      <c r="Q536" s="81"/>
      <c r="R536" s="81"/>
      <c r="S536" s="81"/>
      <c r="T536" s="81"/>
      <c r="U536" s="81"/>
      <c r="V536" s="81"/>
      <c r="W536" s="81"/>
      <c r="X536" s="81"/>
      <c r="Y536" s="81"/>
      <c r="Z536" s="81"/>
    </row>
    <row r="537" customFormat="false" ht="12" hidden="false" customHeight="true" outlineLevel="0" collapsed="false">
      <c r="A537" s="91"/>
      <c r="B537" s="81"/>
      <c r="C537" s="81"/>
      <c r="D537" s="173"/>
      <c r="E537" s="173"/>
      <c r="F537" s="80"/>
      <c r="G537" s="173"/>
      <c r="H537" s="81"/>
      <c r="I537" s="81"/>
      <c r="J537" s="102"/>
      <c r="K537" s="102"/>
      <c r="L537" s="102"/>
      <c r="M537" s="102"/>
      <c r="N537" s="102"/>
      <c r="O537" s="102"/>
      <c r="P537" s="81"/>
      <c r="Q537" s="81"/>
      <c r="R537" s="81"/>
      <c r="S537" s="81"/>
      <c r="T537" s="81"/>
      <c r="U537" s="81"/>
      <c r="V537" s="81"/>
      <c r="W537" s="81"/>
      <c r="X537" s="81"/>
      <c r="Y537" s="81"/>
      <c r="Z537" s="81"/>
    </row>
    <row r="538" customFormat="false" ht="12" hidden="false" customHeight="true" outlineLevel="0" collapsed="false">
      <c r="A538" s="91"/>
      <c r="B538" s="81"/>
      <c r="C538" s="81"/>
      <c r="D538" s="173"/>
      <c r="E538" s="173"/>
      <c r="F538" s="80"/>
      <c r="G538" s="173"/>
      <c r="H538" s="81"/>
      <c r="I538" s="81"/>
      <c r="J538" s="102"/>
      <c r="K538" s="102"/>
      <c r="L538" s="102"/>
      <c r="M538" s="102"/>
      <c r="N538" s="102"/>
      <c r="O538" s="102"/>
      <c r="P538" s="81"/>
      <c r="Q538" s="81"/>
      <c r="R538" s="81"/>
      <c r="S538" s="81"/>
      <c r="T538" s="81"/>
      <c r="U538" s="81"/>
      <c r="V538" s="81"/>
      <c r="W538" s="81"/>
      <c r="X538" s="81"/>
      <c r="Y538" s="81"/>
      <c r="Z538" s="81"/>
    </row>
    <row r="539" customFormat="false" ht="12" hidden="false" customHeight="true" outlineLevel="0" collapsed="false">
      <c r="A539" s="91"/>
      <c r="B539" s="81"/>
      <c r="C539" s="81"/>
      <c r="D539" s="173"/>
      <c r="E539" s="173"/>
      <c r="F539" s="80"/>
      <c r="G539" s="173"/>
      <c r="H539" s="81"/>
      <c r="I539" s="81"/>
      <c r="J539" s="102"/>
      <c r="K539" s="102"/>
      <c r="L539" s="102"/>
      <c r="M539" s="102"/>
      <c r="N539" s="102"/>
      <c r="O539" s="102"/>
      <c r="P539" s="81"/>
      <c r="Q539" s="81"/>
      <c r="R539" s="81"/>
      <c r="S539" s="81"/>
      <c r="T539" s="81"/>
      <c r="U539" s="81"/>
      <c r="V539" s="81"/>
      <c r="W539" s="81"/>
      <c r="X539" s="81"/>
      <c r="Y539" s="81"/>
      <c r="Z539" s="81"/>
    </row>
    <row r="540" customFormat="false" ht="12" hidden="false" customHeight="true" outlineLevel="0" collapsed="false">
      <c r="A540" s="91"/>
      <c r="B540" s="81"/>
      <c r="C540" s="81"/>
      <c r="D540" s="173"/>
      <c r="E540" s="173"/>
      <c r="F540" s="80"/>
      <c r="G540" s="173"/>
      <c r="H540" s="81"/>
      <c r="I540" s="81"/>
      <c r="J540" s="102"/>
      <c r="K540" s="102"/>
      <c r="L540" s="102"/>
      <c r="M540" s="102"/>
      <c r="N540" s="102"/>
      <c r="O540" s="102"/>
      <c r="P540" s="81"/>
      <c r="Q540" s="81"/>
      <c r="R540" s="81"/>
      <c r="S540" s="81"/>
      <c r="T540" s="81"/>
      <c r="U540" s="81"/>
      <c r="V540" s="81"/>
      <c r="W540" s="81"/>
      <c r="X540" s="81"/>
      <c r="Y540" s="81"/>
      <c r="Z540" s="81"/>
    </row>
    <row r="541" customFormat="false" ht="12" hidden="false" customHeight="true" outlineLevel="0" collapsed="false">
      <c r="A541" s="91"/>
      <c r="B541" s="81"/>
      <c r="C541" s="81"/>
      <c r="D541" s="173"/>
      <c r="E541" s="173"/>
      <c r="F541" s="80"/>
      <c r="G541" s="173"/>
      <c r="H541" s="81"/>
      <c r="I541" s="81"/>
      <c r="J541" s="102"/>
      <c r="K541" s="102"/>
      <c r="L541" s="102"/>
      <c r="M541" s="102"/>
      <c r="N541" s="102"/>
      <c r="O541" s="102"/>
      <c r="P541" s="81"/>
      <c r="Q541" s="81"/>
      <c r="R541" s="81"/>
      <c r="S541" s="81"/>
      <c r="T541" s="81"/>
      <c r="U541" s="81"/>
      <c r="V541" s="81"/>
      <c r="W541" s="81"/>
      <c r="X541" s="81"/>
      <c r="Y541" s="81"/>
      <c r="Z541" s="81"/>
    </row>
    <row r="542" customFormat="false" ht="12" hidden="false" customHeight="true" outlineLevel="0" collapsed="false">
      <c r="A542" s="91"/>
      <c r="B542" s="81"/>
      <c r="C542" s="81"/>
      <c r="D542" s="173"/>
      <c r="E542" s="173"/>
      <c r="F542" s="80"/>
      <c r="G542" s="173"/>
      <c r="H542" s="81"/>
      <c r="I542" s="81"/>
      <c r="J542" s="102"/>
      <c r="K542" s="102"/>
      <c r="L542" s="102"/>
      <c r="M542" s="102"/>
      <c r="N542" s="102"/>
      <c r="O542" s="102"/>
      <c r="P542" s="81"/>
      <c r="Q542" s="81"/>
      <c r="R542" s="81"/>
      <c r="S542" s="81"/>
      <c r="T542" s="81"/>
      <c r="U542" s="81"/>
      <c r="V542" s="81"/>
      <c r="W542" s="81"/>
      <c r="X542" s="81"/>
      <c r="Y542" s="81"/>
      <c r="Z542" s="81"/>
    </row>
    <row r="543" customFormat="false" ht="12" hidden="false" customHeight="true" outlineLevel="0" collapsed="false">
      <c r="A543" s="91"/>
      <c r="B543" s="81"/>
      <c r="C543" s="81"/>
      <c r="D543" s="173"/>
      <c r="E543" s="173"/>
      <c r="F543" s="80"/>
      <c r="G543" s="173"/>
      <c r="H543" s="81"/>
      <c r="I543" s="81"/>
      <c r="J543" s="102"/>
      <c r="K543" s="102"/>
      <c r="L543" s="102"/>
      <c r="M543" s="102"/>
      <c r="N543" s="102"/>
      <c r="O543" s="102"/>
      <c r="P543" s="81"/>
      <c r="Q543" s="81"/>
      <c r="R543" s="81"/>
      <c r="S543" s="81"/>
      <c r="T543" s="81"/>
      <c r="U543" s="81"/>
      <c r="V543" s="81"/>
      <c r="W543" s="81"/>
      <c r="X543" s="81"/>
      <c r="Y543" s="81"/>
      <c r="Z543" s="81"/>
    </row>
    <row r="544" customFormat="false" ht="12" hidden="false" customHeight="true" outlineLevel="0" collapsed="false">
      <c r="A544" s="91"/>
      <c r="B544" s="81"/>
      <c r="C544" s="81"/>
      <c r="D544" s="173"/>
      <c r="E544" s="173"/>
      <c r="F544" s="80"/>
      <c r="G544" s="173"/>
      <c r="H544" s="81"/>
      <c r="I544" s="81"/>
      <c r="J544" s="102"/>
      <c r="K544" s="102"/>
      <c r="L544" s="102"/>
      <c r="M544" s="102"/>
      <c r="N544" s="102"/>
      <c r="O544" s="102"/>
      <c r="P544" s="81"/>
      <c r="Q544" s="81"/>
      <c r="R544" s="81"/>
      <c r="S544" s="81"/>
      <c r="T544" s="81"/>
      <c r="U544" s="81"/>
      <c r="V544" s="81"/>
      <c r="W544" s="81"/>
      <c r="X544" s="81"/>
      <c r="Y544" s="81"/>
      <c r="Z544" s="81"/>
    </row>
    <row r="545" customFormat="false" ht="12" hidden="false" customHeight="true" outlineLevel="0" collapsed="false">
      <c r="A545" s="91"/>
      <c r="B545" s="81"/>
      <c r="C545" s="81"/>
      <c r="D545" s="173"/>
      <c r="E545" s="173"/>
      <c r="F545" s="80"/>
      <c r="G545" s="173"/>
      <c r="H545" s="81"/>
      <c r="I545" s="81"/>
      <c r="J545" s="102"/>
      <c r="K545" s="102"/>
      <c r="L545" s="102"/>
      <c r="M545" s="102"/>
      <c r="N545" s="102"/>
      <c r="O545" s="102"/>
      <c r="P545" s="81"/>
      <c r="Q545" s="81"/>
      <c r="R545" s="81"/>
      <c r="S545" s="81"/>
      <c r="T545" s="81"/>
      <c r="U545" s="81"/>
      <c r="V545" s="81"/>
      <c r="W545" s="81"/>
      <c r="X545" s="81"/>
      <c r="Y545" s="81"/>
      <c r="Z545" s="81"/>
    </row>
    <row r="546" customFormat="false" ht="12" hidden="false" customHeight="true" outlineLevel="0" collapsed="false">
      <c r="A546" s="91"/>
      <c r="B546" s="81"/>
      <c r="C546" s="81"/>
      <c r="D546" s="173"/>
      <c r="E546" s="173"/>
      <c r="F546" s="80"/>
      <c r="G546" s="173"/>
      <c r="H546" s="81"/>
      <c r="I546" s="81"/>
      <c r="J546" s="102"/>
      <c r="K546" s="102"/>
      <c r="L546" s="102"/>
      <c r="M546" s="102"/>
      <c r="N546" s="102"/>
      <c r="O546" s="102"/>
      <c r="P546" s="81"/>
      <c r="Q546" s="81"/>
      <c r="R546" s="81"/>
      <c r="S546" s="81"/>
      <c r="T546" s="81"/>
      <c r="U546" s="81"/>
      <c r="V546" s="81"/>
      <c r="W546" s="81"/>
      <c r="X546" s="81"/>
      <c r="Y546" s="81"/>
      <c r="Z546" s="81"/>
    </row>
    <row r="547" customFormat="false" ht="12" hidden="false" customHeight="true" outlineLevel="0" collapsed="false">
      <c r="A547" s="91"/>
      <c r="B547" s="81"/>
      <c r="C547" s="81"/>
      <c r="D547" s="173"/>
      <c r="E547" s="173"/>
      <c r="F547" s="80"/>
      <c r="G547" s="173"/>
      <c r="H547" s="81"/>
      <c r="I547" s="81"/>
      <c r="J547" s="102"/>
      <c r="K547" s="102"/>
      <c r="L547" s="102"/>
      <c r="M547" s="102"/>
      <c r="N547" s="102"/>
      <c r="O547" s="102"/>
      <c r="P547" s="81"/>
      <c r="Q547" s="81"/>
      <c r="R547" s="81"/>
      <c r="S547" s="81"/>
      <c r="T547" s="81"/>
      <c r="U547" s="81"/>
      <c r="V547" s="81"/>
      <c r="W547" s="81"/>
      <c r="X547" s="81"/>
      <c r="Y547" s="81"/>
      <c r="Z547" s="81"/>
    </row>
    <row r="548" customFormat="false" ht="12" hidden="false" customHeight="true" outlineLevel="0" collapsed="false">
      <c r="A548" s="91"/>
      <c r="B548" s="81"/>
      <c r="C548" s="81"/>
      <c r="D548" s="173"/>
      <c r="E548" s="173"/>
      <c r="F548" s="80"/>
      <c r="G548" s="173"/>
      <c r="H548" s="81"/>
      <c r="I548" s="81"/>
      <c r="J548" s="102"/>
      <c r="K548" s="102"/>
      <c r="L548" s="102"/>
      <c r="M548" s="102"/>
      <c r="N548" s="102"/>
      <c r="O548" s="102"/>
      <c r="P548" s="81"/>
      <c r="Q548" s="81"/>
      <c r="R548" s="81"/>
      <c r="S548" s="81"/>
      <c r="T548" s="81"/>
      <c r="U548" s="81"/>
      <c r="V548" s="81"/>
      <c r="W548" s="81"/>
      <c r="X548" s="81"/>
      <c r="Y548" s="81"/>
      <c r="Z548" s="81"/>
    </row>
    <row r="549" customFormat="false" ht="12" hidden="false" customHeight="true" outlineLevel="0" collapsed="false">
      <c r="A549" s="91"/>
      <c r="B549" s="81"/>
      <c r="C549" s="81"/>
      <c r="D549" s="173"/>
      <c r="E549" s="173"/>
      <c r="F549" s="80"/>
      <c r="G549" s="173"/>
      <c r="H549" s="81"/>
      <c r="I549" s="81"/>
      <c r="J549" s="102"/>
      <c r="K549" s="102"/>
      <c r="L549" s="102"/>
      <c r="M549" s="102"/>
      <c r="N549" s="102"/>
      <c r="O549" s="102"/>
      <c r="P549" s="81"/>
      <c r="Q549" s="81"/>
      <c r="R549" s="81"/>
      <c r="S549" s="81"/>
      <c r="T549" s="81"/>
      <c r="U549" s="81"/>
      <c r="V549" s="81"/>
      <c r="W549" s="81"/>
      <c r="X549" s="81"/>
      <c r="Y549" s="81"/>
      <c r="Z549" s="81"/>
    </row>
    <row r="550" customFormat="false" ht="12" hidden="false" customHeight="true" outlineLevel="0" collapsed="false">
      <c r="A550" s="91"/>
      <c r="B550" s="81"/>
      <c r="C550" s="81"/>
      <c r="D550" s="173"/>
      <c r="E550" s="173"/>
      <c r="F550" s="80"/>
      <c r="G550" s="173"/>
      <c r="H550" s="81"/>
      <c r="I550" s="81"/>
      <c r="J550" s="102"/>
      <c r="K550" s="102"/>
      <c r="L550" s="102"/>
      <c r="M550" s="102"/>
      <c r="N550" s="102"/>
      <c r="O550" s="102"/>
      <c r="P550" s="81"/>
      <c r="Q550" s="81"/>
      <c r="R550" s="81"/>
      <c r="S550" s="81"/>
      <c r="T550" s="81"/>
      <c r="U550" s="81"/>
      <c r="V550" s="81"/>
      <c r="W550" s="81"/>
      <c r="X550" s="81"/>
      <c r="Y550" s="81"/>
      <c r="Z550" s="81"/>
    </row>
    <row r="551" customFormat="false" ht="12" hidden="false" customHeight="true" outlineLevel="0" collapsed="false">
      <c r="A551" s="91"/>
      <c r="B551" s="81"/>
      <c r="C551" s="81"/>
      <c r="D551" s="173"/>
      <c r="E551" s="173"/>
      <c r="F551" s="80"/>
      <c r="G551" s="173"/>
      <c r="H551" s="81"/>
      <c r="I551" s="81"/>
      <c r="J551" s="102"/>
      <c r="K551" s="102"/>
      <c r="L551" s="102"/>
      <c r="M551" s="102"/>
      <c r="N551" s="102"/>
      <c r="O551" s="102"/>
      <c r="P551" s="81"/>
      <c r="Q551" s="81"/>
      <c r="R551" s="81"/>
      <c r="S551" s="81"/>
      <c r="T551" s="81"/>
      <c r="U551" s="81"/>
      <c r="V551" s="81"/>
      <c r="W551" s="81"/>
      <c r="X551" s="81"/>
      <c r="Y551" s="81"/>
      <c r="Z551" s="81"/>
    </row>
    <row r="552" customFormat="false" ht="12" hidden="false" customHeight="true" outlineLevel="0" collapsed="false">
      <c r="A552" s="91"/>
      <c r="B552" s="81"/>
      <c r="C552" s="81"/>
      <c r="D552" s="173"/>
      <c r="E552" s="173"/>
      <c r="F552" s="80"/>
      <c r="G552" s="173"/>
      <c r="H552" s="81"/>
      <c r="I552" s="81"/>
      <c r="J552" s="102"/>
      <c r="K552" s="102"/>
      <c r="L552" s="102"/>
      <c r="M552" s="102"/>
      <c r="N552" s="102"/>
      <c r="O552" s="102"/>
      <c r="P552" s="81"/>
      <c r="Q552" s="81"/>
      <c r="R552" s="81"/>
      <c r="S552" s="81"/>
      <c r="T552" s="81"/>
      <c r="U552" s="81"/>
      <c r="V552" s="81"/>
      <c r="W552" s="81"/>
      <c r="X552" s="81"/>
      <c r="Y552" s="81"/>
      <c r="Z552" s="81"/>
    </row>
    <row r="553" customFormat="false" ht="12" hidden="false" customHeight="true" outlineLevel="0" collapsed="false">
      <c r="A553" s="91"/>
      <c r="B553" s="81"/>
      <c r="C553" s="81"/>
      <c r="D553" s="173"/>
      <c r="E553" s="173"/>
      <c r="F553" s="80"/>
      <c r="G553" s="173"/>
      <c r="H553" s="81"/>
      <c r="I553" s="81"/>
      <c r="J553" s="102"/>
      <c r="K553" s="102"/>
      <c r="L553" s="102"/>
      <c r="M553" s="102"/>
      <c r="N553" s="102"/>
      <c r="O553" s="102"/>
      <c r="P553" s="81"/>
      <c r="Q553" s="81"/>
      <c r="R553" s="81"/>
      <c r="S553" s="81"/>
      <c r="T553" s="81"/>
      <c r="U553" s="81"/>
      <c r="V553" s="81"/>
      <c r="W553" s="81"/>
      <c r="X553" s="81"/>
      <c r="Y553" s="81"/>
      <c r="Z553" s="81"/>
    </row>
    <row r="554" customFormat="false" ht="12" hidden="false" customHeight="true" outlineLevel="0" collapsed="false">
      <c r="A554" s="91"/>
      <c r="B554" s="81"/>
      <c r="C554" s="81"/>
      <c r="D554" s="173"/>
      <c r="E554" s="173"/>
      <c r="F554" s="80"/>
      <c r="G554" s="173"/>
      <c r="H554" s="81"/>
      <c r="I554" s="81"/>
      <c r="J554" s="102"/>
      <c r="K554" s="102"/>
      <c r="L554" s="102"/>
      <c r="M554" s="102"/>
      <c r="N554" s="102"/>
      <c r="O554" s="102"/>
      <c r="P554" s="81"/>
      <c r="Q554" s="81"/>
      <c r="R554" s="81"/>
      <c r="S554" s="81"/>
      <c r="T554" s="81"/>
      <c r="U554" s="81"/>
      <c r="V554" s="81"/>
      <c r="W554" s="81"/>
      <c r="X554" s="81"/>
      <c r="Y554" s="81"/>
      <c r="Z554" s="81"/>
    </row>
    <row r="555" customFormat="false" ht="12" hidden="false" customHeight="true" outlineLevel="0" collapsed="false">
      <c r="A555" s="91"/>
      <c r="B555" s="81"/>
      <c r="C555" s="81"/>
      <c r="D555" s="173"/>
      <c r="E555" s="173"/>
      <c r="F555" s="80"/>
      <c r="G555" s="173"/>
      <c r="H555" s="81"/>
      <c r="I555" s="81"/>
      <c r="J555" s="102"/>
      <c r="K555" s="102"/>
      <c r="L555" s="102"/>
      <c r="M555" s="102"/>
      <c r="N555" s="102"/>
      <c r="O555" s="102"/>
      <c r="P555" s="81"/>
      <c r="Q555" s="81"/>
      <c r="R555" s="81"/>
      <c r="S555" s="81"/>
      <c r="T555" s="81"/>
      <c r="U555" s="81"/>
      <c r="V555" s="81"/>
      <c r="W555" s="81"/>
      <c r="X555" s="81"/>
      <c r="Y555" s="81"/>
      <c r="Z555" s="81"/>
    </row>
    <row r="556" customFormat="false" ht="12" hidden="false" customHeight="true" outlineLevel="0" collapsed="false">
      <c r="A556" s="91"/>
      <c r="B556" s="81"/>
      <c r="C556" s="81"/>
      <c r="D556" s="173"/>
      <c r="E556" s="173"/>
      <c r="F556" s="80"/>
      <c r="G556" s="173"/>
      <c r="H556" s="81"/>
      <c r="I556" s="81"/>
      <c r="J556" s="102"/>
      <c r="K556" s="102"/>
      <c r="L556" s="102"/>
      <c r="M556" s="102"/>
      <c r="N556" s="102"/>
      <c r="O556" s="102"/>
      <c r="P556" s="81"/>
      <c r="Q556" s="81"/>
      <c r="R556" s="81"/>
      <c r="S556" s="81"/>
      <c r="T556" s="81"/>
      <c r="U556" s="81"/>
      <c r="V556" s="81"/>
      <c r="W556" s="81"/>
      <c r="X556" s="81"/>
      <c r="Y556" s="81"/>
      <c r="Z556" s="81"/>
    </row>
    <row r="557" customFormat="false" ht="12" hidden="false" customHeight="true" outlineLevel="0" collapsed="false">
      <c r="A557" s="91"/>
      <c r="B557" s="81"/>
      <c r="C557" s="81"/>
      <c r="D557" s="173"/>
      <c r="E557" s="173"/>
      <c r="F557" s="80"/>
      <c r="G557" s="173"/>
      <c r="H557" s="81"/>
      <c r="I557" s="81"/>
      <c r="J557" s="102"/>
      <c r="K557" s="102"/>
      <c r="L557" s="102"/>
      <c r="M557" s="102"/>
      <c r="N557" s="102"/>
      <c r="O557" s="102"/>
      <c r="P557" s="81"/>
      <c r="Q557" s="81"/>
      <c r="R557" s="81"/>
      <c r="S557" s="81"/>
      <c r="T557" s="81"/>
      <c r="U557" s="81"/>
      <c r="V557" s="81"/>
      <c r="W557" s="81"/>
      <c r="X557" s="81"/>
      <c r="Y557" s="81"/>
      <c r="Z557" s="81"/>
    </row>
    <row r="558" customFormat="false" ht="12" hidden="false" customHeight="true" outlineLevel="0" collapsed="false">
      <c r="A558" s="91"/>
      <c r="B558" s="81"/>
      <c r="C558" s="81"/>
      <c r="D558" s="173"/>
      <c r="E558" s="173"/>
      <c r="F558" s="80"/>
      <c r="G558" s="173"/>
      <c r="H558" s="81"/>
      <c r="I558" s="81"/>
      <c r="J558" s="102"/>
      <c r="K558" s="102"/>
      <c r="L558" s="102"/>
      <c r="M558" s="102"/>
      <c r="N558" s="102"/>
      <c r="O558" s="102"/>
      <c r="P558" s="81"/>
      <c r="Q558" s="81"/>
      <c r="R558" s="81"/>
      <c r="S558" s="81"/>
      <c r="T558" s="81"/>
      <c r="U558" s="81"/>
      <c r="V558" s="81"/>
      <c r="W558" s="81"/>
      <c r="X558" s="81"/>
      <c r="Y558" s="81"/>
      <c r="Z558" s="81"/>
    </row>
    <row r="559" customFormat="false" ht="12" hidden="false" customHeight="true" outlineLevel="0" collapsed="false">
      <c r="A559" s="91"/>
      <c r="B559" s="81"/>
      <c r="C559" s="81"/>
      <c r="D559" s="173"/>
      <c r="E559" s="173"/>
      <c r="F559" s="80"/>
      <c r="G559" s="173"/>
      <c r="H559" s="81"/>
      <c r="I559" s="81"/>
      <c r="J559" s="102"/>
      <c r="K559" s="102"/>
      <c r="L559" s="102"/>
      <c r="M559" s="102"/>
      <c r="N559" s="102"/>
      <c r="O559" s="102"/>
      <c r="P559" s="81"/>
      <c r="Q559" s="81"/>
      <c r="R559" s="81"/>
      <c r="S559" s="81"/>
      <c r="T559" s="81"/>
      <c r="U559" s="81"/>
      <c r="V559" s="81"/>
      <c r="W559" s="81"/>
      <c r="X559" s="81"/>
      <c r="Y559" s="81"/>
      <c r="Z559" s="81"/>
    </row>
    <row r="560" customFormat="false" ht="12" hidden="false" customHeight="true" outlineLevel="0" collapsed="false">
      <c r="A560" s="91"/>
      <c r="B560" s="81"/>
      <c r="C560" s="81"/>
      <c r="D560" s="173"/>
      <c r="E560" s="173"/>
      <c r="F560" s="80"/>
      <c r="G560" s="173"/>
      <c r="H560" s="81"/>
      <c r="I560" s="81"/>
      <c r="J560" s="102"/>
      <c r="K560" s="102"/>
      <c r="L560" s="102"/>
      <c r="M560" s="102"/>
      <c r="N560" s="102"/>
      <c r="O560" s="102"/>
      <c r="P560" s="81"/>
      <c r="Q560" s="81"/>
      <c r="R560" s="81"/>
      <c r="S560" s="81"/>
      <c r="T560" s="81"/>
      <c r="U560" s="81"/>
      <c r="V560" s="81"/>
      <c r="W560" s="81"/>
      <c r="X560" s="81"/>
      <c r="Y560" s="81"/>
      <c r="Z560" s="81"/>
    </row>
    <row r="561" customFormat="false" ht="12" hidden="false" customHeight="true" outlineLevel="0" collapsed="false">
      <c r="A561" s="91"/>
      <c r="B561" s="81"/>
      <c r="C561" s="81"/>
      <c r="D561" s="173"/>
      <c r="E561" s="173"/>
      <c r="F561" s="80"/>
      <c r="G561" s="173"/>
      <c r="H561" s="81"/>
      <c r="I561" s="81"/>
      <c r="J561" s="102"/>
      <c r="K561" s="102"/>
      <c r="L561" s="102"/>
      <c r="M561" s="102"/>
      <c r="N561" s="102"/>
      <c r="O561" s="102"/>
      <c r="P561" s="81"/>
      <c r="Q561" s="81"/>
      <c r="R561" s="81"/>
      <c r="S561" s="81"/>
      <c r="T561" s="81"/>
      <c r="U561" s="81"/>
      <c r="V561" s="81"/>
      <c r="W561" s="81"/>
      <c r="X561" s="81"/>
      <c r="Y561" s="81"/>
      <c r="Z561" s="81"/>
    </row>
    <row r="562" customFormat="false" ht="12" hidden="false" customHeight="true" outlineLevel="0" collapsed="false">
      <c r="A562" s="91"/>
      <c r="B562" s="81"/>
      <c r="C562" s="81"/>
      <c r="D562" s="173"/>
      <c r="E562" s="173"/>
      <c r="F562" s="80"/>
      <c r="G562" s="173"/>
      <c r="H562" s="81"/>
      <c r="I562" s="81"/>
      <c r="J562" s="102"/>
      <c r="K562" s="102"/>
      <c r="L562" s="102"/>
      <c r="M562" s="102"/>
      <c r="N562" s="102"/>
      <c r="O562" s="102"/>
      <c r="P562" s="81"/>
      <c r="Q562" s="81"/>
      <c r="R562" s="81"/>
      <c r="S562" s="81"/>
      <c r="T562" s="81"/>
      <c r="U562" s="81"/>
      <c r="V562" s="81"/>
      <c r="W562" s="81"/>
      <c r="X562" s="81"/>
      <c r="Y562" s="81"/>
      <c r="Z562" s="81"/>
    </row>
    <row r="563" customFormat="false" ht="12" hidden="false" customHeight="true" outlineLevel="0" collapsed="false">
      <c r="A563" s="91"/>
      <c r="B563" s="81"/>
      <c r="C563" s="81"/>
      <c r="D563" s="173"/>
      <c r="E563" s="173"/>
      <c r="F563" s="80"/>
      <c r="G563" s="173"/>
      <c r="H563" s="81"/>
      <c r="I563" s="81"/>
      <c r="J563" s="102"/>
      <c r="K563" s="102"/>
      <c r="L563" s="102"/>
      <c r="M563" s="102"/>
      <c r="N563" s="102"/>
      <c r="O563" s="102"/>
      <c r="P563" s="81"/>
      <c r="Q563" s="81"/>
      <c r="R563" s="81"/>
      <c r="S563" s="81"/>
      <c r="T563" s="81"/>
      <c r="U563" s="81"/>
      <c r="V563" s="81"/>
      <c r="W563" s="81"/>
      <c r="X563" s="81"/>
      <c r="Y563" s="81"/>
      <c r="Z563" s="81"/>
    </row>
    <row r="564" customFormat="false" ht="12" hidden="false" customHeight="true" outlineLevel="0" collapsed="false">
      <c r="A564" s="91"/>
      <c r="B564" s="81"/>
      <c r="C564" s="81"/>
      <c r="D564" s="173"/>
      <c r="E564" s="173"/>
      <c r="F564" s="80"/>
      <c r="G564" s="173"/>
      <c r="H564" s="81"/>
      <c r="I564" s="81"/>
      <c r="J564" s="102"/>
      <c r="K564" s="102"/>
      <c r="L564" s="102"/>
      <c r="M564" s="102"/>
      <c r="N564" s="102"/>
      <c r="O564" s="102"/>
      <c r="P564" s="81"/>
      <c r="Q564" s="81"/>
      <c r="R564" s="81"/>
      <c r="S564" s="81"/>
      <c r="T564" s="81"/>
      <c r="U564" s="81"/>
      <c r="V564" s="81"/>
      <c r="W564" s="81"/>
      <c r="X564" s="81"/>
      <c r="Y564" s="81"/>
      <c r="Z564" s="81"/>
    </row>
    <row r="565" customFormat="false" ht="12" hidden="false" customHeight="true" outlineLevel="0" collapsed="false">
      <c r="A565" s="91"/>
      <c r="B565" s="81"/>
      <c r="C565" s="81"/>
      <c r="D565" s="173"/>
      <c r="E565" s="173"/>
      <c r="F565" s="80"/>
      <c r="G565" s="173"/>
      <c r="H565" s="81"/>
      <c r="I565" s="81"/>
      <c r="J565" s="102"/>
      <c r="K565" s="102"/>
      <c r="L565" s="102"/>
      <c r="M565" s="102"/>
      <c r="N565" s="102"/>
      <c r="O565" s="102"/>
      <c r="P565" s="81"/>
      <c r="Q565" s="81"/>
      <c r="R565" s="81"/>
      <c r="S565" s="81"/>
      <c r="T565" s="81"/>
      <c r="U565" s="81"/>
      <c r="V565" s="81"/>
      <c r="W565" s="81"/>
      <c r="X565" s="81"/>
      <c r="Y565" s="81"/>
      <c r="Z565" s="81"/>
    </row>
    <row r="566" customFormat="false" ht="12" hidden="false" customHeight="true" outlineLevel="0" collapsed="false">
      <c r="A566" s="91"/>
      <c r="B566" s="81"/>
      <c r="C566" s="81"/>
      <c r="D566" s="173"/>
      <c r="E566" s="173"/>
      <c r="F566" s="80"/>
      <c r="G566" s="173"/>
      <c r="H566" s="81"/>
      <c r="I566" s="81"/>
      <c r="J566" s="102"/>
      <c r="K566" s="102"/>
      <c r="L566" s="102"/>
      <c r="M566" s="102"/>
      <c r="N566" s="102"/>
      <c r="O566" s="102"/>
      <c r="P566" s="81"/>
      <c r="Q566" s="81"/>
      <c r="R566" s="81"/>
      <c r="S566" s="81"/>
      <c r="T566" s="81"/>
      <c r="U566" s="81"/>
      <c r="V566" s="81"/>
      <c r="W566" s="81"/>
      <c r="X566" s="81"/>
      <c r="Y566" s="81"/>
      <c r="Z566" s="81"/>
    </row>
    <row r="567" customFormat="false" ht="12" hidden="false" customHeight="true" outlineLevel="0" collapsed="false">
      <c r="A567" s="91"/>
      <c r="B567" s="81"/>
      <c r="C567" s="81"/>
      <c r="D567" s="173"/>
      <c r="E567" s="173"/>
      <c r="F567" s="80"/>
      <c r="G567" s="173"/>
      <c r="H567" s="81"/>
      <c r="I567" s="81"/>
      <c r="J567" s="102"/>
      <c r="K567" s="102"/>
      <c r="L567" s="102"/>
      <c r="M567" s="102"/>
      <c r="N567" s="102"/>
      <c r="O567" s="102"/>
      <c r="P567" s="81"/>
      <c r="Q567" s="81"/>
      <c r="R567" s="81"/>
      <c r="S567" s="81"/>
      <c r="T567" s="81"/>
      <c r="U567" s="81"/>
      <c r="V567" s="81"/>
      <c r="W567" s="81"/>
      <c r="X567" s="81"/>
      <c r="Y567" s="81"/>
      <c r="Z567" s="81"/>
    </row>
    <row r="568" customFormat="false" ht="12" hidden="false" customHeight="true" outlineLevel="0" collapsed="false">
      <c r="A568" s="91"/>
      <c r="B568" s="81"/>
      <c r="C568" s="81"/>
      <c r="D568" s="173"/>
      <c r="E568" s="173"/>
      <c r="F568" s="80"/>
      <c r="G568" s="173"/>
      <c r="H568" s="81"/>
      <c r="I568" s="81"/>
      <c r="J568" s="102"/>
      <c r="K568" s="102"/>
      <c r="L568" s="102"/>
      <c r="M568" s="102"/>
      <c r="N568" s="102"/>
      <c r="O568" s="102"/>
      <c r="P568" s="81"/>
      <c r="Q568" s="81"/>
      <c r="R568" s="81"/>
      <c r="S568" s="81"/>
      <c r="T568" s="81"/>
      <c r="U568" s="81"/>
      <c r="V568" s="81"/>
      <c r="W568" s="81"/>
      <c r="X568" s="81"/>
      <c r="Y568" s="81"/>
      <c r="Z568" s="81"/>
    </row>
    <row r="569" customFormat="false" ht="12" hidden="false" customHeight="true" outlineLevel="0" collapsed="false">
      <c r="A569" s="91"/>
      <c r="B569" s="81"/>
      <c r="C569" s="81"/>
      <c r="D569" s="173"/>
      <c r="E569" s="173"/>
      <c r="F569" s="80"/>
      <c r="G569" s="173"/>
      <c r="H569" s="81"/>
      <c r="I569" s="81"/>
      <c r="J569" s="102"/>
      <c r="K569" s="102"/>
      <c r="L569" s="102"/>
      <c r="M569" s="102"/>
      <c r="N569" s="102"/>
      <c r="O569" s="102"/>
      <c r="P569" s="81"/>
      <c r="Q569" s="81"/>
      <c r="R569" s="81"/>
      <c r="S569" s="81"/>
      <c r="T569" s="81"/>
      <c r="U569" s="81"/>
      <c r="V569" s="81"/>
      <c r="W569" s="81"/>
      <c r="X569" s="81"/>
      <c r="Y569" s="81"/>
      <c r="Z569" s="81"/>
    </row>
    <row r="570" customFormat="false" ht="12" hidden="false" customHeight="true" outlineLevel="0" collapsed="false">
      <c r="A570" s="91"/>
      <c r="B570" s="81"/>
      <c r="C570" s="81"/>
      <c r="D570" s="173"/>
      <c r="E570" s="173"/>
      <c r="F570" s="80"/>
      <c r="G570" s="173"/>
      <c r="H570" s="81"/>
      <c r="I570" s="81"/>
      <c r="J570" s="102"/>
      <c r="K570" s="102"/>
      <c r="L570" s="102"/>
      <c r="M570" s="102"/>
      <c r="N570" s="102"/>
      <c r="O570" s="102"/>
      <c r="P570" s="81"/>
      <c r="Q570" s="81"/>
      <c r="R570" s="81"/>
      <c r="S570" s="81"/>
      <c r="T570" s="81"/>
      <c r="U570" s="81"/>
      <c r="V570" s="81"/>
      <c r="W570" s="81"/>
      <c r="X570" s="81"/>
      <c r="Y570" s="81"/>
      <c r="Z570" s="81"/>
    </row>
    <row r="571" customFormat="false" ht="12" hidden="false" customHeight="true" outlineLevel="0" collapsed="false">
      <c r="A571" s="91"/>
      <c r="B571" s="81"/>
      <c r="C571" s="81"/>
      <c r="D571" s="173"/>
      <c r="E571" s="173"/>
      <c r="F571" s="80"/>
      <c r="G571" s="173"/>
      <c r="H571" s="81"/>
      <c r="I571" s="81"/>
      <c r="J571" s="102"/>
      <c r="K571" s="102"/>
      <c r="L571" s="102"/>
      <c r="M571" s="102"/>
      <c r="N571" s="102"/>
      <c r="O571" s="102"/>
      <c r="P571" s="81"/>
      <c r="Q571" s="81"/>
      <c r="R571" s="81"/>
      <c r="S571" s="81"/>
      <c r="T571" s="81"/>
      <c r="U571" s="81"/>
      <c r="V571" s="81"/>
      <c r="W571" s="81"/>
      <c r="X571" s="81"/>
      <c r="Y571" s="81"/>
      <c r="Z571" s="81"/>
    </row>
    <row r="572" customFormat="false" ht="12" hidden="false" customHeight="true" outlineLevel="0" collapsed="false">
      <c r="A572" s="91"/>
      <c r="B572" s="81"/>
      <c r="C572" s="81"/>
      <c r="D572" s="173"/>
      <c r="E572" s="173"/>
      <c r="F572" s="80"/>
      <c r="G572" s="173"/>
      <c r="H572" s="81"/>
      <c r="I572" s="81"/>
      <c r="J572" s="102"/>
      <c r="K572" s="102"/>
      <c r="L572" s="102"/>
      <c r="M572" s="102"/>
      <c r="N572" s="102"/>
      <c r="O572" s="102"/>
      <c r="P572" s="81"/>
      <c r="Q572" s="81"/>
      <c r="R572" s="81"/>
      <c r="S572" s="81"/>
      <c r="T572" s="81"/>
      <c r="U572" s="81"/>
      <c r="V572" s="81"/>
      <c r="W572" s="81"/>
      <c r="X572" s="81"/>
      <c r="Y572" s="81"/>
      <c r="Z572" s="81"/>
    </row>
    <row r="573" customFormat="false" ht="12" hidden="false" customHeight="true" outlineLevel="0" collapsed="false">
      <c r="A573" s="91"/>
      <c r="B573" s="81"/>
      <c r="C573" s="81"/>
      <c r="D573" s="173"/>
      <c r="E573" s="173"/>
      <c r="F573" s="80"/>
      <c r="G573" s="173"/>
      <c r="H573" s="81"/>
      <c r="I573" s="81"/>
      <c r="J573" s="102"/>
      <c r="K573" s="102"/>
      <c r="L573" s="102"/>
      <c r="M573" s="102"/>
      <c r="N573" s="102"/>
      <c r="O573" s="102"/>
      <c r="P573" s="81"/>
      <c r="Q573" s="81"/>
      <c r="R573" s="81"/>
      <c r="S573" s="81"/>
      <c r="T573" s="81"/>
      <c r="U573" s="81"/>
      <c r="V573" s="81"/>
      <c r="W573" s="81"/>
      <c r="X573" s="81"/>
      <c r="Y573" s="81"/>
      <c r="Z573" s="81"/>
    </row>
    <row r="574" customFormat="false" ht="12" hidden="false" customHeight="true" outlineLevel="0" collapsed="false">
      <c r="A574" s="91"/>
      <c r="B574" s="81"/>
      <c r="C574" s="81"/>
      <c r="D574" s="173"/>
      <c r="E574" s="173"/>
      <c r="F574" s="80"/>
      <c r="G574" s="173"/>
      <c r="H574" s="81"/>
      <c r="I574" s="81"/>
      <c r="J574" s="102"/>
      <c r="K574" s="102"/>
      <c r="L574" s="102"/>
      <c r="M574" s="102"/>
      <c r="N574" s="102"/>
      <c r="O574" s="102"/>
      <c r="P574" s="81"/>
      <c r="Q574" s="81"/>
      <c r="R574" s="81"/>
      <c r="S574" s="81"/>
      <c r="T574" s="81"/>
      <c r="U574" s="81"/>
      <c r="V574" s="81"/>
      <c r="W574" s="81"/>
      <c r="X574" s="81"/>
      <c r="Y574" s="81"/>
      <c r="Z574" s="81"/>
    </row>
    <row r="575" customFormat="false" ht="12" hidden="false" customHeight="true" outlineLevel="0" collapsed="false">
      <c r="A575" s="91"/>
      <c r="B575" s="81"/>
      <c r="C575" s="81"/>
      <c r="D575" s="173"/>
      <c r="E575" s="173"/>
      <c r="F575" s="80"/>
      <c r="G575" s="173"/>
      <c r="H575" s="81"/>
      <c r="I575" s="81"/>
      <c r="J575" s="102"/>
      <c r="K575" s="102"/>
      <c r="L575" s="102"/>
      <c r="M575" s="102"/>
      <c r="N575" s="102"/>
      <c r="O575" s="102"/>
      <c r="P575" s="81"/>
      <c r="Q575" s="81"/>
      <c r="R575" s="81"/>
      <c r="S575" s="81"/>
      <c r="T575" s="81"/>
      <c r="U575" s="81"/>
      <c r="V575" s="81"/>
      <c r="W575" s="81"/>
      <c r="X575" s="81"/>
      <c r="Y575" s="81"/>
      <c r="Z575" s="81"/>
    </row>
    <row r="576" customFormat="false" ht="12" hidden="false" customHeight="true" outlineLevel="0" collapsed="false">
      <c r="A576" s="91"/>
      <c r="B576" s="81"/>
      <c r="C576" s="81"/>
      <c r="D576" s="173"/>
      <c r="E576" s="173"/>
      <c r="F576" s="80"/>
      <c r="G576" s="173"/>
      <c r="H576" s="81"/>
      <c r="I576" s="81"/>
      <c r="J576" s="102"/>
      <c r="K576" s="102"/>
      <c r="L576" s="102"/>
      <c r="M576" s="102"/>
      <c r="N576" s="102"/>
      <c r="O576" s="102"/>
      <c r="P576" s="81"/>
      <c r="Q576" s="81"/>
      <c r="R576" s="81"/>
      <c r="S576" s="81"/>
      <c r="T576" s="81"/>
      <c r="U576" s="81"/>
      <c r="V576" s="81"/>
      <c r="W576" s="81"/>
      <c r="X576" s="81"/>
      <c r="Y576" s="81"/>
      <c r="Z576" s="81"/>
    </row>
    <row r="577" customFormat="false" ht="12" hidden="false" customHeight="true" outlineLevel="0" collapsed="false">
      <c r="A577" s="91"/>
      <c r="B577" s="81"/>
      <c r="C577" s="81"/>
      <c r="D577" s="173"/>
      <c r="E577" s="173"/>
      <c r="F577" s="80"/>
      <c r="G577" s="173"/>
      <c r="H577" s="81"/>
      <c r="I577" s="81"/>
      <c r="J577" s="102"/>
      <c r="K577" s="102"/>
      <c r="L577" s="102"/>
      <c r="M577" s="102"/>
      <c r="N577" s="102"/>
      <c r="O577" s="102"/>
      <c r="P577" s="81"/>
      <c r="Q577" s="81"/>
      <c r="R577" s="81"/>
      <c r="S577" s="81"/>
      <c r="T577" s="81"/>
      <c r="U577" s="81"/>
      <c r="V577" s="81"/>
      <c r="W577" s="81"/>
      <c r="X577" s="81"/>
      <c r="Y577" s="81"/>
      <c r="Z577" s="81"/>
    </row>
    <row r="578" customFormat="false" ht="12" hidden="false" customHeight="true" outlineLevel="0" collapsed="false">
      <c r="A578" s="91"/>
      <c r="B578" s="81"/>
      <c r="C578" s="81"/>
      <c r="D578" s="173"/>
      <c r="E578" s="173"/>
      <c r="F578" s="80"/>
      <c r="G578" s="173"/>
      <c r="H578" s="81"/>
      <c r="I578" s="81"/>
      <c r="J578" s="102"/>
      <c r="K578" s="102"/>
      <c r="L578" s="102"/>
      <c r="M578" s="102"/>
      <c r="N578" s="102"/>
      <c r="O578" s="102"/>
      <c r="P578" s="81"/>
      <c r="Q578" s="81"/>
      <c r="R578" s="81"/>
      <c r="S578" s="81"/>
      <c r="T578" s="81"/>
      <c r="U578" s="81"/>
      <c r="V578" s="81"/>
      <c r="W578" s="81"/>
      <c r="X578" s="81"/>
      <c r="Y578" s="81"/>
      <c r="Z578" s="81"/>
    </row>
    <row r="579" customFormat="false" ht="12" hidden="false" customHeight="true" outlineLevel="0" collapsed="false">
      <c r="A579" s="91"/>
      <c r="B579" s="81"/>
      <c r="C579" s="81"/>
      <c r="D579" s="173"/>
      <c r="E579" s="173"/>
      <c r="F579" s="80"/>
      <c r="G579" s="173"/>
      <c r="H579" s="81"/>
      <c r="I579" s="81"/>
      <c r="J579" s="102"/>
      <c r="K579" s="102"/>
      <c r="L579" s="102"/>
      <c r="M579" s="102"/>
      <c r="N579" s="102"/>
      <c r="O579" s="102"/>
      <c r="P579" s="81"/>
      <c r="Q579" s="81"/>
      <c r="R579" s="81"/>
      <c r="S579" s="81"/>
      <c r="T579" s="81"/>
      <c r="U579" s="81"/>
      <c r="V579" s="81"/>
      <c r="W579" s="81"/>
      <c r="X579" s="81"/>
      <c r="Y579" s="81"/>
      <c r="Z579" s="81"/>
    </row>
    <row r="580" customFormat="false" ht="12" hidden="false" customHeight="true" outlineLevel="0" collapsed="false">
      <c r="A580" s="91"/>
      <c r="B580" s="81"/>
      <c r="C580" s="81"/>
      <c r="D580" s="173"/>
      <c r="E580" s="173"/>
      <c r="F580" s="80"/>
      <c r="G580" s="173"/>
      <c r="H580" s="81"/>
      <c r="I580" s="81"/>
      <c r="J580" s="102"/>
      <c r="K580" s="102"/>
      <c r="L580" s="102"/>
      <c r="M580" s="102"/>
      <c r="N580" s="102"/>
      <c r="O580" s="102"/>
      <c r="P580" s="81"/>
      <c r="Q580" s="81"/>
      <c r="R580" s="81"/>
      <c r="S580" s="81"/>
      <c r="T580" s="81"/>
      <c r="U580" s="81"/>
      <c r="V580" s="81"/>
      <c r="W580" s="81"/>
      <c r="X580" s="81"/>
      <c r="Y580" s="81"/>
      <c r="Z580" s="81"/>
    </row>
    <row r="581" customFormat="false" ht="12" hidden="false" customHeight="true" outlineLevel="0" collapsed="false">
      <c r="A581" s="91"/>
      <c r="B581" s="81"/>
      <c r="C581" s="81"/>
      <c r="D581" s="173"/>
      <c r="E581" s="173"/>
      <c r="F581" s="80"/>
      <c r="G581" s="173"/>
      <c r="H581" s="81"/>
      <c r="I581" s="81"/>
      <c r="J581" s="102"/>
      <c r="K581" s="102"/>
      <c r="L581" s="102"/>
      <c r="M581" s="102"/>
      <c r="N581" s="102"/>
      <c r="O581" s="102"/>
      <c r="P581" s="81"/>
      <c r="Q581" s="81"/>
      <c r="R581" s="81"/>
      <c r="S581" s="81"/>
      <c r="T581" s="81"/>
      <c r="U581" s="81"/>
      <c r="V581" s="81"/>
      <c r="W581" s="81"/>
      <c r="X581" s="81"/>
      <c r="Y581" s="81"/>
      <c r="Z581" s="81"/>
    </row>
    <row r="582" customFormat="false" ht="12" hidden="false" customHeight="true" outlineLevel="0" collapsed="false">
      <c r="A582" s="91"/>
      <c r="B582" s="81"/>
      <c r="C582" s="81"/>
      <c r="D582" s="173"/>
      <c r="E582" s="173"/>
      <c r="F582" s="80"/>
      <c r="G582" s="173"/>
      <c r="H582" s="81"/>
      <c r="I582" s="81"/>
      <c r="J582" s="102"/>
      <c r="K582" s="102"/>
      <c r="L582" s="102"/>
      <c r="M582" s="102"/>
      <c r="N582" s="102"/>
      <c r="O582" s="102"/>
      <c r="P582" s="81"/>
      <c r="Q582" s="81"/>
      <c r="R582" s="81"/>
      <c r="S582" s="81"/>
      <c r="T582" s="81"/>
      <c r="U582" s="81"/>
      <c r="V582" s="81"/>
      <c r="W582" s="81"/>
      <c r="X582" s="81"/>
      <c r="Y582" s="81"/>
      <c r="Z582" s="81"/>
    </row>
    <row r="583" customFormat="false" ht="12" hidden="false" customHeight="true" outlineLevel="0" collapsed="false">
      <c r="A583" s="91"/>
      <c r="B583" s="81"/>
      <c r="C583" s="81"/>
      <c r="D583" s="173"/>
      <c r="E583" s="173"/>
      <c r="F583" s="80"/>
      <c r="G583" s="173"/>
      <c r="H583" s="81"/>
      <c r="I583" s="81"/>
      <c r="J583" s="102"/>
      <c r="K583" s="102"/>
      <c r="L583" s="102"/>
      <c r="M583" s="102"/>
      <c r="N583" s="102"/>
      <c r="O583" s="102"/>
      <c r="P583" s="81"/>
      <c r="Q583" s="81"/>
      <c r="R583" s="81"/>
      <c r="S583" s="81"/>
      <c r="T583" s="81"/>
      <c r="U583" s="81"/>
      <c r="V583" s="81"/>
      <c r="W583" s="81"/>
      <c r="X583" s="81"/>
      <c r="Y583" s="81"/>
      <c r="Z583" s="81"/>
    </row>
    <row r="584" customFormat="false" ht="12" hidden="false" customHeight="true" outlineLevel="0" collapsed="false">
      <c r="A584" s="91"/>
      <c r="B584" s="81"/>
      <c r="C584" s="81"/>
      <c r="D584" s="173"/>
      <c r="E584" s="173"/>
      <c r="F584" s="80"/>
      <c r="G584" s="173"/>
      <c r="H584" s="81"/>
      <c r="I584" s="81"/>
      <c r="J584" s="102"/>
      <c r="K584" s="102"/>
      <c r="L584" s="102"/>
      <c r="M584" s="102"/>
      <c r="N584" s="102"/>
      <c r="O584" s="102"/>
      <c r="P584" s="81"/>
      <c r="Q584" s="81"/>
      <c r="R584" s="81"/>
      <c r="S584" s="81"/>
      <c r="T584" s="81"/>
      <c r="U584" s="81"/>
      <c r="V584" s="81"/>
      <c r="W584" s="81"/>
      <c r="X584" s="81"/>
      <c r="Y584" s="81"/>
      <c r="Z584" s="81"/>
    </row>
    <row r="585" customFormat="false" ht="12" hidden="false" customHeight="true" outlineLevel="0" collapsed="false">
      <c r="A585" s="91"/>
      <c r="B585" s="81"/>
      <c r="C585" s="81"/>
      <c r="D585" s="173"/>
      <c r="E585" s="173"/>
      <c r="F585" s="80"/>
      <c r="G585" s="173"/>
      <c r="H585" s="81"/>
      <c r="I585" s="81"/>
      <c r="J585" s="102"/>
      <c r="K585" s="102"/>
      <c r="L585" s="102"/>
      <c r="M585" s="102"/>
      <c r="N585" s="102"/>
      <c r="O585" s="102"/>
      <c r="P585" s="81"/>
      <c r="Q585" s="81"/>
      <c r="R585" s="81"/>
      <c r="S585" s="81"/>
      <c r="T585" s="81"/>
      <c r="U585" s="81"/>
      <c r="V585" s="81"/>
      <c r="W585" s="81"/>
      <c r="X585" s="81"/>
      <c r="Y585" s="81"/>
      <c r="Z585" s="81"/>
    </row>
    <row r="586" customFormat="false" ht="12" hidden="false" customHeight="true" outlineLevel="0" collapsed="false">
      <c r="A586" s="91"/>
      <c r="B586" s="81"/>
      <c r="C586" s="81"/>
      <c r="D586" s="173"/>
      <c r="E586" s="173"/>
      <c r="F586" s="80"/>
      <c r="G586" s="173"/>
      <c r="H586" s="81"/>
      <c r="I586" s="81"/>
      <c r="J586" s="102"/>
      <c r="K586" s="102"/>
      <c r="L586" s="102"/>
      <c r="M586" s="102"/>
      <c r="N586" s="102"/>
      <c r="O586" s="102"/>
      <c r="P586" s="81"/>
      <c r="Q586" s="81"/>
      <c r="R586" s="81"/>
      <c r="S586" s="81"/>
      <c r="T586" s="81"/>
      <c r="U586" s="81"/>
      <c r="V586" s="81"/>
      <c r="W586" s="81"/>
      <c r="X586" s="81"/>
      <c r="Y586" s="81"/>
      <c r="Z586" s="81"/>
    </row>
    <row r="587" customFormat="false" ht="12" hidden="false" customHeight="true" outlineLevel="0" collapsed="false">
      <c r="A587" s="91"/>
      <c r="B587" s="81"/>
      <c r="C587" s="81"/>
      <c r="D587" s="173"/>
      <c r="E587" s="173"/>
      <c r="F587" s="80"/>
      <c r="G587" s="173"/>
      <c r="H587" s="81"/>
      <c r="I587" s="81"/>
      <c r="J587" s="102"/>
      <c r="K587" s="102"/>
      <c r="L587" s="102"/>
      <c r="M587" s="102"/>
      <c r="N587" s="102"/>
      <c r="O587" s="102"/>
      <c r="P587" s="81"/>
      <c r="Q587" s="81"/>
      <c r="R587" s="81"/>
      <c r="S587" s="81"/>
      <c r="T587" s="81"/>
      <c r="U587" s="81"/>
      <c r="V587" s="81"/>
      <c r="W587" s="81"/>
      <c r="X587" s="81"/>
      <c r="Y587" s="81"/>
      <c r="Z587" s="81"/>
    </row>
    <row r="588" customFormat="false" ht="12" hidden="false" customHeight="true" outlineLevel="0" collapsed="false">
      <c r="A588" s="91"/>
      <c r="B588" s="81"/>
      <c r="C588" s="81"/>
      <c r="D588" s="173"/>
      <c r="E588" s="173"/>
      <c r="F588" s="80"/>
      <c r="G588" s="173"/>
      <c r="H588" s="81"/>
      <c r="I588" s="81"/>
      <c r="J588" s="102"/>
      <c r="K588" s="102"/>
      <c r="L588" s="102"/>
      <c r="M588" s="102"/>
      <c r="N588" s="102"/>
      <c r="O588" s="102"/>
      <c r="P588" s="81"/>
      <c r="Q588" s="81"/>
      <c r="R588" s="81"/>
      <c r="S588" s="81"/>
      <c r="T588" s="81"/>
      <c r="U588" s="81"/>
      <c r="V588" s="81"/>
      <c r="W588" s="81"/>
      <c r="X588" s="81"/>
      <c r="Y588" s="81"/>
      <c r="Z588" s="81"/>
    </row>
    <row r="589" customFormat="false" ht="12" hidden="false" customHeight="true" outlineLevel="0" collapsed="false">
      <c r="A589" s="91"/>
      <c r="B589" s="81"/>
      <c r="C589" s="81"/>
      <c r="D589" s="173"/>
      <c r="E589" s="173"/>
      <c r="F589" s="80"/>
      <c r="G589" s="173"/>
      <c r="H589" s="81"/>
      <c r="I589" s="81"/>
      <c r="J589" s="102"/>
      <c r="K589" s="102"/>
      <c r="L589" s="102"/>
      <c r="M589" s="102"/>
      <c r="N589" s="102"/>
      <c r="O589" s="102"/>
      <c r="P589" s="81"/>
      <c r="Q589" s="81"/>
      <c r="R589" s="81"/>
      <c r="S589" s="81"/>
      <c r="T589" s="81"/>
      <c r="U589" s="81"/>
      <c r="V589" s="81"/>
      <c r="W589" s="81"/>
      <c r="X589" s="81"/>
      <c r="Y589" s="81"/>
      <c r="Z589" s="81"/>
    </row>
    <row r="590" customFormat="false" ht="12" hidden="false" customHeight="true" outlineLevel="0" collapsed="false">
      <c r="A590" s="91"/>
      <c r="B590" s="81"/>
      <c r="C590" s="81"/>
      <c r="D590" s="173"/>
      <c r="E590" s="173"/>
      <c r="F590" s="80"/>
      <c r="G590" s="173"/>
      <c r="H590" s="81"/>
      <c r="I590" s="81"/>
      <c r="J590" s="102"/>
      <c r="K590" s="102"/>
      <c r="L590" s="102"/>
      <c r="M590" s="102"/>
      <c r="N590" s="102"/>
      <c r="O590" s="102"/>
      <c r="P590" s="81"/>
      <c r="Q590" s="81"/>
      <c r="R590" s="81"/>
      <c r="S590" s="81"/>
      <c r="T590" s="81"/>
      <c r="U590" s="81"/>
      <c r="V590" s="81"/>
      <c r="W590" s="81"/>
      <c r="X590" s="81"/>
      <c r="Y590" s="81"/>
      <c r="Z590" s="81"/>
    </row>
    <row r="591" customFormat="false" ht="12" hidden="false" customHeight="true" outlineLevel="0" collapsed="false">
      <c r="A591" s="91"/>
      <c r="B591" s="81"/>
      <c r="C591" s="81"/>
      <c r="D591" s="173"/>
      <c r="E591" s="173"/>
      <c r="F591" s="80"/>
      <c r="G591" s="173"/>
      <c r="H591" s="81"/>
      <c r="I591" s="81"/>
      <c r="J591" s="102"/>
      <c r="K591" s="102"/>
      <c r="L591" s="102"/>
      <c r="M591" s="102"/>
      <c r="N591" s="102"/>
      <c r="O591" s="102"/>
      <c r="P591" s="81"/>
      <c r="Q591" s="81"/>
      <c r="R591" s="81"/>
      <c r="S591" s="81"/>
      <c r="T591" s="81"/>
      <c r="U591" s="81"/>
      <c r="V591" s="81"/>
      <c r="W591" s="81"/>
      <c r="X591" s="81"/>
      <c r="Y591" s="81"/>
      <c r="Z591" s="81"/>
    </row>
    <row r="592" customFormat="false" ht="12" hidden="false" customHeight="true" outlineLevel="0" collapsed="false">
      <c r="A592" s="91"/>
      <c r="B592" s="81"/>
      <c r="C592" s="81"/>
      <c r="D592" s="173"/>
      <c r="E592" s="173"/>
      <c r="F592" s="80"/>
      <c r="G592" s="173"/>
      <c r="H592" s="81"/>
      <c r="I592" s="81"/>
      <c r="J592" s="102"/>
      <c r="K592" s="102"/>
      <c r="L592" s="102"/>
      <c r="M592" s="102"/>
      <c r="N592" s="102"/>
      <c r="O592" s="102"/>
      <c r="P592" s="81"/>
      <c r="Q592" s="81"/>
      <c r="R592" s="81"/>
      <c r="S592" s="81"/>
      <c r="T592" s="81"/>
      <c r="U592" s="81"/>
      <c r="V592" s="81"/>
      <c r="W592" s="81"/>
      <c r="X592" s="81"/>
      <c r="Y592" s="81"/>
      <c r="Z592" s="81"/>
    </row>
    <row r="593" customFormat="false" ht="12" hidden="false" customHeight="true" outlineLevel="0" collapsed="false">
      <c r="A593" s="91"/>
      <c r="B593" s="81"/>
      <c r="C593" s="81"/>
      <c r="D593" s="173"/>
      <c r="E593" s="173"/>
      <c r="F593" s="80"/>
      <c r="G593" s="173"/>
      <c r="H593" s="81"/>
      <c r="I593" s="81"/>
      <c r="J593" s="102"/>
      <c r="K593" s="102"/>
      <c r="L593" s="102"/>
      <c r="M593" s="102"/>
      <c r="N593" s="102"/>
      <c r="O593" s="102"/>
      <c r="P593" s="81"/>
      <c r="Q593" s="81"/>
      <c r="R593" s="81"/>
      <c r="S593" s="81"/>
      <c r="T593" s="81"/>
      <c r="U593" s="81"/>
      <c r="V593" s="81"/>
      <c r="W593" s="81"/>
      <c r="X593" s="81"/>
      <c r="Y593" s="81"/>
      <c r="Z593" s="81"/>
    </row>
    <row r="594" customFormat="false" ht="12" hidden="false" customHeight="true" outlineLevel="0" collapsed="false">
      <c r="A594" s="91"/>
      <c r="B594" s="81"/>
      <c r="C594" s="81"/>
      <c r="D594" s="173"/>
      <c r="E594" s="173"/>
      <c r="F594" s="80"/>
      <c r="G594" s="173"/>
      <c r="H594" s="81"/>
      <c r="I594" s="81"/>
      <c r="J594" s="102"/>
      <c r="K594" s="102"/>
      <c r="L594" s="102"/>
      <c r="M594" s="102"/>
      <c r="N594" s="102"/>
      <c r="O594" s="102"/>
      <c r="P594" s="81"/>
      <c r="Q594" s="81"/>
      <c r="R594" s="81"/>
      <c r="S594" s="81"/>
      <c r="T594" s="81"/>
      <c r="U594" s="81"/>
      <c r="V594" s="81"/>
      <c r="W594" s="81"/>
      <c r="X594" s="81"/>
      <c r="Y594" s="81"/>
      <c r="Z594" s="81"/>
    </row>
    <row r="595" customFormat="false" ht="12" hidden="false" customHeight="true" outlineLevel="0" collapsed="false">
      <c r="A595" s="91"/>
      <c r="B595" s="81"/>
      <c r="C595" s="81"/>
      <c r="D595" s="173"/>
      <c r="E595" s="173"/>
      <c r="F595" s="80"/>
      <c r="G595" s="173"/>
      <c r="H595" s="81"/>
      <c r="I595" s="81"/>
      <c r="J595" s="102"/>
      <c r="K595" s="102"/>
      <c r="L595" s="102"/>
      <c r="M595" s="102"/>
      <c r="N595" s="102"/>
      <c r="O595" s="102"/>
      <c r="P595" s="81"/>
      <c r="Q595" s="81"/>
      <c r="R595" s="81"/>
      <c r="S595" s="81"/>
      <c r="T595" s="81"/>
      <c r="U595" s="81"/>
      <c r="V595" s="81"/>
      <c r="W595" s="81"/>
      <c r="X595" s="81"/>
      <c r="Y595" s="81"/>
      <c r="Z595" s="81"/>
    </row>
    <row r="596" customFormat="false" ht="12" hidden="false" customHeight="true" outlineLevel="0" collapsed="false">
      <c r="A596" s="91"/>
      <c r="B596" s="81"/>
      <c r="C596" s="81"/>
      <c r="D596" s="173"/>
      <c r="E596" s="173"/>
      <c r="F596" s="80"/>
      <c r="G596" s="173"/>
      <c r="H596" s="81"/>
      <c r="I596" s="81"/>
      <c r="J596" s="102"/>
      <c r="K596" s="102"/>
      <c r="L596" s="102"/>
      <c r="M596" s="102"/>
      <c r="N596" s="102"/>
      <c r="O596" s="102"/>
      <c r="P596" s="81"/>
      <c r="Q596" s="81"/>
      <c r="R596" s="81"/>
      <c r="S596" s="81"/>
      <c r="T596" s="81"/>
      <c r="U596" s="81"/>
      <c r="V596" s="81"/>
      <c r="W596" s="81"/>
      <c r="X596" s="81"/>
      <c r="Y596" s="81"/>
      <c r="Z596" s="81"/>
    </row>
    <row r="597" customFormat="false" ht="12" hidden="false" customHeight="true" outlineLevel="0" collapsed="false">
      <c r="A597" s="91"/>
      <c r="B597" s="81"/>
      <c r="C597" s="81"/>
      <c r="D597" s="173"/>
      <c r="E597" s="173"/>
      <c r="F597" s="80"/>
      <c r="G597" s="173"/>
      <c r="H597" s="81"/>
      <c r="I597" s="81"/>
      <c r="J597" s="102"/>
      <c r="K597" s="102"/>
      <c r="L597" s="102"/>
      <c r="M597" s="102"/>
      <c r="N597" s="102"/>
      <c r="O597" s="102"/>
      <c r="P597" s="81"/>
      <c r="Q597" s="81"/>
      <c r="R597" s="81"/>
      <c r="S597" s="81"/>
      <c r="T597" s="81"/>
      <c r="U597" s="81"/>
      <c r="V597" s="81"/>
      <c r="W597" s="81"/>
      <c r="X597" s="81"/>
      <c r="Y597" s="81"/>
      <c r="Z597" s="81"/>
    </row>
    <row r="598" customFormat="false" ht="12" hidden="false" customHeight="true" outlineLevel="0" collapsed="false">
      <c r="A598" s="91"/>
      <c r="B598" s="81"/>
      <c r="C598" s="81"/>
      <c r="D598" s="173"/>
      <c r="E598" s="173"/>
      <c r="F598" s="80"/>
      <c r="G598" s="173"/>
      <c r="H598" s="81"/>
      <c r="I598" s="81"/>
      <c r="J598" s="102"/>
      <c r="K598" s="102"/>
      <c r="L598" s="102"/>
      <c r="M598" s="102"/>
      <c r="N598" s="102"/>
      <c r="O598" s="102"/>
      <c r="P598" s="81"/>
      <c r="Q598" s="81"/>
      <c r="R598" s="81"/>
      <c r="S598" s="81"/>
      <c r="T598" s="81"/>
      <c r="U598" s="81"/>
      <c r="V598" s="81"/>
      <c r="W598" s="81"/>
      <c r="X598" s="81"/>
      <c r="Y598" s="81"/>
      <c r="Z598" s="81"/>
    </row>
    <row r="599" customFormat="false" ht="12" hidden="false" customHeight="true" outlineLevel="0" collapsed="false">
      <c r="A599" s="91"/>
      <c r="B599" s="81"/>
      <c r="C599" s="81"/>
      <c r="D599" s="173"/>
      <c r="E599" s="173"/>
      <c r="F599" s="80"/>
      <c r="G599" s="173"/>
      <c r="H599" s="81"/>
      <c r="I599" s="81"/>
      <c r="J599" s="102"/>
      <c r="K599" s="102"/>
      <c r="L599" s="102"/>
      <c r="M599" s="102"/>
      <c r="N599" s="102"/>
      <c r="O599" s="102"/>
      <c r="P599" s="81"/>
      <c r="Q599" s="81"/>
      <c r="R599" s="81"/>
      <c r="S599" s="81"/>
      <c r="T599" s="81"/>
      <c r="U599" s="81"/>
      <c r="V599" s="81"/>
      <c r="W599" s="81"/>
      <c r="X599" s="81"/>
      <c r="Y599" s="81"/>
      <c r="Z599" s="81"/>
    </row>
    <row r="600" customFormat="false" ht="12" hidden="false" customHeight="true" outlineLevel="0" collapsed="false">
      <c r="A600" s="91"/>
      <c r="B600" s="81"/>
      <c r="C600" s="81"/>
      <c r="D600" s="173"/>
      <c r="E600" s="173"/>
      <c r="F600" s="80"/>
      <c r="G600" s="173"/>
      <c r="H600" s="81"/>
      <c r="I600" s="81"/>
      <c r="J600" s="102"/>
      <c r="K600" s="102"/>
      <c r="L600" s="102"/>
      <c r="M600" s="102"/>
      <c r="N600" s="102"/>
      <c r="O600" s="102"/>
      <c r="P600" s="81"/>
      <c r="Q600" s="81"/>
      <c r="R600" s="81"/>
      <c r="S600" s="81"/>
      <c r="T600" s="81"/>
      <c r="U600" s="81"/>
      <c r="V600" s="81"/>
      <c r="W600" s="81"/>
      <c r="X600" s="81"/>
      <c r="Y600" s="81"/>
      <c r="Z600" s="81"/>
    </row>
    <row r="601" customFormat="false" ht="12" hidden="false" customHeight="true" outlineLevel="0" collapsed="false">
      <c r="A601" s="91"/>
      <c r="B601" s="81"/>
      <c r="C601" s="81"/>
      <c r="D601" s="173"/>
      <c r="E601" s="173"/>
      <c r="F601" s="80"/>
      <c r="G601" s="173"/>
      <c r="H601" s="81"/>
      <c r="I601" s="81"/>
      <c r="J601" s="102"/>
      <c r="K601" s="102"/>
      <c r="L601" s="102"/>
      <c r="M601" s="102"/>
      <c r="N601" s="102"/>
      <c r="O601" s="102"/>
      <c r="P601" s="81"/>
      <c r="Q601" s="81"/>
      <c r="R601" s="81"/>
      <c r="S601" s="81"/>
      <c r="T601" s="81"/>
      <c r="U601" s="81"/>
      <c r="V601" s="81"/>
      <c r="W601" s="81"/>
      <c r="X601" s="81"/>
      <c r="Y601" s="81"/>
      <c r="Z601" s="81"/>
    </row>
    <row r="602" customFormat="false" ht="12" hidden="false" customHeight="true" outlineLevel="0" collapsed="false">
      <c r="A602" s="91"/>
      <c r="B602" s="81"/>
      <c r="C602" s="81"/>
      <c r="D602" s="173"/>
      <c r="E602" s="173"/>
      <c r="F602" s="80"/>
      <c r="G602" s="173"/>
      <c r="H602" s="81"/>
      <c r="I602" s="81"/>
      <c r="J602" s="102"/>
      <c r="K602" s="102"/>
      <c r="L602" s="102"/>
      <c r="M602" s="102"/>
      <c r="N602" s="102"/>
      <c r="O602" s="102"/>
      <c r="P602" s="81"/>
      <c r="Q602" s="81"/>
      <c r="R602" s="81"/>
      <c r="S602" s="81"/>
      <c r="T602" s="81"/>
      <c r="U602" s="81"/>
      <c r="V602" s="81"/>
      <c r="W602" s="81"/>
      <c r="X602" s="81"/>
      <c r="Y602" s="81"/>
      <c r="Z602" s="81"/>
    </row>
    <row r="603" customFormat="false" ht="12" hidden="false" customHeight="true" outlineLevel="0" collapsed="false">
      <c r="A603" s="91"/>
      <c r="B603" s="81"/>
      <c r="C603" s="81"/>
      <c r="D603" s="173"/>
      <c r="E603" s="173"/>
      <c r="F603" s="80"/>
      <c r="G603" s="173"/>
      <c r="H603" s="81"/>
      <c r="I603" s="81"/>
      <c r="J603" s="102"/>
      <c r="K603" s="102"/>
      <c r="L603" s="102"/>
      <c r="M603" s="102"/>
      <c r="N603" s="102"/>
      <c r="O603" s="102"/>
      <c r="P603" s="81"/>
      <c r="Q603" s="81"/>
      <c r="R603" s="81"/>
      <c r="S603" s="81"/>
      <c r="T603" s="81"/>
      <c r="U603" s="81"/>
      <c r="V603" s="81"/>
      <c r="W603" s="81"/>
      <c r="X603" s="81"/>
      <c r="Y603" s="81"/>
      <c r="Z603" s="81"/>
    </row>
    <row r="604" customFormat="false" ht="12" hidden="false" customHeight="true" outlineLevel="0" collapsed="false">
      <c r="A604" s="91"/>
      <c r="B604" s="81"/>
      <c r="C604" s="81"/>
      <c r="D604" s="173"/>
      <c r="E604" s="173"/>
      <c r="F604" s="80"/>
      <c r="G604" s="173"/>
      <c r="H604" s="81"/>
      <c r="I604" s="81"/>
      <c r="J604" s="102"/>
      <c r="K604" s="102"/>
      <c r="L604" s="102"/>
      <c r="M604" s="102"/>
      <c r="N604" s="102"/>
      <c r="O604" s="102"/>
      <c r="P604" s="81"/>
      <c r="Q604" s="81"/>
      <c r="R604" s="81"/>
      <c r="S604" s="81"/>
      <c r="T604" s="81"/>
      <c r="U604" s="81"/>
      <c r="V604" s="81"/>
      <c r="W604" s="81"/>
      <c r="X604" s="81"/>
      <c r="Y604" s="81"/>
      <c r="Z604" s="81"/>
    </row>
    <row r="605" customFormat="false" ht="12" hidden="false" customHeight="true" outlineLevel="0" collapsed="false">
      <c r="A605" s="91"/>
      <c r="B605" s="81"/>
      <c r="C605" s="81"/>
      <c r="D605" s="173"/>
      <c r="E605" s="173"/>
      <c r="F605" s="80"/>
      <c r="G605" s="173"/>
      <c r="H605" s="81"/>
      <c r="I605" s="81"/>
      <c r="J605" s="102"/>
      <c r="K605" s="102"/>
      <c r="L605" s="102"/>
      <c r="M605" s="102"/>
      <c r="N605" s="102"/>
      <c r="O605" s="102"/>
      <c r="P605" s="81"/>
      <c r="Q605" s="81"/>
      <c r="R605" s="81"/>
      <c r="S605" s="81"/>
      <c r="T605" s="81"/>
      <c r="U605" s="81"/>
      <c r="V605" s="81"/>
      <c r="W605" s="81"/>
      <c r="X605" s="81"/>
      <c r="Y605" s="81"/>
      <c r="Z605" s="81"/>
    </row>
    <row r="606" customFormat="false" ht="12" hidden="false" customHeight="true" outlineLevel="0" collapsed="false">
      <c r="A606" s="91"/>
      <c r="B606" s="81"/>
      <c r="C606" s="81"/>
      <c r="D606" s="173"/>
      <c r="E606" s="173"/>
      <c r="F606" s="80"/>
      <c r="G606" s="173"/>
      <c r="H606" s="81"/>
      <c r="I606" s="81"/>
      <c r="J606" s="102"/>
      <c r="K606" s="102"/>
      <c r="L606" s="102"/>
      <c r="M606" s="102"/>
      <c r="N606" s="102"/>
      <c r="O606" s="102"/>
      <c r="P606" s="81"/>
      <c r="Q606" s="81"/>
      <c r="R606" s="81"/>
      <c r="S606" s="81"/>
      <c r="T606" s="81"/>
      <c r="U606" s="81"/>
      <c r="V606" s="81"/>
      <c r="W606" s="81"/>
      <c r="X606" s="81"/>
      <c r="Y606" s="81"/>
      <c r="Z606" s="81"/>
    </row>
    <row r="607" customFormat="false" ht="12" hidden="false" customHeight="true" outlineLevel="0" collapsed="false">
      <c r="A607" s="91"/>
      <c r="B607" s="81"/>
      <c r="C607" s="81"/>
      <c r="D607" s="173"/>
      <c r="E607" s="173"/>
      <c r="F607" s="80"/>
      <c r="G607" s="173"/>
      <c r="H607" s="81"/>
      <c r="I607" s="81"/>
      <c r="J607" s="102"/>
      <c r="K607" s="102"/>
      <c r="L607" s="102"/>
      <c r="M607" s="102"/>
      <c r="N607" s="102"/>
      <c r="O607" s="102"/>
      <c r="P607" s="81"/>
      <c r="Q607" s="81"/>
      <c r="R607" s="81"/>
      <c r="S607" s="81"/>
      <c r="T607" s="81"/>
      <c r="U607" s="81"/>
      <c r="V607" s="81"/>
      <c r="W607" s="81"/>
      <c r="X607" s="81"/>
      <c r="Y607" s="81"/>
      <c r="Z607" s="81"/>
    </row>
    <row r="608" customFormat="false" ht="12" hidden="false" customHeight="true" outlineLevel="0" collapsed="false">
      <c r="A608" s="91"/>
      <c r="B608" s="81"/>
      <c r="C608" s="81"/>
      <c r="D608" s="173"/>
      <c r="E608" s="173"/>
      <c r="F608" s="80"/>
      <c r="G608" s="173"/>
      <c r="H608" s="81"/>
      <c r="I608" s="81"/>
      <c r="J608" s="102"/>
      <c r="K608" s="102"/>
      <c r="L608" s="102"/>
      <c r="M608" s="102"/>
      <c r="N608" s="102"/>
      <c r="O608" s="102"/>
      <c r="P608" s="81"/>
      <c r="Q608" s="81"/>
      <c r="R608" s="81"/>
      <c r="S608" s="81"/>
      <c r="T608" s="81"/>
      <c r="U608" s="81"/>
      <c r="V608" s="81"/>
      <c r="W608" s="81"/>
      <c r="X608" s="81"/>
      <c r="Y608" s="81"/>
      <c r="Z608" s="81"/>
    </row>
    <row r="609" customFormat="false" ht="12" hidden="false" customHeight="true" outlineLevel="0" collapsed="false">
      <c r="A609" s="91"/>
      <c r="B609" s="81"/>
      <c r="C609" s="81"/>
      <c r="D609" s="173"/>
      <c r="E609" s="173"/>
      <c r="F609" s="80"/>
      <c r="G609" s="173"/>
      <c r="H609" s="81"/>
      <c r="I609" s="81"/>
      <c r="J609" s="102"/>
      <c r="K609" s="102"/>
      <c r="L609" s="102"/>
      <c r="M609" s="102"/>
      <c r="N609" s="102"/>
      <c r="O609" s="102"/>
      <c r="P609" s="81"/>
      <c r="Q609" s="81"/>
      <c r="R609" s="81"/>
      <c r="S609" s="81"/>
      <c r="T609" s="81"/>
      <c r="U609" s="81"/>
      <c r="V609" s="81"/>
      <c r="W609" s="81"/>
      <c r="X609" s="81"/>
      <c r="Y609" s="81"/>
      <c r="Z609" s="81"/>
    </row>
    <row r="610" customFormat="false" ht="12" hidden="false" customHeight="true" outlineLevel="0" collapsed="false">
      <c r="A610" s="91"/>
      <c r="B610" s="81"/>
      <c r="C610" s="81"/>
      <c r="D610" s="173"/>
      <c r="E610" s="173"/>
      <c r="F610" s="80"/>
      <c r="G610" s="173"/>
      <c r="H610" s="81"/>
      <c r="I610" s="81"/>
      <c r="J610" s="102"/>
      <c r="K610" s="102"/>
      <c r="L610" s="102"/>
      <c r="M610" s="102"/>
      <c r="N610" s="102"/>
      <c r="O610" s="102"/>
      <c r="P610" s="81"/>
      <c r="Q610" s="81"/>
      <c r="R610" s="81"/>
      <c r="S610" s="81"/>
      <c r="T610" s="81"/>
      <c r="U610" s="81"/>
      <c r="V610" s="81"/>
      <c r="W610" s="81"/>
      <c r="X610" s="81"/>
      <c r="Y610" s="81"/>
      <c r="Z610" s="81"/>
    </row>
    <row r="611" customFormat="false" ht="12" hidden="false" customHeight="true" outlineLevel="0" collapsed="false">
      <c r="A611" s="91"/>
      <c r="B611" s="81"/>
      <c r="C611" s="81"/>
      <c r="D611" s="173"/>
      <c r="E611" s="173"/>
      <c r="F611" s="80"/>
      <c r="G611" s="173"/>
      <c r="H611" s="81"/>
      <c r="I611" s="81"/>
      <c r="J611" s="102"/>
      <c r="K611" s="102"/>
      <c r="L611" s="102"/>
      <c r="M611" s="102"/>
      <c r="N611" s="102"/>
      <c r="O611" s="102"/>
      <c r="P611" s="81"/>
      <c r="Q611" s="81"/>
      <c r="R611" s="81"/>
      <c r="S611" s="81"/>
      <c r="T611" s="81"/>
      <c r="U611" s="81"/>
      <c r="V611" s="81"/>
      <c r="W611" s="81"/>
      <c r="X611" s="81"/>
      <c r="Y611" s="81"/>
      <c r="Z611" s="81"/>
    </row>
    <row r="612" customFormat="false" ht="12" hidden="false" customHeight="true" outlineLevel="0" collapsed="false">
      <c r="A612" s="91"/>
      <c r="B612" s="81"/>
      <c r="C612" s="81"/>
      <c r="D612" s="173"/>
      <c r="E612" s="173"/>
      <c r="F612" s="80"/>
      <c r="G612" s="173"/>
      <c r="H612" s="81"/>
      <c r="I612" s="81"/>
      <c r="J612" s="102"/>
      <c r="K612" s="102"/>
      <c r="L612" s="102"/>
      <c r="M612" s="102"/>
      <c r="N612" s="102"/>
      <c r="O612" s="102"/>
      <c r="P612" s="81"/>
      <c r="Q612" s="81"/>
      <c r="R612" s="81"/>
      <c r="S612" s="81"/>
      <c r="T612" s="81"/>
      <c r="U612" s="81"/>
      <c r="V612" s="81"/>
      <c r="W612" s="81"/>
      <c r="X612" s="81"/>
      <c r="Y612" s="81"/>
      <c r="Z612" s="81"/>
    </row>
    <row r="613" customFormat="false" ht="12" hidden="false" customHeight="true" outlineLevel="0" collapsed="false">
      <c r="A613" s="91"/>
      <c r="B613" s="81"/>
      <c r="C613" s="81"/>
      <c r="D613" s="173"/>
      <c r="E613" s="173"/>
      <c r="F613" s="80"/>
      <c r="G613" s="173"/>
      <c r="H613" s="81"/>
      <c r="I613" s="81"/>
      <c r="J613" s="102"/>
      <c r="K613" s="102"/>
      <c r="L613" s="102"/>
      <c r="M613" s="102"/>
      <c r="N613" s="102"/>
      <c r="O613" s="102"/>
      <c r="P613" s="81"/>
      <c r="Q613" s="81"/>
      <c r="R613" s="81"/>
      <c r="S613" s="81"/>
      <c r="T613" s="81"/>
      <c r="U613" s="81"/>
      <c r="V613" s="81"/>
      <c r="W613" s="81"/>
      <c r="X613" s="81"/>
      <c r="Y613" s="81"/>
      <c r="Z613" s="81"/>
    </row>
    <row r="614" customFormat="false" ht="12" hidden="false" customHeight="true" outlineLevel="0" collapsed="false">
      <c r="A614" s="91"/>
      <c r="B614" s="81"/>
      <c r="C614" s="81"/>
      <c r="D614" s="173"/>
      <c r="E614" s="173"/>
      <c r="F614" s="80"/>
      <c r="G614" s="173"/>
      <c r="H614" s="81"/>
      <c r="I614" s="81"/>
      <c r="J614" s="102"/>
      <c r="K614" s="102"/>
      <c r="L614" s="102"/>
      <c r="M614" s="102"/>
      <c r="N614" s="102"/>
      <c r="O614" s="102"/>
      <c r="P614" s="81"/>
      <c r="Q614" s="81"/>
      <c r="R614" s="81"/>
      <c r="S614" s="81"/>
      <c r="T614" s="81"/>
      <c r="U614" s="81"/>
      <c r="V614" s="81"/>
      <c r="W614" s="81"/>
      <c r="X614" s="81"/>
      <c r="Y614" s="81"/>
      <c r="Z614" s="81"/>
    </row>
    <row r="615" customFormat="false" ht="12" hidden="false" customHeight="true" outlineLevel="0" collapsed="false">
      <c r="A615" s="91"/>
      <c r="B615" s="81"/>
      <c r="C615" s="81"/>
      <c r="D615" s="173"/>
      <c r="E615" s="173"/>
      <c r="F615" s="80"/>
      <c r="G615" s="173"/>
      <c r="H615" s="81"/>
      <c r="I615" s="81"/>
      <c r="J615" s="102"/>
      <c r="K615" s="102"/>
      <c r="L615" s="102"/>
      <c r="M615" s="102"/>
      <c r="N615" s="102"/>
      <c r="O615" s="102"/>
      <c r="P615" s="81"/>
      <c r="Q615" s="81"/>
      <c r="R615" s="81"/>
      <c r="S615" s="81"/>
      <c r="T615" s="81"/>
      <c r="U615" s="81"/>
      <c r="V615" s="81"/>
      <c r="W615" s="81"/>
      <c r="X615" s="81"/>
      <c r="Y615" s="81"/>
      <c r="Z615" s="81"/>
    </row>
    <row r="616" customFormat="false" ht="12" hidden="false" customHeight="true" outlineLevel="0" collapsed="false">
      <c r="A616" s="91"/>
      <c r="B616" s="81"/>
      <c r="C616" s="81"/>
      <c r="D616" s="173"/>
      <c r="E616" s="173"/>
      <c r="F616" s="80"/>
      <c r="G616" s="173"/>
      <c r="H616" s="81"/>
      <c r="I616" s="81"/>
      <c r="J616" s="102"/>
      <c r="K616" s="102"/>
      <c r="L616" s="102"/>
      <c r="M616" s="102"/>
      <c r="N616" s="102"/>
      <c r="O616" s="102"/>
      <c r="P616" s="81"/>
      <c r="Q616" s="81"/>
      <c r="R616" s="81"/>
      <c r="S616" s="81"/>
      <c r="T616" s="81"/>
      <c r="U616" s="81"/>
      <c r="V616" s="81"/>
      <c r="W616" s="81"/>
      <c r="X616" s="81"/>
      <c r="Y616" s="81"/>
      <c r="Z616" s="81"/>
    </row>
    <row r="617" customFormat="false" ht="12" hidden="false" customHeight="true" outlineLevel="0" collapsed="false">
      <c r="A617" s="91"/>
      <c r="B617" s="81"/>
      <c r="C617" s="81"/>
      <c r="D617" s="173"/>
      <c r="E617" s="173"/>
      <c r="F617" s="80"/>
      <c r="G617" s="173"/>
      <c r="H617" s="81"/>
      <c r="I617" s="81"/>
      <c r="J617" s="102"/>
      <c r="K617" s="102"/>
      <c r="L617" s="102"/>
      <c r="M617" s="102"/>
      <c r="N617" s="102"/>
      <c r="O617" s="102"/>
      <c r="P617" s="81"/>
      <c r="Q617" s="81"/>
      <c r="R617" s="81"/>
      <c r="S617" s="81"/>
      <c r="T617" s="81"/>
      <c r="U617" s="81"/>
      <c r="V617" s="81"/>
      <c r="W617" s="81"/>
      <c r="X617" s="81"/>
      <c r="Y617" s="81"/>
      <c r="Z617" s="81"/>
    </row>
    <row r="618" customFormat="false" ht="12" hidden="false" customHeight="true" outlineLevel="0" collapsed="false">
      <c r="A618" s="91"/>
      <c r="B618" s="81"/>
      <c r="C618" s="81"/>
      <c r="D618" s="173"/>
      <c r="E618" s="173"/>
      <c r="F618" s="80"/>
      <c r="G618" s="173"/>
      <c r="H618" s="81"/>
      <c r="I618" s="81"/>
      <c r="J618" s="102"/>
      <c r="K618" s="102"/>
      <c r="L618" s="102"/>
      <c r="M618" s="102"/>
      <c r="N618" s="102"/>
      <c r="O618" s="102"/>
      <c r="P618" s="81"/>
      <c r="Q618" s="81"/>
      <c r="R618" s="81"/>
      <c r="S618" s="81"/>
      <c r="T618" s="81"/>
      <c r="U618" s="81"/>
      <c r="V618" s="81"/>
      <c r="W618" s="81"/>
      <c r="X618" s="81"/>
      <c r="Y618" s="81"/>
      <c r="Z618" s="81"/>
    </row>
    <row r="619" customFormat="false" ht="12" hidden="false" customHeight="true" outlineLevel="0" collapsed="false">
      <c r="A619" s="91"/>
      <c r="B619" s="81"/>
      <c r="C619" s="81"/>
      <c r="D619" s="173"/>
      <c r="E619" s="173"/>
      <c r="F619" s="80"/>
      <c r="G619" s="173"/>
      <c r="H619" s="81"/>
      <c r="I619" s="81"/>
      <c r="J619" s="102"/>
      <c r="K619" s="102"/>
      <c r="L619" s="102"/>
      <c r="M619" s="102"/>
      <c r="N619" s="102"/>
      <c r="O619" s="102"/>
      <c r="P619" s="81"/>
      <c r="Q619" s="81"/>
      <c r="R619" s="81"/>
      <c r="S619" s="81"/>
      <c r="T619" s="81"/>
      <c r="U619" s="81"/>
      <c r="V619" s="81"/>
      <c r="W619" s="81"/>
      <c r="X619" s="81"/>
      <c r="Y619" s="81"/>
      <c r="Z619" s="81"/>
    </row>
    <row r="620" customFormat="false" ht="12" hidden="false" customHeight="true" outlineLevel="0" collapsed="false">
      <c r="A620" s="91"/>
      <c r="B620" s="81"/>
      <c r="C620" s="81"/>
      <c r="D620" s="173"/>
      <c r="E620" s="173"/>
      <c r="F620" s="80"/>
      <c r="G620" s="173"/>
      <c r="H620" s="81"/>
      <c r="I620" s="81"/>
      <c r="J620" s="102"/>
      <c r="K620" s="102"/>
      <c r="L620" s="102"/>
      <c r="M620" s="102"/>
      <c r="N620" s="102"/>
      <c r="O620" s="102"/>
      <c r="P620" s="81"/>
      <c r="Q620" s="81"/>
      <c r="R620" s="81"/>
      <c r="S620" s="81"/>
      <c r="T620" s="81"/>
      <c r="U620" s="81"/>
      <c r="V620" s="81"/>
      <c r="W620" s="81"/>
      <c r="X620" s="81"/>
      <c r="Y620" s="81"/>
      <c r="Z620" s="81"/>
    </row>
    <row r="621" customFormat="false" ht="12" hidden="false" customHeight="true" outlineLevel="0" collapsed="false">
      <c r="A621" s="91"/>
      <c r="B621" s="81"/>
      <c r="C621" s="81"/>
      <c r="D621" s="173"/>
      <c r="E621" s="173"/>
      <c r="F621" s="80"/>
      <c r="G621" s="173"/>
      <c r="H621" s="81"/>
      <c r="I621" s="81"/>
      <c r="J621" s="102"/>
      <c r="K621" s="102"/>
      <c r="L621" s="102"/>
      <c r="M621" s="102"/>
      <c r="N621" s="102"/>
      <c r="O621" s="102"/>
      <c r="P621" s="81"/>
      <c r="Q621" s="81"/>
      <c r="R621" s="81"/>
      <c r="S621" s="81"/>
      <c r="T621" s="81"/>
      <c r="U621" s="81"/>
      <c r="V621" s="81"/>
      <c r="W621" s="81"/>
      <c r="X621" s="81"/>
      <c r="Y621" s="81"/>
      <c r="Z621" s="81"/>
    </row>
    <row r="622" customFormat="false" ht="12" hidden="false" customHeight="true" outlineLevel="0" collapsed="false">
      <c r="A622" s="91"/>
      <c r="B622" s="81"/>
      <c r="C622" s="81"/>
      <c r="D622" s="173"/>
      <c r="E622" s="173"/>
      <c r="F622" s="80"/>
      <c r="G622" s="173"/>
      <c r="H622" s="81"/>
      <c r="I622" s="81"/>
      <c r="J622" s="102"/>
      <c r="K622" s="102"/>
      <c r="L622" s="102"/>
      <c r="M622" s="102"/>
      <c r="N622" s="102"/>
      <c r="O622" s="102"/>
      <c r="P622" s="81"/>
      <c r="Q622" s="81"/>
      <c r="R622" s="81"/>
      <c r="S622" s="81"/>
      <c r="T622" s="81"/>
      <c r="U622" s="81"/>
      <c r="V622" s="81"/>
      <c r="W622" s="81"/>
      <c r="X622" s="81"/>
      <c r="Y622" s="81"/>
      <c r="Z622" s="81"/>
    </row>
    <row r="623" customFormat="false" ht="12" hidden="false" customHeight="true" outlineLevel="0" collapsed="false">
      <c r="A623" s="91"/>
      <c r="B623" s="81"/>
      <c r="C623" s="81"/>
      <c r="D623" s="173"/>
      <c r="E623" s="173"/>
      <c r="F623" s="80"/>
      <c r="G623" s="173"/>
      <c r="H623" s="81"/>
      <c r="I623" s="81"/>
      <c r="J623" s="102"/>
      <c r="K623" s="102"/>
      <c r="L623" s="102"/>
      <c r="M623" s="102"/>
      <c r="N623" s="102"/>
      <c r="O623" s="102"/>
      <c r="P623" s="81"/>
      <c r="Q623" s="81"/>
      <c r="R623" s="81"/>
      <c r="S623" s="81"/>
      <c r="T623" s="81"/>
      <c r="U623" s="81"/>
      <c r="V623" s="81"/>
      <c r="W623" s="81"/>
      <c r="X623" s="81"/>
      <c r="Y623" s="81"/>
      <c r="Z623" s="81"/>
    </row>
    <row r="624" customFormat="false" ht="12" hidden="false" customHeight="true" outlineLevel="0" collapsed="false">
      <c r="A624" s="91"/>
      <c r="B624" s="81"/>
      <c r="C624" s="81"/>
      <c r="D624" s="173"/>
      <c r="E624" s="173"/>
      <c r="F624" s="80"/>
      <c r="G624" s="173"/>
      <c r="H624" s="81"/>
      <c r="I624" s="81"/>
      <c r="J624" s="102"/>
      <c r="K624" s="102"/>
      <c r="L624" s="102"/>
      <c r="M624" s="102"/>
      <c r="N624" s="102"/>
      <c r="O624" s="102"/>
      <c r="P624" s="81"/>
      <c r="Q624" s="81"/>
      <c r="R624" s="81"/>
      <c r="S624" s="81"/>
      <c r="T624" s="81"/>
      <c r="U624" s="81"/>
      <c r="V624" s="81"/>
      <c r="W624" s="81"/>
      <c r="X624" s="81"/>
      <c r="Y624" s="81"/>
      <c r="Z624" s="81"/>
    </row>
    <row r="625" customFormat="false" ht="12" hidden="false" customHeight="true" outlineLevel="0" collapsed="false">
      <c r="A625" s="91"/>
      <c r="B625" s="81"/>
      <c r="C625" s="81"/>
      <c r="D625" s="173"/>
      <c r="E625" s="173"/>
      <c r="F625" s="80"/>
      <c r="G625" s="173"/>
      <c r="H625" s="81"/>
      <c r="I625" s="81"/>
      <c r="J625" s="102"/>
      <c r="K625" s="102"/>
      <c r="L625" s="102"/>
      <c r="M625" s="102"/>
      <c r="N625" s="102"/>
      <c r="O625" s="102"/>
      <c r="P625" s="81"/>
      <c r="Q625" s="81"/>
      <c r="R625" s="81"/>
      <c r="S625" s="81"/>
      <c r="T625" s="81"/>
      <c r="U625" s="81"/>
      <c r="V625" s="81"/>
      <c r="W625" s="81"/>
      <c r="X625" s="81"/>
      <c r="Y625" s="81"/>
      <c r="Z625" s="81"/>
    </row>
    <row r="626" customFormat="false" ht="12" hidden="false" customHeight="true" outlineLevel="0" collapsed="false">
      <c r="A626" s="91"/>
      <c r="B626" s="81"/>
      <c r="C626" s="81"/>
      <c r="D626" s="173"/>
      <c r="E626" s="173"/>
      <c r="F626" s="80"/>
      <c r="G626" s="173"/>
      <c r="H626" s="81"/>
      <c r="I626" s="81"/>
      <c r="J626" s="102"/>
      <c r="K626" s="102"/>
      <c r="L626" s="102"/>
      <c r="M626" s="102"/>
      <c r="N626" s="102"/>
      <c r="O626" s="102"/>
      <c r="P626" s="81"/>
      <c r="Q626" s="81"/>
      <c r="R626" s="81"/>
      <c r="S626" s="81"/>
      <c r="T626" s="81"/>
      <c r="U626" s="81"/>
      <c r="V626" s="81"/>
      <c r="W626" s="81"/>
      <c r="X626" s="81"/>
      <c r="Y626" s="81"/>
      <c r="Z626" s="81"/>
    </row>
    <row r="627" customFormat="false" ht="12" hidden="false" customHeight="true" outlineLevel="0" collapsed="false">
      <c r="A627" s="91"/>
      <c r="B627" s="81"/>
      <c r="C627" s="81"/>
      <c r="D627" s="173"/>
      <c r="E627" s="173"/>
      <c r="F627" s="80"/>
      <c r="G627" s="173"/>
      <c r="H627" s="81"/>
      <c r="I627" s="81"/>
      <c r="J627" s="102"/>
      <c r="K627" s="102"/>
      <c r="L627" s="102"/>
      <c r="M627" s="102"/>
      <c r="N627" s="102"/>
      <c r="O627" s="102"/>
      <c r="P627" s="81"/>
      <c r="Q627" s="81"/>
      <c r="R627" s="81"/>
      <c r="S627" s="81"/>
      <c r="T627" s="81"/>
      <c r="U627" s="81"/>
      <c r="V627" s="81"/>
      <c r="W627" s="81"/>
      <c r="X627" s="81"/>
      <c r="Y627" s="81"/>
      <c r="Z627" s="81"/>
    </row>
    <row r="628" customFormat="false" ht="12" hidden="false" customHeight="true" outlineLevel="0" collapsed="false">
      <c r="A628" s="91"/>
      <c r="B628" s="81"/>
      <c r="C628" s="81"/>
      <c r="D628" s="173"/>
      <c r="E628" s="173"/>
      <c r="F628" s="80"/>
      <c r="G628" s="173"/>
      <c r="H628" s="81"/>
      <c r="I628" s="81"/>
      <c r="J628" s="102"/>
      <c r="K628" s="102"/>
      <c r="L628" s="102"/>
      <c r="M628" s="102"/>
      <c r="N628" s="102"/>
      <c r="O628" s="102"/>
      <c r="P628" s="81"/>
      <c r="Q628" s="81"/>
      <c r="R628" s="81"/>
      <c r="S628" s="81"/>
      <c r="T628" s="81"/>
      <c r="U628" s="81"/>
      <c r="V628" s="81"/>
      <c r="W628" s="81"/>
      <c r="X628" s="81"/>
      <c r="Y628" s="81"/>
      <c r="Z628" s="81"/>
    </row>
    <row r="629" customFormat="false" ht="12" hidden="false" customHeight="true" outlineLevel="0" collapsed="false">
      <c r="A629" s="91"/>
      <c r="B629" s="81"/>
      <c r="C629" s="81"/>
      <c r="D629" s="173"/>
      <c r="E629" s="173"/>
      <c r="F629" s="80"/>
      <c r="G629" s="173"/>
      <c r="H629" s="81"/>
      <c r="I629" s="81"/>
      <c r="J629" s="102"/>
      <c r="K629" s="102"/>
      <c r="L629" s="102"/>
      <c r="M629" s="102"/>
      <c r="N629" s="102"/>
      <c r="O629" s="102"/>
      <c r="P629" s="81"/>
      <c r="Q629" s="81"/>
      <c r="R629" s="81"/>
      <c r="S629" s="81"/>
      <c r="T629" s="81"/>
      <c r="U629" s="81"/>
      <c r="V629" s="81"/>
      <c r="W629" s="81"/>
      <c r="X629" s="81"/>
      <c r="Y629" s="81"/>
      <c r="Z629" s="81"/>
    </row>
    <row r="630" customFormat="false" ht="12" hidden="false" customHeight="true" outlineLevel="0" collapsed="false">
      <c r="A630" s="91"/>
      <c r="B630" s="81"/>
      <c r="C630" s="81"/>
      <c r="D630" s="173"/>
      <c r="E630" s="173"/>
      <c r="F630" s="80"/>
      <c r="G630" s="173"/>
      <c r="H630" s="81"/>
      <c r="I630" s="81"/>
      <c r="J630" s="102"/>
      <c r="K630" s="102"/>
      <c r="L630" s="102"/>
      <c r="M630" s="102"/>
      <c r="N630" s="102"/>
      <c r="O630" s="102"/>
      <c r="P630" s="81"/>
      <c r="Q630" s="81"/>
      <c r="R630" s="81"/>
      <c r="S630" s="81"/>
      <c r="T630" s="81"/>
      <c r="U630" s="81"/>
      <c r="V630" s="81"/>
      <c r="W630" s="81"/>
      <c r="X630" s="81"/>
      <c r="Y630" s="81"/>
      <c r="Z630" s="81"/>
    </row>
    <row r="631" customFormat="false" ht="12" hidden="false" customHeight="true" outlineLevel="0" collapsed="false">
      <c r="A631" s="91"/>
      <c r="B631" s="81"/>
      <c r="C631" s="81"/>
      <c r="D631" s="173"/>
      <c r="E631" s="173"/>
      <c r="F631" s="80"/>
      <c r="G631" s="173"/>
      <c r="H631" s="81"/>
      <c r="I631" s="81"/>
      <c r="J631" s="102"/>
      <c r="K631" s="102"/>
      <c r="L631" s="102"/>
      <c r="M631" s="102"/>
      <c r="N631" s="102"/>
      <c r="O631" s="102"/>
      <c r="P631" s="81"/>
      <c r="Q631" s="81"/>
      <c r="R631" s="81"/>
      <c r="S631" s="81"/>
      <c r="T631" s="81"/>
      <c r="U631" s="81"/>
      <c r="V631" s="81"/>
      <c r="W631" s="81"/>
      <c r="X631" s="81"/>
      <c r="Y631" s="81"/>
      <c r="Z631" s="81"/>
    </row>
    <row r="632" customFormat="false" ht="12" hidden="false" customHeight="true" outlineLevel="0" collapsed="false">
      <c r="A632" s="91"/>
      <c r="B632" s="81"/>
      <c r="C632" s="81"/>
      <c r="D632" s="173"/>
      <c r="E632" s="173"/>
      <c r="F632" s="80"/>
      <c r="G632" s="173"/>
      <c r="H632" s="81"/>
      <c r="I632" s="81"/>
      <c r="J632" s="102"/>
      <c r="K632" s="102"/>
      <c r="L632" s="102"/>
      <c r="M632" s="102"/>
      <c r="N632" s="102"/>
      <c r="O632" s="102"/>
      <c r="P632" s="81"/>
      <c r="Q632" s="81"/>
      <c r="R632" s="81"/>
      <c r="S632" s="81"/>
      <c r="T632" s="81"/>
      <c r="U632" s="81"/>
      <c r="V632" s="81"/>
      <c r="W632" s="81"/>
      <c r="X632" s="81"/>
      <c r="Y632" s="81"/>
      <c r="Z632" s="81"/>
    </row>
    <row r="633" customFormat="false" ht="12" hidden="false" customHeight="true" outlineLevel="0" collapsed="false">
      <c r="A633" s="91"/>
      <c r="B633" s="81"/>
      <c r="C633" s="81"/>
      <c r="D633" s="173"/>
      <c r="E633" s="173"/>
      <c r="F633" s="80"/>
      <c r="G633" s="173"/>
      <c r="H633" s="81"/>
      <c r="I633" s="81"/>
      <c r="J633" s="102"/>
      <c r="K633" s="102"/>
      <c r="L633" s="102"/>
      <c r="M633" s="102"/>
      <c r="N633" s="102"/>
      <c r="O633" s="102"/>
      <c r="P633" s="81"/>
      <c r="Q633" s="81"/>
      <c r="R633" s="81"/>
      <c r="S633" s="81"/>
      <c r="T633" s="81"/>
      <c r="U633" s="81"/>
      <c r="V633" s="81"/>
      <c r="W633" s="81"/>
      <c r="X633" s="81"/>
      <c r="Y633" s="81"/>
      <c r="Z633" s="81"/>
    </row>
    <row r="634" customFormat="false" ht="12" hidden="false" customHeight="true" outlineLevel="0" collapsed="false">
      <c r="A634" s="91"/>
      <c r="B634" s="81"/>
      <c r="C634" s="81"/>
      <c r="D634" s="173"/>
      <c r="E634" s="173"/>
      <c r="F634" s="80"/>
      <c r="G634" s="173"/>
      <c r="H634" s="81"/>
      <c r="I634" s="81"/>
      <c r="J634" s="102"/>
      <c r="K634" s="102"/>
      <c r="L634" s="102"/>
      <c r="M634" s="102"/>
      <c r="N634" s="102"/>
      <c r="O634" s="102"/>
      <c r="P634" s="81"/>
      <c r="Q634" s="81"/>
      <c r="R634" s="81"/>
      <c r="S634" s="81"/>
      <c r="T634" s="81"/>
      <c r="U634" s="81"/>
      <c r="V634" s="81"/>
      <c r="W634" s="81"/>
      <c r="X634" s="81"/>
      <c r="Y634" s="81"/>
      <c r="Z634" s="81"/>
    </row>
    <row r="635" customFormat="false" ht="12" hidden="false" customHeight="true" outlineLevel="0" collapsed="false">
      <c r="A635" s="91"/>
      <c r="B635" s="81"/>
      <c r="C635" s="81"/>
      <c r="D635" s="173"/>
      <c r="E635" s="173"/>
      <c r="F635" s="80"/>
      <c r="G635" s="173"/>
      <c r="H635" s="81"/>
      <c r="I635" s="81"/>
      <c r="J635" s="102"/>
      <c r="K635" s="102"/>
      <c r="L635" s="102"/>
      <c r="M635" s="102"/>
      <c r="N635" s="102"/>
      <c r="O635" s="102"/>
      <c r="P635" s="81"/>
      <c r="Q635" s="81"/>
      <c r="R635" s="81"/>
      <c r="S635" s="81"/>
      <c r="T635" s="81"/>
      <c r="U635" s="81"/>
      <c r="V635" s="81"/>
      <c r="W635" s="81"/>
      <c r="X635" s="81"/>
      <c r="Y635" s="81"/>
      <c r="Z635" s="81"/>
    </row>
    <row r="636" customFormat="false" ht="12" hidden="false" customHeight="true" outlineLevel="0" collapsed="false">
      <c r="A636" s="91"/>
      <c r="B636" s="81"/>
      <c r="C636" s="81"/>
      <c r="D636" s="173"/>
      <c r="E636" s="173"/>
      <c r="F636" s="80"/>
      <c r="G636" s="173"/>
      <c r="H636" s="81"/>
      <c r="I636" s="81"/>
      <c r="J636" s="102"/>
      <c r="K636" s="102"/>
      <c r="L636" s="102"/>
      <c r="M636" s="102"/>
      <c r="N636" s="102"/>
      <c r="O636" s="102"/>
      <c r="P636" s="81"/>
      <c r="Q636" s="81"/>
      <c r="R636" s="81"/>
      <c r="S636" s="81"/>
      <c r="T636" s="81"/>
      <c r="U636" s="81"/>
      <c r="V636" s="81"/>
      <c r="W636" s="81"/>
      <c r="X636" s="81"/>
      <c r="Y636" s="81"/>
      <c r="Z636" s="81"/>
    </row>
    <row r="637" customFormat="false" ht="12" hidden="false" customHeight="true" outlineLevel="0" collapsed="false">
      <c r="A637" s="91"/>
      <c r="B637" s="81"/>
      <c r="C637" s="81"/>
      <c r="D637" s="173"/>
      <c r="E637" s="173"/>
      <c r="F637" s="80"/>
      <c r="G637" s="173"/>
      <c r="H637" s="81"/>
      <c r="I637" s="81"/>
      <c r="J637" s="102"/>
      <c r="K637" s="102"/>
      <c r="L637" s="102"/>
      <c r="M637" s="102"/>
      <c r="N637" s="102"/>
      <c r="O637" s="102"/>
      <c r="P637" s="81"/>
      <c r="Q637" s="81"/>
      <c r="R637" s="81"/>
      <c r="S637" s="81"/>
      <c r="T637" s="81"/>
      <c r="U637" s="81"/>
      <c r="V637" s="81"/>
      <c r="W637" s="81"/>
      <c r="X637" s="81"/>
      <c r="Y637" s="81"/>
      <c r="Z637" s="81"/>
    </row>
    <row r="638" customFormat="false" ht="12" hidden="false" customHeight="true" outlineLevel="0" collapsed="false">
      <c r="A638" s="91"/>
      <c r="B638" s="81"/>
      <c r="C638" s="81"/>
      <c r="D638" s="173"/>
      <c r="E638" s="173"/>
      <c r="F638" s="80"/>
      <c r="G638" s="173"/>
      <c r="H638" s="81"/>
      <c r="I638" s="81"/>
      <c r="J638" s="102"/>
      <c r="K638" s="102"/>
      <c r="L638" s="102"/>
      <c r="M638" s="102"/>
      <c r="N638" s="102"/>
      <c r="O638" s="102"/>
      <c r="P638" s="81"/>
      <c r="Q638" s="81"/>
      <c r="R638" s="81"/>
      <c r="S638" s="81"/>
      <c r="T638" s="81"/>
      <c r="U638" s="81"/>
      <c r="V638" s="81"/>
      <c r="W638" s="81"/>
      <c r="X638" s="81"/>
      <c r="Y638" s="81"/>
      <c r="Z638" s="81"/>
    </row>
    <row r="639" customFormat="false" ht="12" hidden="false" customHeight="true" outlineLevel="0" collapsed="false">
      <c r="A639" s="91"/>
      <c r="B639" s="81"/>
      <c r="C639" s="81"/>
      <c r="D639" s="173"/>
      <c r="E639" s="173"/>
      <c r="F639" s="80"/>
      <c r="G639" s="173"/>
      <c r="H639" s="81"/>
      <c r="I639" s="81"/>
      <c r="J639" s="102"/>
      <c r="K639" s="102"/>
      <c r="L639" s="102"/>
      <c r="M639" s="102"/>
      <c r="N639" s="102"/>
      <c r="O639" s="102"/>
      <c r="P639" s="81"/>
      <c r="Q639" s="81"/>
      <c r="R639" s="81"/>
      <c r="S639" s="81"/>
      <c r="T639" s="81"/>
      <c r="U639" s="81"/>
      <c r="V639" s="81"/>
      <c r="W639" s="81"/>
      <c r="X639" s="81"/>
      <c r="Y639" s="81"/>
      <c r="Z639" s="81"/>
    </row>
    <row r="640" customFormat="false" ht="12" hidden="false" customHeight="true" outlineLevel="0" collapsed="false">
      <c r="A640" s="91"/>
      <c r="B640" s="81"/>
      <c r="C640" s="81"/>
      <c r="D640" s="173"/>
      <c r="E640" s="173"/>
      <c r="F640" s="80"/>
      <c r="G640" s="173"/>
      <c r="H640" s="81"/>
      <c r="I640" s="81"/>
      <c r="J640" s="102"/>
      <c r="K640" s="102"/>
      <c r="L640" s="102"/>
      <c r="M640" s="102"/>
      <c r="N640" s="102"/>
      <c r="O640" s="102"/>
      <c r="P640" s="81"/>
      <c r="Q640" s="81"/>
      <c r="R640" s="81"/>
      <c r="S640" s="81"/>
      <c r="T640" s="81"/>
      <c r="U640" s="81"/>
      <c r="V640" s="81"/>
      <c r="W640" s="81"/>
      <c r="X640" s="81"/>
      <c r="Y640" s="81"/>
      <c r="Z640" s="81"/>
    </row>
    <row r="641" customFormat="false" ht="12" hidden="false" customHeight="true" outlineLevel="0" collapsed="false">
      <c r="A641" s="91"/>
      <c r="B641" s="81"/>
      <c r="C641" s="81"/>
      <c r="D641" s="173"/>
      <c r="E641" s="173"/>
      <c r="F641" s="80"/>
      <c r="G641" s="173"/>
      <c r="H641" s="81"/>
      <c r="I641" s="81"/>
      <c r="J641" s="102"/>
      <c r="K641" s="102"/>
      <c r="L641" s="102"/>
      <c r="M641" s="102"/>
      <c r="N641" s="102"/>
      <c r="O641" s="102"/>
      <c r="P641" s="81"/>
      <c r="Q641" s="81"/>
      <c r="R641" s="81"/>
      <c r="S641" s="81"/>
      <c r="T641" s="81"/>
      <c r="U641" s="81"/>
      <c r="V641" s="81"/>
      <c r="W641" s="81"/>
      <c r="X641" s="81"/>
      <c r="Y641" s="81"/>
      <c r="Z641" s="81"/>
    </row>
    <row r="642" customFormat="false" ht="12" hidden="false" customHeight="true" outlineLevel="0" collapsed="false">
      <c r="A642" s="91"/>
      <c r="B642" s="81"/>
      <c r="C642" s="81"/>
      <c r="D642" s="173"/>
      <c r="E642" s="173"/>
      <c r="F642" s="80"/>
      <c r="G642" s="173"/>
      <c r="H642" s="81"/>
      <c r="I642" s="81"/>
      <c r="J642" s="102"/>
      <c r="K642" s="102"/>
      <c r="L642" s="102"/>
      <c r="M642" s="102"/>
      <c r="N642" s="102"/>
      <c r="O642" s="102"/>
      <c r="P642" s="81"/>
      <c r="Q642" s="81"/>
      <c r="R642" s="81"/>
      <c r="S642" s="81"/>
      <c r="T642" s="81"/>
      <c r="U642" s="81"/>
      <c r="V642" s="81"/>
      <c r="W642" s="81"/>
      <c r="X642" s="81"/>
      <c r="Y642" s="81"/>
      <c r="Z642" s="81"/>
    </row>
    <row r="643" customFormat="false" ht="12" hidden="false" customHeight="true" outlineLevel="0" collapsed="false">
      <c r="A643" s="91"/>
      <c r="B643" s="81"/>
      <c r="C643" s="81"/>
      <c r="D643" s="173"/>
      <c r="E643" s="173"/>
      <c r="F643" s="80"/>
      <c r="G643" s="173"/>
      <c r="H643" s="81"/>
      <c r="I643" s="81"/>
      <c r="J643" s="102"/>
      <c r="K643" s="102"/>
      <c r="L643" s="102"/>
      <c r="M643" s="102"/>
      <c r="N643" s="102"/>
      <c r="O643" s="102"/>
      <c r="P643" s="81"/>
      <c r="Q643" s="81"/>
      <c r="R643" s="81"/>
      <c r="S643" s="81"/>
      <c r="T643" s="81"/>
      <c r="U643" s="81"/>
      <c r="V643" s="81"/>
      <c r="W643" s="81"/>
      <c r="X643" s="81"/>
      <c r="Y643" s="81"/>
      <c r="Z643" s="81"/>
    </row>
    <row r="644" customFormat="false" ht="12" hidden="false" customHeight="true" outlineLevel="0" collapsed="false">
      <c r="A644" s="91"/>
      <c r="B644" s="81"/>
      <c r="C644" s="81"/>
      <c r="D644" s="173"/>
      <c r="E644" s="173"/>
      <c r="F644" s="80"/>
      <c r="G644" s="173"/>
      <c r="H644" s="81"/>
      <c r="I644" s="81"/>
      <c r="J644" s="102"/>
      <c r="K644" s="102"/>
      <c r="L644" s="102"/>
      <c r="M644" s="102"/>
      <c r="N644" s="102"/>
      <c r="O644" s="102"/>
      <c r="P644" s="81"/>
      <c r="Q644" s="81"/>
      <c r="R644" s="81"/>
      <c r="S644" s="81"/>
      <c r="T644" s="81"/>
      <c r="U644" s="81"/>
      <c r="V644" s="81"/>
      <c r="W644" s="81"/>
      <c r="X644" s="81"/>
      <c r="Y644" s="81"/>
      <c r="Z644" s="81"/>
    </row>
    <row r="645" customFormat="false" ht="12" hidden="false" customHeight="true" outlineLevel="0" collapsed="false">
      <c r="A645" s="91"/>
      <c r="B645" s="81"/>
      <c r="C645" s="81"/>
      <c r="D645" s="173"/>
      <c r="E645" s="173"/>
      <c r="F645" s="80"/>
      <c r="G645" s="173"/>
      <c r="H645" s="81"/>
      <c r="I645" s="81"/>
      <c r="J645" s="102"/>
      <c r="K645" s="102"/>
      <c r="L645" s="102"/>
      <c r="M645" s="102"/>
      <c r="N645" s="102"/>
      <c r="O645" s="102"/>
      <c r="P645" s="81"/>
      <c r="Q645" s="81"/>
      <c r="R645" s="81"/>
      <c r="S645" s="81"/>
      <c r="T645" s="81"/>
      <c r="U645" s="81"/>
      <c r="V645" s="81"/>
      <c r="W645" s="81"/>
      <c r="X645" s="81"/>
      <c r="Y645" s="81"/>
      <c r="Z645" s="81"/>
    </row>
    <row r="646" customFormat="false" ht="12" hidden="false" customHeight="true" outlineLevel="0" collapsed="false">
      <c r="A646" s="91"/>
      <c r="B646" s="81"/>
      <c r="C646" s="81"/>
      <c r="D646" s="173"/>
      <c r="E646" s="173"/>
      <c r="F646" s="80"/>
      <c r="G646" s="173"/>
      <c r="H646" s="81"/>
      <c r="I646" s="81"/>
      <c r="J646" s="102"/>
      <c r="K646" s="102"/>
      <c r="L646" s="102"/>
      <c r="M646" s="102"/>
      <c r="N646" s="102"/>
      <c r="O646" s="102"/>
      <c r="P646" s="81"/>
      <c r="Q646" s="81"/>
      <c r="R646" s="81"/>
      <c r="S646" s="81"/>
      <c r="T646" s="81"/>
      <c r="U646" s="81"/>
      <c r="V646" s="81"/>
      <c r="W646" s="81"/>
      <c r="X646" s="81"/>
      <c r="Y646" s="81"/>
      <c r="Z646" s="81"/>
    </row>
    <row r="647" customFormat="false" ht="12" hidden="false" customHeight="true" outlineLevel="0" collapsed="false">
      <c r="A647" s="91"/>
      <c r="B647" s="81"/>
      <c r="C647" s="81"/>
      <c r="D647" s="173"/>
      <c r="E647" s="173"/>
      <c r="F647" s="80"/>
      <c r="G647" s="173"/>
      <c r="H647" s="81"/>
      <c r="I647" s="81"/>
      <c r="J647" s="102"/>
      <c r="K647" s="102"/>
      <c r="L647" s="102"/>
      <c r="M647" s="102"/>
      <c r="N647" s="102"/>
      <c r="O647" s="102"/>
      <c r="P647" s="81"/>
      <c r="Q647" s="81"/>
      <c r="R647" s="81"/>
      <c r="S647" s="81"/>
      <c r="T647" s="81"/>
      <c r="U647" s="81"/>
      <c r="V647" s="81"/>
      <c r="W647" s="81"/>
      <c r="X647" s="81"/>
      <c r="Y647" s="81"/>
      <c r="Z647" s="81"/>
    </row>
    <row r="648" customFormat="false" ht="12" hidden="false" customHeight="true" outlineLevel="0" collapsed="false">
      <c r="A648" s="91"/>
      <c r="B648" s="81"/>
      <c r="C648" s="81"/>
      <c r="D648" s="173"/>
      <c r="E648" s="173"/>
      <c r="F648" s="80"/>
      <c r="G648" s="173"/>
      <c r="H648" s="81"/>
      <c r="I648" s="81"/>
      <c r="J648" s="102"/>
      <c r="K648" s="102"/>
      <c r="L648" s="102"/>
      <c r="M648" s="102"/>
      <c r="N648" s="102"/>
      <c r="O648" s="102"/>
      <c r="P648" s="81"/>
      <c r="Q648" s="81"/>
      <c r="R648" s="81"/>
      <c r="S648" s="81"/>
      <c r="T648" s="81"/>
      <c r="U648" s="81"/>
      <c r="V648" s="81"/>
      <c r="W648" s="81"/>
      <c r="X648" s="81"/>
      <c r="Y648" s="81"/>
      <c r="Z648" s="81"/>
    </row>
    <row r="649" customFormat="false" ht="12" hidden="false" customHeight="true" outlineLevel="0" collapsed="false">
      <c r="A649" s="91"/>
      <c r="B649" s="81"/>
      <c r="C649" s="81"/>
      <c r="D649" s="173"/>
      <c r="E649" s="173"/>
      <c r="F649" s="80"/>
      <c r="G649" s="173"/>
      <c r="H649" s="81"/>
      <c r="I649" s="81"/>
      <c r="J649" s="102"/>
      <c r="K649" s="102"/>
      <c r="L649" s="102"/>
      <c r="M649" s="102"/>
      <c r="N649" s="102"/>
      <c r="O649" s="102"/>
      <c r="P649" s="81"/>
      <c r="Q649" s="81"/>
      <c r="R649" s="81"/>
      <c r="S649" s="81"/>
      <c r="T649" s="81"/>
      <c r="U649" s="81"/>
      <c r="V649" s="81"/>
      <c r="W649" s="81"/>
      <c r="X649" s="81"/>
      <c r="Y649" s="81"/>
      <c r="Z649" s="81"/>
    </row>
    <row r="650" customFormat="false" ht="12" hidden="false" customHeight="true" outlineLevel="0" collapsed="false">
      <c r="A650" s="91"/>
      <c r="B650" s="81"/>
      <c r="C650" s="81"/>
      <c r="D650" s="173"/>
      <c r="E650" s="173"/>
      <c r="F650" s="80"/>
      <c r="G650" s="173"/>
      <c r="H650" s="81"/>
      <c r="I650" s="81"/>
      <c r="J650" s="102"/>
      <c r="K650" s="102"/>
      <c r="L650" s="102"/>
      <c r="M650" s="102"/>
      <c r="N650" s="102"/>
      <c r="O650" s="102"/>
      <c r="P650" s="81"/>
      <c r="Q650" s="81"/>
      <c r="R650" s="81"/>
      <c r="S650" s="81"/>
      <c r="T650" s="81"/>
      <c r="U650" s="81"/>
      <c r="V650" s="81"/>
      <c r="W650" s="81"/>
      <c r="X650" s="81"/>
      <c r="Y650" s="81"/>
      <c r="Z650" s="81"/>
    </row>
    <row r="651" customFormat="false" ht="12" hidden="false" customHeight="true" outlineLevel="0" collapsed="false">
      <c r="A651" s="91"/>
      <c r="B651" s="81"/>
      <c r="C651" s="81"/>
      <c r="D651" s="173"/>
      <c r="E651" s="173"/>
      <c r="F651" s="80"/>
      <c r="G651" s="173"/>
      <c r="H651" s="81"/>
      <c r="I651" s="81"/>
      <c r="J651" s="102"/>
      <c r="K651" s="102"/>
      <c r="L651" s="102"/>
      <c r="M651" s="102"/>
      <c r="N651" s="102"/>
      <c r="O651" s="102"/>
      <c r="P651" s="81"/>
      <c r="Q651" s="81"/>
      <c r="R651" s="81"/>
      <c r="S651" s="81"/>
      <c r="T651" s="81"/>
      <c r="U651" s="81"/>
      <c r="V651" s="81"/>
      <c r="W651" s="81"/>
      <c r="X651" s="81"/>
      <c r="Y651" s="81"/>
      <c r="Z651" s="81"/>
    </row>
    <row r="652" customFormat="false" ht="12" hidden="false" customHeight="true" outlineLevel="0" collapsed="false">
      <c r="A652" s="91"/>
      <c r="B652" s="81"/>
      <c r="C652" s="81"/>
      <c r="D652" s="173"/>
      <c r="E652" s="173"/>
      <c r="F652" s="80"/>
      <c r="G652" s="173"/>
      <c r="H652" s="81"/>
      <c r="I652" s="81"/>
      <c r="J652" s="102"/>
      <c r="K652" s="102"/>
      <c r="L652" s="102"/>
      <c r="M652" s="102"/>
      <c r="N652" s="102"/>
      <c r="O652" s="102"/>
      <c r="P652" s="81"/>
      <c r="Q652" s="81"/>
      <c r="R652" s="81"/>
      <c r="S652" s="81"/>
      <c r="T652" s="81"/>
      <c r="U652" s="81"/>
      <c r="V652" s="81"/>
      <c r="W652" s="81"/>
      <c r="X652" s="81"/>
      <c r="Y652" s="81"/>
      <c r="Z652" s="81"/>
    </row>
    <row r="653" customFormat="false" ht="12" hidden="false" customHeight="true" outlineLevel="0" collapsed="false">
      <c r="A653" s="91"/>
      <c r="B653" s="81"/>
      <c r="C653" s="81"/>
      <c r="D653" s="173"/>
      <c r="E653" s="173"/>
      <c r="F653" s="80"/>
      <c r="G653" s="173"/>
      <c r="H653" s="81"/>
      <c r="I653" s="81"/>
      <c r="J653" s="102"/>
      <c r="K653" s="102"/>
      <c r="L653" s="102"/>
      <c r="M653" s="102"/>
      <c r="N653" s="102"/>
      <c r="O653" s="102"/>
      <c r="P653" s="81"/>
      <c r="Q653" s="81"/>
      <c r="R653" s="81"/>
      <c r="S653" s="81"/>
      <c r="T653" s="81"/>
      <c r="U653" s="81"/>
      <c r="V653" s="81"/>
      <c r="W653" s="81"/>
      <c r="X653" s="81"/>
      <c r="Y653" s="81"/>
      <c r="Z653" s="81"/>
    </row>
    <row r="654" customFormat="false" ht="12" hidden="false" customHeight="true" outlineLevel="0" collapsed="false">
      <c r="A654" s="91"/>
      <c r="B654" s="81"/>
      <c r="C654" s="81"/>
      <c r="D654" s="173"/>
      <c r="E654" s="173"/>
      <c r="F654" s="80"/>
      <c r="G654" s="173"/>
      <c r="H654" s="81"/>
      <c r="I654" s="81"/>
      <c r="J654" s="102"/>
      <c r="K654" s="102"/>
      <c r="L654" s="102"/>
      <c r="M654" s="102"/>
      <c r="N654" s="102"/>
      <c r="O654" s="102"/>
      <c r="P654" s="81"/>
      <c r="Q654" s="81"/>
      <c r="R654" s="81"/>
      <c r="S654" s="81"/>
      <c r="T654" s="81"/>
      <c r="U654" s="81"/>
      <c r="V654" s="81"/>
      <c r="W654" s="81"/>
      <c r="X654" s="81"/>
      <c r="Y654" s="81"/>
      <c r="Z654" s="81"/>
    </row>
    <row r="655" customFormat="false" ht="12" hidden="false" customHeight="true" outlineLevel="0" collapsed="false">
      <c r="A655" s="91"/>
      <c r="B655" s="81"/>
      <c r="C655" s="81"/>
      <c r="D655" s="173"/>
      <c r="E655" s="173"/>
      <c r="F655" s="80"/>
      <c r="G655" s="173"/>
      <c r="H655" s="81"/>
      <c r="I655" s="81"/>
      <c r="J655" s="102"/>
      <c r="K655" s="102"/>
      <c r="L655" s="102"/>
      <c r="M655" s="102"/>
      <c r="N655" s="102"/>
      <c r="O655" s="102"/>
      <c r="P655" s="81"/>
      <c r="Q655" s="81"/>
      <c r="R655" s="81"/>
      <c r="S655" s="81"/>
      <c r="T655" s="81"/>
      <c r="U655" s="81"/>
      <c r="V655" s="81"/>
      <c r="W655" s="81"/>
      <c r="X655" s="81"/>
      <c r="Y655" s="81"/>
      <c r="Z655" s="81"/>
    </row>
    <row r="656" customFormat="false" ht="12" hidden="false" customHeight="true" outlineLevel="0" collapsed="false">
      <c r="A656" s="91"/>
      <c r="B656" s="81"/>
      <c r="C656" s="81"/>
      <c r="D656" s="173"/>
      <c r="E656" s="173"/>
      <c r="F656" s="80"/>
      <c r="G656" s="173"/>
      <c r="H656" s="81"/>
      <c r="I656" s="81"/>
      <c r="J656" s="102"/>
      <c r="K656" s="102"/>
      <c r="L656" s="102"/>
      <c r="M656" s="102"/>
      <c r="N656" s="102"/>
      <c r="O656" s="102"/>
      <c r="P656" s="81"/>
      <c r="Q656" s="81"/>
      <c r="R656" s="81"/>
      <c r="S656" s="81"/>
      <c r="T656" s="81"/>
      <c r="U656" s="81"/>
      <c r="V656" s="81"/>
      <c r="W656" s="81"/>
      <c r="X656" s="81"/>
      <c r="Y656" s="81"/>
      <c r="Z656" s="81"/>
    </row>
    <row r="657" customFormat="false" ht="12" hidden="false" customHeight="true" outlineLevel="0" collapsed="false">
      <c r="A657" s="91"/>
      <c r="B657" s="81"/>
      <c r="C657" s="81"/>
      <c r="D657" s="173"/>
      <c r="E657" s="173"/>
      <c r="F657" s="80"/>
      <c r="G657" s="173"/>
      <c r="H657" s="81"/>
      <c r="I657" s="81"/>
      <c r="J657" s="102"/>
      <c r="K657" s="102"/>
      <c r="L657" s="102"/>
      <c r="M657" s="102"/>
      <c r="N657" s="102"/>
      <c r="O657" s="102"/>
      <c r="P657" s="81"/>
      <c r="Q657" s="81"/>
      <c r="R657" s="81"/>
      <c r="S657" s="81"/>
      <c r="T657" s="81"/>
      <c r="U657" s="81"/>
      <c r="V657" s="81"/>
      <c r="W657" s="81"/>
      <c r="X657" s="81"/>
      <c r="Y657" s="81"/>
      <c r="Z657" s="81"/>
    </row>
    <row r="658" customFormat="false" ht="12" hidden="false" customHeight="true" outlineLevel="0" collapsed="false">
      <c r="A658" s="91"/>
      <c r="B658" s="81"/>
      <c r="C658" s="81"/>
      <c r="D658" s="173"/>
      <c r="E658" s="173"/>
      <c r="F658" s="80"/>
      <c r="G658" s="173"/>
      <c r="H658" s="81"/>
      <c r="I658" s="81"/>
      <c r="J658" s="102"/>
      <c r="K658" s="102"/>
      <c r="L658" s="102"/>
      <c r="M658" s="102"/>
      <c r="N658" s="102"/>
      <c r="O658" s="102"/>
      <c r="P658" s="81"/>
      <c r="Q658" s="81"/>
      <c r="R658" s="81"/>
      <c r="S658" s="81"/>
      <c r="T658" s="81"/>
      <c r="U658" s="81"/>
      <c r="V658" s="81"/>
      <c r="W658" s="81"/>
      <c r="X658" s="81"/>
      <c r="Y658" s="81"/>
      <c r="Z658" s="81"/>
    </row>
    <row r="659" customFormat="false" ht="12" hidden="false" customHeight="true" outlineLevel="0" collapsed="false">
      <c r="A659" s="91"/>
      <c r="B659" s="81"/>
      <c r="C659" s="81"/>
      <c r="D659" s="173"/>
      <c r="E659" s="173"/>
      <c r="F659" s="80"/>
      <c r="G659" s="173"/>
      <c r="H659" s="81"/>
      <c r="I659" s="81"/>
      <c r="J659" s="102"/>
      <c r="K659" s="102"/>
      <c r="L659" s="102"/>
      <c r="M659" s="102"/>
      <c r="N659" s="102"/>
      <c r="O659" s="102"/>
      <c r="P659" s="81"/>
      <c r="Q659" s="81"/>
      <c r="R659" s="81"/>
      <c r="S659" s="81"/>
      <c r="T659" s="81"/>
      <c r="U659" s="81"/>
      <c r="V659" s="81"/>
      <c r="W659" s="81"/>
      <c r="X659" s="81"/>
      <c r="Y659" s="81"/>
      <c r="Z659" s="81"/>
    </row>
    <row r="660" customFormat="false" ht="12" hidden="false" customHeight="true" outlineLevel="0" collapsed="false">
      <c r="A660" s="91"/>
      <c r="B660" s="81"/>
      <c r="C660" s="81"/>
      <c r="D660" s="173"/>
      <c r="E660" s="173"/>
      <c r="F660" s="80"/>
      <c r="G660" s="173"/>
      <c r="H660" s="81"/>
      <c r="I660" s="81"/>
      <c r="J660" s="102"/>
      <c r="K660" s="102"/>
      <c r="L660" s="102"/>
      <c r="M660" s="102"/>
      <c r="N660" s="102"/>
      <c r="O660" s="102"/>
      <c r="P660" s="81"/>
      <c r="Q660" s="81"/>
      <c r="R660" s="81"/>
      <c r="S660" s="81"/>
      <c r="T660" s="81"/>
      <c r="U660" s="81"/>
      <c r="V660" s="81"/>
      <c r="W660" s="81"/>
      <c r="X660" s="81"/>
      <c r="Y660" s="81"/>
      <c r="Z660" s="81"/>
    </row>
    <row r="661" customFormat="false" ht="12" hidden="false" customHeight="true" outlineLevel="0" collapsed="false">
      <c r="A661" s="91"/>
      <c r="B661" s="81"/>
      <c r="C661" s="81"/>
      <c r="D661" s="173"/>
      <c r="E661" s="173"/>
      <c r="F661" s="80"/>
      <c r="G661" s="173"/>
      <c r="H661" s="81"/>
      <c r="I661" s="81"/>
      <c r="J661" s="102"/>
      <c r="K661" s="102"/>
      <c r="L661" s="102"/>
      <c r="M661" s="102"/>
      <c r="N661" s="102"/>
      <c r="O661" s="102"/>
      <c r="P661" s="81"/>
      <c r="Q661" s="81"/>
      <c r="R661" s="81"/>
      <c r="S661" s="81"/>
      <c r="T661" s="81"/>
      <c r="U661" s="81"/>
      <c r="V661" s="81"/>
      <c r="W661" s="81"/>
      <c r="X661" s="81"/>
      <c r="Y661" s="81"/>
      <c r="Z661" s="81"/>
    </row>
    <row r="662" customFormat="false" ht="12" hidden="false" customHeight="true" outlineLevel="0" collapsed="false">
      <c r="A662" s="91"/>
      <c r="B662" s="81"/>
      <c r="C662" s="81"/>
      <c r="D662" s="173"/>
      <c r="E662" s="173"/>
      <c r="F662" s="80"/>
      <c r="G662" s="173"/>
      <c r="H662" s="81"/>
      <c r="I662" s="81"/>
      <c r="J662" s="102"/>
      <c r="K662" s="102"/>
      <c r="L662" s="102"/>
      <c r="M662" s="102"/>
      <c r="N662" s="102"/>
      <c r="O662" s="102"/>
      <c r="P662" s="81"/>
      <c r="Q662" s="81"/>
      <c r="R662" s="81"/>
      <c r="S662" s="81"/>
      <c r="T662" s="81"/>
      <c r="U662" s="81"/>
      <c r="V662" s="81"/>
      <c r="W662" s="81"/>
      <c r="X662" s="81"/>
      <c r="Y662" s="81"/>
      <c r="Z662" s="81"/>
    </row>
    <row r="663" customFormat="false" ht="12" hidden="false" customHeight="true" outlineLevel="0" collapsed="false">
      <c r="A663" s="91"/>
      <c r="B663" s="81"/>
      <c r="C663" s="81"/>
      <c r="D663" s="173"/>
      <c r="E663" s="173"/>
      <c r="F663" s="80"/>
      <c r="G663" s="173"/>
      <c r="H663" s="81"/>
      <c r="I663" s="81"/>
      <c r="J663" s="102"/>
      <c r="K663" s="102"/>
      <c r="L663" s="102"/>
      <c r="M663" s="102"/>
      <c r="N663" s="102"/>
      <c r="O663" s="102"/>
      <c r="P663" s="81"/>
      <c r="Q663" s="81"/>
      <c r="R663" s="81"/>
      <c r="S663" s="81"/>
      <c r="T663" s="81"/>
      <c r="U663" s="81"/>
      <c r="V663" s="81"/>
      <c r="W663" s="81"/>
      <c r="X663" s="81"/>
      <c r="Y663" s="81"/>
      <c r="Z663" s="81"/>
    </row>
    <row r="664" customFormat="false" ht="12" hidden="false" customHeight="true" outlineLevel="0" collapsed="false">
      <c r="A664" s="91"/>
      <c r="B664" s="81"/>
      <c r="C664" s="81"/>
      <c r="D664" s="173"/>
      <c r="E664" s="173"/>
      <c r="F664" s="80"/>
      <c r="G664" s="173"/>
      <c r="H664" s="81"/>
      <c r="I664" s="81"/>
      <c r="J664" s="102"/>
      <c r="K664" s="102"/>
      <c r="L664" s="102"/>
      <c r="M664" s="102"/>
      <c r="N664" s="102"/>
      <c r="O664" s="102"/>
      <c r="P664" s="81"/>
      <c r="Q664" s="81"/>
      <c r="R664" s="81"/>
      <c r="S664" s="81"/>
      <c r="T664" s="81"/>
      <c r="U664" s="81"/>
      <c r="V664" s="81"/>
      <c r="W664" s="81"/>
      <c r="X664" s="81"/>
      <c r="Y664" s="81"/>
      <c r="Z664" s="81"/>
    </row>
    <row r="665" customFormat="false" ht="12" hidden="false" customHeight="true" outlineLevel="0" collapsed="false">
      <c r="A665" s="91"/>
      <c r="B665" s="81"/>
      <c r="C665" s="81"/>
      <c r="D665" s="173"/>
      <c r="E665" s="173"/>
      <c r="F665" s="80"/>
      <c r="G665" s="173"/>
      <c r="H665" s="81"/>
      <c r="I665" s="81"/>
      <c r="J665" s="102"/>
      <c r="K665" s="102"/>
      <c r="L665" s="102"/>
      <c r="M665" s="102"/>
      <c r="N665" s="102"/>
      <c r="O665" s="102"/>
      <c r="P665" s="81"/>
      <c r="Q665" s="81"/>
      <c r="R665" s="81"/>
      <c r="S665" s="81"/>
      <c r="T665" s="81"/>
      <c r="U665" s="81"/>
      <c r="V665" s="81"/>
      <c r="W665" s="81"/>
      <c r="X665" s="81"/>
      <c r="Y665" s="81"/>
      <c r="Z665" s="81"/>
    </row>
    <row r="666" customFormat="false" ht="12" hidden="false" customHeight="true" outlineLevel="0" collapsed="false">
      <c r="A666" s="91"/>
      <c r="B666" s="81"/>
      <c r="C666" s="81"/>
      <c r="D666" s="173"/>
      <c r="E666" s="173"/>
      <c r="F666" s="80"/>
      <c r="G666" s="173"/>
      <c r="H666" s="81"/>
      <c r="I666" s="81"/>
      <c r="J666" s="102"/>
      <c r="K666" s="102"/>
      <c r="L666" s="102"/>
      <c r="M666" s="102"/>
      <c r="N666" s="102"/>
      <c r="O666" s="102"/>
      <c r="P666" s="81"/>
      <c r="Q666" s="81"/>
      <c r="R666" s="81"/>
      <c r="S666" s="81"/>
      <c r="T666" s="81"/>
      <c r="U666" s="81"/>
      <c r="V666" s="81"/>
      <c r="W666" s="81"/>
      <c r="X666" s="81"/>
      <c r="Y666" s="81"/>
      <c r="Z666" s="81"/>
    </row>
    <row r="667" customFormat="false" ht="12" hidden="false" customHeight="true" outlineLevel="0" collapsed="false">
      <c r="A667" s="91"/>
      <c r="B667" s="81"/>
      <c r="C667" s="81"/>
      <c r="D667" s="173"/>
      <c r="E667" s="173"/>
      <c r="F667" s="80"/>
      <c r="G667" s="173"/>
      <c r="H667" s="81"/>
      <c r="I667" s="81"/>
      <c r="J667" s="102"/>
      <c r="K667" s="102"/>
      <c r="L667" s="102"/>
      <c r="M667" s="102"/>
      <c r="N667" s="102"/>
      <c r="O667" s="102"/>
      <c r="P667" s="81"/>
      <c r="Q667" s="81"/>
      <c r="R667" s="81"/>
      <c r="S667" s="81"/>
      <c r="T667" s="81"/>
      <c r="U667" s="81"/>
      <c r="V667" s="81"/>
      <c r="W667" s="81"/>
      <c r="X667" s="81"/>
      <c r="Y667" s="81"/>
      <c r="Z667" s="81"/>
    </row>
    <row r="668" customFormat="false" ht="12" hidden="false" customHeight="true" outlineLevel="0" collapsed="false">
      <c r="A668" s="91"/>
      <c r="B668" s="81"/>
      <c r="C668" s="81"/>
      <c r="D668" s="173"/>
      <c r="E668" s="173"/>
      <c r="F668" s="80"/>
      <c r="G668" s="173"/>
      <c r="H668" s="81"/>
      <c r="I668" s="81"/>
      <c r="J668" s="102"/>
      <c r="K668" s="102"/>
      <c r="L668" s="102"/>
      <c r="M668" s="102"/>
      <c r="N668" s="102"/>
      <c r="O668" s="102"/>
      <c r="P668" s="81"/>
      <c r="Q668" s="81"/>
      <c r="R668" s="81"/>
      <c r="S668" s="81"/>
      <c r="T668" s="81"/>
      <c r="U668" s="81"/>
      <c r="V668" s="81"/>
      <c r="W668" s="81"/>
      <c r="X668" s="81"/>
      <c r="Y668" s="81"/>
      <c r="Z668" s="81"/>
    </row>
    <row r="669" customFormat="false" ht="12" hidden="false" customHeight="true" outlineLevel="0" collapsed="false">
      <c r="A669" s="91"/>
      <c r="B669" s="81"/>
      <c r="C669" s="81"/>
      <c r="D669" s="173"/>
      <c r="E669" s="173"/>
      <c r="F669" s="80"/>
      <c r="G669" s="173"/>
      <c r="H669" s="81"/>
      <c r="I669" s="81"/>
      <c r="J669" s="102"/>
      <c r="K669" s="102"/>
      <c r="L669" s="102"/>
      <c r="M669" s="102"/>
      <c r="N669" s="102"/>
      <c r="O669" s="102"/>
      <c r="P669" s="81"/>
      <c r="Q669" s="81"/>
      <c r="R669" s="81"/>
      <c r="S669" s="81"/>
      <c r="T669" s="81"/>
      <c r="U669" s="81"/>
      <c r="V669" s="81"/>
      <c r="W669" s="81"/>
      <c r="X669" s="81"/>
      <c r="Y669" s="81"/>
      <c r="Z669" s="81"/>
    </row>
    <row r="670" customFormat="false" ht="12" hidden="false" customHeight="true" outlineLevel="0" collapsed="false">
      <c r="A670" s="91"/>
      <c r="B670" s="81"/>
      <c r="C670" s="81"/>
      <c r="D670" s="173"/>
      <c r="E670" s="173"/>
      <c r="F670" s="80"/>
      <c r="G670" s="173"/>
      <c r="H670" s="81"/>
      <c r="I670" s="81"/>
      <c r="J670" s="102"/>
      <c r="K670" s="102"/>
      <c r="L670" s="102"/>
      <c r="M670" s="102"/>
      <c r="N670" s="102"/>
      <c r="O670" s="102"/>
      <c r="P670" s="81"/>
      <c r="Q670" s="81"/>
      <c r="R670" s="81"/>
      <c r="S670" s="81"/>
      <c r="T670" s="81"/>
      <c r="U670" s="81"/>
      <c r="V670" s="81"/>
      <c r="W670" s="81"/>
      <c r="X670" s="81"/>
      <c r="Y670" s="81"/>
      <c r="Z670" s="81"/>
    </row>
    <row r="671" customFormat="false" ht="12" hidden="false" customHeight="true" outlineLevel="0" collapsed="false">
      <c r="A671" s="91"/>
      <c r="B671" s="81"/>
      <c r="C671" s="81"/>
      <c r="D671" s="173"/>
      <c r="E671" s="173"/>
      <c r="F671" s="80"/>
      <c r="G671" s="173"/>
      <c r="H671" s="81"/>
      <c r="I671" s="81"/>
      <c r="J671" s="102"/>
      <c r="K671" s="102"/>
      <c r="L671" s="102"/>
      <c r="M671" s="102"/>
      <c r="N671" s="102"/>
      <c r="O671" s="102"/>
      <c r="P671" s="81"/>
      <c r="Q671" s="81"/>
      <c r="R671" s="81"/>
      <c r="S671" s="81"/>
      <c r="T671" s="81"/>
      <c r="U671" s="81"/>
      <c r="V671" s="81"/>
      <c r="W671" s="81"/>
      <c r="X671" s="81"/>
      <c r="Y671" s="81"/>
      <c r="Z671" s="81"/>
    </row>
    <row r="672" customFormat="false" ht="12" hidden="false" customHeight="true" outlineLevel="0" collapsed="false">
      <c r="A672" s="91"/>
      <c r="B672" s="81"/>
      <c r="C672" s="81"/>
      <c r="D672" s="173"/>
      <c r="E672" s="173"/>
      <c r="F672" s="80"/>
      <c r="G672" s="173"/>
      <c r="H672" s="81"/>
      <c r="I672" s="81"/>
      <c r="J672" s="102"/>
      <c r="K672" s="102"/>
      <c r="L672" s="102"/>
      <c r="M672" s="102"/>
      <c r="N672" s="102"/>
      <c r="O672" s="102"/>
      <c r="P672" s="81"/>
      <c r="Q672" s="81"/>
      <c r="R672" s="81"/>
      <c r="S672" s="81"/>
      <c r="T672" s="81"/>
      <c r="U672" s="81"/>
      <c r="V672" s="81"/>
      <c r="W672" s="81"/>
      <c r="X672" s="81"/>
      <c r="Y672" s="81"/>
      <c r="Z672" s="81"/>
    </row>
    <row r="673" customFormat="false" ht="12" hidden="false" customHeight="true" outlineLevel="0" collapsed="false">
      <c r="A673" s="91"/>
      <c r="B673" s="81"/>
      <c r="C673" s="81"/>
      <c r="D673" s="173"/>
      <c r="E673" s="173"/>
      <c r="F673" s="80"/>
      <c r="G673" s="173"/>
      <c r="H673" s="81"/>
      <c r="I673" s="81"/>
      <c r="J673" s="102"/>
      <c r="K673" s="102"/>
      <c r="L673" s="102"/>
      <c r="M673" s="102"/>
      <c r="N673" s="102"/>
      <c r="O673" s="102"/>
      <c r="P673" s="81"/>
      <c r="Q673" s="81"/>
      <c r="R673" s="81"/>
      <c r="S673" s="81"/>
      <c r="T673" s="81"/>
      <c r="U673" s="81"/>
      <c r="V673" s="81"/>
      <c r="W673" s="81"/>
      <c r="X673" s="81"/>
      <c r="Y673" s="81"/>
      <c r="Z673" s="81"/>
    </row>
    <row r="674" customFormat="false" ht="12" hidden="false" customHeight="true" outlineLevel="0" collapsed="false">
      <c r="A674" s="91"/>
      <c r="B674" s="81"/>
      <c r="C674" s="81"/>
      <c r="D674" s="173"/>
      <c r="E674" s="173"/>
      <c r="F674" s="80"/>
      <c r="G674" s="173"/>
      <c r="H674" s="81"/>
      <c r="I674" s="81"/>
      <c r="J674" s="102"/>
      <c r="K674" s="102"/>
      <c r="L674" s="102"/>
      <c r="M674" s="102"/>
      <c r="N674" s="102"/>
      <c r="O674" s="102"/>
      <c r="P674" s="81"/>
      <c r="Q674" s="81"/>
      <c r="R674" s="81"/>
      <c r="S674" s="81"/>
      <c r="T674" s="81"/>
      <c r="U674" s="81"/>
      <c r="V674" s="81"/>
      <c r="W674" s="81"/>
      <c r="X674" s="81"/>
      <c r="Y674" s="81"/>
      <c r="Z674" s="81"/>
    </row>
    <row r="675" customFormat="false" ht="12" hidden="false" customHeight="true" outlineLevel="0" collapsed="false">
      <c r="A675" s="91"/>
      <c r="B675" s="81"/>
      <c r="C675" s="81"/>
      <c r="D675" s="173"/>
      <c r="E675" s="173"/>
      <c r="F675" s="80"/>
      <c r="G675" s="173"/>
      <c r="H675" s="81"/>
      <c r="I675" s="81"/>
      <c r="J675" s="102"/>
      <c r="K675" s="102"/>
      <c r="L675" s="102"/>
      <c r="M675" s="102"/>
      <c r="N675" s="102"/>
      <c r="O675" s="102"/>
      <c r="P675" s="81"/>
      <c r="Q675" s="81"/>
      <c r="R675" s="81"/>
      <c r="S675" s="81"/>
      <c r="T675" s="81"/>
      <c r="U675" s="81"/>
      <c r="V675" s="81"/>
      <c r="W675" s="81"/>
      <c r="X675" s="81"/>
      <c r="Y675" s="81"/>
      <c r="Z675" s="81"/>
    </row>
    <row r="676" customFormat="false" ht="12" hidden="false" customHeight="true" outlineLevel="0" collapsed="false">
      <c r="A676" s="91"/>
      <c r="B676" s="81"/>
      <c r="C676" s="81"/>
      <c r="D676" s="173"/>
      <c r="E676" s="173"/>
      <c r="F676" s="80"/>
      <c r="G676" s="173"/>
      <c r="H676" s="81"/>
      <c r="I676" s="81"/>
      <c r="J676" s="102"/>
      <c r="K676" s="102"/>
      <c r="L676" s="102"/>
      <c r="M676" s="102"/>
      <c r="N676" s="102"/>
      <c r="O676" s="102"/>
      <c r="P676" s="81"/>
      <c r="Q676" s="81"/>
      <c r="R676" s="81"/>
      <c r="S676" s="81"/>
      <c r="T676" s="81"/>
      <c r="U676" s="81"/>
      <c r="V676" s="81"/>
      <c r="W676" s="81"/>
      <c r="X676" s="81"/>
      <c r="Y676" s="81"/>
      <c r="Z676" s="81"/>
    </row>
    <row r="677" customFormat="false" ht="12" hidden="false" customHeight="true" outlineLevel="0" collapsed="false">
      <c r="A677" s="91"/>
      <c r="B677" s="81"/>
      <c r="C677" s="81"/>
      <c r="D677" s="173"/>
      <c r="E677" s="173"/>
      <c r="F677" s="80"/>
      <c r="G677" s="173"/>
      <c r="H677" s="81"/>
      <c r="I677" s="81"/>
      <c r="J677" s="102"/>
      <c r="K677" s="102"/>
      <c r="L677" s="102"/>
      <c r="M677" s="102"/>
      <c r="N677" s="102"/>
      <c r="O677" s="102"/>
      <c r="P677" s="81"/>
      <c r="Q677" s="81"/>
      <c r="R677" s="81"/>
      <c r="S677" s="81"/>
      <c r="T677" s="81"/>
      <c r="U677" s="81"/>
      <c r="V677" s="81"/>
      <c r="W677" s="81"/>
      <c r="X677" s="81"/>
      <c r="Y677" s="81"/>
      <c r="Z677" s="81"/>
    </row>
    <row r="678" customFormat="false" ht="12" hidden="false" customHeight="true" outlineLevel="0" collapsed="false">
      <c r="A678" s="91"/>
      <c r="B678" s="81"/>
      <c r="C678" s="81"/>
      <c r="D678" s="173"/>
      <c r="E678" s="173"/>
      <c r="F678" s="80"/>
      <c r="G678" s="173"/>
      <c r="H678" s="81"/>
      <c r="I678" s="81"/>
      <c r="J678" s="102"/>
      <c r="K678" s="102"/>
      <c r="L678" s="102"/>
      <c r="M678" s="102"/>
      <c r="N678" s="102"/>
      <c r="O678" s="102"/>
      <c r="P678" s="81"/>
      <c r="Q678" s="81"/>
      <c r="R678" s="81"/>
      <c r="S678" s="81"/>
      <c r="T678" s="81"/>
      <c r="U678" s="81"/>
      <c r="V678" s="81"/>
      <c r="W678" s="81"/>
      <c r="X678" s="81"/>
      <c r="Y678" s="81"/>
      <c r="Z678" s="81"/>
    </row>
    <row r="679" customFormat="false" ht="12" hidden="false" customHeight="true" outlineLevel="0" collapsed="false">
      <c r="A679" s="91"/>
      <c r="B679" s="81"/>
      <c r="C679" s="81"/>
      <c r="D679" s="173"/>
      <c r="E679" s="173"/>
      <c r="F679" s="80"/>
      <c r="G679" s="173"/>
      <c r="H679" s="81"/>
      <c r="I679" s="81"/>
      <c r="J679" s="102"/>
      <c r="K679" s="102"/>
      <c r="L679" s="102"/>
      <c r="M679" s="102"/>
      <c r="N679" s="102"/>
      <c r="O679" s="102"/>
      <c r="P679" s="81"/>
      <c r="Q679" s="81"/>
      <c r="R679" s="81"/>
      <c r="S679" s="81"/>
      <c r="T679" s="81"/>
      <c r="U679" s="81"/>
      <c r="V679" s="81"/>
      <c r="W679" s="81"/>
      <c r="X679" s="81"/>
      <c r="Y679" s="81"/>
      <c r="Z679" s="81"/>
    </row>
    <row r="680" customFormat="false" ht="12" hidden="false" customHeight="true" outlineLevel="0" collapsed="false">
      <c r="A680" s="91"/>
      <c r="B680" s="81"/>
      <c r="C680" s="81"/>
      <c r="D680" s="173"/>
      <c r="E680" s="173"/>
      <c r="F680" s="80"/>
      <c r="G680" s="173"/>
      <c r="H680" s="81"/>
      <c r="I680" s="81"/>
      <c r="J680" s="102"/>
      <c r="K680" s="102"/>
      <c r="L680" s="102"/>
      <c r="M680" s="102"/>
      <c r="N680" s="102"/>
      <c r="O680" s="102"/>
      <c r="P680" s="81"/>
      <c r="Q680" s="81"/>
      <c r="R680" s="81"/>
      <c r="S680" s="81"/>
      <c r="T680" s="81"/>
      <c r="U680" s="81"/>
      <c r="V680" s="81"/>
      <c r="W680" s="81"/>
      <c r="X680" s="81"/>
      <c r="Y680" s="81"/>
      <c r="Z680" s="81"/>
    </row>
    <row r="681" customFormat="false" ht="12" hidden="false" customHeight="true" outlineLevel="0" collapsed="false">
      <c r="A681" s="91"/>
      <c r="B681" s="81"/>
      <c r="C681" s="81"/>
      <c r="D681" s="173"/>
      <c r="E681" s="173"/>
      <c r="F681" s="80"/>
      <c r="G681" s="173"/>
      <c r="H681" s="81"/>
      <c r="I681" s="81"/>
      <c r="J681" s="102"/>
      <c r="K681" s="102"/>
      <c r="L681" s="102"/>
      <c r="M681" s="102"/>
      <c r="N681" s="102"/>
      <c r="O681" s="102"/>
      <c r="P681" s="81"/>
      <c r="Q681" s="81"/>
      <c r="R681" s="81"/>
      <c r="S681" s="81"/>
      <c r="T681" s="81"/>
      <c r="U681" s="81"/>
      <c r="V681" s="81"/>
      <c r="W681" s="81"/>
      <c r="X681" s="81"/>
      <c r="Y681" s="81"/>
      <c r="Z681" s="81"/>
    </row>
    <row r="682" customFormat="false" ht="12" hidden="false" customHeight="true" outlineLevel="0" collapsed="false">
      <c r="A682" s="91"/>
      <c r="B682" s="81"/>
      <c r="C682" s="81"/>
      <c r="D682" s="173"/>
      <c r="E682" s="173"/>
      <c r="F682" s="80"/>
      <c r="G682" s="173"/>
      <c r="H682" s="81"/>
      <c r="I682" s="81"/>
      <c r="J682" s="102"/>
      <c r="K682" s="102"/>
      <c r="L682" s="102"/>
      <c r="M682" s="102"/>
      <c r="N682" s="102"/>
      <c r="O682" s="102"/>
      <c r="P682" s="81"/>
      <c r="Q682" s="81"/>
      <c r="R682" s="81"/>
      <c r="S682" s="81"/>
      <c r="T682" s="81"/>
      <c r="U682" s="81"/>
      <c r="V682" s="81"/>
      <c r="W682" s="81"/>
      <c r="X682" s="81"/>
      <c r="Y682" s="81"/>
      <c r="Z682" s="81"/>
    </row>
    <row r="683" customFormat="false" ht="12" hidden="false" customHeight="true" outlineLevel="0" collapsed="false">
      <c r="A683" s="91"/>
      <c r="B683" s="81"/>
      <c r="C683" s="81"/>
      <c r="D683" s="173"/>
      <c r="E683" s="173"/>
      <c r="F683" s="80"/>
      <c r="G683" s="173"/>
      <c r="H683" s="81"/>
      <c r="I683" s="81"/>
      <c r="J683" s="102"/>
      <c r="K683" s="102"/>
      <c r="L683" s="102"/>
      <c r="M683" s="102"/>
      <c r="N683" s="102"/>
      <c r="O683" s="102"/>
      <c r="P683" s="81"/>
      <c r="Q683" s="81"/>
      <c r="R683" s="81"/>
      <c r="S683" s="81"/>
      <c r="T683" s="81"/>
      <c r="U683" s="81"/>
      <c r="V683" s="81"/>
      <c r="W683" s="81"/>
      <c r="X683" s="81"/>
      <c r="Y683" s="81"/>
      <c r="Z683" s="81"/>
    </row>
    <row r="684" customFormat="false" ht="12" hidden="false" customHeight="true" outlineLevel="0" collapsed="false">
      <c r="A684" s="91"/>
      <c r="B684" s="81"/>
      <c r="C684" s="81"/>
      <c r="D684" s="173"/>
      <c r="E684" s="173"/>
      <c r="F684" s="80"/>
      <c r="G684" s="173"/>
      <c r="H684" s="81"/>
      <c r="I684" s="81"/>
      <c r="J684" s="102"/>
      <c r="K684" s="102"/>
      <c r="L684" s="102"/>
      <c r="M684" s="102"/>
      <c r="N684" s="102"/>
      <c r="O684" s="102"/>
      <c r="P684" s="81"/>
      <c r="Q684" s="81"/>
      <c r="R684" s="81"/>
      <c r="S684" s="81"/>
      <c r="T684" s="81"/>
      <c r="U684" s="81"/>
      <c r="V684" s="81"/>
      <c r="W684" s="81"/>
      <c r="X684" s="81"/>
      <c r="Y684" s="81"/>
      <c r="Z684" s="81"/>
    </row>
    <row r="685" customFormat="false" ht="12" hidden="false" customHeight="true" outlineLevel="0" collapsed="false">
      <c r="A685" s="91"/>
      <c r="B685" s="81"/>
      <c r="C685" s="81"/>
      <c r="D685" s="173"/>
      <c r="E685" s="173"/>
      <c r="F685" s="80"/>
      <c r="G685" s="173"/>
      <c r="H685" s="81"/>
      <c r="I685" s="81"/>
      <c r="J685" s="102"/>
      <c r="K685" s="102"/>
      <c r="L685" s="102"/>
      <c r="M685" s="102"/>
      <c r="N685" s="102"/>
      <c r="O685" s="102"/>
      <c r="P685" s="81"/>
      <c r="Q685" s="81"/>
      <c r="R685" s="81"/>
      <c r="S685" s="81"/>
      <c r="T685" s="81"/>
      <c r="U685" s="81"/>
      <c r="V685" s="81"/>
      <c r="W685" s="81"/>
      <c r="X685" s="81"/>
      <c r="Y685" s="81"/>
      <c r="Z685" s="81"/>
    </row>
    <row r="686" customFormat="false" ht="12" hidden="false" customHeight="true" outlineLevel="0" collapsed="false">
      <c r="A686" s="91"/>
      <c r="B686" s="81"/>
      <c r="C686" s="81"/>
      <c r="D686" s="173"/>
      <c r="E686" s="173"/>
      <c r="F686" s="80"/>
      <c r="G686" s="173"/>
      <c r="H686" s="81"/>
      <c r="I686" s="81"/>
      <c r="J686" s="102"/>
      <c r="K686" s="102"/>
      <c r="L686" s="102"/>
      <c r="M686" s="102"/>
      <c r="N686" s="102"/>
      <c r="O686" s="102"/>
      <c r="P686" s="81"/>
      <c r="Q686" s="81"/>
      <c r="R686" s="81"/>
      <c r="S686" s="81"/>
      <c r="T686" s="81"/>
      <c r="U686" s="81"/>
      <c r="V686" s="81"/>
      <c r="W686" s="81"/>
      <c r="X686" s="81"/>
      <c r="Y686" s="81"/>
      <c r="Z686" s="81"/>
    </row>
    <row r="687" customFormat="false" ht="12" hidden="false" customHeight="true" outlineLevel="0" collapsed="false">
      <c r="A687" s="91"/>
      <c r="B687" s="81"/>
      <c r="C687" s="81"/>
      <c r="D687" s="173"/>
      <c r="E687" s="173"/>
      <c r="F687" s="80"/>
      <c r="G687" s="173"/>
      <c r="H687" s="81"/>
      <c r="I687" s="81"/>
      <c r="J687" s="102"/>
      <c r="K687" s="102"/>
      <c r="L687" s="102"/>
      <c r="M687" s="102"/>
      <c r="N687" s="102"/>
      <c r="O687" s="102"/>
      <c r="P687" s="81"/>
      <c r="Q687" s="81"/>
      <c r="R687" s="81"/>
      <c r="S687" s="81"/>
      <c r="T687" s="81"/>
      <c r="U687" s="81"/>
      <c r="V687" s="81"/>
      <c r="W687" s="81"/>
      <c r="X687" s="81"/>
      <c r="Y687" s="81"/>
      <c r="Z687" s="81"/>
    </row>
    <row r="688" customFormat="false" ht="12" hidden="false" customHeight="true" outlineLevel="0" collapsed="false">
      <c r="A688" s="91"/>
      <c r="B688" s="81"/>
      <c r="C688" s="81"/>
      <c r="D688" s="173"/>
      <c r="E688" s="173"/>
      <c r="F688" s="80"/>
      <c r="G688" s="173"/>
      <c r="H688" s="81"/>
      <c r="I688" s="81"/>
      <c r="J688" s="102"/>
      <c r="K688" s="102"/>
      <c r="L688" s="102"/>
      <c r="M688" s="102"/>
      <c r="N688" s="102"/>
      <c r="O688" s="102"/>
      <c r="P688" s="81"/>
      <c r="Q688" s="81"/>
      <c r="R688" s="81"/>
      <c r="S688" s="81"/>
      <c r="T688" s="81"/>
      <c r="U688" s="81"/>
      <c r="V688" s="81"/>
      <c r="W688" s="81"/>
      <c r="X688" s="81"/>
      <c r="Y688" s="81"/>
      <c r="Z688" s="81"/>
    </row>
    <row r="689" customFormat="false" ht="12" hidden="false" customHeight="true" outlineLevel="0" collapsed="false">
      <c r="A689" s="91"/>
      <c r="B689" s="81"/>
      <c r="C689" s="81"/>
      <c r="D689" s="173"/>
      <c r="E689" s="173"/>
      <c r="F689" s="80"/>
      <c r="G689" s="173"/>
      <c r="H689" s="81"/>
      <c r="I689" s="81"/>
      <c r="J689" s="102"/>
      <c r="K689" s="102"/>
      <c r="L689" s="102"/>
      <c r="M689" s="102"/>
      <c r="N689" s="102"/>
      <c r="O689" s="102"/>
      <c r="P689" s="81"/>
      <c r="Q689" s="81"/>
      <c r="R689" s="81"/>
      <c r="S689" s="81"/>
      <c r="T689" s="81"/>
      <c r="U689" s="81"/>
      <c r="V689" s="81"/>
      <c r="W689" s="81"/>
      <c r="X689" s="81"/>
      <c r="Y689" s="81"/>
      <c r="Z689" s="81"/>
    </row>
    <row r="690" customFormat="false" ht="12" hidden="false" customHeight="true" outlineLevel="0" collapsed="false">
      <c r="A690" s="91"/>
      <c r="B690" s="81"/>
      <c r="C690" s="81"/>
      <c r="D690" s="173"/>
      <c r="E690" s="173"/>
      <c r="F690" s="80"/>
      <c r="G690" s="173"/>
      <c r="H690" s="81"/>
      <c r="I690" s="81"/>
      <c r="J690" s="102"/>
      <c r="K690" s="102"/>
      <c r="L690" s="102"/>
      <c r="M690" s="102"/>
      <c r="N690" s="102"/>
      <c r="O690" s="102"/>
      <c r="P690" s="81"/>
      <c r="Q690" s="81"/>
      <c r="R690" s="81"/>
      <c r="S690" s="81"/>
      <c r="T690" s="81"/>
      <c r="U690" s="81"/>
      <c r="V690" s="81"/>
      <c r="W690" s="81"/>
      <c r="X690" s="81"/>
      <c r="Y690" s="81"/>
      <c r="Z690" s="81"/>
    </row>
    <row r="691" customFormat="false" ht="12" hidden="false" customHeight="true" outlineLevel="0" collapsed="false">
      <c r="A691" s="91"/>
      <c r="B691" s="81"/>
      <c r="C691" s="81"/>
      <c r="D691" s="173"/>
      <c r="E691" s="173"/>
      <c r="F691" s="80"/>
      <c r="G691" s="173"/>
      <c r="H691" s="81"/>
      <c r="I691" s="81"/>
      <c r="J691" s="102"/>
      <c r="K691" s="102"/>
      <c r="L691" s="102"/>
      <c r="M691" s="102"/>
      <c r="N691" s="102"/>
      <c r="O691" s="102"/>
      <c r="P691" s="81"/>
      <c r="Q691" s="81"/>
      <c r="R691" s="81"/>
      <c r="S691" s="81"/>
      <c r="T691" s="81"/>
      <c r="U691" s="81"/>
      <c r="V691" s="81"/>
      <c r="W691" s="81"/>
      <c r="X691" s="81"/>
      <c r="Y691" s="81"/>
      <c r="Z691" s="81"/>
    </row>
    <row r="692" customFormat="false" ht="12" hidden="false" customHeight="true" outlineLevel="0" collapsed="false">
      <c r="A692" s="91"/>
      <c r="B692" s="81"/>
      <c r="C692" s="81"/>
      <c r="D692" s="173"/>
      <c r="E692" s="173"/>
      <c r="F692" s="80"/>
      <c r="G692" s="173"/>
      <c r="H692" s="81"/>
      <c r="I692" s="81"/>
      <c r="J692" s="102"/>
      <c r="K692" s="102"/>
      <c r="L692" s="102"/>
      <c r="M692" s="102"/>
      <c r="N692" s="102"/>
      <c r="O692" s="102"/>
      <c r="P692" s="81"/>
      <c r="Q692" s="81"/>
      <c r="R692" s="81"/>
      <c r="S692" s="81"/>
      <c r="T692" s="81"/>
      <c r="U692" s="81"/>
      <c r="V692" s="81"/>
      <c r="W692" s="81"/>
      <c r="X692" s="81"/>
      <c r="Y692" s="81"/>
      <c r="Z692" s="81"/>
    </row>
    <row r="693" customFormat="false" ht="12" hidden="false" customHeight="true" outlineLevel="0" collapsed="false">
      <c r="A693" s="91"/>
      <c r="B693" s="81"/>
      <c r="C693" s="81"/>
      <c r="D693" s="173"/>
      <c r="E693" s="173"/>
      <c r="F693" s="80"/>
      <c r="G693" s="173"/>
      <c r="H693" s="81"/>
      <c r="I693" s="81"/>
      <c r="J693" s="102"/>
      <c r="K693" s="102"/>
      <c r="L693" s="102"/>
      <c r="M693" s="102"/>
      <c r="N693" s="102"/>
      <c r="O693" s="102"/>
      <c r="P693" s="81"/>
      <c r="Q693" s="81"/>
      <c r="R693" s="81"/>
      <c r="S693" s="81"/>
      <c r="T693" s="81"/>
      <c r="U693" s="81"/>
      <c r="V693" s="81"/>
      <c r="W693" s="81"/>
      <c r="X693" s="81"/>
      <c r="Y693" s="81"/>
      <c r="Z693" s="81"/>
    </row>
    <row r="694" customFormat="false" ht="12" hidden="false" customHeight="true" outlineLevel="0" collapsed="false">
      <c r="A694" s="91"/>
      <c r="B694" s="81"/>
      <c r="C694" s="81"/>
      <c r="D694" s="173"/>
      <c r="E694" s="173"/>
      <c r="F694" s="80"/>
      <c r="G694" s="173"/>
      <c r="H694" s="81"/>
      <c r="I694" s="81"/>
      <c r="J694" s="102"/>
      <c r="K694" s="102"/>
      <c r="L694" s="102"/>
      <c r="M694" s="102"/>
      <c r="N694" s="102"/>
      <c r="O694" s="102"/>
      <c r="P694" s="81"/>
      <c r="Q694" s="81"/>
      <c r="R694" s="81"/>
      <c r="S694" s="81"/>
      <c r="T694" s="81"/>
      <c r="U694" s="81"/>
      <c r="V694" s="81"/>
      <c r="W694" s="81"/>
      <c r="X694" s="81"/>
      <c r="Y694" s="81"/>
      <c r="Z694" s="81"/>
    </row>
    <row r="695" customFormat="false" ht="12" hidden="false" customHeight="true" outlineLevel="0" collapsed="false">
      <c r="A695" s="91"/>
      <c r="B695" s="81"/>
      <c r="C695" s="81"/>
      <c r="D695" s="173"/>
      <c r="E695" s="173"/>
      <c r="F695" s="80"/>
      <c r="G695" s="173"/>
      <c r="H695" s="81"/>
      <c r="I695" s="81"/>
      <c r="J695" s="102"/>
      <c r="K695" s="102"/>
      <c r="L695" s="102"/>
      <c r="M695" s="102"/>
      <c r="N695" s="102"/>
      <c r="O695" s="102"/>
      <c r="P695" s="81"/>
      <c r="Q695" s="81"/>
      <c r="R695" s="81"/>
      <c r="S695" s="81"/>
      <c r="T695" s="81"/>
      <c r="U695" s="81"/>
      <c r="V695" s="81"/>
      <c r="W695" s="81"/>
      <c r="X695" s="81"/>
      <c r="Y695" s="81"/>
      <c r="Z695" s="81"/>
    </row>
    <row r="696" customFormat="false" ht="12" hidden="false" customHeight="true" outlineLevel="0" collapsed="false">
      <c r="A696" s="91"/>
      <c r="B696" s="81"/>
      <c r="C696" s="81"/>
      <c r="D696" s="173"/>
      <c r="E696" s="173"/>
      <c r="F696" s="80"/>
      <c r="G696" s="173"/>
      <c r="H696" s="81"/>
      <c r="I696" s="81"/>
      <c r="J696" s="102"/>
      <c r="K696" s="102"/>
      <c r="L696" s="102"/>
      <c r="M696" s="102"/>
      <c r="N696" s="102"/>
      <c r="O696" s="102"/>
      <c r="P696" s="81"/>
      <c r="Q696" s="81"/>
      <c r="R696" s="81"/>
      <c r="S696" s="81"/>
      <c r="T696" s="81"/>
      <c r="U696" s="81"/>
      <c r="V696" s="81"/>
      <c r="W696" s="81"/>
      <c r="X696" s="81"/>
      <c r="Y696" s="81"/>
      <c r="Z696" s="81"/>
    </row>
    <row r="697" customFormat="false" ht="12" hidden="false" customHeight="true" outlineLevel="0" collapsed="false">
      <c r="A697" s="91"/>
      <c r="B697" s="81"/>
      <c r="C697" s="81"/>
      <c r="D697" s="173"/>
      <c r="E697" s="173"/>
      <c r="F697" s="80"/>
      <c r="G697" s="173"/>
      <c r="H697" s="81"/>
      <c r="I697" s="81"/>
      <c r="J697" s="102"/>
      <c r="K697" s="102"/>
      <c r="L697" s="102"/>
      <c r="M697" s="102"/>
      <c r="N697" s="102"/>
      <c r="O697" s="102"/>
      <c r="P697" s="81"/>
      <c r="Q697" s="81"/>
      <c r="R697" s="81"/>
      <c r="S697" s="81"/>
      <c r="T697" s="81"/>
      <c r="U697" s="81"/>
      <c r="V697" s="81"/>
      <c r="W697" s="81"/>
      <c r="X697" s="81"/>
      <c r="Y697" s="81"/>
      <c r="Z697" s="81"/>
    </row>
    <row r="698" customFormat="false" ht="12" hidden="false" customHeight="true" outlineLevel="0" collapsed="false">
      <c r="A698" s="91"/>
      <c r="B698" s="81"/>
      <c r="C698" s="81"/>
      <c r="D698" s="173"/>
      <c r="E698" s="173"/>
      <c r="F698" s="80"/>
      <c r="G698" s="173"/>
      <c r="H698" s="81"/>
      <c r="I698" s="81"/>
      <c r="J698" s="102"/>
      <c r="K698" s="102"/>
      <c r="L698" s="102"/>
      <c r="M698" s="102"/>
      <c r="N698" s="102"/>
      <c r="O698" s="102"/>
      <c r="P698" s="81"/>
      <c r="Q698" s="81"/>
      <c r="R698" s="81"/>
      <c r="S698" s="81"/>
      <c r="T698" s="81"/>
      <c r="U698" s="81"/>
      <c r="V698" s="81"/>
      <c r="W698" s="81"/>
      <c r="X698" s="81"/>
      <c r="Y698" s="81"/>
      <c r="Z698" s="81"/>
    </row>
    <row r="699" customFormat="false" ht="12" hidden="false" customHeight="true" outlineLevel="0" collapsed="false">
      <c r="A699" s="91"/>
      <c r="B699" s="81"/>
      <c r="C699" s="81"/>
      <c r="D699" s="173"/>
      <c r="E699" s="173"/>
      <c r="F699" s="80"/>
      <c r="G699" s="173"/>
      <c r="H699" s="81"/>
      <c r="I699" s="81"/>
      <c r="J699" s="102"/>
      <c r="K699" s="102"/>
      <c r="L699" s="102"/>
      <c r="M699" s="102"/>
      <c r="N699" s="102"/>
      <c r="O699" s="102"/>
      <c r="P699" s="81"/>
      <c r="Q699" s="81"/>
      <c r="R699" s="81"/>
      <c r="S699" s="81"/>
      <c r="T699" s="81"/>
      <c r="U699" s="81"/>
      <c r="V699" s="81"/>
      <c r="W699" s="81"/>
      <c r="X699" s="81"/>
      <c r="Y699" s="81"/>
      <c r="Z699" s="81"/>
    </row>
    <row r="700" customFormat="false" ht="12" hidden="false" customHeight="true" outlineLevel="0" collapsed="false">
      <c r="A700" s="91"/>
      <c r="B700" s="81"/>
      <c r="C700" s="81"/>
      <c r="D700" s="173"/>
      <c r="E700" s="173"/>
      <c r="F700" s="80"/>
      <c r="G700" s="173"/>
      <c r="H700" s="81"/>
      <c r="I700" s="81"/>
      <c r="J700" s="102"/>
      <c r="K700" s="102"/>
      <c r="L700" s="102"/>
      <c r="M700" s="102"/>
      <c r="N700" s="102"/>
      <c r="O700" s="102"/>
      <c r="P700" s="81"/>
      <c r="Q700" s="81"/>
      <c r="R700" s="81"/>
      <c r="S700" s="81"/>
      <c r="T700" s="81"/>
      <c r="U700" s="81"/>
      <c r="V700" s="81"/>
      <c r="W700" s="81"/>
      <c r="X700" s="81"/>
      <c r="Y700" s="81"/>
      <c r="Z700" s="81"/>
    </row>
    <row r="701" customFormat="false" ht="12" hidden="false" customHeight="true" outlineLevel="0" collapsed="false">
      <c r="A701" s="91"/>
      <c r="B701" s="81"/>
      <c r="C701" s="81"/>
      <c r="D701" s="173"/>
      <c r="E701" s="173"/>
      <c r="F701" s="80"/>
      <c r="G701" s="173"/>
      <c r="H701" s="81"/>
      <c r="I701" s="81"/>
      <c r="J701" s="102"/>
      <c r="K701" s="102"/>
      <c r="L701" s="102"/>
      <c r="M701" s="102"/>
      <c r="N701" s="102"/>
      <c r="O701" s="102"/>
      <c r="P701" s="81"/>
      <c r="Q701" s="81"/>
      <c r="R701" s="81"/>
      <c r="S701" s="81"/>
      <c r="T701" s="81"/>
      <c r="U701" s="81"/>
      <c r="V701" s="81"/>
      <c r="W701" s="81"/>
      <c r="X701" s="81"/>
      <c r="Y701" s="81"/>
      <c r="Z701" s="81"/>
    </row>
    <row r="702" customFormat="false" ht="12" hidden="false" customHeight="true" outlineLevel="0" collapsed="false">
      <c r="A702" s="91"/>
      <c r="B702" s="81"/>
      <c r="C702" s="81"/>
      <c r="D702" s="173"/>
      <c r="E702" s="173"/>
      <c r="F702" s="80"/>
      <c r="G702" s="173"/>
      <c r="H702" s="81"/>
      <c r="I702" s="81"/>
      <c r="J702" s="102"/>
      <c r="K702" s="102"/>
      <c r="L702" s="102"/>
      <c r="M702" s="102"/>
      <c r="N702" s="102"/>
      <c r="O702" s="102"/>
      <c r="P702" s="81"/>
      <c r="Q702" s="81"/>
      <c r="R702" s="81"/>
      <c r="S702" s="81"/>
      <c r="T702" s="81"/>
      <c r="U702" s="81"/>
      <c r="V702" s="81"/>
      <c r="W702" s="81"/>
      <c r="X702" s="81"/>
      <c r="Y702" s="81"/>
      <c r="Z702" s="81"/>
    </row>
    <row r="703" customFormat="false" ht="12" hidden="false" customHeight="true" outlineLevel="0" collapsed="false">
      <c r="A703" s="91"/>
      <c r="B703" s="81"/>
      <c r="C703" s="81"/>
      <c r="D703" s="173"/>
      <c r="E703" s="173"/>
      <c r="F703" s="80"/>
      <c r="G703" s="173"/>
      <c r="H703" s="81"/>
      <c r="I703" s="81"/>
      <c r="J703" s="102"/>
      <c r="K703" s="102"/>
      <c r="L703" s="102"/>
      <c r="M703" s="102"/>
      <c r="N703" s="102"/>
      <c r="O703" s="102"/>
      <c r="P703" s="81"/>
      <c r="Q703" s="81"/>
      <c r="R703" s="81"/>
      <c r="S703" s="81"/>
      <c r="T703" s="81"/>
      <c r="U703" s="81"/>
      <c r="V703" s="81"/>
      <c r="W703" s="81"/>
      <c r="X703" s="81"/>
      <c r="Y703" s="81"/>
      <c r="Z703" s="81"/>
    </row>
    <row r="704" customFormat="false" ht="12" hidden="false" customHeight="true" outlineLevel="0" collapsed="false">
      <c r="A704" s="91"/>
      <c r="B704" s="81"/>
      <c r="C704" s="81"/>
      <c r="D704" s="173"/>
      <c r="E704" s="173"/>
      <c r="F704" s="80"/>
      <c r="G704" s="173"/>
      <c r="H704" s="81"/>
      <c r="I704" s="81"/>
      <c r="J704" s="102"/>
      <c r="K704" s="102"/>
      <c r="L704" s="102"/>
      <c r="M704" s="102"/>
      <c r="N704" s="102"/>
      <c r="O704" s="102"/>
      <c r="P704" s="81"/>
      <c r="Q704" s="81"/>
      <c r="R704" s="81"/>
      <c r="S704" s="81"/>
      <c r="T704" s="81"/>
      <c r="U704" s="81"/>
      <c r="V704" s="81"/>
      <c r="W704" s="81"/>
      <c r="X704" s="81"/>
      <c r="Y704" s="81"/>
      <c r="Z704" s="81"/>
    </row>
    <row r="705" customFormat="false" ht="12" hidden="false" customHeight="true" outlineLevel="0" collapsed="false">
      <c r="A705" s="91"/>
      <c r="B705" s="81"/>
      <c r="C705" s="81"/>
      <c r="D705" s="173"/>
      <c r="E705" s="173"/>
      <c r="F705" s="80"/>
      <c r="G705" s="173"/>
      <c r="H705" s="81"/>
      <c r="I705" s="81"/>
      <c r="J705" s="102"/>
      <c r="K705" s="102"/>
      <c r="L705" s="102"/>
      <c r="M705" s="102"/>
      <c r="N705" s="102"/>
      <c r="O705" s="102"/>
      <c r="P705" s="81"/>
      <c r="Q705" s="81"/>
      <c r="R705" s="81"/>
      <c r="S705" s="81"/>
      <c r="T705" s="81"/>
      <c r="U705" s="81"/>
      <c r="V705" s="81"/>
      <c r="W705" s="81"/>
      <c r="X705" s="81"/>
      <c r="Y705" s="81"/>
      <c r="Z705" s="81"/>
    </row>
    <row r="706" customFormat="false" ht="12" hidden="false" customHeight="true" outlineLevel="0" collapsed="false">
      <c r="A706" s="91"/>
      <c r="B706" s="81"/>
      <c r="C706" s="81"/>
      <c r="D706" s="173"/>
      <c r="E706" s="173"/>
      <c r="F706" s="80"/>
      <c r="G706" s="173"/>
      <c r="H706" s="81"/>
      <c r="I706" s="81"/>
      <c r="J706" s="102"/>
      <c r="K706" s="102"/>
      <c r="L706" s="102"/>
      <c r="M706" s="102"/>
      <c r="N706" s="102"/>
      <c r="O706" s="102"/>
      <c r="P706" s="81"/>
      <c r="Q706" s="81"/>
      <c r="R706" s="81"/>
      <c r="S706" s="81"/>
      <c r="T706" s="81"/>
      <c r="U706" s="81"/>
      <c r="V706" s="81"/>
      <c r="W706" s="81"/>
      <c r="X706" s="81"/>
      <c r="Y706" s="81"/>
      <c r="Z706" s="81"/>
    </row>
    <row r="707" customFormat="false" ht="12" hidden="false" customHeight="true" outlineLevel="0" collapsed="false">
      <c r="A707" s="91"/>
      <c r="B707" s="81"/>
      <c r="C707" s="81"/>
      <c r="D707" s="173"/>
      <c r="E707" s="173"/>
      <c r="F707" s="80"/>
      <c r="G707" s="173"/>
      <c r="H707" s="81"/>
      <c r="I707" s="81"/>
      <c r="J707" s="102"/>
      <c r="K707" s="102"/>
      <c r="L707" s="102"/>
      <c r="M707" s="102"/>
      <c r="N707" s="102"/>
      <c r="O707" s="102"/>
      <c r="P707" s="81"/>
      <c r="Q707" s="81"/>
      <c r="R707" s="81"/>
      <c r="S707" s="81"/>
      <c r="T707" s="81"/>
      <c r="U707" s="81"/>
      <c r="V707" s="81"/>
      <c r="W707" s="81"/>
      <c r="X707" s="81"/>
      <c r="Y707" s="81"/>
      <c r="Z707" s="81"/>
    </row>
    <row r="708" customFormat="false" ht="12" hidden="false" customHeight="true" outlineLevel="0" collapsed="false">
      <c r="A708" s="91"/>
      <c r="B708" s="81"/>
      <c r="C708" s="81"/>
      <c r="D708" s="173"/>
      <c r="E708" s="173"/>
      <c r="F708" s="80"/>
      <c r="G708" s="173"/>
      <c r="H708" s="81"/>
      <c r="I708" s="81"/>
      <c r="J708" s="102"/>
      <c r="K708" s="102"/>
      <c r="L708" s="102"/>
      <c r="M708" s="102"/>
      <c r="N708" s="102"/>
      <c r="O708" s="102"/>
      <c r="P708" s="81"/>
      <c r="Q708" s="81"/>
      <c r="R708" s="81"/>
      <c r="S708" s="81"/>
      <c r="T708" s="81"/>
      <c r="U708" s="81"/>
      <c r="V708" s="81"/>
      <c r="W708" s="81"/>
      <c r="X708" s="81"/>
      <c r="Y708" s="81"/>
      <c r="Z708" s="81"/>
    </row>
    <row r="709" customFormat="false" ht="12" hidden="false" customHeight="true" outlineLevel="0" collapsed="false">
      <c r="A709" s="91"/>
      <c r="B709" s="81"/>
      <c r="C709" s="81"/>
      <c r="D709" s="173"/>
      <c r="E709" s="173"/>
      <c r="F709" s="80"/>
      <c r="G709" s="173"/>
      <c r="H709" s="81"/>
      <c r="I709" s="81"/>
      <c r="J709" s="102"/>
      <c r="K709" s="102"/>
      <c r="L709" s="102"/>
      <c r="M709" s="102"/>
      <c r="N709" s="102"/>
      <c r="O709" s="102"/>
      <c r="P709" s="81"/>
      <c r="Q709" s="81"/>
      <c r="R709" s="81"/>
      <c r="S709" s="81"/>
      <c r="T709" s="81"/>
      <c r="U709" s="81"/>
      <c r="V709" s="81"/>
      <c r="W709" s="81"/>
      <c r="X709" s="81"/>
      <c r="Y709" s="81"/>
      <c r="Z709" s="81"/>
    </row>
    <row r="710" customFormat="false" ht="12" hidden="false" customHeight="true" outlineLevel="0" collapsed="false">
      <c r="A710" s="91"/>
      <c r="B710" s="81"/>
      <c r="C710" s="81"/>
      <c r="D710" s="173"/>
      <c r="E710" s="173"/>
      <c r="F710" s="80"/>
      <c r="G710" s="173"/>
      <c r="H710" s="81"/>
      <c r="I710" s="81"/>
      <c r="J710" s="102"/>
      <c r="K710" s="102"/>
      <c r="L710" s="102"/>
      <c r="M710" s="102"/>
      <c r="N710" s="102"/>
      <c r="O710" s="102"/>
      <c r="P710" s="81"/>
      <c r="Q710" s="81"/>
      <c r="R710" s="81"/>
      <c r="S710" s="81"/>
      <c r="T710" s="81"/>
      <c r="U710" s="81"/>
      <c r="V710" s="81"/>
      <c r="W710" s="81"/>
      <c r="X710" s="81"/>
      <c r="Y710" s="81"/>
      <c r="Z710" s="81"/>
    </row>
    <row r="711" customFormat="false" ht="12" hidden="false" customHeight="true" outlineLevel="0" collapsed="false">
      <c r="A711" s="91"/>
      <c r="B711" s="81"/>
      <c r="C711" s="81"/>
      <c r="D711" s="173"/>
      <c r="E711" s="173"/>
      <c r="F711" s="80"/>
      <c r="G711" s="173"/>
      <c r="H711" s="81"/>
      <c r="I711" s="81"/>
      <c r="J711" s="102"/>
      <c r="K711" s="102"/>
      <c r="L711" s="102"/>
      <c r="M711" s="102"/>
      <c r="N711" s="102"/>
      <c r="O711" s="102"/>
      <c r="P711" s="81"/>
      <c r="Q711" s="81"/>
      <c r="R711" s="81"/>
      <c r="S711" s="81"/>
      <c r="T711" s="81"/>
      <c r="U711" s="81"/>
      <c r="V711" s="81"/>
      <c r="W711" s="81"/>
      <c r="X711" s="81"/>
      <c r="Y711" s="81"/>
      <c r="Z711" s="81"/>
    </row>
    <row r="712" customFormat="false" ht="12" hidden="false" customHeight="true" outlineLevel="0" collapsed="false">
      <c r="A712" s="91"/>
      <c r="B712" s="81"/>
      <c r="C712" s="81"/>
      <c r="D712" s="173"/>
      <c r="E712" s="173"/>
      <c r="F712" s="80"/>
      <c r="G712" s="173"/>
      <c r="H712" s="81"/>
      <c r="I712" s="81"/>
      <c r="J712" s="102"/>
      <c r="K712" s="102"/>
      <c r="L712" s="102"/>
      <c r="M712" s="102"/>
      <c r="N712" s="102"/>
      <c r="O712" s="102"/>
      <c r="P712" s="81"/>
      <c r="Q712" s="81"/>
      <c r="R712" s="81"/>
      <c r="S712" s="81"/>
      <c r="T712" s="81"/>
      <c r="U712" s="81"/>
      <c r="V712" s="81"/>
      <c r="W712" s="81"/>
      <c r="X712" s="81"/>
      <c r="Y712" s="81"/>
      <c r="Z712" s="81"/>
    </row>
    <row r="713" customFormat="false" ht="12" hidden="false" customHeight="true" outlineLevel="0" collapsed="false">
      <c r="A713" s="91"/>
      <c r="B713" s="81"/>
      <c r="C713" s="81"/>
      <c r="D713" s="173"/>
      <c r="E713" s="173"/>
      <c r="F713" s="80"/>
      <c r="G713" s="173"/>
      <c r="H713" s="81"/>
      <c r="I713" s="81"/>
      <c r="J713" s="102"/>
      <c r="K713" s="102"/>
      <c r="L713" s="102"/>
      <c r="M713" s="102"/>
      <c r="N713" s="102"/>
      <c r="O713" s="102"/>
      <c r="P713" s="81"/>
      <c r="Q713" s="81"/>
      <c r="R713" s="81"/>
      <c r="S713" s="81"/>
      <c r="T713" s="81"/>
      <c r="U713" s="81"/>
      <c r="V713" s="81"/>
      <c r="W713" s="81"/>
      <c r="X713" s="81"/>
      <c r="Y713" s="81"/>
      <c r="Z713" s="81"/>
    </row>
    <row r="714" customFormat="false" ht="12" hidden="false" customHeight="true" outlineLevel="0" collapsed="false">
      <c r="A714" s="91"/>
      <c r="B714" s="81"/>
      <c r="C714" s="81"/>
      <c r="D714" s="173"/>
      <c r="E714" s="173"/>
      <c r="F714" s="80"/>
      <c r="G714" s="173"/>
      <c r="H714" s="81"/>
      <c r="I714" s="81"/>
      <c r="J714" s="102"/>
      <c r="K714" s="102"/>
      <c r="L714" s="102"/>
      <c r="M714" s="102"/>
      <c r="N714" s="102"/>
      <c r="O714" s="102"/>
      <c r="P714" s="81"/>
      <c r="Q714" s="81"/>
      <c r="R714" s="81"/>
      <c r="S714" s="81"/>
      <c r="T714" s="81"/>
      <c r="U714" s="81"/>
      <c r="V714" s="81"/>
      <c r="W714" s="81"/>
      <c r="X714" s="81"/>
      <c r="Y714" s="81"/>
      <c r="Z714" s="81"/>
    </row>
    <row r="715" customFormat="false" ht="12" hidden="false" customHeight="true" outlineLevel="0" collapsed="false">
      <c r="A715" s="91"/>
      <c r="B715" s="81"/>
      <c r="C715" s="81"/>
      <c r="D715" s="173"/>
      <c r="E715" s="173"/>
      <c r="F715" s="80"/>
      <c r="G715" s="173"/>
      <c r="H715" s="81"/>
      <c r="I715" s="81"/>
      <c r="J715" s="102"/>
      <c r="K715" s="102"/>
      <c r="L715" s="102"/>
      <c r="M715" s="102"/>
      <c r="N715" s="102"/>
      <c r="O715" s="102"/>
      <c r="P715" s="81"/>
      <c r="Q715" s="81"/>
      <c r="R715" s="81"/>
      <c r="S715" s="81"/>
      <c r="T715" s="81"/>
      <c r="U715" s="81"/>
      <c r="V715" s="81"/>
      <c r="W715" s="81"/>
      <c r="X715" s="81"/>
      <c r="Y715" s="81"/>
      <c r="Z715" s="81"/>
    </row>
    <row r="716" customFormat="false" ht="12" hidden="false" customHeight="true" outlineLevel="0" collapsed="false">
      <c r="A716" s="91"/>
      <c r="B716" s="81"/>
      <c r="C716" s="81"/>
      <c r="D716" s="173"/>
      <c r="E716" s="173"/>
      <c r="F716" s="80"/>
      <c r="G716" s="173"/>
      <c r="H716" s="81"/>
      <c r="I716" s="81"/>
      <c r="J716" s="102"/>
      <c r="K716" s="102"/>
      <c r="L716" s="102"/>
      <c r="M716" s="102"/>
      <c r="N716" s="102"/>
      <c r="O716" s="102"/>
      <c r="P716" s="81"/>
      <c r="Q716" s="81"/>
      <c r="R716" s="81"/>
      <c r="S716" s="81"/>
      <c r="T716" s="81"/>
      <c r="U716" s="81"/>
      <c r="V716" s="81"/>
      <c r="W716" s="81"/>
      <c r="X716" s="81"/>
      <c r="Y716" s="81"/>
      <c r="Z716" s="81"/>
    </row>
    <row r="717" customFormat="false" ht="12" hidden="false" customHeight="true" outlineLevel="0" collapsed="false">
      <c r="A717" s="91"/>
      <c r="B717" s="81"/>
      <c r="C717" s="81"/>
      <c r="D717" s="173"/>
      <c r="E717" s="173"/>
      <c r="F717" s="80"/>
      <c r="G717" s="173"/>
      <c r="H717" s="81"/>
      <c r="I717" s="81"/>
      <c r="J717" s="102"/>
      <c r="K717" s="102"/>
      <c r="L717" s="102"/>
      <c r="M717" s="102"/>
      <c r="N717" s="102"/>
      <c r="O717" s="102"/>
      <c r="P717" s="81"/>
      <c r="Q717" s="81"/>
      <c r="R717" s="81"/>
      <c r="S717" s="81"/>
      <c r="T717" s="81"/>
      <c r="U717" s="81"/>
      <c r="V717" s="81"/>
      <c r="W717" s="81"/>
      <c r="X717" s="81"/>
      <c r="Y717" s="81"/>
      <c r="Z717" s="81"/>
    </row>
    <row r="718" customFormat="false" ht="12" hidden="false" customHeight="true" outlineLevel="0" collapsed="false">
      <c r="A718" s="91"/>
      <c r="B718" s="81"/>
      <c r="C718" s="81"/>
      <c r="D718" s="173"/>
      <c r="E718" s="173"/>
      <c r="F718" s="80"/>
      <c r="G718" s="173"/>
      <c r="H718" s="81"/>
      <c r="I718" s="81"/>
      <c r="J718" s="102"/>
      <c r="K718" s="102"/>
      <c r="L718" s="102"/>
      <c r="M718" s="102"/>
      <c r="N718" s="102"/>
      <c r="O718" s="102"/>
      <c r="P718" s="81"/>
      <c r="Q718" s="81"/>
      <c r="R718" s="81"/>
      <c r="S718" s="81"/>
      <c r="T718" s="81"/>
      <c r="U718" s="81"/>
      <c r="V718" s="81"/>
      <c r="W718" s="81"/>
      <c r="X718" s="81"/>
      <c r="Y718" s="81"/>
      <c r="Z718" s="81"/>
    </row>
    <row r="719" customFormat="false" ht="12" hidden="false" customHeight="true" outlineLevel="0" collapsed="false">
      <c r="A719" s="91"/>
      <c r="B719" s="81"/>
      <c r="C719" s="81"/>
      <c r="D719" s="173"/>
      <c r="E719" s="173"/>
      <c r="F719" s="80"/>
      <c r="G719" s="173"/>
      <c r="H719" s="81"/>
      <c r="I719" s="81"/>
      <c r="J719" s="102"/>
      <c r="K719" s="102"/>
      <c r="L719" s="102"/>
      <c r="M719" s="102"/>
      <c r="N719" s="102"/>
      <c r="O719" s="102"/>
      <c r="P719" s="81"/>
      <c r="Q719" s="81"/>
      <c r="R719" s="81"/>
      <c r="S719" s="81"/>
      <c r="T719" s="81"/>
      <c r="U719" s="81"/>
      <c r="V719" s="81"/>
      <c r="W719" s="81"/>
      <c r="X719" s="81"/>
      <c r="Y719" s="81"/>
      <c r="Z719" s="81"/>
    </row>
    <row r="720" customFormat="false" ht="12" hidden="false" customHeight="true" outlineLevel="0" collapsed="false">
      <c r="A720" s="91"/>
      <c r="B720" s="81"/>
      <c r="C720" s="81"/>
      <c r="D720" s="173"/>
      <c r="E720" s="173"/>
      <c r="F720" s="80"/>
      <c r="G720" s="173"/>
      <c r="H720" s="81"/>
      <c r="I720" s="81"/>
      <c r="J720" s="102"/>
      <c r="K720" s="102"/>
      <c r="L720" s="102"/>
      <c r="M720" s="102"/>
      <c r="N720" s="102"/>
      <c r="O720" s="102"/>
      <c r="P720" s="81"/>
      <c r="Q720" s="81"/>
      <c r="R720" s="81"/>
      <c r="S720" s="81"/>
      <c r="T720" s="81"/>
      <c r="U720" s="81"/>
      <c r="V720" s="81"/>
      <c r="W720" s="81"/>
      <c r="X720" s="81"/>
      <c r="Y720" s="81"/>
      <c r="Z720" s="81"/>
    </row>
    <row r="721" customFormat="false" ht="12" hidden="false" customHeight="true" outlineLevel="0" collapsed="false">
      <c r="A721" s="91"/>
      <c r="B721" s="81"/>
      <c r="C721" s="81"/>
      <c r="D721" s="173"/>
      <c r="E721" s="173"/>
      <c r="F721" s="80"/>
      <c r="G721" s="173"/>
      <c r="H721" s="81"/>
      <c r="I721" s="81"/>
      <c r="J721" s="102"/>
      <c r="K721" s="102"/>
      <c r="L721" s="102"/>
      <c r="M721" s="102"/>
      <c r="N721" s="102"/>
      <c r="O721" s="102"/>
      <c r="P721" s="81"/>
      <c r="Q721" s="81"/>
      <c r="R721" s="81"/>
      <c r="S721" s="81"/>
      <c r="T721" s="81"/>
      <c r="U721" s="81"/>
      <c r="V721" s="81"/>
      <c r="W721" s="81"/>
      <c r="X721" s="81"/>
      <c r="Y721" s="81"/>
      <c r="Z721" s="81"/>
    </row>
    <row r="722" customFormat="false" ht="12" hidden="false" customHeight="true" outlineLevel="0" collapsed="false">
      <c r="A722" s="91"/>
      <c r="B722" s="81"/>
      <c r="C722" s="81"/>
      <c r="D722" s="173"/>
      <c r="E722" s="173"/>
      <c r="F722" s="80"/>
      <c r="G722" s="173"/>
      <c r="H722" s="81"/>
      <c r="I722" s="81"/>
      <c r="J722" s="102"/>
      <c r="K722" s="102"/>
      <c r="L722" s="102"/>
      <c r="M722" s="102"/>
      <c r="N722" s="102"/>
      <c r="O722" s="102"/>
      <c r="P722" s="81"/>
      <c r="Q722" s="81"/>
      <c r="R722" s="81"/>
      <c r="S722" s="81"/>
      <c r="T722" s="81"/>
      <c r="U722" s="81"/>
      <c r="V722" s="81"/>
      <c r="W722" s="81"/>
      <c r="X722" s="81"/>
      <c r="Y722" s="81"/>
      <c r="Z722" s="81"/>
    </row>
    <row r="723" customFormat="false" ht="12" hidden="false" customHeight="true" outlineLevel="0" collapsed="false">
      <c r="A723" s="91"/>
      <c r="B723" s="81"/>
      <c r="C723" s="81"/>
      <c r="D723" s="173"/>
      <c r="E723" s="173"/>
      <c r="F723" s="80"/>
      <c r="G723" s="173"/>
      <c r="H723" s="81"/>
      <c r="I723" s="81"/>
      <c r="J723" s="102"/>
      <c r="K723" s="102"/>
      <c r="L723" s="102"/>
      <c r="M723" s="102"/>
      <c r="N723" s="102"/>
      <c r="O723" s="102"/>
      <c r="P723" s="81"/>
      <c r="Q723" s="81"/>
      <c r="R723" s="81"/>
      <c r="S723" s="81"/>
      <c r="T723" s="81"/>
      <c r="U723" s="81"/>
      <c r="V723" s="81"/>
      <c r="W723" s="81"/>
      <c r="X723" s="81"/>
      <c r="Y723" s="81"/>
      <c r="Z723" s="81"/>
    </row>
    <row r="724" customFormat="false" ht="12" hidden="false" customHeight="true" outlineLevel="0" collapsed="false">
      <c r="A724" s="91"/>
      <c r="B724" s="81"/>
      <c r="C724" s="81"/>
      <c r="D724" s="173"/>
      <c r="E724" s="173"/>
      <c r="F724" s="80"/>
      <c r="G724" s="173"/>
      <c r="H724" s="81"/>
      <c r="I724" s="81"/>
      <c r="J724" s="102"/>
      <c r="K724" s="102"/>
      <c r="L724" s="102"/>
      <c r="M724" s="102"/>
      <c r="N724" s="102"/>
      <c r="O724" s="102"/>
      <c r="P724" s="81"/>
      <c r="Q724" s="81"/>
      <c r="R724" s="81"/>
      <c r="S724" s="81"/>
      <c r="T724" s="81"/>
      <c r="U724" s="81"/>
      <c r="V724" s="81"/>
      <c r="W724" s="81"/>
      <c r="X724" s="81"/>
      <c r="Y724" s="81"/>
      <c r="Z724" s="81"/>
    </row>
    <row r="725" customFormat="false" ht="12" hidden="false" customHeight="true" outlineLevel="0" collapsed="false">
      <c r="A725" s="91"/>
      <c r="B725" s="81"/>
      <c r="C725" s="81"/>
      <c r="D725" s="173"/>
      <c r="E725" s="173"/>
      <c r="F725" s="80"/>
      <c r="G725" s="173"/>
      <c r="H725" s="81"/>
      <c r="I725" s="81"/>
      <c r="J725" s="102"/>
      <c r="K725" s="102"/>
      <c r="L725" s="102"/>
      <c r="M725" s="102"/>
      <c r="N725" s="102"/>
      <c r="O725" s="102"/>
      <c r="P725" s="81"/>
      <c r="Q725" s="81"/>
      <c r="R725" s="81"/>
      <c r="S725" s="81"/>
      <c r="T725" s="81"/>
      <c r="U725" s="81"/>
      <c r="V725" s="81"/>
      <c r="W725" s="81"/>
      <c r="X725" s="81"/>
      <c r="Y725" s="81"/>
      <c r="Z725" s="81"/>
    </row>
    <row r="726" customFormat="false" ht="12" hidden="false" customHeight="true" outlineLevel="0" collapsed="false">
      <c r="A726" s="91"/>
      <c r="B726" s="81"/>
      <c r="C726" s="81"/>
      <c r="D726" s="173"/>
      <c r="E726" s="173"/>
      <c r="F726" s="80"/>
      <c r="G726" s="173"/>
      <c r="H726" s="81"/>
      <c r="I726" s="81"/>
      <c r="J726" s="102"/>
      <c r="K726" s="102"/>
      <c r="L726" s="102"/>
      <c r="M726" s="102"/>
      <c r="N726" s="102"/>
      <c r="O726" s="102"/>
      <c r="P726" s="81"/>
      <c r="Q726" s="81"/>
      <c r="R726" s="81"/>
      <c r="S726" s="81"/>
      <c r="T726" s="81"/>
      <c r="U726" s="81"/>
      <c r="V726" s="81"/>
      <c r="W726" s="81"/>
      <c r="X726" s="81"/>
      <c r="Y726" s="81"/>
      <c r="Z726" s="81"/>
    </row>
    <row r="727" customFormat="false" ht="12" hidden="false" customHeight="true" outlineLevel="0" collapsed="false">
      <c r="A727" s="91"/>
      <c r="B727" s="81"/>
      <c r="C727" s="81"/>
      <c r="D727" s="173"/>
      <c r="E727" s="173"/>
      <c r="F727" s="80"/>
      <c r="G727" s="173"/>
      <c r="H727" s="81"/>
      <c r="I727" s="81"/>
      <c r="J727" s="102"/>
      <c r="K727" s="102"/>
      <c r="L727" s="102"/>
      <c r="M727" s="102"/>
      <c r="N727" s="102"/>
      <c r="O727" s="102"/>
      <c r="P727" s="81"/>
      <c r="Q727" s="81"/>
      <c r="R727" s="81"/>
      <c r="S727" s="81"/>
      <c r="T727" s="81"/>
      <c r="U727" s="81"/>
      <c r="V727" s="81"/>
      <c r="W727" s="81"/>
      <c r="X727" s="81"/>
      <c r="Y727" s="81"/>
      <c r="Z727" s="81"/>
    </row>
    <row r="728" customFormat="false" ht="12" hidden="false" customHeight="true" outlineLevel="0" collapsed="false">
      <c r="A728" s="91"/>
      <c r="B728" s="81"/>
      <c r="C728" s="81"/>
      <c r="D728" s="173"/>
      <c r="E728" s="173"/>
      <c r="F728" s="80"/>
      <c r="G728" s="173"/>
      <c r="H728" s="81"/>
      <c r="I728" s="81"/>
      <c r="J728" s="102"/>
      <c r="K728" s="102"/>
      <c r="L728" s="102"/>
      <c r="M728" s="102"/>
      <c r="N728" s="102"/>
      <c r="O728" s="102"/>
      <c r="P728" s="81"/>
      <c r="Q728" s="81"/>
      <c r="R728" s="81"/>
      <c r="S728" s="81"/>
      <c r="T728" s="81"/>
      <c r="U728" s="81"/>
      <c r="V728" s="81"/>
      <c r="W728" s="81"/>
      <c r="X728" s="81"/>
      <c r="Y728" s="81"/>
      <c r="Z728" s="81"/>
    </row>
    <row r="729" customFormat="false" ht="12" hidden="false" customHeight="true" outlineLevel="0" collapsed="false">
      <c r="A729" s="91"/>
      <c r="B729" s="81"/>
      <c r="C729" s="81"/>
      <c r="D729" s="173"/>
      <c r="E729" s="173"/>
      <c r="F729" s="80"/>
      <c r="G729" s="173"/>
      <c r="H729" s="81"/>
      <c r="I729" s="81"/>
      <c r="J729" s="102"/>
      <c r="K729" s="102"/>
      <c r="L729" s="102"/>
      <c r="M729" s="102"/>
      <c r="N729" s="102"/>
      <c r="O729" s="102"/>
      <c r="P729" s="81"/>
      <c r="Q729" s="81"/>
      <c r="R729" s="81"/>
      <c r="S729" s="81"/>
      <c r="T729" s="81"/>
      <c r="U729" s="81"/>
      <c r="V729" s="81"/>
      <c r="W729" s="81"/>
      <c r="X729" s="81"/>
      <c r="Y729" s="81"/>
      <c r="Z729" s="81"/>
    </row>
    <row r="730" customFormat="false" ht="12" hidden="false" customHeight="true" outlineLevel="0" collapsed="false">
      <c r="A730" s="91"/>
      <c r="B730" s="81"/>
      <c r="C730" s="81"/>
      <c r="D730" s="173"/>
      <c r="E730" s="173"/>
      <c r="F730" s="80"/>
      <c r="G730" s="173"/>
      <c r="H730" s="81"/>
      <c r="I730" s="81"/>
      <c r="J730" s="102"/>
      <c r="K730" s="102"/>
      <c r="L730" s="102"/>
      <c r="M730" s="102"/>
      <c r="N730" s="102"/>
      <c r="O730" s="102"/>
      <c r="P730" s="81"/>
      <c r="Q730" s="81"/>
      <c r="R730" s="81"/>
      <c r="S730" s="81"/>
      <c r="T730" s="81"/>
      <c r="U730" s="81"/>
      <c r="V730" s="81"/>
      <c r="W730" s="81"/>
      <c r="X730" s="81"/>
      <c r="Y730" s="81"/>
      <c r="Z730" s="81"/>
    </row>
    <row r="731" customFormat="false" ht="12" hidden="false" customHeight="true" outlineLevel="0" collapsed="false">
      <c r="A731" s="91"/>
      <c r="B731" s="81"/>
      <c r="C731" s="81"/>
      <c r="D731" s="173"/>
      <c r="E731" s="173"/>
      <c r="F731" s="80"/>
      <c r="G731" s="173"/>
      <c r="H731" s="81"/>
      <c r="I731" s="81"/>
      <c r="J731" s="102"/>
      <c r="K731" s="102"/>
      <c r="L731" s="102"/>
      <c r="M731" s="102"/>
      <c r="N731" s="102"/>
      <c r="O731" s="102"/>
      <c r="P731" s="81"/>
      <c r="Q731" s="81"/>
      <c r="R731" s="81"/>
      <c r="S731" s="81"/>
      <c r="T731" s="81"/>
      <c r="U731" s="81"/>
      <c r="V731" s="81"/>
      <c r="W731" s="81"/>
      <c r="X731" s="81"/>
      <c r="Y731" s="81"/>
      <c r="Z731" s="81"/>
    </row>
    <row r="732" customFormat="false" ht="12" hidden="false" customHeight="true" outlineLevel="0" collapsed="false">
      <c r="A732" s="91"/>
      <c r="B732" s="81"/>
      <c r="C732" s="81"/>
      <c r="D732" s="173"/>
      <c r="E732" s="173"/>
      <c r="F732" s="80"/>
      <c r="G732" s="173"/>
      <c r="H732" s="81"/>
      <c r="I732" s="81"/>
      <c r="J732" s="102"/>
      <c r="K732" s="102"/>
      <c r="L732" s="102"/>
      <c r="M732" s="102"/>
      <c r="N732" s="102"/>
      <c r="O732" s="102"/>
      <c r="P732" s="81"/>
      <c r="Q732" s="81"/>
      <c r="R732" s="81"/>
      <c r="S732" s="81"/>
      <c r="T732" s="81"/>
      <c r="U732" s="81"/>
      <c r="V732" s="81"/>
      <c r="W732" s="81"/>
      <c r="X732" s="81"/>
      <c r="Y732" s="81"/>
      <c r="Z732" s="81"/>
    </row>
    <row r="733" customFormat="false" ht="12" hidden="false" customHeight="true" outlineLevel="0" collapsed="false">
      <c r="A733" s="91"/>
      <c r="B733" s="81"/>
      <c r="C733" s="81"/>
      <c r="D733" s="173"/>
      <c r="E733" s="173"/>
      <c r="F733" s="80"/>
      <c r="G733" s="173"/>
      <c r="H733" s="81"/>
      <c r="I733" s="81"/>
      <c r="J733" s="102"/>
      <c r="K733" s="102"/>
      <c r="L733" s="102"/>
      <c r="M733" s="102"/>
      <c r="N733" s="102"/>
      <c r="O733" s="102"/>
      <c r="P733" s="81"/>
      <c r="Q733" s="81"/>
      <c r="R733" s="81"/>
      <c r="S733" s="81"/>
      <c r="T733" s="81"/>
      <c r="U733" s="81"/>
      <c r="V733" s="81"/>
      <c r="W733" s="81"/>
      <c r="X733" s="81"/>
      <c r="Y733" s="81"/>
      <c r="Z733" s="81"/>
    </row>
    <row r="734" customFormat="false" ht="12" hidden="false" customHeight="true" outlineLevel="0" collapsed="false">
      <c r="A734" s="91"/>
      <c r="B734" s="81"/>
      <c r="C734" s="81"/>
      <c r="D734" s="173"/>
      <c r="E734" s="173"/>
      <c r="F734" s="80"/>
      <c r="G734" s="173"/>
      <c r="H734" s="81"/>
      <c r="I734" s="81"/>
      <c r="J734" s="102"/>
      <c r="K734" s="102"/>
      <c r="L734" s="102"/>
      <c r="M734" s="102"/>
      <c r="N734" s="102"/>
      <c r="O734" s="102"/>
      <c r="P734" s="81"/>
      <c r="Q734" s="81"/>
      <c r="R734" s="81"/>
      <c r="S734" s="81"/>
      <c r="T734" s="81"/>
      <c r="U734" s="81"/>
      <c r="V734" s="81"/>
      <c r="W734" s="81"/>
      <c r="X734" s="81"/>
      <c r="Y734" s="81"/>
      <c r="Z734" s="81"/>
    </row>
    <row r="735" customFormat="false" ht="12" hidden="false" customHeight="true" outlineLevel="0" collapsed="false">
      <c r="A735" s="91"/>
      <c r="B735" s="81"/>
      <c r="C735" s="81"/>
      <c r="D735" s="173"/>
      <c r="E735" s="173"/>
      <c r="F735" s="80"/>
      <c r="G735" s="173"/>
      <c r="H735" s="81"/>
      <c r="I735" s="81"/>
      <c r="J735" s="102"/>
      <c r="K735" s="102"/>
      <c r="L735" s="102"/>
      <c r="M735" s="102"/>
      <c r="N735" s="102"/>
      <c r="O735" s="102"/>
      <c r="P735" s="81"/>
      <c r="Q735" s="81"/>
      <c r="R735" s="81"/>
      <c r="S735" s="81"/>
      <c r="T735" s="81"/>
      <c r="U735" s="81"/>
      <c r="V735" s="81"/>
      <c r="W735" s="81"/>
      <c r="X735" s="81"/>
      <c r="Y735" s="81"/>
      <c r="Z735" s="81"/>
    </row>
    <row r="736" customFormat="false" ht="12" hidden="false" customHeight="true" outlineLevel="0" collapsed="false">
      <c r="A736" s="91"/>
      <c r="B736" s="81"/>
      <c r="C736" s="81"/>
      <c r="D736" s="173"/>
      <c r="E736" s="173"/>
      <c r="F736" s="80"/>
      <c r="G736" s="173"/>
      <c r="H736" s="81"/>
      <c r="I736" s="81"/>
      <c r="J736" s="102"/>
      <c r="K736" s="102"/>
      <c r="L736" s="102"/>
      <c r="M736" s="102"/>
      <c r="N736" s="102"/>
      <c r="O736" s="102"/>
      <c r="P736" s="81"/>
      <c r="Q736" s="81"/>
      <c r="R736" s="81"/>
      <c r="S736" s="81"/>
      <c r="T736" s="81"/>
      <c r="U736" s="81"/>
      <c r="V736" s="81"/>
      <c r="W736" s="81"/>
      <c r="X736" s="81"/>
      <c r="Y736" s="81"/>
      <c r="Z736" s="81"/>
    </row>
    <row r="737" customFormat="false" ht="12" hidden="false" customHeight="true" outlineLevel="0" collapsed="false">
      <c r="A737" s="91"/>
      <c r="B737" s="81"/>
      <c r="C737" s="81"/>
      <c r="D737" s="173"/>
      <c r="E737" s="173"/>
      <c r="F737" s="80"/>
      <c r="G737" s="173"/>
      <c r="H737" s="81"/>
      <c r="I737" s="81"/>
      <c r="J737" s="102"/>
      <c r="K737" s="102"/>
      <c r="L737" s="102"/>
      <c r="M737" s="102"/>
      <c r="N737" s="102"/>
      <c r="O737" s="102"/>
      <c r="P737" s="81"/>
      <c r="Q737" s="81"/>
      <c r="R737" s="81"/>
      <c r="S737" s="81"/>
      <c r="T737" s="81"/>
      <c r="U737" s="81"/>
      <c r="V737" s="81"/>
      <c r="W737" s="81"/>
      <c r="X737" s="81"/>
      <c r="Y737" s="81"/>
      <c r="Z737" s="81"/>
    </row>
    <row r="738" customFormat="false" ht="12" hidden="false" customHeight="true" outlineLevel="0" collapsed="false">
      <c r="A738" s="91"/>
      <c r="B738" s="81"/>
      <c r="C738" s="81"/>
      <c r="D738" s="173"/>
      <c r="E738" s="173"/>
      <c r="F738" s="80"/>
      <c r="G738" s="173"/>
      <c r="H738" s="81"/>
      <c r="I738" s="81"/>
      <c r="J738" s="102"/>
      <c r="K738" s="102"/>
      <c r="L738" s="102"/>
      <c r="M738" s="102"/>
      <c r="N738" s="102"/>
      <c r="O738" s="102"/>
      <c r="P738" s="81"/>
      <c r="Q738" s="81"/>
      <c r="R738" s="81"/>
      <c r="S738" s="81"/>
      <c r="T738" s="81"/>
      <c r="U738" s="81"/>
      <c r="V738" s="81"/>
      <c r="W738" s="81"/>
      <c r="X738" s="81"/>
      <c r="Y738" s="81"/>
      <c r="Z738" s="81"/>
    </row>
    <row r="739" customFormat="false" ht="12" hidden="false" customHeight="true" outlineLevel="0" collapsed="false">
      <c r="A739" s="91"/>
      <c r="B739" s="81"/>
      <c r="C739" s="81"/>
      <c r="D739" s="173"/>
      <c r="E739" s="173"/>
      <c r="F739" s="80"/>
      <c r="G739" s="173"/>
      <c r="H739" s="81"/>
      <c r="I739" s="81"/>
      <c r="J739" s="102"/>
      <c r="K739" s="102"/>
      <c r="L739" s="102"/>
      <c r="M739" s="102"/>
      <c r="N739" s="102"/>
      <c r="O739" s="102"/>
      <c r="P739" s="81"/>
      <c r="Q739" s="81"/>
      <c r="R739" s="81"/>
      <c r="S739" s="81"/>
      <c r="T739" s="81"/>
      <c r="U739" s="81"/>
      <c r="V739" s="81"/>
      <c r="W739" s="81"/>
      <c r="X739" s="81"/>
      <c r="Y739" s="81"/>
      <c r="Z739" s="81"/>
    </row>
    <row r="740" customFormat="false" ht="12" hidden="false" customHeight="true" outlineLevel="0" collapsed="false">
      <c r="A740" s="91"/>
      <c r="B740" s="81"/>
      <c r="C740" s="81"/>
      <c r="D740" s="173"/>
      <c r="E740" s="173"/>
      <c r="F740" s="80"/>
      <c r="G740" s="173"/>
      <c r="H740" s="81"/>
      <c r="I740" s="81"/>
      <c r="J740" s="102"/>
      <c r="K740" s="102"/>
      <c r="L740" s="102"/>
      <c r="M740" s="102"/>
      <c r="N740" s="102"/>
      <c r="O740" s="102"/>
      <c r="P740" s="81"/>
      <c r="Q740" s="81"/>
      <c r="R740" s="81"/>
      <c r="S740" s="81"/>
      <c r="T740" s="81"/>
      <c r="U740" s="81"/>
      <c r="V740" s="81"/>
      <c r="W740" s="81"/>
      <c r="X740" s="81"/>
      <c r="Y740" s="81"/>
      <c r="Z740" s="81"/>
    </row>
    <row r="741" customFormat="false" ht="12" hidden="false" customHeight="true" outlineLevel="0" collapsed="false">
      <c r="A741" s="91"/>
      <c r="B741" s="81"/>
      <c r="C741" s="81"/>
      <c r="D741" s="173"/>
      <c r="E741" s="173"/>
      <c r="F741" s="80"/>
      <c r="G741" s="173"/>
      <c r="H741" s="81"/>
      <c r="I741" s="81"/>
      <c r="J741" s="102"/>
      <c r="K741" s="102"/>
      <c r="L741" s="102"/>
      <c r="M741" s="102"/>
      <c r="N741" s="102"/>
      <c r="O741" s="102"/>
      <c r="P741" s="81"/>
      <c r="Q741" s="81"/>
      <c r="R741" s="81"/>
      <c r="S741" s="81"/>
      <c r="T741" s="81"/>
      <c r="U741" s="81"/>
      <c r="V741" s="81"/>
      <c r="W741" s="81"/>
      <c r="X741" s="81"/>
      <c r="Y741" s="81"/>
      <c r="Z741" s="81"/>
    </row>
    <row r="742" customFormat="false" ht="12" hidden="false" customHeight="true" outlineLevel="0" collapsed="false">
      <c r="A742" s="91"/>
      <c r="B742" s="81"/>
      <c r="C742" s="81"/>
      <c r="D742" s="173"/>
      <c r="E742" s="173"/>
      <c r="F742" s="80"/>
      <c r="G742" s="173"/>
      <c r="H742" s="81"/>
      <c r="I742" s="81"/>
      <c r="J742" s="102"/>
      <c r="K742" s="102"/>
      <c r="L742" s="102"/>
      <c r="M742" s="102"/>
      <c r="N742" s="102"/>
      <c r="O742" s="102"/>
      <c r="P742" s="81"/>
      <c r="Q742" s="81"/>
      <c r="R742" s="81"/>
      <c r="S742" s="81"/>
      <c r="T742" s="81"/>
      <c r="U742" s="81"/>
      <c r="V742" s="81"/>
      <c r="W742" s="81"/>
      <c r="X742" s="81"/>
      <c r="Y742" s="81"/>
      <c r="Z742" s="81"/>
    </row>
    <row r="743" customFormat="false" ht="12" hidden="false" customHeight="true" outlineLevel="0" collapsed="false">
      <c r="A743" s="91"/>
      <c r="B743" s="81"/>
      <c r="C743" s="81"/>
      <c r="D743" s="173"/>
      <c r="E743" s="173"/>
      <c r="F743" s="80"/>
      <c r="G743" s="173"/>
      <c r="H743" s="81"/>
      <c r="I743" s="81"/>
      <c r="J743" s="102"/>
      <c r="K743" s="102"/>
      <c r="L743" s="102"/>
      <c r="M743" s="102"/>
      <c r="N743" s="102"/>
      <c r="O743" s="102"/>
      <c r="P743" s="81"/>
      <c r="Q743" s="81"/>
      <c r="R743" s="81"/>
      <c r="S743" s="81"/>
      <c r="T743" s="81"/>
      <c r="U743" s="81"/>
      <c r="V743" s="81"/>
      <c r="W743" s="81"/>
      <c r="X743" s="81"/>
      <c r="Y743" s="81"/>
      <c r="Z743" s="81"/>
    </row>
    <row r="744" customFormat="false" ht="12" hidden="false" customHeight="true" outlineLevel="0" collapsed="false">
      <c r="A744" s="91"/>
      <c r="B744" s="81"/>
      <c r="C744" s="81"/>
      <c r="D744" s="173"/>
      <c r="E744" s="173"/>
      <c r="F744" s="80"/>
      <c r="G744" s="173"/>
      <c r="H744" s="81"/>
      <c r="I744" s="81"/>
      <c r="J744" s="102"/>
      <c r="K744" s="102"/>
      <c r="L744" s="102"/>
      <c r="M744" s="102"/>
      <c r="N744" s="102"/>
      <c r="O744" s="102"/>
      <c r="P744" s="81"/>
      <c r="Q744" s="81"/>
      <c r="R744" s="81"/>
      <c r="S744" s="81"/>
      <c r="T744" s="81"/>
      <c r="U744" s="81"/>
      <c r="V744" s="81"/>
      <c r="W744" s="81"/>
      <c r="X744" s="81"/>
      <c r="Y744" s="81"/>
      <c r="Z744" s="81"/>
    </row>
    <row r="745" customFormat="false" ht="12" hidden="false" customHeight="true" outlineLevel="0" collapsed="false">
      <c r="A745" s="91"/>
      <c r="B745" s="81"/>
      <c r="C745" s="81"/>
      <c r="D745" s="173"/>
      <c r="E745" s="173"/>
      <c r="F745" s="80"/>
      <c r="G745" s="173"/>
      <c r="H745" s="81"/>
      <c r="I745" s="81"/>
      <c r="J745" s="102"/>
      <c r="K745" s="102"/>
      <c r="L745" s="102"/>
      <c r="M745" s="102"/>
      <c r="N745" s="102"/>
      <c r="O745" s="102"/>
      <c r="P745" s="81"/>
      <c r="Q745" s="81"/>
      <c r="R745" s="81"/>
      <c r="S745" s="81"/>
      <c r="T745" s="81"/>
      <c r="U745" s="81"/>
      <c r="V745" s="81"/>
      <c r="W745" s="81"/>
      <c r="X745" s="81"/>
      <c r="Y745" s="81"/>
      <c r="Z745" s="81"/>
    </row>
    <row r="746" customFormat="false" ht="12" hidden="false" customHeight="true" outlineLevel="0" collapsed="false">
      <c r="A746" s="91"/>
      <c r="B746" s="81"/>
      <c r="C746" s="81"/>
      <c r="D746" s="173"/>
      <c r="E746" s="173"/>
      <c r="F746" s="80"/>
      <c r="G746" s="173"/>
      <c r="H746" s="81"/>
      <c r="I746" s="81"/>
      <c r="J746" s="102"/>
      <c r="K746" s="102"/>
      <c r="L746" s="102"/>
      <c r="M746" s="102"/>
      <c r="N746" s="102"/>
      <c r="O746" s="102"/>
      <c r="P746" s="81"/>
      <c r="Q746" s="81"/>
      <c r="R746" s="81"/>
      <c r="S746" s="81"/>
      <c r="T746" s="81"/>
      <c r="U746" s="81"/>
      <c r="V746" s="81"/>
      <c r="W746" s="81"/>
      <c r="X746" s="81"/>
      <c r="Y746" s="81"/>
      <c r="Z746" s="81"/>
    </row>
    <row r="747" customFormat="false" ht="12" hidden="false" customHeight="true" outlineLevel="0" collapsed="false">
      <c r="A747" s="91"/>
      <c r="B747" s="81"/>
      <c r="C747" s="81"/>
      <c r="D747" s="173"/>
      <c r="E747" s="173"/>
      <c r="F747" s="80"/>
      <c r="G747" s="173"/>
      <c r="H747" s="81"/>
      <c r="I747" s="81"/>
      <c r="J747" s="102"/>
      <c r="K747" s="102"/>
      <c r="L747" s="102"/>
      <c r="M747" s="102"/>
      <c r="N747" s="102"/>
      <c r="O747" s="102"/>
      <c r="P747" s="81"/>
      <c r="Q747" s="81"/>
      <c r="R747" s="81"/>
      <c r="S747" s="81"/>
      <c r="T747" s="81"/>
      <c r="U747" s="81"/>
      <c r="V747" s="81"/>
      <c r="W747" s="81"/>
      <c r="X747" s="81"/>
      <c r="Y747" s="81"/>
      <c r="Z747" s="81"/>
    </row>
    <row r="748" customFormat="false" ht="12" hidden="false" customHeight="true" outlineLevel="0" collapsed="false">
      <c r="A748" s="91"/>
      <c r="B748" s="81"/>
      <c r="C748" s="81"/>
      <c r="D748" s="173"/>
      <c r="E748" s="173"/>
      <c r="F748" s="80"/>
      <c r="G748" s="173"/>
      <c r="H748" s="81"/>
      <c r="I748" s="81"/>
      <c r="J748" s="102"/>
      <c r="K748" s="102"/>
      <c r="L748" s="102"/>
      <c r="M748" s="102"/>
      <c r="N748" s="102"/>
      <c r="O748" s="102"/>
      <c r="P748" s="81"/>
      <c r="Q748" s="81"/>
      <c r="R748" s="81"/>
      <c r="S748" s="81"/>
      <c r="T748" s="81"/>
      <c r="U748" s="81"/>
      <c r="V748" s="81"/>
      <c r="W748" s="81"/>
      <c r="X748" s="81"/>
      <c r="Y748" s="81"/>
      <c r="Z748" s="81"/>
    </row>
    <row r="749" customFormat="false" ht="12" hidden="false" customHeight="true" outlineLevel="0" collapsed="false">
      <c r="A749" s="91"/>
      <c r="B749" s="81"/>
      <c r="C749" s="81"/>
      <c r="D749" s="173"/>
      <c r="E749" s="173"/>
      <c r="F749" s="80"/>
      <c r="G749" s="173"/>
      <c r="H749" s="81"/>
      <c r="I749" s="81"/>
      <c r="J749" s="102"/>
      <c r="K749" s="102"/>
      <c r="L749" s="102"/>
      <c r="M749" s="102"/>
      <c r="N749" s="102"/>
      <c r="O749" s="102"/>
      <c r="P749" s="81"/>
      <c r="Q749" s="81"/>
      <c r="R749" s="81"/>
      <c r="S749" s="81"/>
      <c r="T749" s="81"/>
      <c r="U749" s="81"/>
      <c r="V749" s="81"/>
      <c r="W749" s="81"/>
      <c r="X749" s="81"/>
      <c r="Y749" s="81"/>
      <c r="Z749" s="81"/>
    </row>
    <row r="750" customFormat="false" ht="12" hidden="false" customHeight="true" outlineLevel="0" collapsed="false">
      <c r="A750" s="91"/>
      <c r="B750" s="81"/>
      <c r="C750" s="81"/>
      <c r="D750" s="173"/>
      <c r="E750" s="173"/>
      <c r="F750" s="80"/>
      <c r="G750" s="173"/>
      <c r="H750" s="81"/>
      <c r="I750" s="81"/>
      <c r="J750" s="102"/>
      <c r="K750" s="102"/>
      <c r="L750" s="102"/>
      <c r="M750" s="102"/>
      <c r="N750" s="102"/>
      <c r="O750" s="102"/>
      <c r="P750" s="81"/>
      <c r="Q750" s="81"/>
      <c r="R750" s="81"/>
      <c r="S750" s="81"/>
      <c r="T750" s="81"/>
      <c r="U750" s="81"/>
      <c r="V750" s="81"/>
      <c r="W750" s="81"/>
      <c r="X750" s="81"/>
      <c r="Y750" s="81"/>
      <c r="Z750" s="81"/>
    </row>
    <row r="751" customFormat="false" ht="12" hidden="false" customHeight="true" outlineLevel="0" collapsed="false">
      <c r="A751" s="91"/>
      <c r="B751" s="81"/>
      <c r="C751" s="81"/>
      <c r="D751" s="173"/>
      <c r="E751" s="173"/>
      <c r="F751" s="80"/>
      <c r="G751" s="173"/>
      <c r="H751" s="81"/>
      <c r="I751" s="81"/>
      <c r="J751" s="102"/>
      <c r="K751" s="102"/>
      <c r="L751" s="102"/>
      <c r="M751" s="102"/>
      <c r="N751" s="102"/>
      <c r="O751" s="102"/>
      <c r="P751" s="81"/>
      <c r="Q751" s="81"/>
      <c r="R751" s="81"/>
      <c r="S751" s="81"/>
      <c r="T751" s="81"/>
      <c r="U751" s="81"/>
      <c r="V751" s="81"/>
      <c r="W751" s="81"/>
      <c r="X751" s="81"/>
      <c r="Y751" s="81"/>
      <c r="Z751" s="81"/>
    </row>
    <row r="752" customFormat="false" ht="12" hidden="false" customHeight="true" outlineLevel="0" collapsed="false">
      <c r="A752" s="91"/>
      <c r="B752" s="81"/>
      <c r="C752" s="81"/>
      <c r="D752" s="173"/>
      <c r="E752" s="173"/>
      <c r="F752" s="80"/>
      <c r="G752" s="173"/>
      <c r="H752" s="81"/>
      <c r="I752" s="81"/>
      <c r="J752" s="102"/>
      <c r="K752" s="102"/>
      <c r="L752" s="102"/>
      <c r="M752" s="102"/>
      <c r="N752" s="102"/>
      <c r="O752" s="102"/>
      <c r="P752" s="81"/>
      <c r="Q752" s="81"/>
      <c r="R752" s="81"/>
      <c r="S752" s="81"/>
      <c r="T752" s="81"/>
      <c r="U752" s="81"/>
      <c r="V752" s="81"/>
      <c r="W752" s="81"/>
      <c r="X752" s="81"/>
      <c r="Y752" s="81"/>
      <c r="Z752" s="81"/>
    </row>
    <row r="753" customFormat="false" ht="12" hidden="false" customHeight="true" outlineLevel="0" collapsed="false">
      <c r="A753" s="91"/>
      <c r="B753" s="81"/>
      <c r="C753" s="81"/>
      <c r="D753" s="173"/>
      <c r="E753" s="173"/>
      <c r="F753" s="80"/>
      <c r="G753" s="173"/>
      <c r="H753" s="81"/>
      <c r="I753" s="81"/>
      <c r="J753" s="102"/>
      <c r="K753" s="102"/>
      <c r="L753" s="102"/>
      <c r="M753" s="102"/>
      <c r="N753" s="102"/>
      <c r="O753" s="102"/>
      <c r="P753" s="81"/>
      <c r="Q753" s="81"/>
      <c r="R753" s="81"/>
      <c r="S753" s="81"/>
      <c r="T753" s="81"/>
      <c r="U753" s="81"/>
      <c r="V753" s="81"/>
      <c r="W753" s="81"/>
      <c r="X753" s="81"/>
      <c r="Y753" s="81"/>
      <c r="Z753" s="81"/>
    </row>
    <row r="754" customFormat="false" ht="12" hidden="false" customHeight="true" outlineLevel="0" collapsed="false">
      <c r="A754" s="91"/>
      <c r="B754" s="81"/>
      <c r="C754" s="81"/>
      <c r="D754" s="173"/>
      <c r="E754" s="173"/>
      <c r="F754" s="80"/>
      <c r="G754" s="173"/>
      <c r="H754" s="81"/>
      <c r="I754" s="81"/>
      <c r="J754" s="102"/>
      <c r="K754" s="102"/>
      <c r="L754" s="102"/>
      <c r="M754" s="102"/>
      <c r="N754" s="102"/>
      <c r="O754" s="102"/>
      <c r="P754" s="81"/>
      <c r="Q754" s="81"/>
      <c r="R754" s="81"/>
      <c r="S754" s="81"/>
      <c r="T754" s="81"/>
      <c r="U754" s="81"/>
      <c r="V754" s="81"/>
      <c r="W754" s="81"/>
      <c r="X754" s="81"/>
      <c r="Y754" s="81"/>
      <c r="Z754" s="81"/>
    </row>
    <row r="755" customFormat="false" ht="12" hidden="false" customHeight="true" outlineLevel="0" collapsed="false">
      <c r="A755" s="91"/>
      <c r="B755" s="81"/>
      <c r="C755" s="81"/>
      <c r="D755" s="173"/>
      <c r="E755" s="173"/>
      <c r="F755" s="80"/>
      <c r="G755" s="173"/>
      <c r="H755" s="81"/>
      <c r="I755" s="81"/>
      <c r="J755" s="102"/>
      <c r="K755" s="102"/>
      <c r="L755" s="102"/>
      <c r="M755" s="102"/>
      <c r="N755" s="102"/>
      <c r="O755" s="102"/>
      <c r="P755" s="81"/>
      <c r="Q755" s="81"/>
      <c r="R755" s="81"/>
      <c r="S755" s="81"/>
      <c r="T755" s="81"/>
      <c r="U755" s="81"/>
      <c r="V755" s="81"/>
      <c r="W755" s="81"/>
      <c r="X755" s="81"/>
      <c r="Y755" s="81"/>
      <c r="Z755" s="81"/>
    </row>
    <row r="756" customFormat="false" ht="12" hidden="false" customHeight="true" outlineLevel="0" collapsed="false">
      <c r="A756" s="91"/>
      <c r="B756" s="81"/>
      <c r="C756" s="81"/>
      <c r="D756" s="173"/>
      <c r="E756" s="173"/>
      <c r="F756" s="80"/>
      <c r="G756" s="173"/>
      <c r="H756" s="81"/>
      <c r="I756" s="81"/>
      <c r="J756" s="102"/>
      <c r="K756" s="102"/>
      <c r="L756" s="102"/>
      <c r="M756" s="102"/>
      <c r="N756" s="102"/>
      <c r="O756" s="102"/>
      <c r="P756" s="81"/>
      <c r="Q756" s="81"/>
      <c r="R756" s="81"/>
      <c r="S756" s="81"/>
      <c r="T756" s="81"/>
      <c r="U756" s="81"/>
      <c r="V756" s="81"/>
      <c r="W756" s="81"/>
      <c r="X756" s="81"/>
      <c r="Y756" s="81"/>
      <c r="Z756" s="81"/>
    </row>
    <row r="757" customFormat="false" ht="12" hidden="false" customHeight="true" outlineLevel="0" collapsed="false">
      <c r="A757" s="91"/>
      <c r="B757" s="81"/>
      <c r="C757" s="81"/>
      <c r="D757" s="173"/>
      <c r="E757" s="173"/>
      <c r="F757" s="80"/>
      <c r="G757" s="173"/>
      <c r="H757" s="81"/>
      <c r="I757" s="81"/>
      <c r="J757" s="102"/>
      <c r="K757" s="102"/>
      <c r="L757" s="102"/>
      <c r="M757" s="102"/>
      <c r="N757" s="102"/>
      <c r="O757" s="102"/>
      <c r="P757" s="81"/>
      <c r="Q757" s="81"/>
      <c r="R757" s="81"/>
      <c r="S757" s="81"/>
      <c r="T757" s="81"/>
      <c r="U757" s="81"/>
      <c r="V757" s="81"/>
      <c r="W757" s="81"/>
      <c r="X757" s="81"/>
      <c r="Y757" s="81"/>
      <c r="Z757" s="81"/>
    </row>
    <row r="758" customFormat="false" ht="12" hidden="false" customHeight="true" outlineLevel="0" collapsed="false">
      <c r="A758" s="91"/>
      <c r="B758" s="81"/>
      <c r="C758" s="81"/>
      <c r="D758" s="173"/>
      <c r="E758" s="173"/>
      <c r="F758" s="80"/>
      <c r="G758" s="173"/>
      <c r="H758" s="81"/>
      <c r="I758" s="81"/>
      <c r="J758" s="102"/>
      <c r="K758" s="102"/>
      <c r="L758" s="102"/>
      <c r="M758" s="102"/>
      <c r="N758" s="102"/>
      <c r="O758" s="102"/>
      <c r="P758" s="81"/>
      <c r="Q758" s="81"/>
      <c r="R758" s="81"/>
      <c r="S758" s="81"/>
      <c r="T758" s="81"/>
      <c r="U758" s="81"/>
      <c r="V758" s="81"/>
      <c r="W758" s="81"/>
      <c r="X758" s="81"/>
      <c r="Y758" s="81"/>
      <c r="Z758" s="81"/>
    </row>
    <row r="759" customFormat="false" ht="12" hidden="false" customHeight="true" outlineLevel="0" collapsed="false">
      <c r="A759" s="91"/>
      <c r="B759" s="81"/>
      <c r="C759" s="81"/>
      <c r="D759" s="173"/>
      <c r="E759" s="173"/>
      <c r="F759" s="80"/>
      <c r="G759" s="173"/>
      <c r="H759" s="81"/>
      <c r="I759" s="81"/>
      <c r="J759" s="102"/>
      <c r="K759" s="102"/>
      <c r="L759" s="102"/>
      <c r="M759" s="102"/>
      <c r="N759" s="102"/>
      <c r="O759" s="102"/>
      <c r="P759" s="81"/>
      <c r="Q759" s="81"/>
      <c r="R759" s="81"/>
      <c r="S759" s="81"/>
      <c r="T759" s="81"/>
      <c r="U759" s="81"/>
      <c r="V759" s="81"/>
      <c r="W759" s="81"/>
      <c r="X759" s="81"/>
      <c r="Y759" s="81"/>
      <c r="Z759" s="81"/>
    </row>
    <row r="760" customFormat="false" ht="12" hidden="false" customHeight="true" outlineLevel="0" collapsed="false">
      <c r="A760" s="91"/>
      <c r="B760" s="81"/>
      <c r="C760" s="81"/>
      <c r="D760" s="173"/>
      <c r="E760" s="173"/>
      <c r="F760" s="80"/>
      <c r="G760" s="173"/>
      <c r="H760" s="81"/>
      <c r="I760" s="81"/>
      <c r="J760" s="102"/>
      <c r="K760" s="102"/>
      <c r="L760" s="102"/>
      <c r="M760" s="102"/>
      <c r="N760" s="102"/>
      <c r="O760" s="102"/>
      <c r="P760" s="81"/>
      <c r="Q760" s="81"/>
      <c r="R760" s="81"/>
      <c r="S760" s="81"/>
      <c r="T760" s="81"/>
      <c r="U760" s="81"/>
      <c r="V760" s="81"/>
      <c r="W760" s="81"/>
      <c r="X760" s="81"/>
      <c r="Y760" s="81"/>
      <c r="Z760" s="81"/>
    </row>
    <row r="761" customFormat="false" ht="12" hidden="false" customHeight="true" outlineLevel="0" collapsed="false">
      <c r="A761" s="91"/>
      <c r="B761" s="81"/>
      <c r="C761" s="81"/>
      <c r="D761" s="173"/>
      <c r="E761" s="173"/>
      <c r="F761" s="80"/>
      <c r="G761" s="173"/>
      <c r="H761" s="81"/>
      <c r="I761" s="81"/>
      <c r="J761" s="102"/>
      <c r="K761" s="102"/>
      <c r="L761" s="102"/>
      <c r="M761" s="102"/>
      <c r="N761" s="102"/>
      <c r="O761" s="102"/>
      <c r="P761" s="81"/>
      <c r="Q761" s="81"/>
      <c r="R761" s="81"/>
      <c r="S761" s="81"/>
      <c r="T761" s="81"/>
      <c r="U761" s="81"/>
      <c r="V761" s="81"/>
      <c r="W761" s="81"/>
      <c r="X761" s="81"/>
      <c r="Y761" s="81"/>
      <c r="Z761" s="81"/>
    </row>
    <row r="762" customFormat="false" ht="12" hidden="false" customHeight="true" outlineLevel="0" collapsed="false">
      <c r="A762" s="91"/>
      <c r="B762" s="81"/>
      <c r="C762" s="81"/>
      <c r="D762" s="173"/>
      <c r="E762" s="173"/>
      <c r="F762" s="80"/>
      <c r="G762" s="173"/>
      <c r="H762" s="81"/>
      <c r="I762" s="81"/>
      <c r="J762" s="102"/>
      <c r="K762" s="102"/>
      <c r="L762" s="102"/>
      <c r="M762" s="102"/>
      <c r="N762" s="102"/>
      <c r="O762" s="102"/>
      <c r="P762" s="81"/>
      <c r="Q762" s="81"/>
      <c r="R762" s="81"/>
      <c r="S762" s="81"/>
      <c r="T762" s="81"/>
      <c r="U762" s="81"/>
      <c r="V762" s="81"/>
      <c r="W762" s="81"/>
      <c r="X762" s="81"/>
      <c r="Y762" s="81"/>
      <c r="Z762" s="81"/>
    </row>
    <row r="763" customFormat="false" ht="12" hidden="false" customHeight="true" outlineLevel="0" collapsed="false">
      <c r="A763" s="91"/>
      <c r="B763" s="81"/>
      <c r="C763" s="81"/>
      <c r="D763" s="173"/>
      <c r="E763" s="173"/>
      <c r="F763" s="80"/>
      <c r="G763" s="173"/>
      <c r="H763" s="81"/>
      <c r="I763" s="81"/>
      <c r="J763" s="102"/>
      <c r="K763" s="102"/>
      <c r="L763" s="102"/>
      <c r="M763" s="102"/>
      <c r="N763" s="102"/>
      <c r="O763" s="102"/>
      <c r="P763" s="81"/>
      <c r="Q763" s="81"/>
      <c r="R763" s="81"/>
      <c r="S763" s="81"/>
      <c r="T763" s="81"/>
      <c r="U763" s="81"/>
      <c r="V763" s="81"/>
      <c r="W763" s="81"/>
      <c r="X763" s="81"/>
      <c r="Y763" s="81"/>
      <c r="Z763" s="81"/>
    </row>
    <row r="764" customFormat="false" ht="12" hidden="false" customHeight="true" outlineLevel="0" collapsed="false">
      <c r="A764" s="91"/>
      <c r="B764" s="81"/>
      <c r="C764" s="81"/>
      <c r="D764" s="173"/>
      <c r="E764" s="173"/>
      <c r="F764" s="80"/>
      <c r="G764" s="173"/>
      <c r="H764" s="81"/>
      <c r="I764" s="81"/>
      <c r="J764" s="102"/>
      <c r="K764" s="102"/>
      <c r="L764" s="102"/>
      <c r="M764" s="102"/>
      <c r="N764" s="102"/>
      <c r="O764" s="102"/>
      <c r="P764" s="81"/>
      <c r="Q764" s="81"/>
      <c r="R764" s="81"/>
      <c r="S764" s="81"/>
      <c r="T764" s="81"/>
      <c r="U764" s="81"/>
      <c r="V764" s="81"/>
      <c r="W764" s="81"/>
      <c r="X764" s="81"/>
      <c r="Y764" s="81"/>
      <c r="Z764" s="81"/>
    </row>
    <row r="765" customFormat="false" ht="12" hidden="false" customHeight="true" outlineLevel="0" collapsed="false">
      <c r="A765" s="91"/>
      <c r="B765" s="81"/>
      <c r="C765" s="81"/>
      <c r="D765" s="173"/>
      <c r="E765" s="173"/>
      <c r="F765" s="80"/>
      <c r="G765" s="173"/>
      <c r="H765" s="81"/>
      <c r="I765" s="81"/>
      <c r="J765" s="102"/>
      <c r="K765" s="102"/>
      <c r="L765" s="102"/>
      <c r="M765" s="102"/>
      <c r="N765" s="102"/>
      <c r="O765" s="102"/>
      <c r="P765" s="81"/>
      <c r="Q765" s="81"/>
      <c r="R765" s="81"/>
      <c r="S765" s="81"/>
      <c r="T765" s="81"/>
      <c r="U765" s="81"/>
      <c r="V765" s="81"/>
      <c r="W765" s="81"/>
      <c r="X765" s="81"/>
      <c r="Y765" s="81"/>
      <c r="Z765" s="81"/>
    </row>
    <row r="766" customFormat="false" ht="12" hidden="false" customHeight="true" outlineLevel="0" collapsed="false">
      <c r="A766" s="91"/>
      <c r="B766" s="81"/>
      <c r="C766" s="81"/>
      <c r="D766" s="173"/>
      <c r="E766" s="173"/>
      <c r="F766" s="80"/>
      <c r="G766" s="173"/>
      <c r="H766" s="81"/>
      <c r="I766" s="81"/>
      <c r="J766" s="102"/>
      <c r="K766" s="102"/>
      <c r="L766" s="102"/>
      <c r="M766" s="102"/>
      <c r="N766" s="102"/>
      <c r="O766" s="102"/>
      <c r="P766" s="81"/>
      <c r="Q766" s="81"/>
      <c r="R766" s="81"/>
      <c r="S766" s="81"/>
      <c r="T766" s="81"/>
      <c r="U766" s="81"/>
      <c r="V766" s="81"/>
      <c r="W766" s="81"/>
      <c r="X766" s="81"/>
      <c r="Y766" s="81"/>
      <c r="Z766" s="81"/>
    </row>
    <row r="767" customFormat="false" ht="12" hidden="false" customHeight="true" outlineLevel="0" collapsed="false">
      <c r="A767" s="91"/>
      <c r="B767" s="81"/>
      <c r="C767" s="81"/>
      <c r="D767" s="173"/>
      <c r="E767" s="173"/>
      <c r="F767" s="80"/>
      <c r="G767" s="173"/>
      <c r="H767" s="81"/>
      <c r="I767" s="81"/>
      <c r="J767" s="102"/>
      <c r="K767" s="102"/>
      <c r="L767" s="102"/>
      <c r="M767" s="102"/>
      <c r="N767" s="102"/>
      <c r="O767" s="102"/>
      <c r="P767" s="81"/>
      <c r="Q767" s="81"/>
      <c r="R767" s="81"/>
      <c r="S767" s="81"/>
      <c r="T767" s="81"/>
      <c r="U767" s="81"/>
      <c r="V767" s="81"/>
      <c r="W767" s="81"/>
      <c r="X767" s="81"/>
      <c r="Y767" s="81"/>
      <c r="Z767" s="81"/>
    </row>
    <row r="768" customFormat="false" ht="12" hidden="false" customHeight="true" outlineLevel="0" collapsed="false">
      <c r="A768" s="91"/>
      <c r="B768" s="81"/>
      <c r="C768" s="81"/>
      <c r="D768" s="173"/>
      <c r="E768" s="173"/>
      <c r="F768" s="80"/>
      <c r="G768" s="173"/>
      <c r="H768" s="81"/>
      <c r="I768" s="81"/>
      <c r="J768" s="102"/>
      <c r="K768" s="102"/>
      <c r="L768" s="102"/>
      <c r="M768" s="102"/>
      <c r="N768" s="102"/>
      <c r="O768" s="102"/>
      <c r="P768" s="81"/>
      <c r="Q768" s="81"/>
      <c r="R768" s="81"/>
      <c r="S768" s="81"/>
      <c r="T768" s="81"/>
      <c r="U768" s="81"/>
      <c r="V768" s="81"/>
      <c r="W768" s="81"/>
      <c r="X768" s="81"/>
      <c r="Y768" s="81"/>
      <c r="Z768" s="81"/>
    </row>
    <row r="769" customFormat="false" ht="12" hidden="false" customHeight="true" outlineLevel="0" collapsed="false">
      <c r="A769" s="91"/>
      <c r="B769" s="81"/>
      <c r="C769" s="81"/>
      <c r="D769" s="173"/>
      <c r="E769" s="173"/>
      <c r="F769" s="80"/>
      <c r="G769" s="173"/>
      <c r="H769" s="81"/>
      <c r="I769" s="81"/>
      <c r="J769" s="102"/>
      <c r="K769" s="102"/>
      <c r="L769" s="102"/>
      <c r="M769" s="102"/>
      <c r="N769" s="102"/>
      <c r="O769" s="102"/>
      <c r="P769" s="81"/>
      <c r="Q769" s="81"/>
      <c r="R769" s="81"/>
      <c r="S769" s="81"/>
      <c r="T769" s="81"/>
      <c r="U769" s="81"/>
      <c r="V769" s="81"/>
      <c r="W769" s="81"/>
      <c r="X769" s="81"/>
      <c r="Y769" s="81"/>
      <c r="Z769" s="81"/>
    </row>
    <row r="770" customFormat="false" ht="12" hidden="false" customHeight="true" outlineLevel="0" collapsed="false">
      <c r="A770" s="91"/>
      <c r="B770" s="81"/>
      <c r="C770" s="81"/>
      <c r="D770" s="173"/>
      <c r="E770" s="173"/>
      <c r="F770" s="80"/>
      <c r="G770" s="173"/>
      <c r="H770" s="81"/>
      <c r="I770" s="81"/>
      <c r="J770" s="102"/>
      <c r="K770" s="102"/>
      <c r="L770" s="102"/>
      <c r="M770" s="102"/>
      <c r="N770" s="102"/>
      <c r="O770" s="102"/>
      <c r="P770" s="81"/>
      <c r="Q770" s="81"/>
      <c r="R770" s="81"/>
      <c r="S770" s="81"/>
      <c r="T770" s="81"/>
      <c r="U770" s="81"/>
      <c r="V770" s="81"/>
      <c r="W770" s="81"/>
      <c r="X770" s="81"/>
      <c r="Y770" s="81"/>
      <c r="Z770" s="81"/>
    </row>
    <row r="771" customFormat="false" ht="12" hidden="false" customHeight="true" outlineLevel="0" collapsed="false">
      <c r="A771" s="91"/>
      <c r="B771" s="81"/>
      <c r="C771" s="81"/>
      <c r="D771" s="173"/>
      <c r="E771" s="173"/>
      <c r="F771" s="80"/>
      <c r="G771" s="173"/>
      <c r="H771" s="81"/>
      <c r="I771" s="81"/>
      <c r="J771" s="102"/>
      <c r="K771" s="102"/>
      <c r="L771" s="102"/>
      <c r="M771" s="102"/>
      <c r="N771" s="102"/>
      <c r="O771" s="102"/>
      <c r="P771" s="81"/>
      <c r="Q771" s="81"/>
      <c r="R771" s="81"/>
      <c r="S771" s="81"/>
      <c r="T771" s="81"/>
      <c r="U771" s="81"/>
      <c r="V771" s="81"/>
      <c r="W771" s="81"/>
      <c r="X771" s="81"/>
      <c r="Y771" s="81"/>
      <c r="Z771" s="81"/>
    </row>
    <row r="772" customFormat="false" ht="12" hidden="false" customHeight="true" outlineLevel="0" collapsed="false">
      <c r="A772" s="91"/>
      <c r="B772" s="81"/>
      <c r="C772" s="81"/>
      <c r="D772" s="173"/>
      <c r="E772" s="173"/>
      <c r="F772" s="80"/>
      <c r="G772" s="173"/>
      <c r="H772" s="81"/>
      <c r="I772" s="81"/>
      <c r="J772" s="102"/>
      <c r="K772" s="102"/>
      <c r="L772" s="102"/>
      <c r="M772" s="102"/>
      <c r="N772" s="102"/>
      <c r="O772" s="102"/>
      <c r="P772" s="81"/>
      <c r="Q772" s="81"/>
      <c r="R772" s="81"/>
      <c r="S772" s="81"/>
      <c r="T772" s="81"/>
      <c r="U772" s="81"/>
      <c r="V772" s="81"/>
      <c r="W772" s="81"/>
      <c r="X772" s="81"/>
      <c r="Y772" s="81"/>
      <c r="Z772" s="81"/>
    </row>
    <row r="773" customFormat="false" ht="12" hidden="false" customHeight="true" outlineLevel="0" collapsed="false">
      <c r="A773" s="91"/>
      <c r="B773" s="81"/>
      <c r="C773" s="81"/>
      <c r="D773" s="173"/>
      <c r="E773" s="173"/>
      <c r="F773" s="80"/>
      <c r="G773" s="173"/>
      <c r="H773" s="81"/>
      <c r="I773" s="81"/>
      <c r="J773" s="102"/>
      <c r="K773" s="102"/>
      <c r="L773" s="102"/>
      <c r="M773" s="102"/>
      <c r="N773" s="102"/>
      <c r="O773" s="102"/>
      <c r="P773" s="81"/>
      <c r="Q773" s="81"/>
      <c r="R773" s="81"/>
      <c r="S773" s="81"/>
      <c r="T773" s="81"/>
      <c r="U773" s="81"/>
      <c r="V773" s="81"/>
      <c r="W773" s="81"/>
      <c r="X773" s="81"/>
      <c r="Y773" s="81"/>
      <c r="Z773" s="81"/>
    </row>
    <row r="774" customFormat="false" ht="12" hidden="false" customHeight="true" outlineLevel="0" collapsed="false">
      <c r="A774" s="91"/>
      <c r="B774" s="81"/>
      <c r="C774" s="81"/>
      <c r="D774" s="173"/>
      <c r="E774" s="173"/>
      <c r="F774" s="80"/>
      <c r="G774" s="173"/>
      <c r="H774" s="81"/>
      <c r="I774" s="81"/>
      <c r="J774" s="102"/>
      <c r="K774" s="102"/>
      <c r="L774" s="102"/>
      <c r="M774" s="102"/>
      <c r="N774" s="102"/>
      <c r="O774" s="102"/>
      <c r="P774" s="81"/>
      <c r="Q774" s="81"/>
      <c r="R774" s="81"/>
      <c r="S774" s="81"/>
      <c r="T774" s="81"/>
      <c r="U774" s="81"/>
      <c r="V774" s="81"/>
      <c r="W774" s="81"/>
      <c r="X774" s="81"/>
      <c r="Y774" s="81"/>
      <c r="Z774" s="81"/>
    </row>
    <row r="775" customFormat="false" ht="12" hidden="false" customHeight="true" outlineLevel="0" collapsed="false">
      <c r="A775" s="91"/>
      <c r="B775" s="81"/>
      <c r="C775" s="81"/>
      <c r="D775" s="173"/>
      <c r="E775" s="173"/>
      <c r="F775" s="80"/>
      <c r="G775" s="173"/>
      <c r="H775" s="81"/>
      <c r="I775" s="81"/>
      <c r="J775" s="102"/>
      <c r="K775" s="102"/>
      <c r="L775" s="102"/>
      <c r="M775" s="102"/>
      <c r="N775" s="102"/>
      <c r="O775" s="102"/>
      <c r="P775" s="81"/>
      <c r="Q775" s="81"/>
      <c r="R775" s="81"/>
      <c r="S775" s="81"/>
      <c r="T775" s="81"/>
      <c r="U775" s="81"/>
      <c r="V775" s="81"/>
      <c r="W775" s="81"/>
      <c r="X775" s="81"/>
      <c r="Y775" s="81"/>
      <c r="Z775" s="81"/>
    </row>
    <row r="776" customFormat="false" ht="12" hidden="false" customHeight="true" outlineLevel="0" collapsed="false">
      <c r="A776" s="91"/>
      <c r="B776" s="81"/>
      <c r="C776" s="81"/>
      <c r="D776" s="173"/>
      <c r="E776" s="173"/>
      <c r="F776" s="80"/>
      <c r="G776" s="173"/>
      <c r="H776" s="81"/>
      <c r="I776" s="81"/>
      <c r="J776" s="102"/>
      <c r="K776" s="102"/>
      <c r="L776" s="102"/>
      <c r="M776" s="102"/>
      <c r="N776" s="102"/>
      <c r="O776" s="102"/>
      <c r="P776" s="81"/>
      <c r="Q776" s="81"/>
      <c r="R776" s="81"/>
      <c r="S776" s="81"/>
      <c r="T776" s="81"/>
      <c r="U776" s="81"/>
      <c r="V776" s="81"/>
      <c r="W776" s="81"/>
      <c r="X776" s="81"/>
      <c r="Y776" s="81"/>
      <c r="Z776" s="81"/>
    </row>
    <row r="777" customFormat="false" ht="12" hidden="false" customHeight="true" outlineLevel="0" collapsed="false">
      <c r="A777" s="91"/>
      <c r="B777" s="81"/>
      <c r="C777" s="81"/>
      <c r="D777" s="173"/>
      <c r="E777" s="173"/>
      <c r="F777" s="80"/>
      <c r="G777" s="173"/>
      <c r="H777" s="81"/>
      <c r="I777" s="81"/>
      <c r="J777" s="102"/>
      <c r="K777" s="102"/>
      <c r="L777" s="102"/>
      <c r="M777" s="102"/>
      <c r="N777" s="102"/>
      <c r="O777" s="102"/>
      <c r="P777" s="81"/>
      <c r="Q777" s="81"/>
      <c r="R777" s="81"/>
      <c r="S777" s="81"/>
      <c r="T777" s="81"/>
      <c r="U777" s="81"/>
      <c r="V777" s="81"/>
      <c r="W777" s="81"/>
      <c r="X777" s="81"/>
      <c r="Y777" s="81"/>
      <c r="Z777" s="81"/>
    </row>
    <row r="778" customFormat="false" ht="12" hidden="false" customHeight="true" outlineLevel="0" collapsed="false">
      <c r="A778" s="91"/>
      <c r="B778" s="81"/>
      <c r="C778" s="81"/>
      <c r="D778" s="173"/>
      <c r="E778" s="173"/>
      <c r="F778" s="80"/>
      <c r="G778" s="173"/>
      <c r="H778" s="81"/>
      <c r="I778" s="81"/>
      <c r="J778" s="102"/>
      <c r="K778" s="102"/>
      <c r="L778" s="102"/>
      <c r="M778" s="102"/>
      <c r="N778" s="102"/>
      <c r="O778" s="102"/>
      <c r="P778" s="81"/>
      <c r="Q778" s="81"/>
      <c r="R778" s="81"/>
      <c r="S778" s="81"/>
      <c r="T778" s="81"/>
      <c r="U778" s="81"/>
      <c r="V778" s="81"/>
      <c r="W778" s="81"/>
      <c r="X778" s="81"/>
      <c r="Y778" s="81"/>
      <c r="Z778" s="81"/>
    </row>
    <row r="779" customFormat="false" ht="12" hidden="false" customHeight="true" outlineLevel="0" collapsed="false">
      <c r="A779" s="91"/>
      <c r="B779" s="81"/>
      <c r="C779" s="81"/>
      <c r="D779" s="173"/>
      <c r="E779" s="173"/>
      <c r="F779" s="80"/>
      <c r="G779" s="173"/>
      <c r="H779" s="81"/>
      <c r="I779" s="81"/>
      <c r="J779" s="102"/>
      <c r="K779" s="102"/>
      <c r="L779" s="102"/>
      <c r="M779" s="102"/>
      <c r="N779" s="102"/>
      <c r="O779" s="102"/>
      <c r="P779" s="81"/>
      <c r="Q779" s="81"/>
      <c r="R779" s="81"/>
      <c r="S779" s="81"/>
      <c r="T779" s="81"/>
      <c r="U779" s="81"/>
      <c r="V779" s="81"/>
      <c r="W779" s="81"/>
      <c r="X779" s="81"/>
      <c r="Y779" s="81"/>
      <c r="Z779" s="81"/>
    </row>
    <row r="780" customFormat="false" ht="12" hidden="false" customHeight="true" outlineLevel="0" collapsed="false">
      <c r="A780" s="91"/>
      <c r="B780" s="81"/>
      <c r="C780" s="81"/>
      <c r="D780" s="173"/>
      <c r="E780" s="173"/>
      <c r="F780" s="80"/>
      <c r="G780" s="173"/>
      <c r="H780" s="81"/>
      <c r="I780" s="81"/>
      <c r="J780" s="102"/>
      <c r="K780" s="102"/>
      <c r="L780" s="102"/>
      <c r="M780" s="102"/>
      <c r="N780" s="102"/>
      <c r="O780" s="102"/>
      <c r="P780" s="81"/>
      <c r="Q780" s="81"/>
      <c r="R780" s="81"/>
      <c r="S780" s="81"/>
      <c r="T780" s="81"/>
      <c r="U780" s="81"/>
      <c r="V780" s="81"/>
      <c r="W780" s="81"/>
      <c r="X780" s="81"/>
      <c r="Y780" s="81"/>
      <c r="Z780" s="81"/>
    </row>
    <row r="781" customFormat="false" ht="12" hidden="false" customHeight="true" outlineLevel="0" collapsed="false">
      <c r="A781" s="91"/>
      <c r="B781" s="81"/>
      <c r="C781" s="81"/>
      <c r="D781" s="173"/>
      <c r="E781" s="173"/>
      <c r="F781" s="80"/>
      <c r="G781" s="173"/>
      <c r="H781" s="81"/>
      <c r="I781" s="81"/>
      <c r="J781" s="102"/>
      <c r="K781" s="102"/>
      <c r="L781" s="102"/>
      <c r="M781" s="102"/>
      <c r="N781" s="102"/>
      <c r="O781" s="102"/>
      <c r="P781" s="81"/>
      <c r="Q781" s="81"/>
      <c r="R781" s="81"/>
      <c r="S781" s="81"/>
      <c r="T781" s="81"/>
      <c r="U781" s="81"/>
      <c r="V781" s="81"/>
      <c r="W781" s="81"/>
      <c r="X781" s="81"/>
      <c r="Y781" s="81"/>
      <c r="Z781" s="81"/>
    </row>
    <row r="782" customFormat="false" ht="12" hidden="false" customHeight="true" outlineLevel="0" collapsed="false">
      <c r="A782" s="91"/>
      <c r="B782" s="81"/>
      <c r="C782" s="81"/>
      <c r="D782" s="173"/>
      <c r="E782" s="173"/>
      <c r="F782" s="80"/>
      <c r="G782" s="173"/>
      <c r="H782" s="81"/>
      <c r="I782" s="81"/>
      <c r="J782" s="102"/>
      <c r="K782" s="102"/>
      <c r="L782" s="102"/>
      <c r="M782" s="102"/>
      <c r="N782" s="102"/>
      <c r="O782" s="102"/>
      <c r="P782" s="81"/>
      <c r="Q782" s="81"/>
      <c r="R782" s="81"/>
      <c r="S782" s="81"/>
      <c r="T782" s="81"/>
      <c r="U782" s="81"/>
      <c r="V782" s="81"/>
      <c r="W782" s="81"/>
      <c r="X782" s="81"/>
      <c r="Y782" s="81"/>
      <c r="Z782" s="81"/>
    </row>
    <row r="783" customFormat="false" ht="12" hidden="false" customHeight="true" outlineLevel="0" collapsed="false">
      <c r="A783" s="91"/>
      <c r="B783" s="81"/>
      <c r="C783" s="81"/>
      <c r="D783" s="173"/>
      <c r="E783" s="173"/>
      <c r="F783" s="80"/>
      <c r="G783" s="173"/>
      <c r="H783" s="81"/>
      <c r="I783" s="81"/>
      <c r="J783" s="102"/>
      <c r="K783" s="102"/>
      <c r="L783" s="102"/>
      <c r="M783" s="102"/>
      <c r="N783" s="102"/>
      <c r="O783" s="102"/>
      <c r="P783" s="81"/>
      <c r="Q783" s="81"/>
      <c r="R783" s="81"/>
      <c r="S783" s="81"/>
      <c r="T783" s="81"/>
      <c r="U783" s="81"/>
      <c r="V783" s="81"/>
      <c r="W783" s="81"/>
      <c r="X783" s="81"/>
      <c r="Y783" s="81"/>
      <c r="Z783" s="81"/>
    </row>
    <row r="784" customFormat="false" ht="12" hidden="false" customHeight="true" outlineLevel="0" collapsed="false">
      <c r="A784" s="91"/>
      <c r="B784" s="81"/>
      <c r="C784" s="81"/>
      <c r="D784" s="173"/>
      <c r="E784" s="173"/>
      <c r="F784" s="80"/>
      <c r="G784" s="173"/>
      <c r="H784" s="81"/>
      <c r="I784" s="81"/>
      <c r="J784" s="102"/>
      <c r="K784" s="102"/>
      <c r="L784" s="102"/>
      <c r="M784" s="102"/>
      <c r="N784" s="102"/>
      <c r="O784" s="102"/>
      <c r="P784" s="81"/>
      <c r="Q784" s="81"/>
      <c r="R784" s="81"/>
      <c r="S784" s="81"/>
      <c r="T784" s="81"/>
      <c r="U784" s="81"/>
      <c r="V784" s="81"/>
      <c r="W784" s="81"/>
      <c r="X784" s="81"/>
      <c r="Y784" s="81"/>
      <c r="Z784" s="81"/>
    </row>
    <row r="785" customFormat="false" ht="12" hidden="false" customHeight="true" outlineLevel="0" collapsed="false">
      <c r="A785" s="91"/>
      <c r="B785" s="81"/>
      <c r="C785" s="81"/>
      <c r="D785" s="173"/>
      <c r="E785" s="173"/>
      <c r="F785" s="80"/>
      <c r="G785" s="173"/>
      <c r="H785" s="81"/>
      <c r="I785" s="81"/>
      <c r="J785" s="102"/>
      <c r="K785" s="102"/>
      <c r="L785" s="102"/>
      <c r="M785" s="102"/>
      <c r="N785" s="102"/>
      <c r="O785" s="102"/>
      <c r="P785" s="81"/>
      <c r="Q785" s="81"/>
      <c r="R785" s="81"/>
      <c r="S785" s="81"/>
      <c r="T785" s="81"/>
      <c r="U785" s="81"/>
      <c r="V785" s="81"/>
      <c r="W785" s="81"/>
      <c r="X785" s="81"/>
      <c r="Y785" s="81"/>
      <c r="Z785" s="81"/>
    </row>
    <row r="786" customFormat="false" ht="12" hidden="false" customHeight="true" outlineLevel="0" collapsed="false">
      <c r="A786" s="91"/>
      <c r="B786" s="81"/>
      <c r="C786" s="81"/>
      <c r="D786" s="173"/>
      <c r="E786" s="173"/>
      <c r="F786" s="80"/>
      <c r="G786" s="173"/>
      <c r="H786" s="81"/>
      <c r="I786" s="81"/>
      <c r="J786" s="102"/>
      <c r="K786" s="102"/>
      <c r="L786" s="102"/>
      <c r="M786" s="102"/>
      <c r="N786" s="102"/>
      <c r="O786" s="102"/>
      <c r="P786" s="81"/>
      <c r="Q786" s="81"/>
      <c r="R786" s="81"/>
      <c r="S786" s="81"/>
      <c r="T786" s="81"/>
      <c r="U786" s="81"/>
      <c r="V786" s="81"/>
      <c r="W786" s="81"/>
      <c r="X786" s="81"/>
      <c r="Y786" s="81"/>
      <c r="Z786" s="81"/>
    </row>
    <row r="787" customFormat="false" ht="12" hidden="false" customHeight="true" outlineLevel="0" collapsed="false">
      <c r="A787" s="91"/>
      <c r="B787" s="81"/>
      <c r="C787" s="81"/>
      <c r="D787" s="173"/>
      <c r="E787" s="173"/>
      <c r="F787" s="80"/>
      <c r="G787" s="173"/>
      <c r="H787" s="81"/>
      <c r="I787" s="81"/>
      <c r="J787" s="102"/>
      <c r="K787" s="102"/>
      <c r="L787" s="102"/>
      <c r="M787" s="102"/>
      <c r="N787" s="102"/>
      <c r="O787" s="102"/>
      <c r="P787" s="81"/>
      <c r="Q787" s="81"/>
      <c r="R787" s="81"/>
      <c r="S787" s="81"/>
      <c r="T787" s="81"/>
      <c r="U787" s="81"/>
      <c r="V787" s="81"/>
      <c r="W787" s="81"/>
      <c r="X787" s="81"/>
      <c r="Y787" s="81"/>
      <c r="Z787" s="81"/>
    </row>
    <row r="788" customFormat="false" ht="12" hidden="false" customHeight="true" outlineLevel="0" collapsed="false">
      <c r="A788" s="91"/>
      <c r="B788" s="81"/>
      <c r="C788" s="81"/>
      <c r="D788" s="173"/>
      <c r="E788" s="173"/>
      <c r="F788" s="80"/>
      <c r="G788" s="173"/>
      <c r="H788" s="81"/>
      <c r="I788" s="81"/>
      <c r="J788" s="102"/>
      <c r="K788" s="102"/>
      <c r="L788" s="102"/>
      <c r="M788" s="102"/>
      <c r="N788" s="102"/>
      <c r="O788" s="102"/>
      <c r="P788" s="81"/>
      <c r="Q788" s="81"/>
      <c r="R788" s="81"/>
      <c r="S788" s="81"/>
      <c r="T788" s="81"/>
      <c r="U788" s="81"/>
      <c r="V788" s="81"/>
      <c r="W788" s="81"/>
      <c r="X788" s="81"/>
      <c r="Y788" s="81"/>
      <c r="Z788" s="81"/>
    </row>
    <row r="789" customFormat="false" ht="12" hidden="false" customHeight="true" outlineLevel="0" collapsed="false">
      <c r="A789" s="91"/>
      <c r="B789" s="81"/>
      <c r="C789" s="81"/>
      <c r="D789" s="173"/>
      <c r="E789" s="173"/>
      <c r="F789" s="80"/>
      <c r="G789" s="173"/>
      <c r="H789" s="81"/>
      <c r="I789" s="81"/>
      <c r="J789" s="102"/>
      <c r="K789" s="102"/>
      <c r="L789" s="102"/>
      <c r="M789" s="102"/>
      <c r="N789" s="102"/>
      <c r="O789" s="102"/>
      <c r="P789" s="81"/>
      <c r="Q789" s="81"/>
      <c r="R789" s="81"/>
      <c r="S789" s="81"/>
      <c r="T789" s="81"/>
      <c r="U789" s="81"/>
      <c r="V789" s="81"/>
      <c r="W789" s="81"/>
      <c r="X789" s="81"/>
      <c r="Y789" s="81"/>
      <c r="Z789" s="81"/>
    </row>
    <row r="790" customFormat="false" ht="12" hidden="false" customHeight="true" outlineLevel="0" collapsed="false">
      <c r="A790" s="91"/>
      <c r="B790" s="81"/>
      <c r="C790" s="81"/>
      <c r="D790" s="173"/>
      <c r="E790" s="173"/>
      <c r="F790" s="80"/>
      <c r="G790" s="173"/>
      <c r="H790" s="81"/>
      <c r="I790" s="81"/>
      <c r="J790" s="102"/>
      <c r="K790" s="102"/>
      <c r="L790" s="102"/>
      <c r="M790" s="102"/>
      <c r="N790" s="102"/>
      <c r="O790" s="102"/>
      <c r="P790" s="81"/>
      <c r="Q790" s="81"/>
      <c r="R790" s="81"/>
      <c r="S790" s="81"/>
      <c r="T790" s="81"/>
      <c r="U790" s="81"/>
      <c r="V790" s="81"/>
      <c r="W790" s="81"/>
      <c r="X790" s="81"/>
      <c r="Y790" s="81"/>
      <c r="Z790" s="81"/>
    </row>
    <row r="791" customFormat="false" ht="12" hidden="false" customHeight="true" outlineLevel="0" collapsed="false">
      <c r="A791" s="91"/>
      <c r="B791" s="81"/>
      <c r="C791" s="81"/>
      <c r="D791" s="173"/>
      <c r="E791" s="173"/>
      <c r="F791" s="80"/>
      <c r="G791" s="173"/>
      <c r="H791" s="81"/>
      <c r="I791" s="81"/>
      <c r="J791" s="102"/>
      <c r="K791" s="102"/>
      <c r="L791" s="102"/>
      <c r="M791" s="102"/>
      <c r="N791" s="102"/>
      <c r="O791" s="102"/>
      <c r="P791" s="81"/>
      <c r="Q791" s="81"/>
      <c r="R791" s="81"/>
      <c r="S791" s="81"/>
      <c r="T791" s="81"/>
      <c r="U791" s="81"/>
      <c r="V791" s="81"/>
      <c r="W791" s="81"/>
      <c r="X791" s="81"/>
      <c r="Y791" s="81"/>
      <c r="Z791" s="81"/>
    </row>
    <row r="792" customFormat="false" ht="12" hidden="false" customHeight="true" outlineLevel="0" collapsed="false">
      <c r="A792" s="91"/>
      <c r="B792" s="81"/>
      <c r="C792" s="81"/>
      <c r="D792" s="173"/>
      <c r="E792" s="173"/>
      <c r="F792" s="80"/>
      <c r="G792" s="173"/>
      <c r="H792" s="81"/>
      <c r="I792" s="81"/>
      <c r="J792" s="102"/>
      <c r="K792" s="102"/>
      <c r="L792" s="102"/>
      <c r="M792" s="102"/>
      <c r="N792" s="102"/>
      <c r="O792" s="102"/>
      <c r="P792" s="81"/>
      <c r="Q792" s="81"/>
      <c r="R792" s="81"/>
      <c r="S792" s="81"/>
      <c r="T792" s="81"/>
      <c r="U792" s="81"/>
      <c r="V792" s="81"/>
      <c r="W792" s="81"/>
      <c r="X792" s="81"/>
      <c r="Y792" s="81"/>
      <c r="Z792" s="81"/>
    </row>
    <row r="793" customFormat="false" ht="12" hidden="false" customHeight="true" outlineLevel="0" collapsed="false">
      <c r="A793" s="91"/>
      <c r="B793" s="81"/>
      <c r="C793" s="81"/>
      <c r="D793" s="173"/>
      <c r="E793" s="173"/>
      <c r="F793" s="80"/>
      <c r="G793" s="173"/>
      <c r="H793" s="81"/>
      <c r="I793" s="81"/>
      <c r="J793" s="102"/>
      <c r="K793" s="102"/>
      <c r="L793" s="102"/>
      <c r="M793" s="102"/>
      <c r="N793" s="102"/>
      <c r="O793" s="102"/>
      <c r="P793" s="81"/>
      <c r="Q793" s="81"/>
      <c r="R793" s="81"/>
      <c r="S793" s="81"/>
      <c r="T793" s="81"/>
      <c r="U793" s="81"/>
      <c r="V793" s="81"/>
      <c r="W793" s="81"/>
      <c r="X793" s="81"/>
      <c r="Y793" s="81"/>
      <c r="Z793" s="81"/>
    </row>
    <row r="794" customFormat="false" ht="12" hidden="false" customHeight="true" outlineLevel="0" collapsed="false">
      <c r="A794" s="91"/>
      <c r="B794" s="81"/>
      <c r="C794" s="81"/>
      <c r="D794" s="173"/>
      <c r="E794" s="173"/>
      <c r="F794" s="80"/>
      <c r="G794" s="173"/>
      <c r="H794" s="81"/>
      <c r="I794" s="81"/>
      <c r="J794" s="102"/>
      <c r="K794" s="102"/>
      <c r="L794" s="102"/>
      <c r="M794" s="102"/>
      <c r="N794" s="102"/>
      <c r="O794" s="102"/>
      <c r="P794" s="81"/>
      <c r="Q794" s="81"/>
      <c r="R794" s="81"/>
      <c r="S794" s="81"/>
      <c r="T794" s="81"/>
      <c r="U794" s="81"/>
      <c r="V794" s="81"/>
      <c r="W794" s="81"/>
      <c r="X794" s="81"/>
      <c r="Y794" s="81"/>
      <c r="Z794" s="81"/>
    </row>
    <row r="795" customFormat="false" ht="12" hidden="false" customHeight="true" outlineLevel="0" collapsed="false">
      <c r="A795" s="91"/>
      <c r="B795" s="81"/>
      <c r="C795" s="81"/>
      <c r="D795" s="173"/>
      <c r="E795" s="173"/>
      <c r="F795" s="80"/>
      <c r="G795" s="173"/>
      <c r="H795" s="81"/>
      <c r="I795" s="81"/>
      <c r="J795" s="102"/>
      <c r="K795" s="102"/>
      <c r="L795" s="102"/>
      <c r="M795" s="102"/>
      <c r="N795" s="102"/>
      <c r="O795" s="102"/>
      <c r="P795" s="81"/>
      <c r="Q795" s="81"/>
      <c r="R795" s="81"/>
      <c r="S795" s="81"/>
      <c r="T795" s="81"/>
      <c r="U795" s="81"/>
      <c r="V795" s="81"/>
      <c r="W795" s="81"/>
      <c r="X795" s="81"/>
      <c r="Y795" s="81"/>
      <c r="Z795" s="81"/>
    </row>
    <row r="796" customFormat="false" ht="12" hidden="false" customHeight="true" outlineLevel="0" collapsed="false">
      <c r="A796" s="91"/>
      <c r="B796" s="81"/>
      <c r="C796" s="81"/>
      <c r="D796" s="173"/>
      <c r="E796" s="173"/>
      <c r="F796" s="80"/>
      <c r="G796" s="173"/>
      <c r="H796" s="81"/>
      <c r="I796" s="81"/>
      <c r="J796" s="102"/>
      <c r="K796" s="102"/>
      <c r="L796" s="102"/>
      <c r="M796" s="102"/>
      <c r="N796" s="102"/>
      <c r="O796" s="102"/>
      <c r="P796" s="81"/>
      <c r="Q796" s="81"/>
      <c r="R796" s="81"/>
      <c r="S796" s="81"/>
      <c r="T796" s="81"/>
      <c r="U796" s="81"/>
      <c r="V796" s="81"/>
      <c r="W796" s="81"/>
      <c r="X796" s="81"/>
      <c r="Y796" s="81"/>
      <c r="Z796" s="81"/>
    </row>
    <row r="797" customFormat="false" ht="12" hidden="false" customHeight="true" outlineLevel="0" collapsed="false">
      <c r="A797" s="91"/>
      <c r="B797" s="81"/>
      <c r="C797" s="81"/>
      <c r="D797" s="173"/>
      <c r="E797" s="173"/>
      <c r="F797" s="80"/>
      <c r="G797" s="173"/>
      <c r="H797" s="81"/>
      <c r="I797" s="81"/>
      <c r="J797" s="102"/>
      <c r="K797" s="102"/>
      <c r="L797" s="102"/>
      <c r="M797" s="102"/>
      <c r="N797" s="102"/>
      <c r="O797" s="102"/>
      <c r="P797" s="81"/>
      <c r="Q797" s="81"/>
      <c r="R797" s="81"/>
      <c r="S797" s="81"/>
      <c r="T797" s="81"/>
      <c r="U797" s="81"/>
      <c r="V797" s="81"/>
      <c r="W797" s="81"/>
      <c r="X797" s="81"/>
      <c r="Y797" s="81"/>
      <c r="Z797" s="81"/>
    </row>
    <row r="798" customFormat="false" ht="12" hidden="false" customHeight="true" outlineLevel="0" collapsed="false">
      <c r="A798" s="91"/>
      <c r="B798" s="81"/>
      <c r="C798" s="81"/>
      <c r="D798" s="173"/>
      <c r="E798" s="173"/>
      <c r="F798" s="80"/>
      <c r="G798" s="173"/>
      <c r="H798" s="81"/>
      <c r="I798" s="81"/>
      <c r="J798" s="102"/>
      <c r="K798" s="102"/>
      <c r="L798" s="102"/>
      <c r="M798" s="102"/>
      <c r="N798" s="102"/>
      <c r="O798" s="102"/>
      <c r="P798" s="81"/>
      <c r="Q798" s="81"/>
      <c r="R798" s="81"/>
      <c r="S798" s="81"/>
      <c r="T798" s="81"/>
      <c r="U798" s="81"/>
      <c r="V798" s="81"/>
      <c r="W798" s="81"/>
      <c r="X798" s="81"/>
      <c r="Y798" s="81"/>
      <c r="Z798" s="81"/>
    </row>
    <row r="799" customFormat="false" ht="12" hidden="false" customHeight="true" outlineLevel="0" collapsed="false">
      <c r="A799" s="91"/>
      <c r="B799" s="81"/>
      <c r="C799" s="81"/>
      <c r="D799" s="173"/>
      <c r="E799" s="173"/>
      <c r="F799" s="80"/>
      <c r="G799" s="173"/>
      <c r="H799" s="81"/>
      <c r="I799" s="81"/>
      <c r="J799" s="102"/>
      <c r="K799" s="102"/>
      <c r="L799" s="102"/>
      <c r="M799" s="102"/>
      <c r="N799" s="102"/>
      <c r="O799" s="102"/>
      <c r="P799" s="81"/>
      <c r="Q799" s="81"/>
      <c r="R799" s="81"/>
      <c r="S799" s="81"/>
      <c r="T799" s="81"/>
      <c r="U799" s="81"/>
      <c r="V799" s="81"/>
      <c r="W799" s="81"/>
      <c r="X799" s="81"/>
      <c r="Y799" s="81"/>
      <c r="Z799" s="81"/>
    </row>
    <row r="800" customFormat="false" ht="12" hidden="false" customHeight="true" outlineLevel="0" collapsed="false">
      <c r="A800" s="91"/>
      <c r="B800" s="81"/>
      <c r="C800" s="81"/>
      <c r="D800" s="173"/>
      <c r="E800" s="173"/>
      <c r="F800" s="80"/>
      <c r="G800" s="173"/>
      <c r="H800" s="81"/>
      <c r="I800" s="81"/>
      <c r="J800" s="102"/>
      <c r="K800" s="102"/>
      <c r="L800" s="102"/>
      <c r="M800" s="102"/>
      <c r="N800" s="102"/>
      <c r="O800" s="102"/>
      <c r="P800" s="81"/>
      <c r="Q800" s="81"/>
      <c r="R800" s="81"/>
      <c r="S800" s="81"/>
      <c r="T800" s="81"/>
      <c r="U800" s="81"/>
      <c r="V800" s="81"/>
      <c r="W800" s="81"/>
      <c r="X800" s="81"/>
      <c r="Y800" s="81"/>
      <c r="Z800" s="81"/>
    </row>
    <row r="801" customFormat="false" ht="12" hidden="false" customHeight="true" outlineLevel="0" collapsed="false">
      <c r="A801" s="91"/>
      <c r="B801" s="81"/>
      <c r="C801" s="81"/>
      <c r="D801" s="173"/>
      <c r="E801" s="173"/>
      <c r="F801" s="80"/>
      <c r="G801" s="173"/>
      <c r="H801" s="81"/>
      <c r="I801" s="81"/>
      <c r="J801" s="102"/>
      <c r="K801" s="102"/>
      <c r="L801" s="102"/>
      <c r="M801" s="102"/>
      <c r="N801" s="102"/>
      <c r="O801" s="102"/>
      <c r="P801" s="81"/>
      <c r="Q801" s="81"/>
      <c r="R801" s="81"/>
      <c r="S801" s="81"/>
      <c r="T801" s="81"/>
      <c r="U801" s="81"/>
      <c r="V801" s="81"/>
      <c r="W801" s="81"/>
      <c r="X801" s="81"/>
      <c r="Y801" s="81"/>
      <c r="Z801" s="81"/>
    </row>
    <row r="802" customFormat="false" ht="12" hidden="false" customHeight="true" outlineLevel="0" collapsed="false">
      <c r="A802" s="91"/>
      <c r="B802" s="81"/>
      <c r="C802" s="81"/>
      <c r="D802" s="173"/>
      <c r="E802" s="173"/>
      <c r="F802" s="80"/>
      <c r="G802" s="173"/>
      <c r="H802" s="81"/>
      <c r="I802" s="81"/>
      <c r="J802" s="102"/>
      <c r="K802" s="102"/>
      <c r="L802" s="102"/>
      <c r="M802" s="102"/>
      <c r="N802" s="102"/>
      <c r="O802" s="102"/>
      <c r="P802" s="81"/>
      <c r="Q802" s="81"/>
      <c r="R802" s="81"/>
      <c r="S802" s="81"/>
      <c r="T802" s="81"/>
      <c r="U802" s="81"/>
      <c r="V802" s="81"/>
      <c r="W802" s="81"/>
      <c r="X802" s="81"/>
      <c r="Y802" s="81"/>
      <c r="Z802" s="81"/>
    </row>
    <row r="803" customFormat="false" ht="12" hidden="false" customHeight="true" outlineLevel="0" collapsed="false">
      <c r="A803" s="91"/>
      <c r="B803" s="81"/>
      <c r="C803" s="81"/>
      <c r="D803" s="173"/>
      <c r="E803" s="173"/>
      <c r="F803" s="80"/>
      <c r="G803" s="173"/>
      <c r="H803" s="81"/>
      <c r="I803" s="81"/>
      <c r="J803" s="102"/>
      <c r="K803" s="102"/>
      <c r="L803" s="102"/>
      <c r="M803" s="102"/>
      <c r="N803" s="102"/>
      <c r="O803" s="102"/>
      <c r="P803" s="81"/>
      <c r="Q803" s="81"/>
      <c r="R803" s="81"/>
      <c r="S803" s="81"/>
      <c r="T803" s="81"/>
      <c r="U803" s="81"/>
      <c r="V803" s="81"/>
      <c r="W803" s="81"/>
      <c r="X803" s="81"/>
      <c r="Y803" s="81"/>
      <c r="Z803" s="81"/>
    </row>
    <row r="804" customFormat="false" ht="12" hidden="false" customHeight="true" outlineLevel="0" collapsed="false">
      <c r="A804" s="91"/>
      <c r="B804" s="81"/>
      <c r="C804" s="81"/>
      <c r="D804" s="173"/>
      <c r="E804" s="173"/>
      <c r="F804" s="80"/>
      <c r="G804" s="173"/>
      <c r="H804" s="81"/>
      <c r="I804" s="81"/>
      <c r="J804" s="102"/>
      <c r="K804" s="102"/>
      <c r="L804" s="102"/>
      <c r="M804" s="102"/>
      <c r="N804" s="102"/>
      <c r="O804" s="102"/>
      <c r="P804" s="81"/>
      <c r="Q804" s="81"/>
      <c r="R804" s="81"/>
      <c r="S804" s="81"/>
      <c r="T804" s="81"/>
      <c r="U804" s="81"/>
      <c r="V804" s="81"/>
      <c r="W804" s="81"/>
      <c r="X804" s="81"/>
      <c r="Y804" s="81"/>
      <c r="Z804" s="81"/>
    </row>
    <row r="805" customFormat="false" ht="12" hidden="false" customHeight="true" outlineLevel="0" collapsed="false">
      <c r="A805" s="91"/>
      <c r="B805" s="81"/>
      <c r="C805" s="81"/>
      <c r="D805" s="173"/>
      <c r="E805" s="173"/>
      <c r="F805" s="80"/>
      <c r="G805" s="173"/>
      <c r="H805" s="81"/>
      <c r="I805" s="81"/>
      <c r="J805" s="102"/>
      <c r="K805" s="102"/>
      <c r="L805" s="102"/>
      <c r="M805" s="102"/>
      <c r="N805" s="102"/>
      <c r="O805" s="102"/>
      <c r="P805" s="81"/>
      <c r="Q805" s="81"/>
      <c r="R805" s="81"/>
      <c r="S805" s="81"/>
      <c r="T805" s="81"/>
      <c r="U805" s="81"/>
      <c r="V805" s="81"/>
      <c r="W805" s="81"/>
      <c r="X805" s="81"/>
      <c r="Y805" s="81"/>
      <c r="Z805" s="81"/>
    </row>
    <row r="806" customFormat="false" ht="12" hidden="false" customHeight="true" outlineLevel="0" collapsed="false">
      <c r="A806" s="91"/>
      <c r="B806" s="81"/>
      <c r="C806" s="81"/>
      <c r="D806" s="173"/>
      <c r="E806" s="173"/>
      <c r="F806" s="80"/>
      <c r="G806" s="173"/>
      <c r="H806" s="81"/>
      <c r="I806" s="81"/>
      <c r="J806" s="102"/>
      <c r="K806" s="102"/>
      <c r="L806" s="102"/>
      <c r="M806" s="102"/>
      <c r="N806" s="102"/>
      <c r="O806" s="102"/>
      <c r="P806" s="81"/>
      <c r="Q806" s="81"/>
      <c r="R806" s="81"/>
      <c r="S806" s="81"/>
      <c r="T806" s="81"/>
      <c r="U806" s="81"/>
      <c r="V806" s="81"/>
      <c r="W806" s="81"/>
      <c r="X806" s="81"/>
      <c r="Y806" s="81"/>
      <c r="Z806" s="81"/>
    </row>
    <row r="807" customFormat="false" ht="12" hidden="false" customHeight="true" outlineLevel="0" collapsed="false">
      <c r="A807" s="91"/>
      <c r="B807" s="81"/>
      <c r="C807" s="81"/>
      <c r="D807" s="173"/>
      <c r="E807" s="173"/>
      <c r="F807" s="80"/>
      <c r="G807" s="173"/>
      <c r="H807" s="81"/>
      <c r="I807" s="81"/>
      <c r="J807" s="102"/>
      <c r="K807" s="102"/>
      <c r="L807" s="102"/>
      <c r="M807" s="102"/>
      <c r="N807" s="102"/>
      <c r="O807" s="102"/>
      <c r="P807" s="81"/>
      <c r="Q807" s="81"/>
      <c r="R807" s="81"/>
      <c r="S807" s="81"/>
      <c r="T807" s="81"/>
      <c r="U807" s="81"/>
      <c r="V807" s="81"/>
      <c r="W807" s="81"/>
      <c r="X807" s="81"/>
      <c r="Y807" s="81"/>
      <c r="Z807" s="81"/>
    </row>
    <row r="808" customFormat="false" ht="12" hidden="false" customHeight="true" outlineLevel="0" collapsed="false">
      <c r="A808" s="91"/>
      <c r="B808" s="81"/>
      <c r="C808" s="81"/>
      <c r="D808" s="173"/>
      <c r="E808" s="173"/>
      <c r="F808" s="80"/>
      <c r="G808" s="173"/>
      <c r="H808" s="81"/>
      <c r="I808" s="81"/>
      <c r="J808" s="102"/>
      <c r="K808" s="102"/>
      <c r="L808" s="102"/>
      <c r="M808" s="102"/>
      <c r="N808" s="102"/>
      <c r="O808" s="102"/>
      <c r="P808" s="81"/>
      <c r="Q808" s="81"/>
      <c r="R808" s="81"/>
      <c r="S808" s="81"/>
      <c r="T808" s="81"/>
      <c r="U808" s="81"/>
      <c r="V808" s="81"/>
      <c r="W808" s="81"/>
      <c r="X808" s="81"/>
      <c r="Y808" s="81"/>
      <c r="Z808" s="81"/>
    </row>
    <row r="809" customFormat="false" ht="12" hidden="false" customHeight="true" outlineLevel="0" collapsed="false">
      <c r="A809" s="91"/>
      <c r="B809" s="81"/>
      <c r="C809" s="81"/>
      <c r="D809" s="173"/>
      <c r="E809" s="173"/>
      <c r="F809" s="80"/>
      <c r="G809" s="173"/>
      <c r="H809" s="81"/>
      <c r="I809" s="81"/>
      <c r="J809" s="102"/>
      <c r="K809" s="102"/>
      <c r="L809" s="102"/>
      <c r="M809" s="102"/>
      <c r="N809" s="102"/>
      <c r="O809" s="102"/>
      <c r="P809" s="81"/>
      <c r="Q809" s="81"/>
      <c r="R809" s="81"/>
      <c r="S809" s="81"/>
      <c r="T809" s="81"/>
      <c r="U809" s="81"/>
      <c r="V809" s="81"/>
      <c r="W809" s="81"/>
      <c r="X809" s="81"/>
      <c r="Y809" s="81"/>
      <c r="Z809" s="81"/>
    </row>
    <row r="810" customFormat="false" ht="12" hidden="false" customHeight="true" outlineLevel="0" collapsed="false">
      <c r="A810" s="91"/>
      <c r="B810" s="81"/>
      <c r="C810" s="81"/>
      <c r="D810" s="173"/>
      <c r="E810" s="173"/>
      <c r="F810" s="80"/>
      <c r="G810" s="173"/>
      <c r="H810" s="81"/>
      <c r="I810" s="81"/>
      <c r="J810" s="102"/>
      <c r="K810" s="102"/>
      <c r="L810" s="102"/>
      <c r="M810" s="102"/>
      <c r="N810" s="102"/>
      <c r="O810" s="102"/>
      <c r="P810" s="81"/>
      <c r="Q810" s="81"/>
      <c r="R810" s="81"/>
      <c r="S810" s="81"/>
      <c r="T810" s="81"/>
      <c r="U810" s="81"/>
      <c r="V810" s="81"/>
      <c r="W810" s="81"/>
      <c r="X810" s="81"/>
      <c r="Y810" s="81"/>
      <c r="Z810" s="81"/>
    </row>
    <row r="811" customFormat="false" ht="12" hidden="false" customHeight="true" outlineLevel="0" collapsed="false">
      <c r="A811" s="91"/>
      <c r="B811" s="81"/>
      <c r="C811" s="81"/>
      <c r="D811" s="173"/>
      <c r="E811" s="173"/>
      <c r="F811" s="80"/>
      <c r="G811" s="173"/>
      <c r="H811" s="81"/>
      <c r="I811" s="81"/>
      <c r="J811" s="102"/>
      <c r="K811" s="102"/>
      <c r="L811" s="102"/>
      <c r="M811" s="102"/>
      <c r="N811" s="102"/>
      <c r="O811" s="102"/>
      <c r="P811" s="81"/>
      <c r="Q811" s="81"/>
      <c r="R811" s="81"/>
      <c r="S811" s="81"/>
      <c r="T811" s="81"/>
      <c r="U811" s="81"/>
      <c r="V811" s="81"/>
      <c r="W811" s="81"/>
      <c r="X811" s="81"/>
      <c r="Y811" s="81"/>
      <c r="Z811" s="81"/>
    </row>
    <row r="812" customFormat="false" ht="12" hidden="false" customHeight="true" outlineLevel="0" collapsed="false">
      <c r="A812" s="91"/>
      <c r="B812" s="81"/>
      <c r="C812" s="81"/>
      <c r="D812" s="173"/>
      <c r="E812" s="173"/>
      <c r="F812" s="80"/>
      <c r="G812" s="173"/>
      <c r="H812" s="81"/>
      <c r="I812" s="81"/>
      <c r="J812" s="102"/>
      <c r="K812" s="102"/>
      <c r="L812" s="102"/>
      <c r="M812" s="102"/>
      <c r="N812" s="102"/>
      <c r="O812" s="102"/>
      <c r="P812" s="81"/>
      <c r="Q812" s="81"/>
      <c r="R812" s="81"/>
      <c r="S812" s="81"/>
      <c r="T812" s="81"/>
      <c r="U812" s="81"/>
      <c r="V812" s="81"/>
      <c r="W812" s="81"/>
      <c r="X812" s="81"/>
      <c r="Y812" s="81"/>
      <c r="Z812" s="81"/>
    </row>
    <row r="813" customFormat="false" ht="12" hidden="false" customHeight="true" outlineLevel="0" collapsed="false">
      <c r="A813" s="91"/>
      <c r="B813" s="81"/>
      <c r="C813" s="81"/>
      <c r="D813" s="173"/>
      <c r="E813" s="173"/>
      <c r="F813" s="80"/>
      <c r="G813" s="173"/>
      <c r="H813" s="81"/>
      <c r="I813" s="81"/>
      <c r="J813" s="102"/>
      <c r="K813" s="102"/>
      <c r="L813" s="102"/>
      <c r="M813" s="102"/>
      <c r="N813" s="102"/>
      <c r="O813" s="102"/>
      <c r="P813" s="81"/>
      <c r="Q813" s="81"/>
      <c r="R813" s="81"/>
      <c r="S813" s="81"/>
      <c r="T813" s="81"/>
      <c r="U813" s="81"/>
      <c r="V813" s="81"/>
      <c r="W813" s="81"/>
      <c r="X813" s="81"/>
      <c r="Y813" s="81"/>
      <c r="Z813" s="81"/>
    </row>
    <row r="814" customFormat="false" ht="12" hidden="false" customHeight="true" outlineLevel="0" collapsed="false">
      <c r="A814" s="91"/>
      <c r="B814" s="81"/>
      <c r="C814" s="81"/>
      <c r="D814" s="173"/>
      <c r="E814" s="173"/>
      <c r="F814" s="80"/>
      <c r="G814" s="173"/>
      <c r="H814" s="81"/>
      <c r="I814" s="81"/>
      <c r="J814" s="102"/>
      <c r="K814" s="102"/>
      <c r="L814" s="102"/>
      <c r="M814" s="102"/>
      <c r="N814" s="102"/>
      <c r="O814" s="102"/>
      <c r="P814" s="81"/>
      <c r="Q814" s="81"/>
      <c r="R814" s="81"/>
      <c r="S814" s="81"/>
      <c r="T814" s="81"/>
      <c r="U814" s="81"/>
      <c r="V814" s="81"/>
      <c r="W814" s="81"/>
      <c r="X814" s="81"/>
      <c r="Y814" s="81"/>
      <c r="Z814" s="81"/>
    </row>
    <row r="815" customFormat="false" ht="12" hidden="false" customHeight="true" outlineLevel="0" collapsed="false">
      <c r="A815" s="91"/>
      <c r="B815" s="81"/>
      <c r="C815" s="81"/>
      <c r="D815" s="173"/>
      <c r="E815" s="173"/>
      <c r="F815" s="80"/>
      <c r="G815" s="173"/>
      <c r="H815" s="81"/>
      <c r="I815" s="81"/>
      <c r="J815" s="102"/>
      <c r="K815" s="102"/>
      <c r="L815" s="102"/>
      <c r="M815" s="102"/>
      <c r="N815" s="102"/>
      <c r="O815" s="102"/>
      <c r="P815" s="81"/>
      <c r="Q815" s="81"/>
      <c r="R815" s="81"/>
      <c r="S815" s="81"/>
      <c r="T815" s="81"/>
      <c r="U815" s="81"/>
      <c r="V815" s="81"/>
      <c r="W815" s="81"/>
      <c r="X815" s="81"/>
      <c r="Y815" s="81"/>
      <c r="Z815" s="81"/>
    </row>
    <row r="816" customFormat="false" ht="12" hidden="false" customHeight="true" outlineLevel="0" collapsed="false">
      <c r="A816" s="91"/>
      <c r="B816" s="81"/>
      <c r="C816" s="81"/>
      <c r="D816" s="173"/>
      <c r="E816" s="173"/>
      <c r="F816" s="80"/>
      <c r="G816" s="173"/>
      <c r="H816" s="81"/>
      <c r="I816" s="81"/>
      <c r="J816" s="102"/>
      <c r="K816" s="102"/>
      <c r="L816" s="102"/>
      <c r="M816" s="102"/>
      <c r="N816" s="102"/>
      <c r="O816" s="102"/>
      <c r="P816" s="81"/>
      <c r="Q816" s="81"/>
      <c r="R816" s="81"/>
      <c r="S816" s="81"/>
      <c r="T816" s="81"/>
      <c r="U816" s="81"/>
      <c r="V816" s="81"/>
      <c r="W816" s="81"/>
      <c r="X816" s="81"/>
      <c r="Y816" s="81"/>
      <c r="Z816" s="81"/>
    </row>
    <row r="817" customFormat="false" ht="12" hidden="false" customHeight="true" outlineLevel="0" collapsed="false">
      <c r="A817" s="91"/>
      <c r="B817" s="81"/>
      <c r="C817" s="81"/>
      <c r="D817" s="173"/>
      <c r="E817" s="173"/>
      <c r="F817" s="80"/>
      <c r="G817" s="173"/>
      <c r="H817" s="81"/>
      <c r="I817" s="81"/>
      <c r="J817" s="102"/>
      <c r="K817" s="102"/>
      <c r="L817" s="102"/>
      <c r="M817" s="102"/>
      <c r="N817" s="102"/>
      <c r="O817" s="102"/>
      <c r="P817" s="81"/>
      <c r="Q817" s="81"/>
      <c r="R817" s="81"/>
      <c r="S817" s="81"/>
      <c r="T817" s="81"/>
      <c r="U817" s="81"/>
      <c r="V817" s="81"/>
      <c r="W817" s="81"/>
      <c r="X817" s="81"/>
      <c r="Y817" s="81"/>
      <c r="Z817" s="81"/>
    </row>
    <row r="818" customFormat="false" ht="12" hidden="false" customHeight="true" outlineLevel="0" collapsed="false">
      <c r="A818" s="91"/>
      <c r="B818" s="81"/>
      <c r="C818" s="81"/>
      <c r="D818" s="173"/>
      <c r="E818" s="173"/>
      <c r="F818" s="80"/>
      <c r="G818" s="173"/>
      <c r="H818" s="81"/>
      <c r="I818" s="81"/>
      <c r="J818" s="102"/>
      <c r="K818" s="102"/>
      <c r="L818" s="102"/>
      <c r="M818" s="102"/>
      <c r="N818" s="102"/>
      <c r="O818" s="102"/>
      <c r="P818" s="81"/>
      <c r="Q818" s="81"/>
      <c r="R818" s="81"/>
      <c r="S818" s="81"/>
      <c r="T818" s="81"/>
      <c r="U818" s="81"/>
      <c r="V818" s="81"/>
      <c r="W818" s="81"/>
      <c r="X818" s="81"/>
      <c r="Y818" s="81"/>
      <c r="Z818" s="81"/>
    </row>
    <row r="819" customFormat="false" ht="12" hidden="false" customHeight="true" outlineLevel="0" collapsed="false">
      <c r="A819" s="91"/>
      <c r="B819" s="81"/>
      <c r="C819" s="81"/>
      <c r="D819" s="173"/>
      <c r="E819" s="173"/>
      <c r="F819" s="80"/>
      <c r="G819" s="173"/>
      <c r="H819" s="81"/>
      <c r="I819" s="81"/>
      <c r="J819" s="102"/>
      <c r="K819" s="102"/>
      <c r="L819" s="102"/>
      <c r="M819" s="102"/>
      <c r="N819" s="102"/>
      <c r="O819" s="102"/>
      <c r="P819" s="81"/>
      <c r="Q819" s="81"/>
      <c r="R819" s="81"/>
      <c r="S819" s="81"/>
      <c r="T819" s="81"/>
      <c r="U819" s="81"/>
      <c r="V819" s="81"/>
      <c r="W819" s="81"/>
      <c r="X819" s="81"/>
      <c r="Y819" s="81"/>
      <c r="Z819" s="81"/>
    </row>
    <row r="820" customFormat="false" ht="12" hidden="false" customHeight="true" outlineLevel="0" collapsed="false">
      <c r="A820" s="91"/>
      <c r="B820" s="81"/>
      <c r="C820" s="81"/>
      <c r="D820" s="173"/>
      <c r="E820" s="173"/>
      <c r="F820" s="80"/>
      <c r="G820" s="173"/>
      <c r="H820" s="81"/>
      <c r="I820" s="81"/>
      <c r="J820" s="102"/>
      <c r="K820" s="102"/>
      <c r="L820" s="102"/>
      <c r="M820" s="102"/>
      <c r="N820" s="102"/>
      <c r="O820" s="102"/>
      <c r="P820" s="81"/>
      <c r="Q820" s="81"/>
      <c r="R820" s="81"/>
      <c r="S820" s="81"/>
      <c r="T820" s="81"/>
      <c r="U820" s="81"/>
      <c r="V820" s="81"/>
      <c r="W820" s="81"/>
      <c r="X820" s="81"/>
      <c r="Y820" s="81"/>
      <c r="Z820" s="81"/>
    </row>
    <row r="821" customFormat="false" ht="12" hidden="false" customHeight="true" outlineLevel="0" collapsed="false">
      <c r="A821" s="91"/>
      <c r="B821" s="81"/>
      <c r="C821" s="81"/>
      <c r="D821" s="173"/>
      <c r="E821" s="173"/>
      <c r="F821" s="80"/>
      <c r="G821" s="173"/>
      <c r="H821" s="81"/>
      <c r="I821" s="81"/>
      <c r="J821" s="102"/>
      <c r="K821" s="102"/>
      <c r="L821" s="102"/>
      <c r="M821" s="102"/>
      <c r="N821" s="102"/>
      <c r="O821" s="102"/>
      <c r="P821" s="81"/>
      <c r="Q821" s="81"/>
      <c r="R821" s="81"/>
      <c r="S821" s="81"/>
      <c r="T821" s="81"/>
      <c r="U821" s="81"/>
      <c r="V821" s="81"/>
      <c r="W821" s="81"/>
      <c r="X821" s="81"/>
      <c r="Y821" s="81"/>
      <c r="Z821" s="81"/>
    </row>
    <row r="822" customFormat="false" ht="12" hidden="false" customHeight="true" outlineLevel="0" collapsed="false">
      <c r="A822" s="91"/>
      <c r="B822" s="81"/>
      <c r="C822" s="81"/>
      <c r="D822" s="173"/>
      <c r="E822" s="173"/>
      <c r="F822" s="80"/>
      <c r="G822" s="173"/>
      <c r="H822" s="81"/>
      <c r="I822" s="81"/>
      <c r="J822" s="102"/>
      <c r="K822" s="102"/>
      <c r="L822" s="102"/>
      <c r="M822" s="102"/>
      <c r="N822" s="102"/>
      <c r="O822" s="102"/>
      <c r="P822" s="81"/>
      <c r="Q822" s="81"/>
      <c r="R822" s="81"/>
      <c r="S822" s="81"/>
      <c r="T822" s="81"/>
      <c r="U822" s="81"/>
      <c r="V822" s="81"/>
      <c r="W822" s="81"/>
      <c r="X822" s="81"/>
      <c r="Y822" s="81"/>
      <c r="Z822" s="81"/>
    </row>
    <row r="823" customFormat="false" ht="12" hidden="false" customHeight="true" outlineLevel="0" collapsed="false">
      <c r="A823" s="91"/>
      <c r="B823" s="81"/>
      <c r="C823" s="81"/>
      <c r="D823" s="173"/>
      <c r="E823" s="173"/>
      <c r="F823" s="80"/>
      <c r="G823" s="173"/>
      <c r="H823" s="81"/>
      <c r="I823" s="81"/>
      <c r="J823" s="102"/>
      <c r="K823" s="102"/>
      <c r="L823" s="102"/>
      <c r="M823" s="102"/>
      <c r="N823" s="102"/>
      <c r="O823" s="102"/>
      <c r="P823" s="81"/>
      <c r="Q823" s="81"/>
      <c r="R823" s="81"/>
      <c r="S823" s="81"/>
      <c r="T823" s="81"/>
      <c r="U823" s="81"/>
      <c r="V823" s="81"/>
      <c r="W823" s="81"/>
      <c r="X823" s="81"/>
      <c r="Y823" s="81"/>
      <c r="Z823" s="81"/>
    </row>
    <row r="824" customFormat="false" ht="12" hidden="false" customHeight="true" outlineLevel="0" collapsed="false">
      <c r="A824" s="91"/>
      <c r="B824" s="81"/>
      <c r="C824" s="81"/>
      <c r="D824" s="173"/>
      <c r="E824" s="173"/>
      <c r="F824" s="80"/>
      <c r="G824" s="173"/>
      <c r="H824" s="81"/>
      <c r="I824" s="81"/>
      <c r="J824" s="102"/>
      <c r="K824" s="102"/>
      <c r="L824" s="102"/>
      <c r="M824" s="102"/>
      <c r="N824" s="102"/>
      <c r="O824" s="102"/>
      <c r="P824" s="81"/>
      <c r="Q824" s="81"/>
      <c r="R824" s="81"/>
      <c r="S824" s="81"/>
      <c r="T824" s="81"/>
      <c r="U824" s="81"/>
      <c r="V824" s="81"/>
      <c r="W824" s="81"/>
      <c r="X824" s="81"/>
      <c r="Y824" s="81"/>
      <c r="Z824" s="81"/>
    </row>
    <row r="825" customFormat="false" ht="12" hidden="false" customHeight="true" outlineLevel="0" collapsed="false">
      <c r="A825" s="91"/>
      <c r="B825" s="81"/>
      <c r="C825" s="81"/>
      <c r="D825" s="173"/>
      <c r="E825" s="173"/>
      <c r="F825" s="80"/>
      <c r="G825" s="173"/>
      <c r="H825" s="81"/>
      <c r="I825" s="81"/>
      <c r="J825" s="102"/>
      <c r="K825" s="102"/>
      <c r="L825" s="102"/>
      <c r="M825" s="102"/>
      <c r="N825" s="102"/>
      <c r="O825" s="102"/>
      <c r="P825" s="81"/>
      <c r="Q825" s="81"/>
      <c r="R825" s="81"/>
      <c r="S825" s="81"/>
      <c r="T825" s="81"/>
      <c r="U825" s="81"/>
      <c r="V825" s="81"/>
      <c r="W825" s="81"/>
      <c r="X825" s="81"/>
      <c r="Y825" s="81"/>
      <c r="Z825" s="81"/>
    </row>
    <row r="826" customFormat="false" ht="12" hidden="false" customHeight="true" outlineLevel="0" collapsed="false">
      <c r="A826" s="91"/>
      <c r="B826" s="81"/>
      <c r="C826" s="81"/>
      <c r="D826" s="173"/>
      <c r="E826" s="173"/>
      <c r="F826" s="80"/>
      <c r="G826" s="173"/>
      <c r="H826" s="81"/>
      <c r="I826" s="81"/>
      <c r="J826" s="102"/>
      <c r="K826" s="102"/>
      <c r="L826" s="102"/>
      <c r="M826" s="102"/>
      <c r="N826" s="102"/>
      <c r="O826" s="102"/>
      <c r="P826" s="81"/>
      <c r="Q826" s="81"/>
      <c r="R826" s="81"/>
      <c r="S826" s="81"/>
      <c r="T826" s="81"/>
      <c r="U826" s="81"/>
      <c r="V826" s="81"/>
      <c r="W826" s="81"/>
      <c r="X826" s="81"/>
      <c r="Y826" s="81"/>
      <c r="Z826" s="81"/>
    </row>
    <row r="827" customFormat="false" ht="12" hidden="false" customHeight="true" outlineLevel="0" collapsed="false">
      <c r="A827" s="91"/>
      <c r="B827" s="81"/>
      <c r="C827" s="81"/>
      <c r="D827" s="173"/>
      <c r="E827" s="173"/>
      <c r="F827" s="80"/>
      <c r="G827" s="173"/>
      <c r="H827" s="81"/>
      <c r="I827" s="81"/>
      <c r="J827" s="102"/>
      <c r="K827" s="102"/>
      <c r="L827" s="102"/>
      <c r="M827" s="102"/>
      <c r="N827" s="102"/>
      <c r="O827" s="102"/>
      <c r="P827" s="81"/>
      <c r="Q827" s="81"/>
      <c r="R827" s="81"/>
      <c r="S827" s="81"/>
      <c r="T827" s="81"/>
      <c r="U827" s="81"/>
      <c r="V827" s="81"/>
      <c r="W827" s="81"/>
      <c r="X827" s="81"/>
      <c r="Y827" s="81"/>
      <c r="Z827" s="81"/>
    </row>
    <row r="828" customFormat="false" ht="12" hidden="false" customHeight="true" outlineLevel="0" collapsed="false">
      <c r="A828" s="91"/>
      <c r="B828" s="81"/>
      <c r="C828" s="81"/>
      <c r="D828" s="173"/>
      <c r="E828" s="173"/>
      <c r="F828" s="80"/>
      <c r="G828" s="173"/>
      <c r="H828" s="81"/>
      <c r="I828" s="81"/>
      <c r="J828" s="102"/>
      <c r="K828" s="102"/>
      <c r="L828" s="102"/>
      <c r="M828" s="102"/>
      <c r="N828" s="102"/>
      <c r="O828" s="102"/>
      <c r="P828" s="81"/>
      <c r="Q828" s="81"/>
      <c r="R828" s="81"/>
      <c r="S828" s="81"/>
      <c r="T828" s="81"/>
      <c r="U828" s="81"/>
      <c r="V828" s="81"/>
      <c r="W828" s="81"/>
      <c r="X828" s="81"/>
      <c r="Y828" s="81"/>
      <c r="Z828" s="81"/>
    </row>
    <row r="829" customFormat="false" ht="12" hidden="false" customHeight="true" outlineLevel="0" collapsed="false">
      <c r="A829" s="91"/>
      <c r="B829" s="81"/>
      <c r="C829" s="81"/>
      <c r="D829" s="173"/>
      <c r="E829" s="173"/>
      <c r="F829" s="80"/>
      <c r="G829" s="173"/>
      <c r="H829" s="81"/>
      <c r="I829" s="81"/>
      <c r="J829" s="102"/>
      <c r="K829" s="102"/>
      <c r="L829" s="102"/>
      <c r="M829" s="102"/>
      <c r="N829" s="102"/>
      <c r="O829" s="102"/>
      <c r="P829" s="81"/>
      <c r="Q829" s="81"/>
      <c r="R829" s="81"/>
      <c r="S829" s="81"/>
      <c r="T829" s="81"/>
      <c r="U829" s="81"/>
      <c r="V829" s="81"/>
      <c r="W829" s="81"/>
      <c r="X829" s="81"/>
      <c r="Y829" s="81"/>
      <c r="Z829" s="81"/>
    </row>
    <row r="830" customFormat="false" ht="12" hidden="false" customHeight="true" outlineLevel="0" collapsed="false">
      <c r="A830" s="91"/>
      <c r="B830" s="81"/>
      <c r="C830" s="81"/>
      <c r="D830" s="173"/>
      <c r="E830" s="173"/>
      <c r="F830" s="80"/>
      <c r="G830" s="173"/>
      <c r="H830" s="81"/>
      <c r="I830" s="81"/>
      <c r="J830" s="102"/>
      <c r="K830" s="102"/>
      <c r="L830" s="102"/>
      <c r="M830" s="102"/>
      <c r="N830" s="102"/>
      <c r="O830" s="102"/>
      <c r="P830" s="81"/>
      <c r="Q830" s="81"/>
      <c r="R830" s="81"/>
      <c r="S830" s="81"/>
      <c r="T830" s="81"/>
      <c r="U830" s="81"/>
      <c r="V830" s="81"/>
      <c r="W830" s="81"/>
      <c r="X830" s="81"/>
      <c r="Y830" s="81"/>
      <c r="Z830" s="81"/>
    </row>
    <row r="831" customFormat="false" ht="12" hidden="false" customHeight="true" outlineLevel="0" collapsed="false">
      <c r="A831" s="91"/>
      <c r="B831" s="81"/>
      <c r="C831" s="81"/>
      <c r="D831" s="173"/>
      <c r="E831" s="173"/>
      <c r="F831" s="80"/>
      <c r="G831" s="173"/>
      <c r="H831" s="81"/>
      <c r="I831" s="81"/>
      <c r="J831" s="102"/>
      <c r="K831" s="102"/>
      <c r="L831" s="102"/>
      <c r="M831" s="102"/>
      <c r="N831" s="102"/>
      <c r="O831" s="102"/>
      <c r="P831" s="81"/>
      <c r="Q831" s="81"/>
      <c r="R831" s="81"/>
      <c r="S831" s="81"/>
      <c r="T831" s="81"/>
      <c r="U831" s="81"/>
      <c r="V831" s="81"/>
      <c r="W831" s="81"/>
      <c r="X831" s="81"/>
      <c r="Y831" s="81"/>
      <c r="Z831" s="81"/>
    </row>
    <row r="832" customFormat="false" ht="12" hidden="false" customHeight="true" outlineLevel="0" collapsed="false">
      <c r="A832" s="91"/>
      <c r="B832" s="81"/>
      <c r="C832" s="81"/>
      <c r="D832" s="173"/>
      <c r="E832" s="173"/>
      <c r="F832" s="80"/>
      <c r="G832" s="173"/>
      <c r="H832" s="81"/>
      <c r="I832" s="81"/>
      <c r="J832" s="102"/>
      <c r="K832" s="102"/>
      <c r="L832" s="102"/>
      <c r="M832" s="102"/>
      <c r="N832" s="102"/>
      <c r="O832" s="102"/>
      <c r="P832" s="81"/>
      <c r="Q832" s="81"/>
      <c r="R832" s="81"/>
      <c r="S832" s="81"/>
      <c r="T832" s="81"/>
      <c r="U832" s="81"/>
      <c r="V832" s="81"/>
      <c r="W832" s="81"/>
      <c r="X832" s="81"/>
      <c r="Y832" s="81"/>
      <c r="Z832" s="81"/>
    </row>
    <row r="833" customFormat="false" ht="12" hidden="false" customHeight="true" outlineLevel="0" collapsed="false">
      <c r="A833" s="91"/>
      <c r="B833" s="81"/>
      <c r="C833" s="81"/>
      <c r="D833" s="173"/>
      <c r="E833" s="173"/>
      <c r="F833" s="80"/>
      <c r="G833" s="173"/>
      <c r="H833" s="81"/>
      <c r="I833" s="81"/>
      <c r="J833" s="102"/>
      <c r="K833" s="102"/>
      <c r="L833" s="102"/>
      <c r="M833" s="102"/>
      <c r="N833" s="102"/>
      <c r="O833" s="102"/>
      <c r="P833" s="81"/>
      <c r="Q833" s="81"/>
      <c r="R833" s="81"/>
      <c r="S833" s="81"/>
      <c r="T833" s="81"/>
      <c r="U833" s="81"/>
      <c r="V833" s="81"/>
      <c r="W833" s="81"/>
      <c r="X833" s="81"/>
      <c r="Y833" s="81"/>
      <c r="Z833" s="81"/>
    </row>
    <row r="834" customFormat="false" ht="12" hidden="false" customHeight="true" outlineLevel="0" collapsed="false">
      <c r="A834" s="91"/>
      <c r="B834" s="81"/>
      <c r="C834" s="81"/>
      <c r="D834" s="173"/>
      <c r="E834" s="173"/>
      <c r="F834" s="80"/>
      <c r="G834" s="173"/>
      <c r="H834" s="81"/>
      <c r="I834" s="81"/>
      <c r="J834" s="102"/>
      <c r="K834" s="102"/>
      <c r="L834" s="102"/>
      <c r="M834" s="102"/>
      <c r="N834" s="102"/>
      <c r="O834" s="102"/>
      <c r="P834" s="81"/>
      <c r="Q834" s="81"/>
      <c r="R834" s="81"/>
      <c r="S834" s="81"/>
      <c r="T834" s="81"/>
      <c r="U834" s="81"/>
      <c r="V834" s="81"/>
      <c r="W834" s="81"/>
      <c r="X834" s="81"/>
      <c r="Y834" s="81"/>
      <c r="Z834" s="81"/>
    </row>
    <row r="835" customFormat="false" ht="12" hidden="false" customHeight="true" outlineLevel="0" collapsed="false">
      <c r="A835" s="91"/>
      <c r="B835" s="81"/>
      <c r="C835" s="81"/>
      <c r="D835" s="173"/>
      <c r="E835" s="173"/>
      <c r="F835" s="80"/>
      <c r="G835" s="173"/>
      <c r="H835" s="81"/>
      <c r="I835" s="81"/>
      <c r="J835" s="102"/>
      <c r="K835" s="102"/>
      <c r="L835" s="102"/>
      <c r="M835" s="102"/>
      <c r="N835" s="102"/>
      <c r="O835" s="102"/>
      <c r="P835" s="81"/>
      <c r="Q835" s="81"/>
      <c r="R835" s="81"/>
      <c r="S835" s="81"/>
      <c r="T835" s="81"/>
      <c r="U835" s="81"/>
      <c r="V835" s="81"/>
      <c r="W835" s="81"/>
      <c r="X835" s="81"/>
      <c r="Y835" s="81"/>
      <c r="Z835" s="81"/>
    </row>
    <row r="836" customFormat="false" ht="12" hidden="false" customHeight="true" outlineLevel="0" collapsed="false">
      <c r="A836" s="91"/>
      <c r="B836" s="81"/>
      <c r="C836" s="81"/>
      <c r="D836" s="173"/>
      <c r="E836" s="173"/>
      <c r="F836" s="80"/>
      <c r="G836" s="173"/>
      <c r="H836" s="81"/>
      <c r="I836" s="81"/>
      <c r="J836" s="102"/>
      <c r="K836" s="102"/>
      <c r="L836" s="102"/>
      <c r="M836" s="102"/>
      <c r="N836" s="102"/>
      <c r="O836" s="102"/>
      <c r="P836" s="81"/>
      <c r="Q836" s="81"/>
      <c r="R836" s="81"/>
      <c r="S836" s="81"/>
      <c r="T836" s="81"/>
      <c r="U836" s="81"/>
      <c r="V836" s="81"/>
      <c r="W836" s="81"/>
      <c r="X836" s="81"/>
      <c r="Y836" s="81"/>
      <c r="Z836" s="81"/>
    </row>
    <row r="837" customFormat="false" ht="12" hidden="false" customHeight="true" outlineLevel="0" collapsed="false">
      <c r="A837" s="91"/>
      <c r="B837" s="81"/>
      <c r="C837" s="81"/>
      <c r="D837" s="173"/>
      <c r="E837" s="173"/>
      <c r="F837" s="80"/>
      <c r="G837" s="173"/>
      <c r="H837" s="81"/>
      <c r="I837" s="81"/>
      <c r="J837" s="102"/>
      <c r="K837" s="102"/>
      <c r="L837" s="102"/>
      <c r="M837" s="102"/>
      <c r="N837" s="102"/>
      <c r="O837" s="102"/>
      <c r="P837" s="81"/>
      <c r="Q837" s="81"/>
      <c r="R837" s="81"/>
      <c r="S837" s="81"/>
      <c r="T837" s="81"/>
      <c r="U837" s="81"/>
      <c r="V837" s="81"/>
      <c r="W837" s="81"/>
      <c r="X837" s="81"/>
      <c r="Y837" s="81"/>
      <c r="Z837" s="81"/>
    </row>
    <row r="838" customFormat="false" ht="12" hidden="false" customHeight="true" outlineLevel="0" collapsed="false">
      <c r="A838" s="91"/>
      <c r="B838" s="81"/>
      <c r="C838" s="81"/>
      <c r="D838" s="173"/>
      <c r="E838" s="173"/>
      <c r="F838" s="80"/>
      <c r="G838" s="173"/>
      <c r="H838" s="81"/>
      <c r="I838" s="81"/>
      <c r="J838" s="102"/>
      <c r="K838" s="102"/>
      <c r="L838" s="102"/>
      <c r="M838" s="102"/>
      <c r="N838" s="102"/>
      <c r="O838" s="102"/>
      <c r="P838" s="81"/>
      <c r="Q838" s="81"/>
      <c r="R838" s="81"/>
      <c r="S838" s="81"/>
      <c r="T838" s="81"/>
      <c r="U838" s="81"/>
      <c r="V838" s="81"/>
      <c r="W838" s="81"/>
      <c r="X838" s="81"/>
      <c r="Y838" s="81"/>
      <c r="Z838" s="81"/>
    </row>
    <row r="839" customFormat="false" ht="12" hidden="false" customHeight="true" outlineLevel="0" collapsed="false">
      <c r="A839" s="91"/>
      <c r="B839" s="81"/>
      <c r="C839" s="81"/>
      <c r="D839" s="173"/>
      <c r="E839" s="173"/>
      <c r="F839" s="80"/>
      <c r="G839" s="173"/>
      <c r="H839" s="81"/>
      <c r="I839" s="81"/>
      <c r="J839" s="102"/>
      <c r="K839" s="102"/>
      <c r="L839" s="102"/>
      <c r="M839" s="102"/>
      <c r="N839" s="102"/>
      <c r="O839" s="102"/>
      <c r="P839" s="81"/>
      <c r="Q839" s="81"/>
      <c r="R839" s="81"/>
      <c r="S839" s="81"/>
      <c r="T839" s="81"/>
      <c r="U839" s="81"/>
      <c r="V839" s="81"/>
      <c r="W839" s="81"/>
      <c r="X839" s="81"/>
      <c r="Y839" s="81"/>
      <c r="Z839" s="81"/>
    </row>
    <row r="840" customFormat="false" ht="12" hidden="false" customHeight="true" outlineLevel="0" collapsed="false">
      <c r="A840" s="91"/>
      <c r="B840" s="81"/>
      <c r="C840" s="81"/>
      <c r="D840" s="173"/>
      <c r="E840" s="173"/>
      <c r="F840" s="80"/>
      <c r="G840" s="173"/>
      <c r="H840" s="81"/>
      <c r="I840" s="81"/>
      <c r="J840" s="102"/>
      <c r="K840" s="102"/>
      <c r="L840" s="102"/>
      <c r="M840" s="102"/>
      <c r="N840" s="102"/>
      <c r="O840" s="102"/>
      <c r="P840" s="81"/>
      <c r="Q840" s="81"/>
      <c r="R840" s="81"/>
      <c r="S840" s="81"/>
      <c r="T840" s="81"/>
      <c r="U840" s="81"/>
      <c r="V840" s="81"/>
      <c r="W840" s="81"/>
      <c r="X840" s="81"/>
      <c r="Y840" s="81"/>
      <c r="Z840" s="81"/>
    </row>
    <row r="841" customFormat="false" ht="12" hidden="false" customHeight="true" outlineLevel="0" collapsed="false">
      <c r="A841" s="91"/>
      <c r="B841" s="81"/>
      <c r="C841" s="81"/>
      <c r="D841" s="173"/>
      <c r="E841" s="173"/>
      <c r="F841" s="80"/>
      <c r="G841" s="173"/>
      <c r="H841" s="81"/>
      <c r="I841" s="81"/>
      <c r="J841" s="102"/>
      <c r="K841" s="102"/>
      <c r="L841" s="102"/>
      <c r="M841" s="102"/>
      <c r="N841" s="102"/>
      <c r="O841" s="102"/>
      <c r="P841" s="81"/>
      <c r="Q841" s="81"/>
      <c r="R841" s="81"/>
      <c r="S841" s="81"/>
      <c r="T841" s="81"/>
      <c r="U841" s="81"/>
      <c r="V841" s="81"/>
      <c r="W841" s="81"/>
      <c r="X841" s="81"/>
      <c r="Y841" s="81"/>
      <c r="Z841" s="81"/>
    </row>
    <row r="842" customFormat="false" ht="12" hidden="false" customHeight="true" outlineLevel="0" collapsed="false">
      <c r="A842" s="91"/>
      <c r="B842" s="81"/>
      <c r="C842" s="81"/>
      <c r="D842" s="173"/>
      <c r="E842" s="173"/>
      <c r="F842" s="80"/>
      <c r="G842" s="173"/>
      <c r="H842" s="81"/>
      <c r="I842" s="81"/>
      <c r="J842" s="102"/>
      <c r="K842" s="102"/>
      <c r="L842" s="102"/>
      <c r="M842" s="102"/>
      <c r="N842" s="102"/>
      <c r="O842" s="102"/>
      <c r="P842" s="81"/>
      <c r="Q842" s="81"/>
      <c r="R842" s="81"/>
      <c r="S842" s="81"/>
      <c r="T842" s="81"/>
      <c r="U842" s="81"/>
      <c r="V842" s="81"/>
      <c r="W842" s="81"/>
      <c r="X842" s="81"/>
      <c r="Y842" s="81"/>
      <c r="Z842" s="81"/>
    </row>
    <row r="843" customFormat="false" ht="12" hidden="false" customHeight="true" outlineLevel="0" collapsed="false">
      <c r="A843" s="91"/>
      <c r="B843" s="81"/>
      <c r="C843" s="81"/>
      <c r="D843" s="173"/>
      <c r="E843" s="173"/>
      <c r="F843" s="80"/>
      <c r="G843" s="173"/>
      <c r="H843" s="81"/>
      <c r="I843" s="81"/>
      <c r="J843" s="102"/>
      <c r="K843" s="102"/>
      <c r="L843" s="102"/>
      <c r="M843" s="102"/>
      <c r="N843" s="102"/>
      <c r="O843" s="102"/>
      <c r="P843" s="81"/>
      <c r="Q843" s="81"/>
      <c r="R843" s="81"/>
      <c r="S843" s="81"/>
      <c r="T843" s="81"/>
      <c r="U843" s="81"/>
      <c r="V843" s="81"/>
      <c r="W843" s="81"/>
      <c r="X843" s="81"/>
      <c r="Y843" s="81"/>
      <c r="Z843" s="81"/>
    </row>
    <row r="844" customFormat="false" ht="12" hidden="false" customHeight="true" outlineLevel="0" collapsed="false">
      <c r="A844" s="91"/>
      <c r="B844" s="81"/>
      <c r="C844" s="81"/>
      <c r="D844" s="173"/>
      <c r="E844" s="173"/>
      <c r="F844" s="80"/>
      <c r="G844" s="173"/>
      <c r="H844" s="81"/>
      <c r="I844" s="81"/>
      <c r="J844" s="102"/>
      <c r="K844" s="102"/>
      <c r="L844" s="102"/>
      <c r="M844" s="102"/>
      <c r="N844" s="102"/>
      <c r="O844" s="102"/>
      <c r="P844" s="81"/>
      <c r="Q844" s="81"/>
      <c r="R844" s="81"/>
      <c r="S844" s="81"/>
      <c r="T844" s="81"/>
      <c r="U844" s="81"/>
      <c r="V844" s="81"/>
      <c r="W844" s="81"/>
      <c r="X844" s="81"/>
      <c r="Y844" s="81"/>
      <c r="Z844" s="81"/>
    </row>
    <row r="845" customFormat="false" ht="12" hidden="false" customHeight="true" outlineLevel="0" collapsed="false">
      <c r="A845" s="91"/>
      <c r="B845" s="81"/>
      <c r="C845" s="81"/>
      <c r="D845" s="173"/>
      <c r="E845" s="173"/>
      <c r="F845" s="80"/>
      <c r="G845" s="173"/>
      <c r="H845" s="81"/>
      <c r="I845" s="81"/>
      <c r="J845" s="102"/>
      <c r="K845" s="102"/>
      <c r="L845" s="102"/>
      <c r="M845" s="102"/>
      <c r="N845" s="102"/>
      <c r="O845" s="102"/>
      <c r="P845" s="81"/>
      <c r="Q845" s="81"/>
      <c r="R845" s="81"/>
      <c r="S845" s="81"/>
      <c r="T845" s="81"/>
      <c r="U845" s="81"/>
      <c r="V845" s="81"/>
      <c r="W845" s="81"/>
      <c r="X845" s="81"/>
      <c r="Y845" s="81"/>
      <c r="Z845" s="81"/>
    </row>
    <row r="846" customFormat="false" ht="12" hidden="false" customHeight="true" outlineLevel="0" collapsed="false">
      <c r="A846" s="91"/>
      <c r="B846" s="81"/>
      <c r="C846" s="81"/>
      <c r="D846" s="173"/>
      <c r="E846" s="173"/>
      <c r="F846" s="80"/>
      <c r="G846" s="173"/>
      <c r="H846" s="81"/>
      <c r="I846" s="81"/>
      <c r="J846" s="102"/>
      <c r="K846" s="102"/>
      <c r="L846" s="102"/>
      <c r="M846" s="102"/>
      <c r="N846" s="102"/>
      <c r="O846" s="102"/>
      <c r="P846" s="81"/>
      <c r="Q846" s="81"/>
      <c r="R846" s="81"/>
      <c r="S846" s="81"/>
      <c r="T846" s="81"/>
      <c r="U846" s="81"/>
      <c r="V846" s="81"/>
      <c r="W846" s="81"/>
      <c r="X846" s="81"/>
      <c r="Y846" s="81"/>
      <c r="Z846" s="81"/>
    </row>
    <row r="847" customFormat="false" ht="12" hidden="false" customHeight="true" outlineLevel="0" collapsed="false">
      <c r="A847" s="91"/>
      <c r="B847" s="81"/>
      <c r="C847" s="81"/>
      <c r="D847" s="173"/>
      <c r="E847" s="173"/>
      <c r="F847" s="80"/>
      <c r="G847" s="173"/>
      <c r="H847" s="81"/>
      <c r="I847" s="81"/>
      <c r="J847" s="102"/>
      <c r="K847" s="102"/>
      <c r="L847" s="102"/>
      <c r="M847" s="102"/>
      <c r="N847" s="102"/>
      <c r="O847" s="102"/>
      <c r="P847" s="81"/>
      <c r="Q847" s="81"/>
      <c r="R847" s="81"/>
      <c r="S847" s="81"/>
      <c r="T847" s="81"/>
      <c r="U847" s="81"/>
      <c r="V847" s="81"/>
      <c r="W847" s="81"/>
      <c r="X847" s="81"/>
      <c r="Y847" s="81"/>
      <c r="Z847" s="81"/>
    </row>
    <row r="848" customFormat="false" ht="12" hidden="false" customHeight="true" outlineLevel="0" collapsed="false">
      <c r="A848" s="91"/>
      <c r="B848" s="81"/>
      <c r="C848" s="81"/>
      <c r="D848" s="173"/>
      <c r="E848" s="173"/>
      <c r="F848" s="80"/>
      <c r="G848" s="173"/>
      <c r="H848" s="81"/>
      <c r="I848" s="81"/>
      <c r="J848" s="102"/>
      <c r="K848" s="102"/>
      <c r="L848" s="102"/>
      <c r="M848" s="102"/>
      <c r="N848" s="102"/>
      <c r="O848" s="102"/>
      <c r="P848" s="81"/>
      <c r="Q848" s="81"/>
      <c r="R848" s="81"/>
      <c r="S848" s="81"/>
      <c r="T848" s="81"/>
      <c r="U848" s="81"/>
      <c r="V848" s="81"/>
      <c r="W848" s="81"/>
      <c r="X848" s="81"/>
      <c r="Y848" s="81"/>
      <c r="Z848" s="81"/>
    </row>
    <row r="849" customFormat="false" ht="12" hidden="false" customHeight="true" outlineLevel="0" collapsed="false">
      <c r="A849" s="91"/>
      <c r="B849" s="81"/>
      <c r="C849" s="81"/>
      <c r="D849" s="173"/>
      <c r="E849" s="173"/>
      <c r="F849" s="80"/>
      <c r="G849" s="173"/>
      <c r="H849" s="81"/>
      <c r="I849" s="81"/>
      <c r="J849" s="102"/>
      <c r="K849" s="102"/>
      <c r="L849" s="102"/>
      <c r="M849" s="102"/>
      <c r="N849" s="102"/>
      <c r="O849" s="102"/>
      <c r="P849" s="81"/>
      <c r="Q849" s="81"/>
      <c r="R849" s="81"/>
      <c r="S849" s="81"/>
      <c r="T849" s="81"/>
      <c r="U849" s="81"/>
      <c r="V849" s="81"/>
      <c r="W849" s="81"/>
      <c r="X849" s="81"/>
      <c r="Y849" s="81"/>
      <c r="Z849" s="81"/>
    </row>
    <row r="850" customFormat="false" ht="12" hidden="false" customHeight="true" outlineLevel="0" collapsed="false">
      <c r="A850" s="91"/>
      <c r="B850" s="81"/>
      <c r="C850" s="81"/>
      <c r="D850" s="173"/>
      <c r="E850" s="173"/>
      <c r="F850" s="80"/>
      <c r="G850" s="173"/>
      <c r="H850" s="81"/>
      <c r="I850" s="81"/>
      <c r="J850" s="102"/>
      <c r="K850" s="102"/>
      <c r="L850" s="102"/>
      <c r="M850" s="102"/>
      <c r="N850" s="102"/>
      <c r="O850" s="102"/>
      <c r="P850" s="81"/>
      <c r="Q850" s="81"/>
      <c r="R850" s="81"/>
      <c r="S850" s="81"/>
      <c r="T850" s="81"/>
      <c r="U850" s="81"/>
      <c r="V850" s="81"/>
      <c r="W850" s="81"/>
      <c r="X850" s="81"/>
      <c r="Y850" s="81"/>
      <c r="Z850" s="81"/>
    </row>
    <row r="851" customFormat="false" ht="12" hidden="false" customHeight="true" outlineLevel="0" collapsed="false">
      <c r="A851" s="91"/>
      <c r="B851" s="81"/>
      <c r="C851" s="81"/>
      <c r="D851" s="173"/>
      <c r="E851" s="173"/>
      <c r="F851" s="80"/>
      <c r="G851" s="173"/>
      <c r="H851" s="81"/>
      <c r="I851" s="81"/>
      <c r="J851" s="102"/>
      <c r="K851" s="102"/>
      <c r="L851" s="102"/>
      <c r="M851" s="102"/>
      <c r="N851" s="102"/>
      <c r="O851" s="102"/>
      <c r="P851" s="81"/>
      <c r="Q851" s="81"/>
      <c r="R851" s="81"/>
      <c r="S851" s="81"/>
      <c r="T851" s="81"/>
      <c r="U851" s="81"/>
      <c r="V851" s="81"/>
      <c r="W851" s="81"/>
      <c r="X851" s="81"/>
      <c r="Y851" s="81"/>
      <c r="Z851" s="81"/>
    </row>
    <row r="852" customFormat="false" ht="12" hidden="false" customHeight="true" outlineLevel="0" collapsed="false">
      <c r="A852" s="91"/>
      <c r="B852" s="81"/>
      <c r="C852" s="81"/>
      <c r="D852" s="173"/>
      <c r="E852" s="173"/>
      <c r="F852" s="80"/>
      <c r="G852" s="173"/>
      <c r="H852" s="81"/>
      <c r="I852" s="81"/>
      <c r="J852" s="102"/>
      <c r="K852" s="102"/>
      <c r="L852" s="102"/>
      <c r="M852" s="102"/>
      <c r="N852" s="102"/>
      <c r="O852" s="102"/>
      <c r="P852" s="81"/>
      <c r="Q852" s="81"/>
      <c r="R852" s="81"/>
      <c r="S852" s="81"/>
      <c r="T852" s="81"/>
      <c r="U852" s="81"/>
      <c r="V852" s="81"/>
      <c r="W852" s="81"/>
      <c r="X852" s="81"/>
      <c r="Y852" s="81"/>
      <c r="Z852" s="81"/>
    </row>
    <row r="853" customFormat="false" ht="12" hidden="false" customHeight="true" outlineLevel="0" collapsed="false">
      <c r="A853" s="91"/>
      <c r="B853" s="81"/>
      <c r="C853" s="81"/>
      <c r="D853" s="173"/>
      <c r="E853" s="173"/>
      <c r="F853" s="80"/>
      <c r="G853" s="173"/>
      <c r="H853" s="81"/>
      <c r="I853" s="81"/>
      <c r="J853" s="102"/>
      <c r="K853" s="102"/>
      <c r="L853" s="102"/>
      <c r="M853" s="102"/>
      <c r="N853" s="102"/>
      <c r="O853" s="102"/>
      <c r="P853" s="81"/>
      <c r="Q853" s="81"/>
      <c r="R853" s="81"/>
      <c r="S853" s="81"/>
      <c r="T853" s="81"/>
      <c r="U853" s="81"/>
      <c r="V853" s="81"/>
      <c r="W853" s="81"/>
      <c r="X853" s="81"/>
      <c r="Y853" s="81"/>
      <c r="Z853" s="81"/>
    </row>
    <row r="854" customFormat="false" ht="12" hidden="false" customHeight="true" outlineLevel="0" collapsed="false">
      <c r="A854" s="91"/>
      <c r="B854" s="81"/>
      <c r="C854" s="81"/>
      <c r="D854" s="173"/>
      <c r="E854" s="173"/>
      <c r="F854" s="80"/>
      <c r="G854" s="173"/>
      <c r="H854" s="81"/>
      <c r="I854" s="81"/>
      <c r="J854" s="102"/>
      <c r="K854" s="102"/>
      <c r="L854" s="102"/>
      <c r="M854" s="102"/>
      <c r="N854" s="102"/>
      <c r="O854" s="102"/>
      <c r="P854" s="81"/>
      <c r="Q854" s="81"/>
      <c r="R854" s="81"/>
      <c r="S854" s="81"/>
      <c r="T854" s="81"/>
      <c r="U854" s="81"/>
      <c r="V854" s="81"/>
      <c r="W854" s="81"/>
      <c r="X854" s="81"/>
      <c r="Y854" s="81"/>
      <c r="Z854" s="81"/>
    </row>
    <row r="855" customFormat="false" ht="12" hidden="false" customHeight="true" outlineLevel="0" collapsed="false">
      <c r="A855" s="91"/>
      <c r="B855" s="81"/>
      <c r="C855" s="81"/>
      <c r="D855" s="173"/>
      <c r="E855" s="173"/>
      <c r="F855" s="80"/>
      <c r="G855" s="173"/>
      <c r="H855" s="81"/>
      <c r="I855" s="81"/>
      <c r="J855" s="102"/>
      <c r="K855" s="102"/>
      <c r="L855" s="102"/>
      <c r="M855" s="102"/>
      <c r="N855" s="102"/>
      <c r="O855" s="102"/>
      <c r="P855" s="81"/>
      <c r="Q855" s="81"/>
      <c r="R855" s="81"/>
      <c r="S855" s="81"/>
      <c r="T855" s="81"/>
      <c r="U855" s="81"/>
      <c r="V855" s="81"/>
      <c r="W855" s="81"/>
      <c r="X855" s="81"/>
      <c r="Y855" s="81"/>
      <c r="Z855" s="81"/>
    </row>
    <row r="856" customFormat="false" ht="12" hidden="false" customHeight="true" outlineLevel="0" collapsed="false">
      <c r="A856" s="91"/>
      <c r="B856" s="81"/>
      <c r="C856" s="81"/>
      <c r="D856" s="173"/>
      <c r="E856" s="173"/>
      <c r="F856" s="80"/>
      <c r="G856" s="173"/>
      <c r="H856" s="81"/>
      <c r="I856" s="81"/>
      <c r="J856" s="102"/>
      <c r="K856" s="102"/>
      <c r="L856" s="102"/>
      <c r="M856" s="102"/>
      <c r="N856" s="102"/>
      <c r="O856" s="102"/>
      <c r="P856" s="81"/>
      <c r="Q856" s="81"/>
      <c r="R856" s="81"/>
      <c r="S856" s="81"/>
      <c r="T856" s="81"/>
      <c r="U856" s="81"/>
      <c r="V856" s="81"/>
      <c r="W856" s="81"/>
      <c r="X856" s="81"/>
      <c r="Y856" s="81"/>
      <c r="Z856" s="81"/>
    </row>
    <row r="857" customFormat="false" ht="12" hidden="false" customHeight="true" outlineLevel="0" collapsed="false">
      <c r="A857" s="91"/>
      <c r="B857" s="81"/>
      <c r="C857" s="81"/>
      <c r="D857" s="173"/>
      <c r="E857" s="173"/>
      <c r="F857" s="80"/>
      <c r="G857" s="173"/>
      <c r="H857" s="81"/>
      <c r="I857" s="81"/>
      <c r="J857" s="102"/>
      <c r="K857" s="102"/>
      <c r="L857" s="102"/>
      <c r="M857" s="102"/>
      <c r="N857" s="102"/>
      <c r="O857" s="102"/>
      <c r="P857" s="81"/>
      <c r="Q857" s="81"/>
      <c r="R857" s="81"/>
      <c r="S857" s="81"/>
      <c r="T857" s="81"/>
      <c r="U857" s="81"/>
      <c r="V857" s="81"/>
      <c r="W857" s="81"/>
      <c r="X857" s="81"/>
      <c r="Y857" s="81"/>
      <c r="Z857" s="81"/>
    </row>
    <row r="858" customFormat="false" ht="12" hidden="false" customHeight="true" outlineLevel="0" collapsed="false">
      <c r="A858" s="91"/>
      <c r="B858" s="81"/>
      <c r="C858" s="81"/>
      <c r="D858" s="173"/>
      <c r="E858" s="173"/>
      <c r="F858" s="80"/>
      <c r="G858" s="173"/>
      <c r="H858" s="81"/>
      <c r="I858" s="81"/>
      <c r="J858" s="102"/>
      <c r="K858" s="102"/>
      <c r="L858" s="102"/>
      <c r="M858" s="102"/>
      <c r="N858" s="102"/>
      <c r="O858" s="102"/>
      <c r="P858" s="81"/>
      <c r="Q858" s="81"/>
      <c r="R858" s="81"/>
      <c r="S858" s="81"/>
      <c r="T858" s="81"/>
      <c r="U858" s="81"/>
      <c r="V858" s="81"/>
      <c r="W858" s="81"/>
      <c r="X858" s="81"/>
      <c r="Y858" s="81"/>
      <c r="Z858" s="81"/>
    </row>
    <row r="859" customFormat="false" ht="12" hidden="false" customHeight="true" outlineLevel="0" collapsed="false">
      <c r="A859" s="91"/>
      <c r="B859" s="81"/>
      <c r="C859" s="81"/>
      <c r="D859" s="173"/>
      <c r="E859" s="173"/>
      <c r="F859" s="80"/>
      <c r="G859" s="173"/>
      <c r="H859" s="81"/>
      <c r="I859" s="81"/>
      <c r="J859" s="102"/>
      <c r="K859" s="102"/>
      <c r="L859" s="102"/>
      <c r="M859" s="102"/>
      <c r="N859" s="102"/>
      <c r="O859" s="102"/>
      <c r="P859" s="81"/>
      <c r="Q859" s="81"/>
      <c r="R859" s="81"/>
      <c r="S859" s="81"/>
      <c r="T859" s="81"/>
      <c r="U859" s="81"/>
      <c r="V859" s="81"/>
      <c r="W859" s="81"/>
      <c r="X859" s="81"/>
      <c r="Y859" s="81"/>
      <c r="Z859" s="81"/>
    </row>
    <row r="860" customFormat="false" ht="12" hidden="false" customHeight="true" outlineLevel="0" collapsed="false">
      <c r="A860" s="91"/>
      <c r="B860" s="81"/>
      <c r="C860" s="81"/>
      <c r="D860" s="173"/>
      <c r="E860" s="173"/>
      <c r="F860" s="80"/>
      <c r="G860" s="173"/>
      <c r="H860" s="81"/>
      <c r="I860" s="81"/>
      <c r="J860" s="102"/>
      <c r="K860" s="102"/>
      <c r="L860" s="102"/>
      <c r="M860" s="102"/>
      <c r="N860" s="102"/>
      <c r="O860" s="102"/>
      <c r="P860" s="81"/>
      <c r="Q860" s="81"/>
      <c r="R860" s="81"/>
      <c r="S860" s="81"/>
      <c r="T860" s="81"/>
      <c r="U860" s="81"/>
      <c r="V860" s="81"/>
      <c r="W860" s="81"/>
      <c r="X860" s="81"/>
      <c r="Y860" s="81"/>
      <c r="Z860" s="81"/>
    </row>
    <row r="861" customFormat="false" ht="12" hidden="false" customHeight="true" outlineLevel="0" collapsed="false">
      <c r="A861" s="91"/>
      <c r="B861" s="81"/>
      <c r="C861" s="81"/>
      <c r="D861" s="173"/>
      <c r="E861" s="173"/>
      <c r="F861" s="80"/>
      <c r="G861" s="173"/>
      <c r="H861" s="81"/>
      <c r="I861" s="81"/>
      <c r="J861" s="102"/>
      <c r="K861" s="102"/>
      <c r="L861" s="102"/>
      <c r="M861" s="102"/>
      <c r="N861" s="102"/>
      <c r="O861" s="102"/>
      <c r="P861" s="81"/>
      <c r="Q861" s="81"/>
      <c r="R861" s="81"/>
      <c r="S861" s="81"/>
      <c r="T861" s="81"/>
      <c r="U861" s="81"/>
      <c r="V861" s="81"/>
      <c r="W861" s="81"/>
      <c r="X861" s="81"/>
      <c r="Y861" s="81"/>
      <c r="Z861" s="81"/>
    </row>
    <row r="862" customFormat="false" ht="12" hidden="false" customHeight="true" outlineLevel="0" collapsed="false">
      <c r="A862" s="91"/>
      <c r="B862" s="81"/>
      <c r="C862" s="81"/>
      <c r="D862" s="173"/>
      <c r="E862" s="173"/>
      <c r="F862" s="80"/>
      <c r="G862" s="173"/>
      <c r="H862" s="81"/>
      <c r="I862" s="81"/>
      <c r="J862" s="102"/>
      <c r="K862" s="102"/>
      <c r="L862" s="102"/>
      <c r="M862" s="102"/>
      <c r="N862" s="102"/>
      <c r="O862" s="102"/>
      <c r="P862" s="81"/>
      <c r="Q862" s="81"/>
      <c r="R862" s="81"/>
      <c r="S862" s="81"/>
      <c r="T862" s="81"/>
      <c r="U862" s="81"/>
      <c r="V862" s="81"/>
      <c r="W862" s="81"/>
      <c r="X862" s="81"/>
      <c r="Y862" s="81"/>
      <c r="Z862" s="81"/>
    </row>
    <row r="863" customFormat="false" ht="12" hidden="false" customHeight="true" outlineLevel="0" collapsed="false">
      <c r="A863" s="91"/>
      <c r="B863" s="81"/>
      <c r="C863" s="81"/>
      <c r="D863" s="173"/>
      <c r="E863" s="173"/>
      <c r="F863" s="80"/>
      <c r="G863" s="173"/>
      <c r="H863" s="81"/>
      <c r="I863" s="81"/>
      <c r="J863" s="102"/>
      <c r="K863" s="102"/>
      <c r="L863" s="102"/>
      <c r="M863" s="102"/>
      <c r="N863" s="102"/>
      <c r="O863" s="102"/>
      <c r="P863" s="81"/>
      <c r="Q863" s="81"/>
      <c r="R863" s="81"/>
      <c r="S863" s="81"/>
      <c r="T863" s="81"/>
      <c r="U863" s="81"/>
      <c r="V863" s="81"/>
      <c r="W863" s="81"/>
      <c r="X863" s="81"/>
      <c r="Y863" s="81"/>
      <c r="Z863" s="81"/>
    </row>
    <row r="864" customFormat="false" ht="12" hidden="false" customHeight="true" outlineLevel="0" collapsed="false">
      <c r="A864" s="91"/>
      <c r="B864" s="81"/>
      <c r="C864" s="81"/>
      <c r="D864" s="173"/>
      <c r="E864" s="173"/>
      <c r="F864" s="80"/>
      <c r="G864" s="173"/>
      <c r="H864" s="81"/>
      <c r="I864" s="81"/>
      <c r="J864" s="102"/>
      <c r="K864" s="102"/>
      <c r="L864" s="102"/>
      <c r="M864" s="102"/>
      <c r="N864" s="102"/>
      <c r="O864" s="102"/>
      <c r="P864" s="81"/>
      <c r="Q864" s="81"/>
      <c r="R864" s="81"/>
      <c r="S864" s="81"/>
      <c r="T864" s="81"/>
      <c r="U864" s="81"/>
      <c r="V864" s="81"/>
      <c r="W864" s="81"/>
      <c r="X864" s="81"/>
      <c r="Y864" s="81"/>
      <c r="Z864" s="81"/>
    </row>
    <row r="865" customFormat="false" ht="12" hidden="false" customHeight="true" outlineLevel="0" collapsed="false">
      <c r="A865" s="91"/>
      <c r="B865" s="81"/>
      <c r="C865" s="81"/>
      <c r="D865" s="173"/>
      <c r="E865" s="173"/>
      <c r="F865" s="80"/>
      <c r="G865" s="173"/>
      <c r="H865" s="81"/>
      <c r="I865" s="81"/>
      <c r="J865" s="102"/>
      <c r="K865" s="102"/>
      <c r="L865" s="102"/>
      <c r="M865" s="102"/>
      <c r="N865" s="102"/>
      <c r="O865" s="102"/>
      <c r="P865" s="81"/>
      <c r="Q865" s="81"/>
      <c r="R865" s="81"/>
      <c r="S865" s="81"/>
      <c r="T865" s="81"/>
      <c r="U865" s="81"/>
      <c r="V865" s="81"/>
      <c r="W865" s="81"/>
      <c r="X865" s="81"/>
      <c r="Y865" s="81"/>
      <c r="Z865" s="81"/>
    </row>
    <row r="866" customFormat="false" ht="12" hidden="false" customHeight="true" outlineLevel="0" collapsed="false">
      <c r="A866" s="91"/>
      <c r="B866" s="81"/>
      <c r="C866" s="81"/>
      <c r="D866" s="173"/>
      <c r="E866" s="173"/>
      <c r="F866" s="80"/>
      <c r="G866" s="173"/>
      <c r="H866" s="81"/>
      <c r="I866" s="81"/>
      <c r="J866" s="102"/>
      <c r="K866" s="102"/>
      <c r="L866" s="102"/>
      <c r="M866" s="102"/>
      <c r="N866" s="102"/>
      <c r="O866" s="102"/>
      <c r="P866" s="81"/>
      <c r="Q866" s="81"/>
      <c r="R866" s="81"/>
      <c r="S866" s="81"/>
      <c r="T866" s="81"/>
      <c r="U866" s="81"/>
      <c r="V866" s="81"/>
      <c r="W866" s="81"/>
      <c r="X866" s="81"/>
      <c r="Y866" s="81"/>
      <c r="Z866" s="81"/>
    </row>
    <row r="867" customFormat="false" ht="12" hidden="false" customHeight="true" outlineLevel="0" collapsed="false">
      <c r="A867" s="91"/>
      <c r="B867" s="81"/>
      <c r="C867" s="81"/>
      <c r="D867" s="173"/>
      <c r="E867" s="173"/>
      <c r="F867" s="80"/>
      <c r="G867" s="173"/>
      <c r="H867" s="81"/>
      <c r="I867" s="81"/>
      <c r="J867" s="102"/>
      <c r="K867" s="102"/>
      <c r="L867" s="102"/>
      <c r="M867" s="102"/>
      <c r="N867" s="102"/>
      <c r="O867" s="102"/>
      <c r="P867" s="81"/>
      <c r="Q867" s="81"/>
      <c r="R867" s="81"/>
      <c r="S867" s="81"/>
      <c r="T867" s="81"/>
      <c r="U867" s="81"/>
      <c r="V867" s="81"/>
      <c r="W867" s="81"/>
      <c r="X867" s="81"/>
      <c r="Y867" s="81"/>
      <c r="Z867" s="81"/>
    </row>
    <row r="868" customFormat="false" ht="12" hidden="false" customHeight="true" outlineLevel="0" collapsed="false">
      <c r="A868" s="91"/>
      <c r="B868" s="81"/>
      <c r="C868" s="81"/>
      <c r="D868" s="173"/>
      <c r="E868" s="173"/>
      <c r="F868" s="80"/>
      <c r="G868" s="173"/>
      <c r="H868" s="81"/>
      <c r="I868" s="81"/>
      <c r="J868" s="102"/>
      <c r="K868" s="102"/>
      <c r="L868" s="102"/>
      <c r="M868" s="102"/>
      <c r="N868" s="102"/>
      <c r="O868" s="102"/>
      <c r="P868" s="81"/>
      <c r="Q868" s="81"/>
      <c r="R868" s="81"/>
      <c r="S868" s="81"/>
      <c r="T868" s="81"/>
      <c r="U868" s="81"/>
      <c r="V868" s="81"/>
      <c r="W868" s="81"/>
      <c r="X868" s="81"/>
      <c r="Y868" s="81"/>
      <c r="Z868" s="81"/>
    </row>
    <row r="869" customFormat="false" ht="12" hidden="false" customHeight="true" outlineLevel="0" collapsed="false">
      <c r="A869" s="91"/>
      <c r="B869" s="81"/>
      <c r="C869" s="81"/>
      <c r="D869" s="173"/>
      <c r="E869" s="173"/>
      <c r="F869" s="80"/>
      <c r="G869" s="173"/>
      <c r="H869" s="81"/>
      <c r="I869" s="81"/>
      <c r="J869" s="102"/>
      <c r="K869" s="102"/>
      <c r="L869" s="102"/>
      <c r="M869" s="102"/>
      <c r="N869" s="102"/>
      <c r="O869" s="102"/>
      <c r="P869" s="81"/>
      <c r="Q869" s="81"/>
      <c r="R869" s="81"/>
      <c r="S869" s="81"/>
      <c r="T869" s="81"/>
      <c r="U869" s="81"/>
      <c r="V869" s="81"/>
      <c r="W869" s="81"/>
      <c r="X869" s="81"/>
      <c r="Y869" s="81"/>
      <c r="Z869" s="81"/>
    </row>
    <row r="870" customFormat="false" ht="12" hidden="false" customHeight="true" outlineLevel="0" collapsed="false">
      <c r="A870" s="91"/>
      <c r="B870" s="81"/>
      <c r="C870" s="81"/>
      <c r="D870" s="173"/>
      <c r="E870" s="173"/>
      <c r="F870" s="80"/>
      <c r="G870" s="173"/>
      <c r="H870" s="81"/>
      <c r="I870" s="81"/>
      <c r="J870" s="102"/>
      <c r="K870" s="102"/>
      <c r="L870" s="102"/>
      <c r="M870" s="102"/>
      <c r="N870" s="102"/>
      <c r="O870" s="102"/>
      <c r="P870" s="81"/>
      <c r="Q870" s="81"/>
      <c r="R870" s="81"/>
      <c r="S870" s="81"/>
      <c r="T870" s="81"/>
      <c r="U870" s="81"/>
      <c r="V870" s="81"/>
      <c r="W870" s="81"/>
      <c r="X870" s="81"/>
      <c r="Y870" s="81"/>
      <c r="Z870" s="81"/>
    </row>
    <row r="871" customFormat="false" ht="12" hidden="false" customHeight="true" outlineLevel="0" collapsed="false">
      <c r="A871" s="91"/>
      <c r="B871" s="81"/>
      <c r="C871" s="81"/>
      <c r="D871" s="173"/>
      <c r="E871" s="173"/>
      <c r="F871" s="80"/>
      <c r="G871" s="173"/>
      <c r="H871" s="81"/>
      <c r="I871" s="81"/>
      <c r="J871" s="102"/>
      <c r="K871" s="102"/>
      <c r="L871" s="102"/>
      <c r="M871" s="102"/>
      <c r="N871" s="102"/>
      <c r="O871" s="102"/>
      <c r="P871" s="81"/>
      <c r="Q871" s="81"/>
      <c r="R871" s="81"/>
      <c r="S871" s="81"/>
      <c r="T871" s="81"/>
      <c r="U871" s="81"/>
      <c r="V871" s="81"/>
      <c r="W871" s="81"/>
      <c r="X871" s="81"/>
      <c r="Y871" s="81"/>
      <c r="Z871" s="81"/>
    </row>
    <row r="872" customFormat="false" ht="12" hidden="false" customHeight="true" outlineLevel="0" collapsed="false">
      <c r="A872" s="91"/>
      <c r="B872" s="81"/>
      <c r="C872" s="81"/>
      <c r="D872" s="173"/>
      <c r="E872" s="173"/>
      <c r="F872" s="80"/>
      <c r="G872" s="173"/>
      <c r="H872" s="81"/>
      <c r="I872" s="81"/>
      <c r="J872" s="102"/>
      <c r="K872" s="102"/>
      <c r="L872" s="102"/>
      <c r="M872" s="102"/>
      <c r="N872" s="102"/>
      <c r="O872" s="102"/>
      <c r="P872" s="81"/>
      <c r="Q872" s="81"/>
      <c r="R872" s="81"/>
      <c r="S872" s="81"/>
      <c r="T872" s="81"/>
      <c r="U872" s="81"/>
      <c r="V872" s="81"/>
      <c r="W872" s="81"/>
      <c r="X872" s="81"/>
      <c r="Y872" s="81"/>
      <c r="Z872" s="81"/>
    </row>
    <row r="873" customFormat="false" ht="12" hidden="false" customHeight="true" outlineLevel="0" collapsed="false">
      <c r="A873" s="91"/>
      <c r="B873" s="81"/>
      <c r="C873" s="81"/>
      <c r="D873" s="173"/>
      <c r="E873" s="173"/>
      <c r="F873" s="80"/>
      <c r="G873" s="173"/>
      <c r="H873" s="81"/>
      <c r="I873" s="81"/>
      <c r="J873" s="102"/>
      <c r="K873" s="102"/>
      <c r="L873" s="102"/>
      <c r="M873" s="102"/>
      <c r="N873" s="102"/>
      <c r="O873" s="102"/>
      <c r="P873" s="81"/>
      <c r="Q873" s="81"/>
      <c r="R873" s="81"/>
      <c r="S873" s="81"/>
      <c r="T873" s="81"/>
      <c r="U873" s="81"/>
      <c r="V873" s="81"/>
      <c r="W873" s="81"/>
      <c r="X873" s="81"/>
      <c r="Y873" s="81"/>
      <c r="Z873" s="81"/>
    </row>
    <row r="874" customFormat="false" ht="12" hidden="false" customHeight="true" outlineLevel="0" collapsed="false">
      <c r="A874" s="91"/>
      <c r="B874" s="81"/>
      <c r="C874" s="81"/>
      <c r="D874" s="173"/>
      <c r="E874" s="173"/>
      <c r="F874" s="80"/>
      <c r="G874" s="173"/>
      <c r="H874" s="81"/>
      <c r="I874" s="81"/>
      <c r="J874" s="102"/>
      <c r="K874" s="102"/>
      <c r="L874" s="102"/>
      <c r="M874" s="102"/>
      <c r="N874" s="102"/>
      <c r="O874" s="102"/>
      <c r="P874" s="81"/>
      <c r="Q874" s="81"/>
      <c r="R874" s="81"/>
      <c r="S874" s="81"/>
      <c r="T874" s="81"/>
      <c r="U874" s="81"/>
      <c r="V874" s="81"/>
      <c r="W874" s="81"/>
      <c r="X874" s="81"/>
      <c r="Y874" s="81"/>
      <c r="Z874" s="81"/>
    </row>
    <row r="875" customFormat="false" ht="12" hidden="false" customHeight="true" outlineLevel="0" collapsed="false">
      <c r="A875" s="91"/>
      <c r="B875" s="81"/>
      <c r="C875" s="81"/>
      <c r="D875" s="173"/>
      <c r="E875" s="173"/>
      <c r="F875" s="80"/>
      <c r="G875" s="173"/>
      <c r="H875" s="81"/>
      <c r="I875" s="81"/>
      <c r="J875" s="102"/>
      <c r="K875" s="102"/>
      <c r="L875" s="102"/>
      <c r="M875" s="102"/>
      <c r="N875" s="102"/>
      <c r="O875" s="102"/>
      <c r="P875" s="81"/>
      <c r="Q875" s="81"/>
      <c r="R875" s="81"/>
      <c r="S875" s="81"/>
      <c r="T875" s="81"/>
      <c r="U875" s="81"/>
      <c r="V875" s="81"/>
      <c r="W875" s="81"/>
      <c r="X875" s="81"/>
      <c r="Y875" s="81"/>
      <c r="Z875" s="81"/>
    </row>
    <row r="876" customFormat="false" ht="12" hidden="false" customHeight="true" outlineLevel="0" collapsed="false">
      <c r="A876" s="91"/>
      <c r="B876" s="81"/>
      <c r="C876" s="81"/>
      <c r="D876" s="173"/>
      <c r="E876" s="173"/>
      <c r="F876" s="80"/>
      <c r="G876" s="173"/>
      <c r="H876" s="81"/>
      <c r="I876" s="81"/>
      <c r="J876" s="102"/>
      <c r="K876" s="102"/>
      <c r="L876" s="102"/>
      <c r="M876" s="102"/>
      <c r="N876" s="102"/>
      <c r="O876" s="102"/>
      <c r="P876" s="81"/>
      <c r="Q876" s="81"/>
      <c r="R876" s="81"/>
      <c r="S876" s="81"/>
      <c r="T876" s="81"/>
      <c r="U876" s="81"/>
      <c r="V876" s="81"/>
      <c r="W876" s="81"/>
      <c r="X876" s="81"/>
      <c r="Y876" s="81"/>
      <c r="Z876" s="81"/>
    </row>
    <row r="877" customFormat="false" ht="12" hidden="false" customHeight="true" outlineLevel="0" collapsed="false">
      <c r="A877" s="91"/>
      <c r="B877" s="81"/>
      <c r="C877" s="81"/>
      <c r="D877" s="173"/>
      <c r="E877" s="173"/>
      <c r="F877" s="80"/>
      <c r="G877" s="173"/>
      <c r="H877" s="81"/>
      <c r="I877" s="81"/>
      <c r="J877" s="102"/>
      <c r="K877" s="102"/>
      <c r="L877" s="102"/>
      <c r="M877" s="102"/>
      <c r="N877" s="102"/>
      <c r="O877" s="102"/>
      <c r="P877" s="81"/>
      <c r="Q877" s="81"/>
      <c r="R877" s="81"/>
      <c r="S877" s="81"/>
      <c r="T877" s="81"/>
      <c r="U877" s="81"/>
      <c r="V877" s="81"/>
      <c r="W877" s="81"/>
      <c r="X877" s="81"/>
      <c r="Y877" s="81"/>
      <c r="Z877" s="81"/>
    </row>
    <row r="878" customFormat="false" ht="12" hidden="false" customHeight="true" outlineLevel="0" collapsed="false">
      <c r="A878" s="91"/>
      <c r="B878" s="81"/>
      <c r="C878" s="81"/>
      <c r="D878" s="173"/>
      <c r="E878" s="173"/>
      <c r="F878" s="80"/>
      <c r="G878" s="173"/>
      <c r="H878" s="81"/>
      <c r="I878" s="81"/>
      <c r="J878" s="102"/>
      <c r="K878" s="102"/>
      <c r="L878" s="102"/>
      <c r="M878" s="102"/>
      <c r="N878" s="102"/>
      <c r="O878" s="102"/>
      <c r="P878" s="81"/>
      <c r="Q878" s="81"/>
      <c r="R878" s="81"/>
      <c r="S878" s="81"/>
      <c r="T878" s="81"/>
      <c r="U878" s="81"/>
      <c r="V878" s="81"/>
      <c r="W878" s="81"/>
      <c r="X878" s="81"/>
      <c r="Y878" s="81"/>
      <c r="Z878" s="81"/>
    </row>
    <row r="879" customFormat="false" ht="12" hidden="false" customHeight="true" outlineLevel="0" collapsed="false">
      <c r="A879" s="91"/>
      <c r="B879" s="81"/>
      <c r="C879" s="81"/>
      <c r="D879" s="173"/>
      <c r="E879" s="173"/>
      <c r="F879" s="80"/>
      <c r="G879" s="173"/>
      <c r="H879" s="81"/>
      <c r="I879" s="81"/>
      <c r="J879" s="102"/>
      <c r="K879" s="102"/>
      <c r="L879" s="102"/>
      <c r="M879" s="102"/>
      <c r="N879" s="102"/>
      <c r="O879" s="102"/>
      <c r="P879" s="81"/>
      <c r="Q879" s="81"/>
      <c r="R879" s="81"/>
      <c r="S879" s="81"/>
      <c r="T879" s="81"/>
      <c r="U879" s="81"/>
      <c r="V879" s="81"/>
      <c r="W879" s="81"/>
      <c r="X879" s="81"/>
      <c r="Y879" s="81"/>
      <c r="Z879" s="81"/>
    </row>
    <row r="880" customFormat="false" ht="12" hidden="false" customHeight="true" outlineLevel="0" collapsed="false">
      <c r="A880" s="91"/>
      <c r="B880" s="81"/>
      <c r="C880" s="81"/>
      <c r="D880" s="173"/>
      <c r="E880" s="173"/>
      <c r="F880" s="80"/>
      <c r="G880" s="173"/>
      <c r="H880" s="81"/>
      <c r="I880" s="81"/>
      <c r="J880" s="102"/>
      <c r="K880" s="102"/>
      <c r="L880" s="102"/>
      <c r="M880" s="102"/>
      <c r="N880" s="102"/>
      <c r="O880" s="102"/>
      <c r="P880" s="81"/>
      <c r="Q880" s="81"/>
      <c r="R880" s="81"/>
      <c r="S880" s="81"/>
      <c r="T880" s="81"/>
      <c r="U880" s="81"/>
      <c r="V880" s="81"/>
      <c r="W880" s="81"/>
      <c r="X880" s="81"/>
      <c r="Y880" s="81"/>
      <c r="Z880" s="81"/>
    </row>
    <row r="881" customFormat="false" ht="12" hidden="false" customHeight="true" outlineLevel="0" collapsed="false">
      <c r="A881" s="91"/>
      <c r="B881" s="81"/>
      <c r="C881" s="81"/>
      <c r="D881" s="173"/>
      <c r="E881" s="173"/>
      <c r="F881" s="80"/>
      <c r="G881" s="173"/>
      <c r="H881" s="81"/>
      <c r="I881" s="81"/>
      <c r="J881" s="102"/>
      <c r="K881" s="102"/>
      <c r="L881" s="102"/>
      <c r="M881" s="102"/>
      <c r="N881" s="102"/>
      <c r="O881" s="102"/>
      <c r="P881" s="81"/>
      <c r="Q881" s="81"/>
      <c r="R881" s="81"/>
      <c r="S881" s="81"/>
      <c r="T881" s="81"/>
      <c r="U881" s="81"/>
      <c r="V881" s="81"/>
      <c r="W881" s="81"/>
      <c r="X881" s="81"/>
      <c r="Y881" s="81"/>
      <c r="Z881" s="81"/>
    </row>
    <row r="882" customFormat="false" ht="12" hidden="false" customHeight="true" outlineLevel="0" collapsed="false">
      <c r="A882" s="91"/>
      <c r="B882" s="81"/>
      <c r="C882" s="81"/>
      <c r="D882" s="173"/>
      <c r="E882" s="173"/>
      <c r="F882" s="80"/>
      <c r="G882" s="173"/>
      <c r="H882" s="81"/>
      <c r="I882" s="81"/>
      <c r="J882" s="102"/>
      <c r="K882" s="102"/>
      <c r="L882" s="102"/>
      <c r="M882" s="102"/>
      <c r="N882" s="102"/>
      <c r="O882" s="102"/>
      <c r="P882" s="81"/>
      <c r="Q882" s="81"/>
      <c r="R882" s="81"/>
      <c r="S882" s="81"/>
      <c r="T882" s="81"/>
      <c r="U882" s="81"/>
      <c r="V882" s="81"/>
      <c r="W882" s="81"/>
      <c r="X882" s="81"/>
      <c r="Y882" s="81"/>
      <c r="Z882" s="81"/>
    </row>
    <row r="883" customFormat="false" ht="12" hidden="false" customHeight="true" outlineLevel="0" collapsed="false">
      <c r="A883" s="91"/>
      <c r="B883" s="81"/>
      <c r="C883" s="81"/>
      <c r="D883" s="173"/>
      <c r="E883" s="173"/>
      <c r="F883" s="80"/>
      <c r="G883" s="173"/>
      <c r="H883" s="81"/>
      <c r="I883" s="81"/>
      <c r="J883" s="102"/>
      <c r="K883" s="102"/>
      <c r="L883" s="102"/>
      <c r="M883" s="102"/>
      <c r="N883" s="102"/>
      <c r="O883" s="102"/>
      <c r="P883" s="81"/>
      <c r="Q883" s="81"/>
      <c r="R883" s="81"/>
      <c r="S883" s="81"/>
      <c r="T883" s="81"/>
      <c r="U883" s="81"/>
      <c r="V883" s="81"/>
      <c r="W883" s="81"/>
      <c r="X883" s="81"/>
      <c r="Y883" s="81"/>
      <c r="Z883" s="81"/>
    </row>
    <row r="884" customFormat="false" ht="12" hidden="false" customHeight="true" outlineLevel="0" collapsed="false">
      <c r="A884" s="91"/>
      <c r="B884" s="81"/>
      <c r="C884" s="81"/>
      <c r="D884" s="173"/>
      <c r="E884" s="173"/>
      <c r="F884" s="80"/>
      <c r="G884" s="173"/>
      <c r="H884" s="81"/>
      <c r="I884" s="81"/>
      <c r="J884" s="102"/>
      <c r="K884" s="102"/>
      <c r="L884" s="102"/>
      <c r="M884" s="102"/>
      <c r="N884" s="102"/>
      <c r="O884" s="102"/>
      <c r="P884" s="81"/>
      <c r="Q884" s="81"/>
      <c r="R884" s="81"/>
      <c r="S884" s="81"/>
      <c r="T884" s="81"/>
      <c r="U884" s="81"/>
      <c r="V884" s="81"/>
      <c r="W884" s="81"/>
      <c r="X884" s="81"/>
      <c r="Y884" s="81"/>
      <c r="Z884" s="81"/>
    </row>
    <row r="885" customFormat="false" ht="12" hidden="false" customHeight="true" outlineLevel="0" collapsed="false">
      <c r="A885" s="91"/>
      <c r="B885" s="81"/>
      <c r="C885" s="81"/>
      <c r="D885" s="173"/>
      <c r="E885" s="173"/>
      <c r="F885" s="80"/>
      <c r="G885" s="173"/>
      <c r="H885" s="81"/>
      <c r="I885" s="81"/>
      <c r="J885" s="102"/>
      <c r="K885" s="102"/>
      <c r="L885" s="102"/>
      <c r="M885" s="102"/>
      <c r="N885" s="102"/>
      <c r="O885" s="102"/>
      <c r="P885" s="81"/>
      <c r="Q885" s="81"/>
      <c r="R885" s="81"/>
      <c r="S885" s="81"/>
      <c r="T885" s="81"/>
      <c r="U885" s="81"/>
      <c r="V885" s="81"/>
      <c r="W885" s="81"/>
      <c r="X885" s="81"/>
      <c r="Y885" s="81"/>
      <c r="Z885" s="81"/>
    </row>
    <row r="886" customFormat="false" ht="12" hidden="false" customHeight="true" outlineLevel="0" collapsed="false">
      <c r="A886" s="91"/>
      <c r="B886" s="81"/>
      <c r="C886" s="81"/>
      <c r="D886" s="173"/>
      <c r="E886" s="173"/>
      <c r="F886" s="80"/>
      <c r="G886" s="173"/>
      <c r="H886" s="81"/>
      <c r="I886" s="81"/>
      <c r="J886" s="102"/>
      <c r="K886" s="102"/>
      <c r="L886" s="102"/>
      <c r="M886" s="102"/>
      <c r="N886" s="102"/>
      <c r="O886" s="102"/>
      <c r="P886" s="81"/>
      <c r="Q886" s="81"/>
      <c r="R886" s="81"/>
      <c r="S886" s="81"/>
      <c r="T886" s="81"/>
      <c r="U886" s="81"/>
      <c r="V886" s="81"/>
      <c r="W886" s="81"/>
      <c r="X886" s="81"/>
      <c r="Y886" s="81"/>
      <c r="Z886" s="81"/>
    </row>
    <row r="887" customFormat="false" ht="12" hidden="false" customHeight="true" outlineLevel="0" collapsed="false">
      <c r="A887" s="91"/>
      <c r="B887" s="81"/>
      <c r="C887" s="81"/>
      <c r="D887" s="173"/>
      <c r="E887" s="173"/>
      <c r="F887" s="80"/>
      <c r="G887" s="173"/>
      <c r="H887" s="81"/>
      <c r="I887" s="81"/>
      <c r="J887" s="102"/>
      <c r="K887" s="102"/>
      <c r="L887" s="102"/>
      <c r="M887" s="102"/>
      <c r="N887" s="102"/>
      <c r="O887" s="102"/>
      <c r="P887" s="81"/>
      <c r="Q887" s="81"/>
      <c r="R887" s="81"/>
      <c r="S887" s="81"/>
      <c r="T887" s="81"/>
      <c r="U887" s="81"/>
      <c r="V887" s="81"/>
      <c r="W887" s="81"/>
      <c r="X887" s="81"/>
      <c r="Y887" s="81"/>
      <c r="Z887" s="81"/>
    </row>
    <row r="888" customFormat="false" ht="12" hidden="false" customHeight="true" outlineLevel="0" collapsed="false">
      <c r="A888" s="91"/>
      <c r="B888" s="81"/>
      <c r="C888" s="81"/>
      <c r="D888" s="173"/>
      <c r="E888" s="173"/>
      <c r="F888" s="80"/>
      <c r="G888" s="173"/>
      <c r="H888" s="81"/>
      <c r="I888" s="81"/>
      <c r="J888" s="102"/>
      <c r="K888" s="102"/>
      <c r="L888" s="102"/>
      <c r="M888" s="102"/>
      <c r="N888" s="102"/>
      <c r="O888" s="102"/>
      <c r="P888" s="81"/>
      <c r="Q888" s="81"/>
      <c r="R888" s="81"/>
      <c r="S888" s="81"/>
      <c r="T888" s="81"/>
      <c r="U888" s="81"/>
      <c r="V888" s="81"/>
      <c r="W888" s="81"/>
      <c r="X888" s="81"/>
      <c r="Y888" s="81"/>
      <c r="Z888" s="81"/>
    </row>
    <row r="889" customFormat="false" ht="12" hidden="false" customHeight="true" outlineLevel="0" collapsed="false">
      <c r="A889" s="91"/>
      <c r="B889" s="81"/>
      <c r="C889" s="81"/>
      <c r="D889" s="173"/>
      <c r="E889" s="173"/>
      <c r="F889" s="80"/>
      <c r="G889" s="173"/>
      <c r="H889" s="81"/>
      <c r="I889" s="81"/>
      <c r="J889" s="102"/>
      <c r="K889" s="102"/>
      <c r="L889" s="102"/>
      <c r="M889" s="102"/>
      <c r="N889" s="102"/>
      <c r="O889" s="102"/>
      <c r="P889" s="81"/>
      <c r="Q889" s="81"/>
      <c r="R889" s="81"/>
      <c r="S889" s="81"/>
      <c r="T889" s="81"/>
      <c r="U889" s="81"/>
      <c r="V889" s="81"/>
      <c r="W889" s="81"/>
      <c r="X889" s="81"/>
      <c r="Y889" s="81"/>
      <c r="Z889" s="81"/>
    </row>
    <row r="890" customFormat="false" ht="12" hidden="false" customHeight="true" outlineLevel="0" collapsed="false">
      <c r="A890" s="91"/>
      <c r="B890" s="81"/>
      <c r="C890" s="81"/>
      <c r="D890" s="173"/>
      <c r="E890" s="173"/>
      <c r="F890" s="80"/>
      <c r="G890" s="173"/>
      <c r="H890" s="81"/>
      <c r="I890" s="81"/>
      <c r="J890" s="102"/>
      <c r="K890" s="102"/>
      <c r="L890" s="102"/>
      <c r="M890" s="102"/>
      <c r="N890" s="102"/>
      <c r="O890" s="102"/>
      <c r="P890" s="81"/>
      <c r="Q890" s="81"/>
      <c r="R890" s="81"/>
      <c r="S890" s="81"/>
      <c r="T890" s="81"/>
      <c r="U890" s="81"/>
      <c r="V890" s="81"/>
      <c r="W890" s="81"/>
      <c r="X890" s="81"/>
      <c r="Y890" s="81"/>
      <c r="Z890" s="81"/>
    </row>
    <row r="891" customFormat="false" ht="12" hidden="false" customHeight="true" outlineLevel="0" collapsed="false">
      <c r="A891" s="91"/>
      <c r="B891" s="81"/>
      <c r="C891" s="81"/>
      <c r="D891" s="173"/>
      <c r="E891" s="173"/>
      <c r="F891" s="80"/>
      <c r="G891" s="173"/>
      <c r="H891" s="81"/>
      <c r="I891" s="81"/>
      <c r="J891" s="102"/>
      <c r="K891" s="102"/>
      <c r="L891" s="102"/>
      <c r="M891" s="102"/>
      <c r="N891" s="102"/>
      <c r="O891" s="102"/>
      <c r="P891" s="81"/>
      <c r="Q891" s="81"/>
      <c r="R891" s="81"/>
      <c r="S891" s="81"/>
      <c r="T891" s="81"/>
      <c r="U891" s="81"/>
      <c r="V891" s="81"/>
      <c r="W891" s="81"/>
      <c r="X891" s="81"/>
      <c r="Y891" s="81"/>
      <c r="Z891" s="81"/>
    </row>
    <row r="892" customFormat="false" ht="12" hidden="false" customHeight="true" outlineLevel="0" collapsed="false">
      <c r="A892" s="91"/>
      <c r="B892" s="81"/>
      <c r="C892" s="81"/>
      <c r="D892" s="173"/>
      <c r="E892" s="173"/>
      <c r="F892" s="80"/>
      <c r="G892" s="173"/>
      <c r="H892" s="81"/>
      <c r="I892" s="81"/>
      <c r="J892" s="102"/>
      <c r="K892" s="102"/>
      <c r="L892" s="102"/>
      <c r="M892" s="102"/>
      <c r="N892" s="102"/>
      <c r="O892" s="102"/>
      <c r="P892" s="81"/>
      <c r="Q892" s="81"/>
      <c r="R892" s="81"/>
      <c r="S892" s="81"/>
      <c r="T892" s="81"/>
      <c r="U892" s="81"/>
      <c r="V892" s="81"/>
      <c r="W892" s="81"/>
      <c r="X892" s="81"/>
      <c r="Y892" s="81"/>
      <c r="Z892" s="81"/>
    </row>
    <row r="893" customFormat="false" ht="12" hidden="false" customHeight="true" outlineLevel="0" collapsed="false">
      <c r="A893" s="91"/>
      <c r="B893" s="81"/>
      <c r="C893" s="81"/>
      <c r="D893" s="173"/>
      <c r="E893" s="173"/>
      <c r="F893" s="80"/>
      <c r="G893" s="173"/>
      <c r="H893" s="81"/>
      <c r="I893" s="81"/>
      <c r="J893" s="102"/>
      <c r="K893" s="102"/>
      <c r="L893" s="102"/>
      <c r="M893" s="102"/>
      <c r="N893" s="102"/>
      <c r="O893" s="102"/>
      <c r="P893" s="81"/>
      <c r="Q893" s="81"/>
      <c r="R893" s="81"/>
      <c r="S893" s="81"/>
      <c r="T893" s="81"/>
      <c r="U893" s="81"/>
      <c r="V893" s="81"/>
      <c r="W893" s="81"/>
      <c r="X893" s="81"/>
      <c r="Y893" s="81"/>
      <c r="Z893" s="81"/>
    </row>
    <row r="894" customFormat="false" ht="12" hidden="false" customHeight="true" outlineLevel="0" collapsed="false">
      <c r="A894" s="91"/>
      <c r="B894" s="81"/>
      <c r="C894" s="81"/>
      <c r="D894" s="173"/>
      <c r="E894" s="173"/>
      <c r="F894" s="80"/>
      <c r="G894" s="173"/>
      <c r="H894" s="81"/>
      <c r="I894" s="81"/>
      <c r="J894" s="102"/>
      <c r="K894" s="102"/>
      <c r="L894" s="102"/>
      <c r="M894" s="102"/>
      <c r="N894" s="102"/>
      <c r="O894" s="102"/>
      <c r="P894" s="81"/>
      <c r="Q894" s="81"/>
      <c r="R894" s="81"/>
      <c r="S894" s="81"/>
      <c r="T894" s="81"/>
      <c r="U894" s="81"/>
      <c r="V894" s="81"/>
      <c r="W894" s="81"/>
      <c r="X894" s="81"/>
      <c r="Y894" s="81"/>
      <c r="Z894" s="81"/>
    </row>
    <row r="895" customFormat="false" ht="12" hidden="false" customHeight="true" outlineLevel="0" collapsed="false">
      <c r="A895" s="91"/>
      <c r="B895" s="81"/>
      <c r="C895" s="81"/>
      <c r="D895" s="173"/>
      <c r="E895" s="173"/>
      <c r="F895" s="80"/>
      <c r="G895" s="173"/>
      <c r="H895" s="81"/>
      <c r="I895" s="81"/>
      <c r="J895" s="102"/>
      <c r="K895" s="102"/>
      <c r="L895" s="102"/>
      <c r="M895" s="102"/>
      <c r="N895" s="102"/>
      <c r="O895" s="102"/>
      <c r="P895" s="81"/>
      <c r="Q895" s="81"/>
      <c r="R895" s="81"/>
      <c r="S895" s="81"/>
      <c r="T895" s="81"/>
      <c r="U895" s="81"/>
      <c r="V895" s="81"/>
      <c r="W895" s="81"/>
      <c r="X895" s="81"/>
      <c r="Y895" s="81"/>
      <c r="Z895" s="81"/>
    </row>
    <row r="896" customFormat="false" ht="12" hidden="false" customHeight="true" outlineLevel="0" collapsed="false">
      <c r="A896" s="91"/>
      <c r="B896" s="81"/>
      <c r="C896" s="81"/>
      <c r="D896" s="173"/>
      <c r="E896" s="173"/>
      <c r="F896" s="80"/>
      <c r="G896" s="173"/>
      <c r="H896" s="81"/>
      <c r="I896" s="81"/>
      <c r="J896" s="102"/>
      <c r="K896" s="102"/>
      <c r="L896" s="102"/>
      <c r="M896" s="102"/>
      <c r="N896" s="102"/>
      <c r="O896" s="102"/>
      <c r="P896" s="81"/>
      <c r="Q896" s="81"/>
      <c r="R896" s="81"/>
      <c r="S896" s="81"/>
      <c r="T896" s="81"/>
      <c r="U896" s="81"/>
      <c r="V896" s="81"/>
      <c r="W896" s="81"/>
      <c r="X896" s="81"/>
      <c r="Y896" s="81"/>
      <c r="Z896" s="81"/>
    </row>
    <row r="897" customFormat="false" ht="12" hidden="false" customHeight="true" outlineLevel="0" collapsed="false">
      <c r="A897" s="91"/>
      <c r="B897" s="81"/>
      <c r="C897" s="81"/>
      <c r="D897" s="173"/>
      <c r="E897" s="173"/>
      <c r="F897" s="80"/>
      <c r="G897" s="173"/>
      <c r="H897" s="81"/>
      <c r="I897" s="81"/>
      <c r="J897" s="102"/>
      <c r="K897" s="102"/>
      <c r="L897" s="102"/>
      <c r="M897" s="102"/>
      <c r="N897" s="102"/>
      <c r="O897" s="102"/>
      <c r="P897" s="81"/>
      <c r="Q897" s="81"/>
      <c r="R897" s="81"/>
      <c r="S897" s="81"/>
      <c r="T897" s="81"/>
      <c r="U897" s="81"/>
      <c r="V897" s="81"/>
      <c r="W897" s="81"/>
      <c r="X897" s="81"/>
      <c r="Y897" s="81"/>
      <c r="Z897" s="81"/>
    </row>
    <row r="898" customFormat="false" ht="12" hidden="false" customHeight="true" outlineLevel="0" collapsed="false">
      <c r="A898" s="91"/>
      <c r="B898" s="81"/>
      <c r="C898" s="81"/>
      <c r="D898" s="173"/>
      <c r="E898" s="173"/>
      <c r="F898" s="80"/>
      <c r="G898" s="173"/>
      <c r="H898" s="81"/>
      <c r="I898" s="81"/>
      <c r="J898" s="102"/>
      <c r="K898" s="102"/>
      <c r="L898" s="102"/>
      <c r="M898" s="102"/>
      <c r="N898" s="102"/>
      <c r="O898" s="102"/>
      <c r="P898" s="81"/>
      <c r="Q898" s="81"/>
      <c r="R898" s="81"/>
      <c r="S898" s="81"/>
      <c r="T898" s="81"/>
      <c r="U898" s="81"/>
      <c r="V898" s="81"/>
      <c r="W898" s="81"/>
      <c r="X898" s="81"/>
      <c r="Y898" s="81"/>
      <c r="Z898" s="81"/>
    </row>
    <row r="899" customFormat="false" ht="12" hidden="false" customHeight="true" outlineLevel="0" collapsed="false">
      <c r="A899" s="91"/>
      <c r="B899" s="81"/>
      <c r="C899" s="81"/>
      <c r="D899" s="173"/>
      <c r="E899" s="173"/>
      <c r="F899" s="80"/>
      <c r="G899" s="173"/>
      <c r="H899" s="81"/>
      <c r="I899" s="81"/>
      <c r="J899" s="102"/>
      <c r="K899" s="102"/>
      <c r="L899" s="102"/>
      <c r="M899" s="102"/>
      <c r="N899" s="102"/>
      <c r="O899" s="102"/>
      <c r="P899" s="81"/>
      <c r="Q899" s="81"/>
      <c r="R899" s="81"/>
      <c r="S899" s="81"/>
      <c r="T899" s="81"/>
      <c r="U899" s="81"/>
      <c r="V899" s="81"/>
      <c r="W899" s="81"/>
      <c r="X899" s="81"/>
      <c r="Y899" s="81"/>
      <c r="Z899" s="81"/>
    </row>
    <row r="900" customFormat="false" ht="12" hidden="false" customHeight="true" outlineLevel="0" collapsed="false">
      <c r="A900" s="91"/>
      <c r="B900" s="81"/>
      <c r="C900" s="81"/>
      <c r="D900" s="173"/>
      <c r="E900" s="173"/>
      <c r="F900" s="80"/>
      <c r="G900" s="173"/>
      <c r="H900" s="81"/>
      <c r="I900" s="81"/>
      <c r="J900" s="102"/>
      <c r="K900" s="102"/>
      <c r="L900" s="102"/>
      <c r="M900" s="102"/>
      <c r="N900" s="102"/>
      <c r="O900" s="102"/>
      <c r="P900" s="81"/>
      <c r="Q900" s="81"/>
      <c r="R900" s="81"/>
      <c r="S900" s="81"/>
      <c r="T900" s="81"/>
      <c r="U900" s="81"/>
      <c r="V900" s="81"/>
      <c r="W900" s="81"/>
      <c r="X900" s="81"/>
      <c r="Y900" s="81"/>
      <c r="Z900" s="81"/>
    </row>
    <row r="901" customFormat="false" ht="12" hidden="false" customHeight="true" outlineLevel="0" collapsed="false">
      <c r="A901" s="91"/>
      <c r="B901" s="81"/>
      <c r="C901" s="81"/>
      <c r="D901" s="173"/>
      <c r="E901" s="173"/>
      <c r="F901" s="80"/>
      <c r="G901" s="173"/>
      <c r="H901" s="81"/>
      <c r="I901" s="81"/>
      <c r="J901" s="102"/>
      <c r="K901" s="102"/>
      <c r="L901" s="102"/>
      <c r="M901" s="102"/>
      <c r="N901" s="102"/>
      <c r="O901" s="102"/>
      <c r="P901" s="81"/>
      <c r="Q901" s="81"/>
      <c r="R901" s="81"/>
      <c r="S901" s="81"/>
      <c r="T901" s="81"/>
      <c r="U901" s="81"/>
      <c r="V901" s="81"/>
      <c r="W901" s="81"/>
      <c r="X901" s="81"/>
      <c r="Y901" s="81"/>
      <c r="Z901" s="81"/>
    </row>
    <row r="902" customFormat="false" ht="12" hidden="false" customHeight="true" outlineLevel="0" collapsed="false">
      <c r="A902" s="91"/>
      <c r="B902" s="81"/>
      <c r="C902" s="81"/>
      <c r="D902" s="173"/>
      <c r="E902" s="173"/>
      <c r="F902" s="80"/>
      <c r="G902" s="173"/>
      <c r="H902" s="81"/>
      <c r="I902" s="81"/>
      <c r="J902" s="102"/>
      <c r="K902" s="102"/>
      <c r="L902" s="102"/>
      <c r="M902" s="102"/>
      <c r="N902" s="102"/>
      <c r="O902" s="102"/>
      <c r="P902" s="81"/>
      <c r="Q902" s="81"/>
      <c r="R902" s="81"/>
      <c r="S902" s="81"/>
      <c r="T902" s="81"/>
      <c r="U902" s="81"/>
      <c r="V902" s="81"/>
      <c r="W902" s="81"/>
      <c r="X902" s="81"/>
      <c r="Y902" s="81"/>
      <c r="Z902" s="81"/>
    </row>
    <row r="903" customFormat="false" ht="12" hidden="false" customHeight="true" outlineLevel="0" collapsed="false">
      <c r="A903" s="91"/>
      <c r="B903" s="81"/>
      <c r="C903" s="81"/>
      <c r="D903" s="173"/>
      <c r="E903" s="173"/>
      <c r="F903" s="80"/>
      <c r="G903" s="173"/>
      <c r="H903" s="81"/>
      <c r="I903" s="81"/>
      <c r="J903" s="102"/>
      <c r="K903" s="102"/>
      <c r="L903" s="102"/>
      <c r="M903" s="102"/>
      <c r="N903" s="102"/>
      <c r="O903" s="102"/>
      <c r="P903" s="81"/>
      <c r="Q903" s="81"/>
      <c r="R903" s="81"/>
      <c r="S903" s="81"/>
      <c r="T903" s="81"/>
      <c r="U903" s="81"/>
      <c r="V903" s="81"/>
      <c r="W903" s="81"/>
      <c r="X903" s="81"/>
      <c r="Y903" s="81"/>
      <c r="Z903" s="81"/>
    </row>
    <row r="904" customFormat="false" ht="12" hidden="false" customHeight="true" outlineLevel="0" collapsed="false">
      <c r="A904" s="91"/>
      <c r="B904" s="81"/>
      <c r="C904" s="81"/>
      <c r="D904" s="173"/>
      <c r="E904" s="173"/>
      <c r="F904" s="80"/>
      <c r="G904" s="173"/>
      <c r="H904" s="81"/>
      <c r="I904" s="81"/>
      <c r="J904" s="102"/>
      <c r="K904" s="102"/>
      <c r="L904" s="102"/>
      <c r="M904" s="102"/>
      <c r="N904" s="102"/>
      <c r="O904" s="102"/>
      <c r="P904" s="81"/>
      <c r="Q904" s="81"/>
      <c r="R904" s="81"/>
      <c r="S904" s="81"/>
      <c r="T904" s="81"/>
      <c r="U904" s="81"/>
      <c r="V904" s="81"/>
      <c r="W904" s="81"/>
      <c r="X904" s="81"/>
      <c r="Y904" s="81"/>
      <c r="Z904" s="81"/>
    </row>
    <row r="905" customFormat="false" ht="12" hidden="false" customHeight="true" outlineLevel="0" collapsed="false">
      <c r="A905" s="91"/>
      <c r="B905" s="81"/>
      <c r="C905" s="81"/>
      <c r="D905" s="173"/>
      <c r="E905" s="173"/>
      <c r="F905" s="80"/>
      <c r="G905" s="173"/>
      <c r="H905" s="81"/>
      <c r="I905" s="81"/>
      <c r="J905" s="102"/>
      <c r="K905" s="102"/>
      <c r="L905" s="102"/>
      <c r="M905" s="102"/>
      <c r="N905" s="102"/>
      <c r="O905" s="102"/>
      <c r="P905" s="81"/>
      <c r="Q905" s="81"/>
      <c r="R905" s="81"/>
      <c r="S905" s="81"/>
      <c r="T905" s="81"/>
      <c r="U905" s="81"/>
      <c r="V905" s="81"/>
      <c r="W905" s="81"/>
      <c r="X905" s="81"/>
      <c r="Y905" s="81"/>
      <c r="Z905" s="81"/>
    </row>
    <row r="906" customFormat="false" ht="12" hidden="false" customHeight="true" outlineLevel="0" collapsed="false">
      <c r="A906" s="91"/>
      <c r="B906" s="81"/>
      <c r="C906" s="81"/>
      <c r="D906" s="173"/>
      <c r="E906" s="173"/>
      <c r="F906" s="80"/>
      <c r="G906" s="173"/>
      <c r="H906" s="81"/>
      <c r="I906" s="81"/>
      <c r="J906" s="102"/>
      <c r="K906" s="102"/>
      <c r="L906" s="102"/>
      <c r="M906" s="102"/>
      <c r="N906" s="102"/>
      <c r="O906" s="102"/>
      <c r="P906" s="81"/>
      <c r="Q906" s="81"/>
      <c r="R906" s="81"/>
      <c r="S906" s="81"/>
      <c r="T906" s="81"/>
      <c r="U906" s="81"/>
      <c r="V906" s="81"/>
      <c r="W906" s="81"/>
      <c r="X906" s="81"/>
      <c r="Y906" s="81"/>
      <c r="Z906" s="81"/>
    </row>
    <row r="907" customFormat="false" ht="12" hidden="false" customHeight="true" outlineLevel="0" collapsed="false">
      <c r="A907" s="91"/>
      <c r="B907" s="81"/>
      <c r="C907" s="81"/>
      <c r="D907" s="173"/>
      <c r="E907" s="173"/>
      <c r="F907" s="80"/>
      <c r="G907" s="173"/>
      <c r="H907" s="81"/>
      <c r="I907" s="81"/>
      <c r="J907" s="102"/>
      <c r="K907" s="102"/>
      <c r="L907" s="102"/>
      <c r="M907" s="102"/>
      <c r="N907" s="102"/>
      <c r="O907" s="102"/>
      <c r="P907" s="81"/>
      <c r="Q907" s="81"/>
      <c r="R907" s="81"/>
      <c r="S907" s="81"/>
      <c r="T907" s="81"/>
      <c r="U907" s="81"/>
      <c r="V907" s="81"/>
      <c r="W907" s="81"/>
      <c r="X907" s="81"/>
      <c r="Y907" s="81"/>
      <c r="Z907" s="81"/>
    </row>
    <row r="908" customFormat="false" ht="12" hidden="false" customHeight="true" outlineLevel="0" collapsed="false">
      <c r="A908" s="91"/>
      <c r="B908" s="81"/>
      <c r="C908" s="81"/>
      <c r="D908" s="173"/>
      <c r="E908" s="173"/>
      <c r="F908" s="80"/>
      <c r="G908" s="173"/>
      <c r="H908" s="81"/>
      <c r="I908" s="81"/>
      <c r="J908" s="102"/>
      <c r="K908" s="102"/>
      <c r="L908" s="102"/>
      <c r="M908" s="102"/>
      <c r="N908" s="102"/>
      <c r="O908" s="102"/>
      <c r="P908" s="81"/>
      <c r="Q908" s="81"/>
      <c r="R908" s="81"/>
      <c r="S908" s="81"/>
      <c r="T908" s="81"/>
      <c r="U908" s="81"/>
      <c r="V908" s="81"/>
      <c r="W908" s="81"/>
      <c r="X908" s="81"/>
      <c r="Y908" s="81"/>
      <c r="Z908" s="81"/>
    </row>
    <row r="909" customFormat="false" ht="12" hidden="false" customHeight="true" outlineLevel="0" collapsed="false">
      <c r="A909" s="91"/>
      <c r="B909" s="81"/>
      <c r="C909" s="81"/>
      <c r="D909" s="173"/>
      <c r="E909" s="173"/>
      <c r="F909" s="80"/>
      <c r="G909" s="173"/>
      <c r="H909" s="81"/>
      <c r="I909" s="81"/>
      <c r="J909" s="102"/>
      <c r="K909" s="102"/>
      <c r="L909" s="102"/>
      <c r="M909" s="102"/>
      <c r="N909" s="102"/>
      <c r="O909" s="102"/>
      <c r="P909" s="81"/>
      <c r="Q909" s="81"/>
      <c r="R909" s="81"/>
      <c r="S909" s="81"/>
      <c r="T909" s="81"/>
      <c r="U909" s="81"/>
      <c r="V909" s="81"/>
      <c r="W909" s="81"/>
      <c r="X909" s="81"/>
      <c r="Y909" s="81"/>
      <c r="Z909" s="81"/>
    </row>
    <row r="910" customFormat="false" ht="12" hidden="false" customHeight="true" outlineLevel="0" collapsed="false">
      <c r="A910" s="91"/>
      <c r="B910" s="81"/>
      <c r="C910" s="81"/>
      <c r="D910" s="173"/>
      <c r="E910" s="173"/>
      <c r="F910" s="80"/>
      <c r="G910" s="173"/>
      <c r="H910" s="81"/>
      <c r="I910" s="81"/>
      <c r="J910" s="102"/>
      <c r="K910" s="102"/>
      <c r="L910" s="102"/>
      <c r="M910" s="102"/>
      <c r="N910" s="102"/>
      <c r="O910" s="102"/>
      <c r="P910" s="81"/>
      <c r="Q910" s="81"/>
      <c r="R910" s="81"/>
      <c r="S910" s="81"/>
      <c r="T910" s="81"/>
      <c r="U910" s="81"/>
      <c r="V910" s="81"/>
      <c r="W910" s="81"/>
      <c r="X910" s="81"/>
      <c r="Y910" s="81"/>
      <c r="Z910" s="81"/>
    </row>
    <row r="911" customFormat="false" ht="12" hidden="false" customHeight="true" outlineLevel="0" collapsed="false">
      <c r="A911" s="91"/>
      <c r="B911" s="81"/>
      <c r="C911" s="81"/>
      <c r="D911" s="173"/>
      <c r="E911" s="173"/>
      <c r="F911" s="80"/>
      <c r="G911" s="173"/>
      <c r="H911" s="81"/>
      <c r="I911" s="81"/>
      <c r="J911" s="102"/>
      <c r="K911" s="102"/>
      <c r="L911" s="102"/>
      <c r="M911" s="102"/>
      <c r="N911" s="102"/>
      <c r="O911" s="102"/>
      <c r="P911" s="81"/>
      <c r="Q911" s="81"/>
      <c r="R911" s="81"/>
      <c r="S911" s="81"/>
      <c r="T911" s="81"/>
      <c r="U911" s="81"/>
      <c r="V911" s="81"/>
      <c r="W911" s="81"/>
      <c r="X911" s="81"/>
      <c r="Y911" s="81"/>
      <c r="Z911" s="81"/>
    </row>
    <row r="912" customFormat="false" ht="12" hidden="false" customHeight="true" outlineLevel="0" collapsed="false">
      <c r="A912" s="91"/>
      <c r="B912" s="81"/>
      <c r="C912" s="81"/>
      <c r="D912" s="173"/>
      <c r="E912" s="173"/>
      <c r="F912" s="80"/>
      <c r="G912" s="173"/>
      <c r="H912" s="81"/>
      <c r="I912" s="81"/>
      <c r="J912" s="102"/>
      <c r="K912" s="102"/>
      <c r="L912" s="102"/>
      <c r="M912" s="102"/>
      <c r="N912" s="102"/>
      <c r="O912" s="102"/>
      <c r="P912" s="81"/>
      <c r="Q912" s="81"/>
      <c r="R912" s="81"/>
      <c r="S912" s="81"/>
      <c r="T912" s="81"/>
      <c r="U912" s="81"/>
      <c r="V912" s="81"/>
      <c r="W912" s="81"/>
      <c r="X912" s="81"/>
      <c r="Y912" s="81"/>
      <c r="Z912" s="81"/>
    </row>
    <row r="913" customFormat="false" ht="12" hidden="false" customHeight="true" outlineLevel="0" collapsed="false">
      <c r="A913" s="91"/>
      <c r="B913" s="81"/>
      <c r="C913" s="81"/>
      <c r="D913" s="173"/>
      <c r="E913" s="173"/>
      <c r="F913" s="80"/>
      <c r="G913" s="173"/>
      <c r="H913" s="81"/>
      <c r="I913" s="81"/>
      <c r="J913" s="102"/>
      <c r="K913" s="102"/>
      <c r="L913" s="102"/>
      <c r="M913" s="102"/>
      <c r="N913" s="102"/>
      <c r="O913" s="102"/>
      <c r="P913" s="81"/>
      <c r="Q913" s="81"/>
      <c r="R913" s="81"/>
      <c r="S913" s="81"/>
      <c r="T913" s="81"/>
      <c r="U913" s="81"/>
      <c r="V913" s="81"/>
      <c r="W913" s="81"/>
      <c r="X913" s="81"/>
      <c r="Y913" s="81"/>
      <c r="Z913" s="81"/>
    </row>
    <row r="914" customFormat="false" ht="12" hidden="false" customHeight="true" outlineLevel="0" collapsed="false">
      <c r="A914" s="91"/>
      <c r="B914" s="81"/>
      <c r="C914" s="81"/>
      <c r="D914" s="173"/>
      <c r="E914" s="173"/>
      <c r="F914" s="80"/>
      <c r="G914" s="173"/>
      <c r="H914" s="81"/>
      <c r="I914" s="81"/>
      <c r="J914" s="102"/>
      <c r="K914" s="102"/>
      <c r="L914" s="102"/>
      <c r="M914" s="102"/>
      <c r="N914" s="102"/>
      <c r="O914" s="102"/>
      <c r="P914" s="81"/>
      <c r="Q914" s="81"/>
      <c r="R914" s="81"/>
      <c r="S914" s="81"/>
      <c r="T914" s="81"/>
      <c r="U914" s="81"/>
      <c r="V914" s="81"/>
      <c r="W914" s="81"/>
      <c r="X914" s="81"/>
      <c r="Y914" s="81"/>
      <c r="Z914" s="81"/>
    </row>
    <row r="915" customFormat="false" ht="12" hidden="false" customHeight="true" outlineLevel="0" collapsed="false">
      <c r="A915" s="91"/>
      <c r="B915" s="81"/>
      <c r="C915" s="81"/>
      <c r="D915" s="173"/>
      <c r="E915" s="173"/>
      <c r="F915" s="80"/>
      <c r="G915" s="173"/>
      <c r="H915" s="81"/>
      <c r="I915" s="81"/>
      <c r="J915" s="102"/>
      <c r="K915" s="102"/>
      <c r="L915" s="102"/>
      <c r="M915" s="102"/>
      <c r="N915" s="102"/>
      <c r="O915" s="102"/>
      <c r="P915" s="81"/>
      <c r="Q915" s="81"/>
      <c r="R915" s="81"/>
      <c r="S915" s="81"/>
      <c r="T915" s="81"/>
      <c r="U915" s="81"/>
      <c r="V915" s="81"/>
      <c r="W915" s="81"/>
      <c r="X915" s="81"/>
      <c r="Y915" s="81"/>
      <c r="Z915" s="81"/>
    </row>
    <row r="916" customFormat="false" ht="12" hidden="false" customHeight="true" outlineLevel="0" collapsed="false">
      <c r="A916" s="91"/>
      <c r="B916" s="81"/>
      <c r="C916" s="81"/>
      <c r="D916" s="173"/>
      <c r="E916" s="173"/>
      <c r="F916" s="80"/>
      <c r="G916" s="173"/>
      <c r="H916" s="81"/>
      <c r="I916" s="81"/>
      <c r="J916" s="102"/>
      <c r="K916" s="102"/>
      <c r="L916" s="102"/>
      <c r="M916" s="102"/>
      <c r="N916" s="102"/>
      <c r="O916" s="102"/>
      <c r="P916" s="81"/>
      <c r="Q916" s="81"/>
      <c r="R916" s="81"/>
      <c r="S916" s="81"/>
      <c r="T916" s="81"/>
      <c r="U916" s="81"/>
      <c r="V916" s="81"/>
      <c r="W916" s="81"/>
      <c r="X916" s="81"/>
      <c r="Y916" s="81"/>
      <c r="Z916" s="81"/>
    </row>
    <row r="917" customFormat="false" ht="12" hidden="false" customHeight="true" outlineLevel="0" collapsed="false">
      <c r="A917" s="91"/>
      <c r="B917" s="81"/>
      <c r="C917" s="81"/>
      <c r="D917" s="173"/>
      <c r="E917" s="173"/>
      <c r="F917" s="80"/>
      <c r="G917" s="173"/>
      <c r="H917" s="81"/>
      <c r="I917" s="81"/>
      <c r="J917" s="102"/>
      <c r="K917" s="102"/>
      <c r="L917" s="102"/>
      <c r="M917" s="102"/>
      <c r="N917" s="102"/>
      <c r="O917" s="102"/>
      <c r="P917" s="81"/>
      <c r="Q917" s="81"/>
      <c r="R917" s="81"/>
      <c r="S917" s="81"/>
      <c r="T917" s="81"/>
      <c r="U917" s="81"/>
      <c r="V917" s="81"/>
      <c r="W917" s="81"/>
      <c r="X917" s="81"/>
      <c r="Y917" s="81"/>
      <c r="Z917" s="81"/>
    </row>
    <row r="918" customFormat="false" ht="12" hidden="false" customHeight="true" outlineLevel="0" collapsed="false">
      <c r="A918" s="91"/>
      <c r="B918" s="81"/>
      <c r="C918" s="81"/>
      <c r="D918" s="173"/>
      <c r="E918" s="173"/>
      <c r="F918" s="80"/>
      <c r="G918" s="173"/>
      <c r="H918" s="81"/>
      <c r="I918" s="81"/>
      <c r="J918" s="102"/>
      <c r="K918" s="102"/>
      <c r="L918" s="102"/>
      <c r="M918" s="102"/>
      <c r="N918" s="102"/>
      <c r="O918" s="102"/>
      <c r="P918" s="81"/>
      <c r="Q918" s="81"/>
      <c r="R918" s="81"/>
      <c r="S918" s="81"/>
      <c r="T918" s="81"/>
      <c r="U918" s="81"/>
      <c r="V918" s="81"/>
      <c r="W918" s="81"/>
      <c r="X918" s="81"/>
      <c r="Y918" s="81"/>
      <c r="Z918" s="81"/>
    </row>
    <row r="919" customFormat="false" ht="12" hidden="false" customHeight="true" outlineLevel="0" collapsed="false">
      <c r="A919" s="91"/>
      <c r="B919" s="81"/>
      <c r="C919" s="81"/>
      <c r="D919" s="173"/>
      <c r="E919" s="173"/>
      <c r="F919" s="80"/>
      <c r="G919" s="173"/>
      <c r="H919" s="81"/>
      <c r="I919" s="81"/>
      <c r="J919" s="102"/>
      <c r="K919" s="102"/>
      <c r="L919" s="102"/>
      <c r="M919" s="102"/>
      <c r="N919" s="102"/>
      <c r="O919" s="102"/>
      <c r="P919" s="81"/>
      <c r="Q919" s="81"/>
      <c r="R919" s="81"/>
      <c r="S919" s="81"/>
      <c r="T919" s="81"/>
      <c r="U919" s="81"/>
      <c r="V919" s="81"/>
      <c r="W919" s="81"/>
      <c r="X919" s="81"/>
      <c r="Y919" s="81"/>
      <c r="Z919" s="81"/>
    </row>
    <row r="920" customFormat="false" ht="12" hidden="false" customHeight="true" outlineLevel="0" collapsed="false">
      <c r="A920" s="91"/>
      <c r="B920" s="81"/>
      <c r="C920" s="81"/>
      <c r="D920" s="173"/>
      <c r="E920" s="173"/>
      <c r="F920" s="80"/>
      <c r="G920" s="173"/>
      <c r="H920" s="81"/>
      <c r="I920" s="81"/>
      <c r="J920" s="102"/>
      <c r="K920" s="102"/>
      <c r="L920" s="102"/>
      <c r="M920" s="102"/>
      <c r="N920" s="102"/>
      <c r="O920" s="102"/>
      <c r="P920" s="81"/>
      <c r="Q920" s="81"/>
      <c r="R920" s="81"/>
      <c r="S920" s="81"/>
      <c r="T920" s="81"/>
      <c r="U920" s="81"/>
      <c r="V920" s="81"/>
      <c r="W920" s="81"/>
      <c r="X920" s="81"/>
      <c r="Y920" s="81"/>
      <c r="Z920" s="81"/>
    </row>
    <row r="921" customFormat="false" ht="12" hidden="false" customHeight="true" outlineLevel="0" collapsed="false">
      <c r="A921" s="91"/>
      <c r="B921" s="81"/>
      <c r="C921" s="81"/>
      <c r="D921" s="173"/>
      <c r="E921" s="173"/>
      <c r="F921" s="80"/>
      <c r="G921" s="173"/>
      <c r="H921" s="81"/>
      <c r="I921" s="81"/>
      <c r="J921" s="102"/>
      <c r="K921" s="102"/>
      <c r="L921" s="102"/>
      <c r="M921" s="102"/>
      <c r="N921" s="102"/>
      <c r="O921" s="102"/>
      <c r="P921" s="81"/>
      <c r="Q921" s="81"/>
      <c r="R921" s="81"/>
      <c r="S921" s="81"/>
      <c r="T921" s="81"/>
      <c r="U921" s="81"/>
      <c r="V921" s="81"/>
      <c r="W921" s="81"/>
      <c r="X921" s="81"/>
      <c r="Y921" s="81"/>
      <c r="Z921" s="81"/>
    </row>
    <row r="922" customFormat="false" ht="12" hidden="false" customHeight="true" outlineLevel="0" collapsed="false">
      <c r="A922" s="91"/>
      <c r="B922" s="81"/>
      <c r="C922" s="81"/>
      <c r="D922" s="173"/>
      <c r="E922" s="173"/>
      <c r="F922" s="80"/>
      <c r="G922" s="173"/>
      <c r="H922" s="81"/>
      <c r="I922" s="81"/>
      <c r="J922" s="102"/>
      <c r="K922" s="102"/>
      <c r="L922" s="102"/>
      <c r="M922" s="102"/>
      <c r="N922" s="102"/>
      <c r="O922" s="102"/>
      <c r="P922" s="81"/>
      <c r="Q922" s="81"/>
      <c r="R922" s="81"/>
      <c r="S922" s="81"/>
      <c r="T922" s="81"/>
      <c r="U922" s="81"/>
      <c r="V922" s="81"/>
      <c r="W922" s="81"/>
      <c r="X922" s="81"/>
      <c r="Y922" s="81"/>
      <c r="Z922" s="81"/>
    </row>
    <row r="923" customFormat="false" ht="12" hidden="false" customHeight="true" outlineLevel="0" collapsed="false">
      <c r="A923" s="91"/>
      <c r="B923" s="81"/>
      <c r="C923" s="81"/>
      <c r="D923" s="173"/>
      <c r="E923" s="173"/>
      <c r="F923" s="80"/>
      <c r="G923" s="173"/>
      <c r="H923" s="81"/>
      <c r="I923" s="81"/>
      <c r="J923" s="102"/>
      <c r="K923" s="102"/>
      <c r="L923" s="102"/>
      <c r="M923" s="102"/>
      <c r="N923" s="102"/>
      <c r="O923" s="102"/>
      <c r="P923" s="81"/>
      <c r="Q923" s="81"/>
      <c r="R923" s="81"/>
      <c r="S923" s="81"/>
      <c r="T923" s="81"/>
      <c r="U923" s="81"/>
      <c r="V923" s="81"/>
      <c r="W923" s="81"/>
      <c r="X923" s="81"/>
      <c r="Y923" s="81"/>
      <c r="Z923" s="81"/>
    </row>
    <row r="924" customFormat="false" ht="12" hidden="false" customHeight="true" outlineLevel="0" collapsed="false">
      <c r="A924" s="91"/>
      <c r="B924" s="81"/>
      <c r="C924" s="81"/>
      <c r="D924" s="173"/>
      <c r="E924" s="173"/>
      <c r="F924" s="80"/>
      <c r="G924" s="173"/>
      <c r="H924" s="81"/>
      <c r="I924" s="81"/>
      <c r="J924" s="102"/>
      <c r="K924" s="102"/>
      <c r="L924" s="102"/>
      <c r="M924" s="102"/>
      <c r="N924" s="102"/>
      <c r="O924" s="102"/>
      <c r="P924" s="81"/>
      <c r="Q924" s="81"/>
      <c r="R924" s="81"/>
      <c r="S924" s="81"/>
      <c r="T924" s="81"/>
      <c r="U924" s="81"/>
      <c r="V924" s="81"/>
      <c r="W924" s="81"/>
      <c r="X924" s="81"/>
      <c r="Y924" s="81"/>
      <c r="Z924" s="81"/>
    </row>
    <row r="925" customFormat="false" ht="12" hidden="false" customHeight="true" outlineLevel="0" collapsed="false">
      <c r="A925" s="91"/>
      <c r="B925" s="81"/>
      <c r="C925" s="81"/>
      <c r="D925" s="173"/>
      <c r="E925" s="173"/>
      <c r="F925" s="80"/>
      <c r="G925" s="173"/>
      <c r="H925" s="81"/>
      <c r="I925" s="81"/>
      <c r="J925" s="102"/>
      <c r="K925" s="102"/>
      <c r="L925" s="102"/>
      <c r="M925" s="102"/>
      <c r="N925" s="102"/>
      <c r="O925" s="102"/>
      <c r="P925" s="81"/>
      <c r="Q925" s="81"/>
      <c r="R925" s="81"/>
      <c r="S925" s="81"/>
      <c r="T925" s="81"/>
      <c r="U925" s="81"/>
      <c r="V925" s="81"/>
      <c r="W925" s="81"/>
      <c r="X925" s="81"/>
      <c r="Y925" s="81"/>
      <c r="Z925" s="81"/>
    </row>
    <row r="926" customFormat="false" ht="12" hidden="false" customHeight="true" outlineLevel="0" collapsed="false">
      <c r="A926" s="91"/>
      <c r="B926" s="81"/>
      <c r="C926" s="81"/>
      <c r="D926" s="173"/>
      <c r="E926" s="173"/>
      <c r="F926" s="80"/>
      <c r="G926" s="173"/>
      <c r="H926" s="81"/>
      <c r="I926" s="81"/>
      <c r="J926" s="102"/>
      <c r="K926" s="102"/>
      <c r="L926" s="102"/>
      <c r="M926" s="102"/>
      <c r="N926" s="102"/>
      <c r="O926" s="102"/>
      <c r="P926" s="81"/>
      <c r="Q926" s="81"/>
      <c r="R926" s="81"/>
      <c r="S926" s="81"/>
      <c r="T926" s="81"/>
      <c r="U926" s="81"/>
      <c r="V926" s="81"/>
      <c r="W926" s="81"/>
      <c r="X926" s="81"/>
      <c r="Y926" s="81"/>
      <c r="Z926" s="81"/>
    </row>
    <row r="927" customFormat="false" ht="12" hidden="false" customHeight="true" outlineLevel="0" collapsed="false">
      <c r="A927" s="91"/>
      <c r="B927" s="81"/>
      <c r="C927" s="81"/>
      <c r="D927" s="173"/>
      <c r="E927" s="173"/>
      <c r="F927" s="80"/>
      <c r="G927" s="173"/>
      <c r="H927" s="81"/>
      <c r="I927" s="81"/>
      <c r="J927" s="102"/>
      <c r="K927" s="102"/>
      <c r="L927" s="102"/>
      <c r="M927" s="102"/>
      <c r="N927" s="102"/>
      <c r="O927" s="102"/>
      <c r="P927" s="81"/>
      <c r="Q927" s="81"/>
      <c r="R927" s="81"/>
      <c r="S927" s="81"/>
      <c r="T927" s="81"/>
      <c r="U927" s="81"/>
      <c r="V927" s="81"/>
      <c r="W927" s="81"/>
      <c r="X927" s="81"/>
      <c r="Y927" s="81"/>
      <c r="Z927" s="81"/>
    </row>
    <row r="928" customFormat="false" ht="12" hidden="false" customHeight="true" outlineLevel="0" collapsed="false">
      <c r="A928" s="91"/>
      <c r="B928" s="81"/>
      <c r="C928" s="81"/>
      <c r="D928" s="173"/>
      <c r="E928" s="173"/>
      <c r="F928" s="80"/>
      <c r="G928" s="173"/>
      <c r="H928" s="81"/>
      <c r="I928" s="81"/>
      <c r="J928" s="102"/>
      <c r="K928" s="102"/>
      <c r="L928" s="102"/>
      <c r="M928" s="102"/>
      <c r="N928" s="102"/>
      <c r="O928" s="102"/>
      <c r="P928" s="81"/>
      <c r="Q928" s="81"/>
      <c r="R928" s="81"/>
      <c r="S928" s="81"/>
      <c r="T928" s="81"/>
      <c r="U928" s="81"/>
      <c r="V928" s="81"/>
      <c r="W928" s="81"/>
      <c r="X928" s="81"/>
      <c r="Y928" s="81"/>
      <c r="Z928" s="81"/>
    </row>
    <row r="929" customFormat="false" ht="12" hidden="false" customHeight="true" outlineLevel="0" collapsed="false">
      <c r="A929" s="91"/>
      <c r="B929" s="81"/>
      <c r="C929" s="81"/>
      <c r="D929" s="173"/>
      <c r="E929" s="173"/>
      <c r="F929" s="80"/>
      <c r="G929" s="173"/>
      <c r="H929" s="81"/>
      <c r="I929" s="81"/>
      <c r="J929" s="102"/>
      <c r="K929" s="102"/>
      <c r="L929" s="102"/>
      <c r="M929" s="102"/>
      <c r="N929" s="102"/>
      <c r="O929" s="102"/>
      <c r="P929" s="81"/>
      <c r="Q929" s="81"/>
      <c r="R929" s="81"/>
      <c r="S929" s="81"/>
      <c r="T929" s="81"/>
      <c r="U929" s="81"/>
      <c r="V929" s="81"/>
      <c r="W929" s="81"/>
      <c r="X929" s="81"/>
      <c r="Y929" s="81"/>
      <c r="Z929" s="81"/>
    </row>
    <row r="930" customFormat="false" ht="12" hidden="false" customHeight="true" outlineLevel="0" collapsed="false">
      <c r="A930" s="91"/>
      <c r="B930" s="81"/>
      <c r="C930" s="81"/>
      <c r="D930" s="173"/>
      <c r="E930" s="173"/>
      <c r="F930" s="80"/>
      <c r="G930" s="173"/>
      <c r="H930" s="81"/>
      <c r="I930" s="81"/>
      <c r="J930" s="102"/>
      <c r="K930" s="102"/>
      <c r="L930" s="102"/>
      <c r="M930" s="102"/>
      <c r="N930" s="102"/>
      <c r="O930" s="102"/>
      <c r="P930" s="81"/>
      <c r="Q930" s="81"/>
      <c r="R930" s="81"/>
      <c r="S930" s="81"/>
      <c r="T930" s="81"/>
      <c r="U930" s="81"/>
      <c r="V930" s="81"/>
      <c r="W930" s="81"/>
      <c r="X930" s="81"/>
      <c r="Y930" s="81"/>
      <c r="Z930" s="81"/>
    </row>
    <row r="931" customFormat="false" ht="12" hidden="false" customHeight="true" outlineLevel="0" collapsed="false">
      <c r="A931" s="91"/>
      <c r="B931" s="81"/>
      <c r="C931" s="81"/>
      <c r="D931" s="173"/>
      <c r="E931" s="173"/>
      <c r="F931" s="80"/>
      <c r="G931" s="173"/>
      <c r="H931" s="81"/>
      <c r="I931" s="81"/>
      <c r="J931" s="102"/>
      <c r="K931" s="102"/>
      <c r="L931" s="102"/>
      <c r="M931" s="102"/>
      <c r="N931" s="102"/>
      <c r="O931" s="102"/>
      <c r="P931" s="81"/>
      <c r="Q931" s="81"/>
      <c r="R931" s="81"/>
      <c r="S931" s="81"/>
      <c r="T931" s="81"/>
      <c r="U931" s="81"/>
      <c r="V931" s="81"/>
      <c r="W931" s="81"/>
      <c r="X931" s="81"/>
      <c r="Y931" s="81"/>
      <c r="Z931" s="81"/>
    </row>
    <row r="932" customFormat="false" ht="12" hidden="false" customHeight="true" outlineLevel="0" collapsed="false">
      <c r="A932" s="91"/>
      <c r="B932" s="81"/>
      <c r="C932" s="81"/>
      <c r="D932" s="173"/>
      <c r="E932" s="173"/>
      <c r="F932" s="80"/>
      <c r="G932" s="173"/>
      <c r="H932" s="81"/>
      <c r="I932" s="81"/>
      <c r="J932" s="102"/>
      <c r="K932" s="102"/>
      <c r="L932" s="102"/>
      <c r="M932" s="102"/>
      <c r="N932" s="102"/>
      <c r="O932" s="102"/>
      <c r="P932" s="81"/>
      <c r="Q932" s="81"/>
      <c r="R932" s="81"/>
      <c r="S932" s="81"/>
      <c r="T932" s="81"/>
      <c r="U932" s="81"/>
      <c r="V932" s="81"/>
      <c r="W932" s="81"/>
      <c r="X932" s="81"/>
      <c r="Y932" s="81"/>
      <c r="Z932" s="81"/>
    </row>
    <row r="933" customFormat="false" ht="12" hidden="false" customHeight="true" outlineLevel="0" collapsed="false">
      <c r="A933" s="91"/>
      <c r="B933" s="81"/>
      <c r="C933" s="81"/>
      <c r="D933" s="173"/>
      <c r="E933" s="173"/>
      <c r="F933" s="80"/>
      <c r="G933" s="173"/>
      <c r="H933" s="81"/>
      <c r="I933" s="81"/>
      <c r="J933" s="102"/>
      <c r="K933" s="102"/>
      <c r="L933" s="102"/>
      <c r="M933" s="102"/>
      <c r="N933" s="102"/>
      <c r="O933" s="102"/>
      <c r="P933" s="81"/>
      <c r="Q933" s="81"/>
      <c r="R933" s="81"/>
      <c r="S933" s="81"/>
      <c r="T933" s="81"/>
      <c r="U933" s="81"/>
      <c r="V933" s="81"/>
      <c r="W933" s="81"/>
      <c r="X933" s="81"/>
      <c r="Y933" s="81"/>
      <c r="Z933" s="81"/>
    </row>
    <row r="934" customFormat="false" ht="12" hidden="false" customHeight="true" outlineLevel="0" collapsed="false">
      <c r="A934" s="91"/>
      <c r="B934" s="81"/>
      <c r="C934" s="81"/>
      <c r="D934" s="173"/>
      <c r="E934" s="173"/>
      <c r="F934" s="80"/>
      <c r="G934" s="173"/>
      <c r="H934" s="81"/>
      <c r="I934" s="81"/>
      <c r="J934" s="102"/>
      <c r="K934" s="102"/>
      <c r="L934" s="102"/>
      <c r="M934" s="102"/>
      <c r="N934" s="102"/>
      <c r="O934" s="102"/>
      <c r="P934" s="81"/>
      <c r="Q934" s="81"/>
      <c r="R934" s="81"/>
      <c r="S934" s="81"/>
      <c r="T934" s="81"/>
      <c r="U934" s="81"/>
      <c r="V934" s="81"/>
      <c r="W934" s="81"/>
      <c r="X934" s="81"/>
      <c r="Y934" s="81"/>
      <c r="Z934" s="81"/>
    </row>
    <row r="935" customFormat="false" ht="12" hidden="false" customHeight="true" outlineLevel="0" collapsed="false">
      <c r="A935" s="91"/>
      <c r="B935" s="81"/>
      <c r="C935" s="81"/>
      <c r="D935" s="173"/>
      <c r="E935" s="173"/>
      <c r="F935" s="80"/>
      <c r="G935" s="173"/>
      <c r="H935" s="81"/>
      <c r="I935" s="81"/>
      <c r="J935" s="102"/>
      <c r="K935" s="102"/>
      <c r="L935" s="102"/>
      <c r="M935" s="102"/>
      <c r="N935" s="102"/>
      <c r="O935" s="102"/>
      <c r="P935" s="81"/>
      <c r="Q935" s="81"/>
      <c r="R935" s="81"/>
      <c r="S935" s="81"/>
      <c r="T935" s="81"/>
      <c r="U935" s="81"/>
      <c r="V935" s="81"/>
      <c r="W935" s="81"/>
      <c r="X935" s="81"/>
      <c r="Y935" s="81"/>
      <c r="Z935" s="81"/>
    </row>
    <row r="936" customFormat="false" ht="12" hidden="false" customHeight="true" outlineLevel="0" collapsed="false">
      <c r="A936" s="91"/>
      <c r="B936" s="81"/>
      <c r="C936" s="81"/>
      <c r="D936" s="173"/>
      <c r="E936" s="173"/>
      <c r="F936" s="80"/>
      <c r="G936" s="173"/>
      <c r="H936" s="81"/>
      <c r="I936" s="81"/>
      <c r="J936" s="102"/>
      <c r="K936" s="102"/>
      <c r="L936" s="102"/>
      <c r="M936" s="102"/>
      <c r="N936" s="102"/>
      <c r="O936" s="102"/>
      <c r="P936" s="81"/>
      <c r="Q936" s="81"/>
      <c r="R936" s="81"/>
      <c r="S936" s="81"/>
      <c r="T936" s="81"/>
      <c r="U936" s="81"/>
      <c r="V936" s="81"/>
      <c r="W936" s="81"/>
      <c r="X936" s="81"/>
      <c r="Y936" s="81"/>
      <c r="Z936" s="81"/>
    </row>
    <row r="937" customFormat="false" ht="12" hidden="false" customHeight="true" outlineLevel="0" collapsed="false">
      <c r="A937" s="91"/>
      <c r="B937" s="81"/>
      <c r="C937" s="81"/>
      <c r="D937" s="173"/>
      <c r="E937" s="173"/>
      <c r="F937" s="80"/>
      <c r="G937" s="173"/>
      <c r="H937" s="81"/>
      <c r="I937" s="81"/>
      <c r="J937" s="102"/>
      <c r="K937" s="102"/>
      <c r="L937" s="102"/>
      <c r="M937" s="102"/>
      <c r="N937" s="102"/>
      <c r="O937" s="102"/>
      <c r="P937" s="81"/>
      <c r="Q937" s="81"/>
      <c r="R937" s="81"/>
      <c r="S937" s="81"/>
      <c r="T937" s="81"/>
      <c r="U937" s="81"/>
      <c r="V937" s="81"/>
      <c r="W937" s="81"/>
      <c r="X937" s="81"/>
      <c r="Y937" s="81"/>
      <c r="Z937" s="81"/>
    </row>
    <row r="938" customFormat="false" ht="12" hidden="false" customHeight="true" outlineLevel="0" collapsed="false">
      <c r="A938" s="91"/>
      <c r="B938" s="81"/>
      <c r="C938" s="81"/>
      <c r="D938" s="173"/>
      <c r="E938" s="173"/>
      <c r="F938" s="80"/>
      <c r="G938" s="173"/>
      <c r="H938" s="81"/>
      <c r="I938" s="81"/>
      <c r="J938" s="102"/>
      <c r="K938" s="102"/>
      <c r="L938" s="102"/>
      <c r="M938" s="102"/>
      <c r="N938" s="102"/>
      <c r="O938" s="102"/>
      <c r="P938" s="81"/>
      <c r="Q938" s="81"/>
      <c r="R938" s="81"/>
      <c r="S938" s="81"/>
      <c r="T938" s="81"/>
      <c r="U938" s="81"/>
      <c r="V938" s="81"/>
      <c r="W938" s="81"/>
      <c r="X938" s="81"/>
      <c r="Y938" s="81"/>
      <c r="Z938" s="81"/>
    </row>
    <row r="939" customFormat="false" ht="12" hidden="false" customHeight="true" outlineLevel="0" collapsed="false">
      <c r="A939" s="91"/>
      <c r="B939" s="81"/>
      <c r="C939" s="81"/>
      <c r="D939" s="173"/>
      <c r="E939" s="173"/>
      <c r="F939" s="80"/>
      <c r="G939" s="173"/>
      <c r="H939" s="81"/>
      <c r="I939" s="81"/>
      <c r="J939" s="102"/>
      <c r="K939" s="102"/>
      <c r="L939" s="102"/>
      <c r="M939" s="102"/>
      <c r="N939" s="102"/>
      <c r="O939" s="102"/>
      <c r="P939" s="81"/>
      <c r="Q939" s="81"/>
      <c r="R939" s="81"/>
      <c r="S939" s="81"/>
      <c r="T939" s="81"/>
      <c r="U939" s="81"/>
      <c r="V939" s="81"/>
      <c r="W939" s="81"/>
      <c r="X939" s="81"/>
      <c r="Y939" s="81"/>
      <c r="Z939" s="81"/>
    </row>
    <row r="940" customFormat="false" ht="12" hidden="false" customHeight="true" outlineLevel="0" collapsed="false">
      <c r="A940" s="91"/>
      <c r="B940" s="81"/>
      <c r="C940" s="81"/>
      <c r="D940" s="173"/>
      <c r="E940" s="173"/>
      <c r="F940" s="80"/>
      <c r="G940" s="173"/>
      <c r="H940" s="81"/>
      <c r="I940" s="81"/>
      <c r="J940" s="102"/>
      <c r="K940" s="102"/>
      <c r="L940" s="102"/>
      <c r="M940" s="102"/>
      <c r="N940" s="102"/>
      <c r="O940" s="102"/>
      <c r="P940" s="81"/>
      <c r="Q940" s="81"/>
      <c r="R940" s="81"/>
      <c r="S940" s="81"/>
      <c r="T940" s="81"/>
      <c r="U940" s="81"/>
      <c r="V940" s="81"/>
      <c r="W940" s="81"/>
      <c r="X940" s="81"/>
      <c r="Y940" s="81"/>
      <c r="Z940" s="81"/>
    </row>
    <row r="941" customFormat="false" ht="12" hidden="false" customHeight="true" outlineLevel="0" collapsed="false">
      <c r="A941" s="91"/>
      <c r="B941" s="81"/>
      <c r="C941" s="81"/>
      <c r="D941" s="173"/>
      <c r="E941" s="173"/>
      <c r="F941" s="80"/>
      <c r="G941" s="173"/>
      <c r="H941" s="81"/>
      <c r="I941" s="81"/>
      <c r="J941" s="102"/>
      <c r="K941" s="102"/>
      <c r="L941" s="102"/>
      <c r="M941" s="102"/>
      <c r="N941" s="102"/>
      <c r="O941" s="102"/>
      <c r="P941" s="81"/>
      <c r="Q941" s="81"/>
      <c r="R941" s="81"/>
      <c r="S941" s="81"/>
      <c r="T941" s="81"/>
      <c r="U941" s="81"/>
      <c r="V941" s="81"/>
      <c r="W941" s="81"/>
      <c r="X941" s="81"/>
      <c r="Y941" s="81"/>
      <c r="Z941" s="81"/>
    </row>
    <row r="942" customFormat="false" ht="12" hidden="false" customHeight="true" outlineLevel="0" collapsed="false">
      <c r="A942" s="91"/>
      <c r="B942" s="81"/>
      <c r="C942" s="81"/>
      <c r="D942" s="173"/>
      <c r="E942" s="173"/>
      <c r="F942" s="80"/>
      <c r="G942" s="173"/>
      <c r="H942" s="81"/>
      <c r="I942" s="81"/>
      <c r="J942" s="102"/>
      <c r="K942" s="102"/>
      <c r="L942" s="102"/>
      <c r="M942" s="102"/>
      <c r="N942" s="102"/>
      <c r="O942" s="102"/>
      <c r="P942" s="81"/>
      <c r="Q942" s="81"/>
      <c r="R942" s="81"/>
      <c r="S942" s="81"/>
      <c r="T942" s="81"/>
      <c r="U942" s="81"/>
      <c r="V942" s="81"/>
      <c r="W942" s="81"/>
      <c r="X942" s="81"/>
      <c r="Y942" s="81"/>
      <c r="Z942" s="81"/>
    </row>
    <row r="943" customFormat="false" ht="12" hidden="false" customHeight="true" outlineLevel="0" collapsed="false">
      <c r="A943" s="91"/>
      <c r="B943" s="81"/>
      <c r="C943" s="81"/>
      <c r="D943" s="173"/>
      <c r="E943" s="173"/>
      <c r="F943" s="80"/>
      <c r="G943" s="173"/>
      <c r="H943" s="81"/>
      <c r="I943" s="81"/>
      <c r="J943" s="102"/>
      <c r="K943" s="102"/>
      <c r="L943" s="102"/>
      <c r="M943" s="102"/>
      <c r="N943" s="102"/>
      <c r="O943" s="102"/>
      <c r="P943" s="81"/>
      <c r="Q943" s="81"/>
      <c r="R943" s="81"/>
      <c r="S943" s="81"/>
      <c r="T943" s="81"/>
      <c r="U943" s="81"/>
      <c r="V943" s="81"/>
      <c r="W943" s="81"/>
      <c r="X943" s="81"/>
      <c r="Y943" s="81"/>
      <c r="Z943" s="81"/>
    </row>
    <row r="944" customFormat="false" ht="12" hidden="false" customHeight="true" outlineLevel="0" collapsed="false">
      <c r="A944" s="91"/>
      <c r="B944" s="81"/>
      <c r="C944" s="81"/>
      <c r="D944" s="173"/>
      <c r="E944" s="173"/>
      <c r="F944" s="80"/>
      <c r="G944" s="173"/>
      <c r="H944" s="81"/>
      <c r="I944" s="81"/>
      <c r="J944" s="102"/>
      <c r="K944" s="102"/>
      <c r="L944" s="102"/>
      <c r="M944" s="102"/>
      <c r="N944" s="102"/>
      <c r="O944" s="102"/>
      <c r="P944" s="81"/>
      <c r="Q944" s="81"/>
      <c r="R944" s="81"/>
      <c r="S944" s="81"/>
      <c r="T944" s="81"/>
      <c r="U944" s="81"/>
      <c r="V944" s="81"/>
      <c r="W944" s="81"/>
      <c r="X944" s="81"/>
      <c r="Y944" s="81"/>
      <c r="Z944" s="81"/>
    </row>
    <row r="945" customFormat="false" ht="12" hidden="false" customHeight="true" outlineLevel="0" collapsed="false">
      <c r="A945" s="91"/>
      <c r="B945" s="81"/>
      <c r="C945" s="81"/>
      <c r="D945" s="173"/>
      <c r="E945" s="173"/>
      <c r="F945" s="80"/>
      <c r="G945" s="173"/>
      <c r="H945" s="81"/>
      <c r="I945" s="81"/>
      <c r="J945" s="102"/>
      <c r="K945" s="102"/>
      <c r="L945" s="102"/>
      <c r="M945" s="102"/>
      <c r="N945" s="102"/>
      <c r="O945" s="102"/>
      <c r="P945" s="81"/>
      <c r="Q945" s="81"/>
      <c r="R945" s="81"/>
      <c r="S945" s="81"/>
      <c r="T945" s="81"/>
      <c r="U945" s="81"/>
      <c r="V945" s="81"/>
      <c r="W945" s="81"/>
      <c r="X945" s="81"/>
      <c r="Y945" s="81"/>
      <c r="Z945" s="81"/>
    </row>
    <row r="946" customFormat="false" ht="12" hidden="false" customHeight="true" outlineLevel="0" collapsed="false">
      <c r="A946" s="91"/>
      <c r="B946" s="81"/>
      <c r="C946" s="81"/>
      <c r="D946" s="173"/>
      <c r="E946" s="173"/>
      <c r="F946" s="80"/>
      <c r="G946" s="173"/>
      <c r="H946" s="81"/>
      <c r="I946" s="81"/>
      <c r="J946" s="102"/>
      <c r="K946" s="102"/>
      <c r="L946" s="102"/>
      <c r="M946" s="102"/>
      <c r="N946" s="102"/>
      <c r="O946" s="102"/>
      <c r="P946" s="81"/>
      <c r="Q946" s="81"/>
      <c r="R946" s="81"/>
      <c r="S946" s="81"/>
      <c r="T946" s="81"/>
      <c r="U946" s="81"/>
      <c r="V946" s="81"/>
      <c r="W946" s="81"/>
      <c r="X946" s="81"/>
      <c r="Y946" s="81"/>
      <c r="Z946" s="81"/>
    </row>
    <row r="947" customFormat="false" ht="12" hidden="false" customHeight="true" outlineLevel="0" collapsed="false">
      <c r="A947" s="91"/>
      <c r="B947" s="81"/>
      <c r="C947" s="81"/>
      <c r="D947" s="173"/>
      <c r="E947" s="173"/>
      <c r="F947" s="80"/>
      <c r="G947" s="173"/>
      <c r="H947" s="81"/>
      <c r="I947" s="81"/>
      <c r="J947" s="102"/>
      <c r="K947" s="102"/>
      <c r="L947" s="102"/>
      <c r="M947" s="102"/>
      <c r="N947" s="102"/>
      <c r="O947" s="102"/>
      <c r="P947" s="81"/>
      <c r="Q947" s="81"/>
      <c r="R947" s="81"/>
      <c r="S947" s="81"/>
      <c r="T947" s="81"/>
      <c r="U947" s="81"/>
      <c r="V947" s="81"/>
      <c r="W947" s="81"/>
      <c r="X947" s="81"/>
      <c r="Y947" s="81"/>
      <c r="Z947" s="81"/>
    </row>
    <row r="948" customFormat="false" ht="12" hidden="false" customHeight="true" outlineLevel="0" collapsed="false">
      <c r="A948" s="91"/>
      <c r="B948" s="81"/>
      <c r="C948" s="81"/>
      <c r="D948" s="173"/>
      <c r="E948" s="173"/>
      <c r="F948" s="80"/>
      <c r="G948" s="173"/>
      <c r="H948" s="81"/>
      <c r="I948" s="81"/>
      <c r="J948" s="102"/>
      <c r="K948" s="102"/>
      <c r="L948" s="102"/>
      <c r="M948" s="102"/>
      <c r="N948" s="102"/>
      <c r="O948" s="102"/>
      <c r="P948" s="81"/>
      <c r="Q948" s="81"/>
      <c r="R948" s="81"/>
      <c r="S948" s="81"/>
      <c r="T948" s="81"/>
      <c r="U948" s="81"/>
      <c r="V948" s="81"/>
      <c r="W948" s="81"/>
      <c r="X948" s="81"/>
      <c r="Y948" s="81"/>
      <c r="Z948" s="81"/>
    </row>
    <row r="949" customFormat="false" ht="12" hidden="false" customHeight="true" outlineLevel="0" collapsed="false">
      <c r="A949" s="91"/>
      <c r="B949" s="81"/>
      <c r="C949" s="81"/>
      <c r="D949" s="173"/>
      <c r="E949" s="173"/>
      <c r="F949" s="80"/>
      <c r="G949" s="173"/>
      <c r="H949" s="81"/>
      <c r="I949" s="81"/>
      <c r="J949" s="102"/>
      <c r="K949" s="102"/>
      <c r="L949" s="102"/>
      <c r="M949" s="102"/>
      <c r="N949" s="102"/>
      <c r="O949" s="102"/>
      <c r="P949" s="81"/>
      <c r="Q949" s="81"/>
      <c r="R949" s="81"/>
      <c r="S949" s="81"/>
      <c r="T949" s="81"/>
      <c r="U949" s="81"/>
      <c r="V949" s="81"/>
      <c r="W949" s="81"/>
      <c r="X949" s="81"/>
      <c r="Y949" s="81"/>
      <c r="Z949" s="81"/>
    </row>
    <row r="950" customFormat="false" ht="12" hidden="false" customHeight="true" outlineLevel="0" collapsed="false">
      <c r="A950" s="91"/>
      <c r="B950" s="81"/>
      <c r="C950" s="81"/>
      <c r="D950" s="173"/>
      <c r="E950" s="173"/>
      <c r="F950" s="80"/>
      <c r="G950" s="173"/>
      <c r="H950" s="81"/>
      <c r="I950" s="81"/>
      <c r="J950" s="102"/>
      <c r="K950" s="102"/>
      <c r="L950" s="102"/>
      <c r="M950" s="102"/>
      <c r="N950" s="102"/>
      <c r="O950" s="102"/>
      <c r="P950" s="81"/>
      <c r="Q950" s="81"/>
      <c r="R950" s="81"/>
      <c r="S950" s="81"/>
      <c r="T950" s="81"/>
      <c r="U950" s="81"/>
      <c r="V950" s="81"/>
      <c r="W950" s="81"/>
      <c r="X950" s="81"/>
      <c r="Y950" s="81"/>
      <c r="Z950" s="81"/>
    </row>
    <row r="951" customFormat="false" ht="12" hidden="false" customHeight="true" outlineLevel="0" collapsed="false">
      <c r="A951" s="91"/>
      <c r="B951" s="81"/>
      <c r="C951" s="81"/>
      <c r="D951" s="173"/>
      <c r="E951" s="173"/>
      <c r="F951" s="80"/>
      <c r="G951" s="173"/>
      <c r="H951" s="81"/>
      <c r="I951" s="81"/>
      <c r="J951" s="102"/>
      <c r="K951" s="102"/>
      <c r="L951" s="102"/>
      <c r="M951" s="102"/>
      <c r="N951" s="102"/>
      <c r="O951" s="102"/>
      <c r="P951" s="81"/>
      <c r="Q951" s="81"/>
      <c r="R951" s="81"/>
      <c r="S951" s="81"/>
      <c r="T951" s="81"/>
      <c r="U951" s="81"/>
      <c r="V951" s="81"/>
      <c r="W951" s="81"/>
      <c r="X951" s="81"/>
      <c r="Y951" s="81"/>
      <c r="Z951" s="81"/>
    </row>
    <row r="952" customFormat="false" ht="12" hidden="false" customHeight="true" outlineLevel="0" collapsed="false">
      <c r="A952" s="91"/>
      <c r="B952" s="81"/>
      <c r="C952" s="81"/>
      <c r="D952" s="173"/>
      <c r="E952" s="173"/>
      <c r="F952" s="80"/>
      <c r="G952" s="173"/>
      <c r="H952" s="81"/>
      <c r="I952" s="81"/>
      <c r="J952" s="102"/>
      <c r="K952" s="102"/>
      <c r="L952" s="102"/>
      <c r="M952" s="102"/>
      <c r="N952" s="102"/>
      <c r="O952" s="102"/>
      <c r="P952" s="81"/>
      <c r="Q952" s="81"/>
      <c r="R952" s="81"/>
      <c r="S952" s="81"/>
      <c r="T952" s="81"/>
      <c r="U952" s="81"/>
      <c r="V952" s="81"/>
      <c r="W952" s="81"/>
      <c r="X952" s="81"/>
      <c r="Y952" s="81"/>
      <c r="Z952" s="81"/>
    </row>
    <row r="953" customFormat="false" ht="12" hidden="false" customHeight="true" outlineLevel="0" collapsed="false">
      <c r="A953" s="91"/>
      <c r="B953" s="81"/>
      <c r="C953" s="81"/>
      <c r="D953" s="173"/>
      <c r="E953" s="173"/>
      <c r="F953" s="80"/>
      <c r="G953" s="173"/>
      <c r="H953" s="81"/>
      <c r="I953" s="81"/>
      <c r="J953" s="102"/>
      <c r="K953" s="102"/>
      <c r="L953" s="102"/>
      <c r="M953" s="102"/>
      <c r="N953" s="102"/>
      <c r="O953" s="102"/>
      <c r="P953" s="81"/>
      <c r="Q953" s="81"/>
      <c r="R953" s="81"/>
      <c r="S953" s="81"/>
      <c r="T953" s="81"/>
      <c r="U953" s="81"/>
      <c r="V953" s="81"/>
      <c r="W953" s="81"/>
      <c r="X953" s="81"/>
      <c r="Y953" s="81"/>
      <c r="Z953" s="81"/>
    </row>
    <row r="954" customFormat="false" ht="12" hidden="false" customHeight="true" outlineLevel="0" collapsed="false">
      <c r="A954" s="91"/>
      <c r="B954" s="81"/>
      <c r="C954" s="81"/>
      <c r="D954" s="173"/>
      <c r="E954" s="173"/>
      <c r="F954" s="80"/>
      <c r="G954" s="173"/>
      <c r="H954" s="81"/>
      <c r="I954" s="81"/>
      <c r="J954" s="102"/>
      <c r="K954" s="102"/>
      <c r="L954" s="102"/>
      <c r="M954" s="102"/>
      <c r="N954" s="102"/>
      <c r="O954" s="102"/>
      <c r="P954" s="81"/>
      <c r="Q954" s="81"/>
      <c r="R954" s="81"/>
      <c r="S954" s="81"/>
      <c r="T954" s="81"/>
      <c r="U954" s="81"/>
      <c r="V954" s="81"/>
      <c r="W954" s="81"/>
      <c r="X954" s="81"/>
      <c r="Y954" s="81"/>
      <c r="Z954" s="81"/>
    </row>
    <row r="955" customFormat="false" ht="12" hidden="false" customHeight="true" outlineLevel="0" collapsed="false">
      <c r="A955" s="91"/>
      <c r="B955" s="81"/>
      <c r="C955" s="81"/>
      <c r="D955" s="173"/>
      <c r="E955" s="173"/>
      <c r="F955" s="80"/>
      <c r="G955" s="173"/>
      <c r="H955" s="81"/>
      <c r="I955" s="81"/>
      <c r="J955" s="102"/>
      <c r="K955" s="102"/>
      <c r="L955" s="102"/>
      <c r="M955" s="102"/>
      <c r="N955" s="102"/>
      <c r="O955" s="102"/>
      <c r="P955" s="81"/>
      <c r="Q955" s="81"/>
      <c r="R955" s="81"/>
      <c r="S955" s="81"/>
      <c r="T955" s="81"/>
      <c r="U955" s="81"/>
      <c r="V955" s="81"/>
      <c r="W955" s="81"/>
      <c r="X955" s="81"/>
      <c r="Y955" s="81"/>
      <c r="Z955" s="81"/>
    </row>
    <row r="956" customFormat="false" ht="12" hidden="false" customHeight="true" outlineLevel="0" collapsed="false">
      <c r="A956" s="91"/>
      <c r="B956" s="81"/>
      <c r="C956" s="81"/>
      <c r="D956" s="173"/>
      <c r="E956" s="173"/>
      <c r="F956" s="80"/>
      <c r="G956" s="173"/>
      <c r="H956" s="81"/>
      <c r="I956" s="81"/>
      <c r="J956" s="102"/>
      <c r="K956" s="102"/>
      <c r="L956" s="102"/>
      <c r="M956" s="102"/>
      <c r="N956" s="102"/>
      <c r="O956" s="102"/>
      <c r="P956" s="81"/>
      <c r="Q956" s="81"/>
      <c r="R956" s="81"/>
      <c r="S956" s="81"/>
      <c r="T956" s="81"/>
      <c r="U956" s="81"/>
      <c r="V956" s="81"/>
      <c r="W956" s="81"/>
      <c r="X956" s="81"/>
      <c r="Y956" s="81"/>
      <c r="Z956" s="81"/>
    </row>
    <row r="957" customFormat="false" ht="12" hidden="false" customHeight="true" outlineLevel="0" collapsed="false">
      <c r="A957" s="91"/>
      <c r="B957" s="81"/>
      <c r="C957" s="81"/>
      <c r="D957" s="173"/>
      <c r="E957" s="173"/>
      <c r="F957" s="80"/>
      <c r="G957" s="173"/>
      <c r="H957" s="81"/>
      <c r="I957" s="81"/>
      <c r="J957" s="102"/>
      <c r="K957" s="102"/>
      <c r="L957" s="102"/>
      <c r="M957" s="102"/>
      <c r="N957" s="102"/>
      <c r="O957" s="102"/>
      <c r="P957" s="81"/>
      <c r="Q957" s="81"/>
      <c r="R957" s="81"/>
      <c r="S957" s="81"/>
      <c r="T957" s="81"/>
      <c r="U957" s="81"/>
      <c r="V957" s="81"/>
      <c r="W957" s="81"/>
      <c r="X957" s="81"/>
      <c r="Y957" s="81"/>
      <c r="Z957" s="81"/>
    </row>
    <row r="958" customFormat="false" ht="12" hidden="false" customHeight="true" outlineLevel="0" collapsed="false">
      <c r="A958" s="91"/>
      <c r="B958" s="81"/>
      <c r="C958" s="81"/>
      <c r="D958" s="173"/>
      <c r="E958" s="173"/>
      <c r="F958" s="80"/>
      <c r="G958" s="173"/>
      <c r="H958" s="81"/>
      <c r="I958" s="81"/>
      <c r="J958" s="102"/>
      <c r="K958" s="102"/>
      <c r="L958" s="102"/>
      <c r="M958" s="102"/>
      <c r="N958" s="102"/>
      <c r="O958" s="102"/>
      <c r="P958" s="81"/>
      <c r="Q958" s="81"/>
      <c r="R958" s="81"/>
      <c r="S958" s="81"/>
      <c r="T958" s="81"/>
      <c r="U958" s="81"/>
      <c r="V958" s="81"/>
      <c r="W958" s="81"/>
      <c r="X958" s="81"/>
      <c r="Y958" s="81"/>
      <c r="Z958" s="81"/>
    </row>
    <row r="959" customFormat="false" ht="12" hidden="false" customHeight="true" outlineLevel="0" collapsed="false">
      <c r="A959" s="91"/>
      <c r="B959" s="81"/>
      <c r="C959" s="81"/>
      <c r="D959" s="173"/>
      <c r="E959" s="173"/>
      <c r="F959" s="80"/>
      <c r="G959" s="173"/>
      <c r="H959" s="81"/>
      <c r="I959" s="81"/>
      <c r="J959" s="102"/>
      <c r="K959" s="102"/>
      <c r="L959" s="102"/>
      <c r="M959" s="102"/>
      <c r="N959" s="102"/>
      <c r="O959" s="102"/>
      <c r="P959" s="81"/>
      <c r="Q959" s="81"/>
      <c r="R959" s="81"/>
      <c r="S959" s="81"/>
      <c r="T959" s="81"/>
      <c r="U959" s="81"/>
      <c r="V959" s="81"/>
      <c r="W959" s="81"/>
      <c r="X959" s="81"/>
      <c r="Y959" s="81"/>
      <c r="Z959" s="81"/>
    </row>
    <row r="960" customFormat="false" ht="12" hidden="false" customHeight="true" outlineLevel="0" collapsed="false">
      <c r="A960" s="91"/>
      <c r="B960" s="81"/>
      <c r="C960" s="81"/>
      <c r="D960" s="173"/>
      <c r="E960" s="173"/>
      <c r="F960" s="80"/>
      <c r="G960" s="173"/>
      <c r="H960" s="81"/>
      <c r="I960" s="81"/>
      <c r="J960" s="102"/>
      <c r="K960" s="102"/>
      <c r="L960" s="102"/>
      <c r="M960" s="102"/>
      <c r="N960" s="102"/>
      <c r="O960" s="102"/>
      <c r="P960" s="81"/>
      <c r="Q960" s="81"/>
      <c r="R960" s="81"/>
      <c r="S960" s="81"/>
      <c r="T960" s="81"/>
      <c r="U960" s="81"/>
      <c r="V960" s="81"/>
      <c r="W960" s="81"/>
      <c r="X960" s="81"/>
      <c r="Y960" s="81"/>
      <c r="Z960" s="81"/>
    </row>
    <row r="961" customFormat="false" ht="12" hidden="false" customHeight="true" outlineLevel="0" collapsed="false">
      <c r="A961" s="91"/>
      <c r="B961" s="81"/>
      <c r="C961" s="81"/>
      <c r="D961" s="173"/>
      <c r="E961" s="173"/>
      <c r="F961" s="80"/>
      <c r="G961" s="173"/>
      <c r="H961" s="81"/>
      <c r="I961" s="81"/>
      <c r="J961" s="102"/>
      <c r="K961" s="102"/>
      <c r="L961" s="102"/>
      <c r="M961" s="102"/>
      <c r="N961" s="102"/>
      <c r="O961" s="102"/>
      <c r="P961" s="81"/>
      <c r="Q961" s="81"/>
      <c r="R961" s="81"/>
      <c r="S961" s="81"/>
      <c r="T961" s="81"/>
      <c r="U961" s="81"/>
      <c r="V961" s="81"/>
      <c r="W961" s="81"/>
      <c r="X961" s="81"/>
      <c r="Y961" s="81"/>
      <c r="Z961" s="81"/>
    </row>
    <row r="962" customFormat="false" ht="12" hidden="false" customHeight="true" outlineLevel="0" collapsed="false">
      <c r="A962" s="91"/>
      <c r="B962" s="81"/>
      <c r="C962" s="81"/>
      <c r="D962" s="173"/>
      <c r="E962" s="173"/>
      <c r="F962" s="80"/>
      <c r="G962" s="173"/>
      <c r="H962" s="81"/>
      <c r="I962" s="81"/>
      <c r="J962" s="102"/>
      <c r="K962" s="102"/>
      <c r="L962" s="102"/>
      <c r="M962" s="102"/>
      <c r="N962" s="102"/>
      <c r="O962" s="102"/>
      <c r="P962" s="81"/>
      <c r="Q962" s="81"/>
      <c r="R962" s="81"/>
      <c r="S962" s="81"/>
      <c r="T962" s="81"/>
      <c r="U962" s="81"/>
      <c r="V962" s="81"/>
      <c r="W962" s="81"/>
      <c r="X962" s="81"/>
      <c r="Y962" s="81"/>
      <c r="Z962" s="81"/>
    </row>
    <row r="963" customFormat="false" ht="12" hidden="false" customHeight="true" outlineLevel="0" collapsed="false">
      <c r="A963" s="91"/>
      <c r="B963" s="81"/>
      <c r="C963" s="81"/>
      <c r="D963" s="173"/>
      <c r="E963" s="173"/>
      <c r="F963" s="80"/>
      <c r="G963" s="173"/>
      <c r="H963" s="81"/>
      <c r="I963" s="81"/>
      <c r="J963" s="102"/>
      <c r="K963" s="102"/>
      <c r="L963" s="102"/>
      <c r="M963" s="102"/>
      <c r="N963" s="102"/>
      <c r="O963" s="102"/>
      <c r="P963" s="81"/>
      <c r="Q963" s="81"/>
      <c r="R963" s="81"/>
      <c r="S963" s="81"/>
      <c r="T963" s="81"/>
      <c r="U963" s="81"/>
      <c r="V963" s="81"/>
      <c r="W963" s="81"/>
      <c r="X963" s="81"/>
      <c r="Y963" s="81"/>
      <c r="Z963" s="81"/>
    </row>
    <row r="964" customFormat="false" ht="12" hidden="false" customHeight="true" outlineLevel="0" collapsed="false">
      <c r="A964" s="91"/>
      <c r="B964" s="81"/>
      <c r="C964" s="81"/>
      <c r="D964" s="173"/>
      <c r="E964" s="173"/>
      <c r="F964" s="80"/>
      <c r="G964" s="173"/>
      <c r="H964" s="81"/>
      <c r="I964" s="81"/>
      <c r="J964" s="102"/>
      <c r="K964" s="102"/>
      <c r="L964" s="102"/>
      <c r="M964" s="102"/>
      <c r="N964" s="102"/>
      <c r="O964" s="102"/>
      <c r="P964" s="81"/>
      <c r="Q964" s="81"/>
      <c r="R964" s="81"/>
      <c r="S964" s="81"/>
      <c r="T964" s="81"/>
      <c r="U964" s="81"/>
      <c r="V964" s="81"/>
      <c r="W964" s="81"/>
      <c r="X964" s="81"/>
      <c r="Y964" s="81"/>
      <c r="Z964" s="81"/>
    </row>
    <row r="965" customFormat="false" ht="12" hidden="false" customHeight="true" outlineLevel="0" collapsed="false">
      <c r="A965" s="91"/>
      <c r="B965" s="81"/>
      <c r="C965" s="81"/>
      <c r="D965" s="173"/>
      <c r="E965" s="173"/>
      <c r="F965" s="80"/>
      <c r="G965" s="173"/>
      <c r="H965" s="81"/>
      <c r="I965" s="81"/>
      <c r="J965" s="102"/>
      <c r="K965" s="102"/>
      <c r="L965" s="102"/>
      <c r="M965" s="102"/>
      <c r="N965" s="102"/>
      <c r="O965" s="102"/>
      <c r="P965" s="81"/>
      <c r="Q965" s="81"/>
      <c r="R965" s="81"/>
      <c r="S965" s="81"/>
      <c r="T965" s="81"/>
      <c r="U965" s="81"/>
      <c r="V965" s="81"/>
      <c r="W965" s="81"/>
      <c r="X965" s="81"/>
      <c r="Y965" s="81"/>
      <c r="Z965" s="81"/>
    </row>
    <row r="966" customFormat="false" ht="12" hidden="false" customHeight="true" outlineLevel="0" collapsed="false">
      <c r="A966" s="91"/>
      <c r="B966" s="81"/>
      <c r="C966" s="81"/>
      <c r="D966" s="173"/>
      <c r="E966" s="173"/>
      <c r="F966" s="80"/>
      <c r="G966" s="173"/>
      <c r="H966" s="81"/>
      <c r="I966" s="81"/>
      <c r="J966" s="102"/>
      <c r="K966" s="102"/>
      <c r="L966" s="102"/>
      <c r="M966" s="102"/>
      <c r="N966" s="102"/>
      <c r="O966" s="102"/>
      <c r="P966" s="81"/>
      <c r="Q966" s="81"/>
      <c r="R966" s="81"/>
      <c r="S966" s="81"/>
      <c r="T966" s="81"/>
      <c r="U966" s="81"/>
      <c r="V966" s="81"/>
      <c r="W966" s="81"/>
      <c r="X966" s="81"/>
      <c r="Y966" s="81"/>
      <c r="Z966" s="81"/>
    </row>
    <row r="967" customFormat="false" ht="12" hidden="false" customHeight="true" outlineLevel="0" collapsed="false">
      <c r="A967" s="91"/>
      <c r="B967" s="81"/>
      <c r="C967" s="81"/>
      <c r="D967" s="173"/>
      <c r="E967" s="173"/>
      <c r="F967" s="80"/>
      <c r="G967" s="173"/>
      <c r="H967" s="81"/>
      <c r="I967" s="81"/>
      <c r="J967" s="102"/>
      <c r="K967" s="102"/>
      <c r="L967" s="102"/>
      <c r="M967" s="102"/>
      <c r="N967" s="102"/>
      <c r="O967" s="102"/>
      <c r="P967" s="81"/>
      <c r="Q967" s="81"/>
      <c r="R967" s="81"/>
      <c r="S967" s="81"/>
      <c r="T967" s="81"/>
      <c r="U967" s="81"/>
      <c r="V967" s="81"/>
      <c r="W967" s="81"/>
      <c r="X967" s="81"/>
      <c r="Y967" s="81"/>
      <c r="Z967" s="81"/>
    </row>
    <row r="968" customFormat="false" ht="12" hidden="false" customHeight="true" outlineLevel="0" collapsed="false">
      <c r="A968" s="91"/>
      <c r="B968" s="81"/>
      <c r="C968" s="81"/>
      <c r="D968" s="173"/>
      <c r="E968" s="173"/>
      <c r="F968" s="80"/>
      <c r="G968" s="173"/>
      <c r="H968" s="81"/>
      <c r="I968" s="81"/>
      <c r="J968" s="102"/>
      <c r="K968" s="102"/>
      <c r="L968" s="102"/>
      <c r="M968" s="102"/>
      <c r="N968" s="102"/>
      <c r="O968" s="102"/>
      <c r="P968" s="81"/>
      <c r="Q968" s="81"/>
      <c r="R968" s="81"/>
      <c r="S968" s="81"/>
      <c r="T968" s="81"/>
      <c r="U968" s="81"/>
      <c r="V968" s="81"/>
      <c r="W968" s="81"/>
      <c r="X968" s="81"/>
      <c r="Y968" s="81"/>
      <c r="Z968" s="81"/>
    </row>
    <row r="969" customFormat="false" ht="12" hidden="false" customHeight="true" outlineLevel="0" collapsed="false">
      <c r="A969" s="91"/>
      <c r="B969" s="81"/>
      <c r="C969" s="81"/>
      <c r="D969" s="173"/>
      <c r="E969" s="173"/>
      <c r="F969" s="80"/>
      <c r="G969" s="173"/>
      <c r="H969" s="81"/>
      <c r="I969" s="81"/>
      <c r="J969" s="102"/>
      <c r="K969" s="102"/>
      <c r="L969" s="102"/>
      <c r="M969" s="102"/>
      <c r="N969" s="102"/>
      <c r="O969" s="102"/>
      <c r="P969" s="81"/>
      <c r="Q969" s="81"/>
      <c r="R969" s="81"/>
      <c r="S969" s="81"/>
      <c r="T969" s="81"/>
      <c r="U969" s="81"/>
      <c r="V969" s="81"/>
      <c r="W969" s="81"/>
      <c r="X969" s="81"/>
      <c r="Y969" s="81"/>
      <c r="Z969" s="81"/>
    </row>
    <row r="970" customFormat="false" ht="12" hidden="false" customHeight="true" outlineLevel="0" collapsed="false">
      <c r="A970" s="91"/>
      <c r="B970" s="81"/>
      <c r="C970" s="81"/>
      <c r="D970" s="173"/>
      <c r="E970" s="173"/>
      <c r="F970" s="80"/>
      <c r="G970" s="173"/>
      <c r="H970" s="81"/>
      <c r="I970" s="81"/>
      <c r="J970" s="102"/>
      <c r="K970" s="102"/>
      <c r="L970" s="102"/>
      <c r="M970" s="102"/>
      <c r="N970" s="102"/>
      <c r="O970" s="102"/>
      <c r="P970" s="81"/>
      <c r="Q970" s="81"/>
      <c r="R970" s="81"/>
      <c r="S970" s="81"/>
      <c r="T970" s="81"/>
      <c r="U970" s="81"/>
      <c r="V970" s="81"/>
      <c r="W970" s="81"/>
      <c r="X970" s="81"/>
      <c r="Y970" s="81"/>
      <c r="Z970" s="81"/>
    </row>
    <row r="971" customFormat="false" ht="12" hidden="false" customHeight="true" outlineLevel="0" collapsed="false">
      <c r="A971" s="91"/>
      <c r="B971" s="81"/>
      <c r="C971" s="81"/>
      <c r="D971" s="173"/>
      <c r="E971" s="173"/>
      <c r="F971" s="80"/>
      <c r="G971" s="173"/>
      <c r="H971" s="81"/>
      <c r="I971" s="81"/>
      <c r="J971" s="102"/>
      <c r="K971" s="102"/>
      <c r="L971" s="102"/>
      <c r="M971" s="102"/>
      <c r="N971" s="102"/>
      <c r="O971" s="102"/>
      <c r="P971" s="81"/>
      <c r="Q971" s="81"/>
      <c r="R971" s="81"/>
      <c r="S971" s="81"/>
      <c r="T971" s="81"/>
      <c r="U971" s="81"/>
      <c r="V971" s="81"/>
      <c r="W971" s="81"/>
      <c r="X971" s="81"/>
      <c r="Y971" s="81"/>
      <c r="Z971" s="81"/>
    </row>
    <row r="972" customFormat="false" ht="12" hidden="false" customHeight="true" outlineLevel="0" collapsed="false">
      <c r="A972" s="91"/>
      <c r="B972" s="81"/>
      <c r="C972" s="81"/>
      <c r="D972" s="173"/>
      <c r="E972" s="173"/>
      <c r="F972" s="80"/>
      <c r="G972" s="173"/>
      <c r="H972" s="81"/>
      <c r="I972" s="81"/>
      <c r="J972" s="102"/>
      <c r="K972" s="102"/>
      <c r="L972" s="102"/>
      <c r="M972" s="102"/>
      <c r="N972" s="102"/>
      <c r="O972" s="102"/>
      <c r="P972" s="81"/>
      <c r="Q972" s="81"/>
      <c r="R972" s="81"/>
      <c r="S972" s="81"/>
      <c r="T972" s="81"/>
      <c r="U972" s="81"/>
      <c r="V972" s="81"/>
      <c r="W972" s="81"/>
      <c r="X972" s="81"/>
      <c r="Y972" s="81"/>
      <c r="Z972" s="81"/>
    </row>
    <row r="973" customFormat="false" ht="12" hidden="false" customHeight="true" outlineLevel="0" collapsed="false">
      <c r="A973" s="91"/>
      <c r="B973" s="81"/>
      <c r="C973" s="81"/>
      <c r="D973" s="173"/>
      <c r="E973" s="173"/>
      <c r="F973" s="80"/>
      <c r="G973" s="173"/>
      <c r="H973" s="81"/>
      <c r="I973" s="81"/>
      <c r="J973" s="102"/>
      <c r="K973" s="102"/>
      <c r="L973" s="102"/>
      <c r="M973" s="102"/>
      <c r="N973" s="102"/>
      <c r="O973" s="102"/>
      <c r="P973" s="81"/>
      <c r="Q973" s="81"/>
      <c r="R973" s="81"/>
      <c r="S973" s="81"/>
      <c r="T973" s="81"/>
      <c r="U973" s="81"/>
      <c r="V973" s="81"/>
      <c r="W973" s="81"/>
      <c r="X973" s="81"/>
      <c r="Y973" s="81"/>
      <c r="Z973" s="81"/>
    </row>
    <row r="974" customFormat="false" ht="12" hidden="false" customHeight="true" outlineLevel="0" collapsed="false">
      <c r="A974" s="91"/>
      <c r="B974" s="81"/>
      <c r="C974" s="81"/>
      <c r="D974" s="173"/>
      <c r="E974" s="173"/>
      <c r="F974" s="80"/>
      <c r="G974" s="173"/>
      <c r="H974" s="81"/>
      <c r="I974" s="81"/>
      <c r="J974" s="102"/>
      <c r="K974" s="102"/>
      <c r="L974" s="102"/>
      <c r="M974" s="102"/>
      <c r="N974" s="102"/>
      <c r="O974" s="102"/>
      <c r="P974" s="81"/>
      <c r="Q974" s="81"/>
      <c r="R974" s="81"/>
      <c r="S974" s="81"/>
      <c r="T974" s="81"/>
      <c r="U974" s="81"/>
      <c r="V974" s="81"/>
      <c r="W974" s="81"/>
      <c r="X974" s="81"/>
      <c r="Y974" s="81"/>
      <c r="Z974" s="81"/>
    </row>
    <row r="975" customFormat="false" ht="12" hidden="false" customHeight="true" outlineLevel="0" collapsed="false">
      <c r="A975" s="91"/>
      <c r="B975" s="81"/>
      <c r="C975" s="81"/>
      <c r="D975" s="173"/>
      <c r="E975" s="173"/>
      <c r="F975" s="80"/>
      <c r="G975" s="173"/>
      <c r="H975" s="81"/>
      <c r="I975" s="81"/>
      <c r="J975" s="102"/>
      <c r="K975" s="102"/>
      <c r="L975" s="102"/>
      <c r="M975" s="102"/>
      <c r="N975" s="102"/>
      <c r="O975" s="102"/>
      <c r="P975" s="81"/>
      <c r="Q975" s="81"/>
      <c r="R975" s="81"/>
      <c r="S975" s="81"/>
      <c r="T975" s="81"/>
      <c r="U975" s="81"/>
      <c r="V975" s="81"/>
      <c r="W975" s="81"/>
      <c r="X975" s="81"/>
      <c r="Y975" s="81"/>
      <c r="Z975" s="81"/>
    </row>
    <row r="976" customFormat="false" ht="12" hidden="false" customHeight="true" outlineLevel="0" collapsed="false">
      <c r="A976" s="91"/>
      <c r="B976" s="81"/>
      <c r="C976" s="81"/>
      <c r="D976" s="173"/>
      <c r="E976" s="173"/>
      <c r="F976" s="80"/>
      <c r="G976" s="173"/>
      <c r="H976" s="81"/>
      <c r="I976" s="81"/>
      <c r="J976" s="102"/>
      <c r="K976" s="102"/>
      <c r="L976" s="102"/>
      <c r="M976" s="102"/>
      <c r="N976" s="102"/>
      <c r="O976" s="102"/>
      <c r="P976" s="81"/>
      <c r="Q976" s="81"/>
      <c r="R976" s="81"/>
      <c r="S976" s="81"/>
      <c r="T976" s="81"/>
      <c r="U976" s="81"/>
      <c r="V976" s="81"/>
      <c r="W976" s="81"/>
      <c r="X976" s="81"/>
      <c r="Y976" s="81"/>
      <c r="Z976" s="81"/>
    </row>
    <row r="977" customFormat="false" ht="12" hidden="false" customHeight="true" outlineLevel="0" collapsed="false">
      <c r="A977" s="91"/>
      <c r="B977" s="81"/>
      <c r="C977" s="81"/>
      <c r="D977" s="173"/>
      <c r="E977" s="173"/>
      <c r="F977" s="80"/>
      <c r="G977" s="173"/>
      <c r="H977" s="81"/>
      <c r="I977" s="81"/>
      <c r="J977" s="102"/>
      <c r="K977" s="102"/>
      <c r="L977" s="102"/>
      <c r="M977" s="102"/>
      <c r="N977" s="102"/>
      <c r="O977" s="102"/>
      <c r="P977" s="81"/>
      <c r="Q977" s="81"/>
      <c r="R977" s="81"/>
      <c r="S977" s="81"/>
      <c r="T977" s="81"/>
      <c r="U977" s="81"/>
      <c r="V977" s="81"/>
      <c r="W977" s="81"/>
      <c r="X977" s="81"/>
      <c r="Y977" s="81"/>
      <c r="Z977" s="81"/>
    </row>
    <row r="978" customFormat="false" ht="12" hidden="false" customHeight="true" outlineLevel="0" collapsed="false">
      <c r="A978" s="91"/>
      <c r="B978" s="81"/>
      <c r="C978" s="81"/>
      <c r="D978" s="173"/>
      <c r="E978" s="173"/>
      <c r="F978" s="80"/>
      <c r="G978" s="173"/>
      <c r="H978" s="81"/>
      <c r="I978" s="81"/>
      <c r="J978" s="102"/>
      <c r="K978" s="102"/>
      <c r="L978" s="102"/>
      <c r="M978" s="102"/>
      <c r="N978" s="102"/>
      <c r="O978" s="102"/>
      <c r="P978" s="81"/>
      <c r="Q978" s="81"/>
      <c r="R978" s="81"/>
      <c r="S978" s="81"/>
      <c r="T978" s="81"/>
      <c r="U978" s="81"/>
      <c r="V978" s="81"/>
      <c r="W978" s="81"/>
      <c r="X978" s="81"/>
      <c r="Y978" s="81"/>
      <c r="Z978" s="81"/>
    </row>
    <row r="979" customFormat="false" ht="12" hidden="false" customHeight="true" outlineLevel="0" collapsed="false">
      <c r="A979" s="91"/>
      <c r="B979" s="81"/>
      <c r="C979" s="81"/>
      <c r="D979" s="173"/>
      <c r="E979" s="173"/>
      <c r="F979" s="80"/>
      <c r="G979" s="173"/>
      <c r="H979" s="81"/>
      <c r="I979" s="81"/>
      <c r="J979" s="102"/>
      <c r="K979" s="102"/>
      <c r="L979" s="102"/>
      <c r="M979" s="102"/>
      <c r="N979" s="102"/>
      <c r="O979" s="102"/>
      <c r="P979" s="81"/>
      <c r="Q979" s="81"/>
      <c r="R979" s="81"/>
      <c r="S979" s="81"/>
      <c r="T979" s="81"/>
      <c r="U979" s="81"/>
      <c r="V979" s="81"/>
      <c r="W979" s="81"/>
      <c r="X979" s="81"/>
      <c r="Y979" s="81"/>
      <c r="Z979" s="81"/>
    </row>
    <row r="980" customFormat="false" ht="12" hidden="false" customHeight="true" outlineLevel="0" collapsed="false">
      <c r="A980" s="91"/>
      <c r="B980" s="81"/>
      <c r="C980" s="81"/>
      <c r="D980" s="173"/>
      <c r="E980" s="173"/>
      <c r="F980" s="80"/>
      <c r="G980" s="173"/>
      <c r="H980" s="81"/>
      <c r="I980" s="81"/>
      <c r="J980" s="102"/>
      <c r="K980" s="102"/>
      <c r="L980" s="102"/>
      <c r="M980" s="102"/>
      <c r="N980" s="102"/>
      <c r="O980" s="102"/>
      <c r="P980" s="81"/>
      <c r="Q980" s="81"/>
      <c r="R980" s="81"/>
      <c r="S980" s="81"/>
      <c r="T980" s="81"/>
      <c r="U980" s="81"/>
      <c r="V980" s="81"/>
      <c r="W980" s="81"/>
      <c r="X980" s="81"/>
      <c r="Y980" s="81"/>
      <c r="Z980" s="81"/>
    </row>
    <row r="981" customFormat="false" ht="12" hidden="false" customHeight="true" outlineLevel="0" collapsed="false">
      <c r="A981" s="91"/>
      <c r="B981" s="81"/>
      <c r="C981" s="81"/>
      <c r="D981" s="173"/>
      <c r="E981" s="173"/>
      <c r="F981" s="80"/>
      <c r="G981" s="173"/>
      <c r="H981" s="81"/>
      <c r="I981" s="81"/>
      <c r="J981" s="102"/>
      <c r="K981" s="102"/>
      <c r="L981" s="102"/>
      <c r="M981" s="102"/>
      <c r="N981" s="102"/>
      <c r="O981" s="102"/>
      <c r="P981" s="81"/>
      <c r="Q981" s="81"/>
      <c r="R981" s="81"/>
      <c r="S981" s="81"/>
      <c r="T981" s="81"/>
      <c r="U981" s="81"/>
      <c r="V981" s="81"/>
      <c r="W981" s="81"/>
      <c r="X981" s="81"/>
      <c r="Y981" s="81"/>
      <c r="Z981" s="81"/>
    </row>
    <row r="982" customFormat="false" ht="12" hidden="false" customHeight="true" outlineLevel="0" collapsed="false">
      <c r="A982" s="91"/>
      <c r="B982" s="81"/>
      <c r="C982" s="81"/>
      <c r="D982" s="173"/>
      <c r="E982" s="173"/>
      <c r="F982" s="80"/>
      <c r="G982" s="173"/>
      <c r="H982" s="81"/>
      <c r="I982" s="81"/>
      <c r="J982" s="102"/>
      <c r="K982" s="102"/>
      <c r="L982" s="102"/>
      <c r="M982" s="102"/>
      <c r="N982" s="102"/>
      <c r="O982" s="102"/>
      <c r="P982" s="81"/>
      <c r="Q982" s="81"/>
      <c r="R982" s="81"/>
      <c r="S982" s="81"/>
      <c r="T982" s="81"/>
      <c r="U982" s="81"/>
      <c r="V982" s="81"/>
      <c r="W982" s="81"/>
      <c r="X982" s="81"/>
      <c r="Y982" s="81"/>
      <c r="Z982" s="81"/>
    </row>
    <row r="983" customFormat="false" ht="12" hidden="false" customHeight="true" outlineLevel="0" collapsed="false">
      <c r="A983" s="91"/>
      <c r="B983" s="81"/>
      <c r="C983" s="81"/>
      <c r="D983" s="173"/>
      <c r="E983" s="173"/>
      <c r="F983" s="80"/>
      <c r="G983" s="173"/>
      <c r="H983" s="81"/>
      <c r="I983" s="81"/>
      <c r="J983" s="102"/>
      <c r="K983" s="102"/>
      <c r="L983" s="102"/>
      <c r="M983" s="102"/>
      <c r="N983" s="102"/>
      <c r="O983" s="102"/>
      <c r="P983" s="81"/>
      <c r="Q983" s="81"/>
      <c r="R983" s="81"/>
      <c r="S983" s="81"/>
      <c r="T983" s="81"/>
      <c r="U983" s="81"/>
      <c r="V983" s="81"/>
      <c r="W983" s="81"/>
      <c r="X983" s="81"/>
      <c r="Y983" s="81"/>
      <c r="Z983" s="81"/>
    </row>
    <row r="984" customFormat="false" ht="12" hidden="false" customHeight="true" outlineLevel="0" collapsed="false">
      <c r="A984" s="91"/>
      <c r="B984" s="81"/>
      <c r="C984" s="81"/>
      <c r="D984" s="173"/>
      <c r="E984" s="173"/>
      <c r="F984" s="80"/>
      <c r="G984" s="173"/>
      <c r="H984" s="81"/>
      <c r="I984" s="81"/>
      <c r="J984" s="102"/>
      <c r="K984" s="102"/>
      <c r="L984" s="102"/>
      <c r="M984" s="102"/>
      <c r="N984" s="102"/>
      <c r="O984" s="102"/>
      <c r="P984" s="81"/>
      <c r="Q984" s="81"/>
      <c r="R984" s="81"/>
      <c r="S984" s="81"/>
      <c r="T984" s="81"/>
      <c r="U984" s="81"/>
      <c r="V984" s="81"/>
      <c r="W984" s="81"/>
      <c r="X984" s="81"/>
      <c r="Y984" s="81"/>
      <c r="Z984" s="81"/>
    </row>
    <row r="985" customFormat="false" ht="12" hidden="false" customHeight="true" outlineLevel="0" collapsed="false">
      <c r="A985" s="91"/>
      <c r="B985" s="81"/>
      <c r="C985" s="81"/>
      <c r="D985" s="173"/>
      <c r="E985" s="173"/>
      <c r="F985" s="80"/>
      <c r="G985" s="173"/>
      <c r="H985" s="81"/>
      <c r="I985" s="81"/>
      <c r="J985" s="102"/>
      <c r="K985" s="102"/>
      <c r="L985" s="102"/>
      <c r="M985" s="102"/>
      <c r="N985" s="102"/>
      <c r="O985" s="102"/>
      <c r="P985" s="81"/>
      <c r="Q985" s="81"/>
      <c r="R985" s="81"/>
      <c r="S985" s="81"/>
      <c r="T985" s="81"/>
      <c r="U985" s="81"/>
      <c r="V985" s="81"/>
      <c r="W985" s="81"/>
      <c r="X985" s="81"/>
      <c r="Y985" s="81"/>
      <c r="Z985" s="81"/>
    </row>
    <row r="986" customFormat="false" ht="12" hidden="false" customHeight="true" outlineLevel="0" collapsed="false">
      <c r="A986" s="91"/>
      <c r="B986" s="81"/>
      <c r="C986" s="81"/>
      <c r="D986" s="173"/>
      <c r="E986" s="173"/>
      <c r="F986" s="80"/>
      <c r="G986" s="173"/>
      <c r="H986" s="81"/>
      <c r="I986" s="81"/>
      <c r="J986" s="102"/>
      <c r="K986" s="102"/>
      <c r="L986" s="102"/>
      <c r="M986" s="102"/>
      <c r="N986" s="102"/>
      <c r="O986" s="102"/>
      <c r="P986" s="81"/>
      <c r="Q986" s="81"/>
      <c r="R986" s="81"/>
      <c r="S986" s="81"/>
      <c r="T986" s="81"/>
      <c r="U986" s="81"/>
      <c r="V986" s="81"/>
      <c r="W986" s="81"/>
      <c r="X986" s="81"/>
      <c r="Y986" s="81"/>
      <c r="Z986" s="81"/>
    </row>
    <row r="987" customFormat="false" ht="12" hidden="false" customHeight="true" outlineLevel="0" collapsed="false">
      <c r="A987" s="91"/>
      <c r="B987" s="81"/>
      <c r="C987" s="81"/>
      <c r="D987" s="173"/>
      <c r="E987" s="173"/>
      <c r="F987" s="80"/>
      <c r="G987" s="173"/>
      <c r="H987" s="81"/>
      <c r="I987" s="81"/>
      <c r="J987" s="102"/>
      <c r="K987" s="102"/>
      <c r="L987" s="102"/>
      <c r="M987" s="102"/>
      <c r="N987" s="102"/>
      <c r="O987" s="102"/>
      <c r="P987" s="81"/>
      <c r="Q987" s="81"/>
      <c r="R987" s="81"/>
      <c r="S987" s="81"/>
      <c r="T987" s="81"/>
      <c r="U987" s="81"/>
      <c r="V987" s="81"/>
      <c r="W987" s="81"/>
      <c r="X987" s="81"/>
      <c r="Y987" s="81"/>
      <c r="Z987" s="81"/>
    </row>
    <row r="988" customFormat="false" ht="12" hidden="false" customHeight="true" outlineLevel="0" collapsed="false">
      <c r="A988" s="91"/>
      <c r="B988" s="81"/>
      <c r="C988" s="81"/>
      <c r="D988" s="173"/>
      <c r="E988" s="173"/>
      <c r="F988" s="80"/>
      <c r="G988" s="173"/>
      <c r="H988" s="81"/>
      <c r="I988" s="81"/>
      <c r="J988" s="102"/>
      <c r="K988" s="102"/>
      <c r="L988" s="102"/>
      <c r="M988" s="102"/>
      <c r="N988" s="102"/>
      <c r="O988" s="102"/>
      <c r="P988" s="81"/>
      <c r="Q988" s="81"/>
      <c r="R988" s="81"/>
      <c r="S988" s="81"/>
      <c r="T988" s="81"/>
      <c r="U988" s="81"/>
      <c r="V988" s="81"/>
      <c r="W988" s="81"/>
      <c r="X988" s="81"/>
      <c r="Y988" s="81"/>
      <c r="Z988" s="81"/>
    </row>
    <row r="989" customFormat="false" ht="12" hidden="false" customHeight="true" outlineLevel="0" collapsed="false">
      <c r="A989" s="91"/>
      <c r="B989" s="81"/>
      <c r="C989" s="81"/>
      <c r="D989" s="173"/>
      <c r="E989" s="173"/>
      <c r="F989" s="80"/>
      <c r="G989" s="173"/>
      <c r="H989" s="81"/>
      <c r="I989" s="81"/>
      <c r="J989" s="102"/>
      <c r="K989" s="102"/>
      <c r="L989" s="102"/>
      <c r="M989" s="102"/>
      <c r="N989" s="102"/>
      <c r="O989" s="102"/>
      <c r="P989" s="81"/>
      <c r="Q989" s="81"/>
      <c r="R989" s="81"/>
      <c r="S989" s="81"/>
      <c r="T989" s="81"/>
      <c r="U989" s="81"/>
      <c r="V989" s="81"/>
      <c r="W989" s="81"/>
      <c r="X989" s="81"/>
      <c r="Y989" s="81"/>
      <c r="Z989" s="81"/>
    </row>
    <row r="990" customFormat="false" ht="12" hidden="false" customHeight="true" outlineLevel="0" collapsed="false">
      <c r="A990" s="91"/>
      <c r="B990" s="81"/>
      <c r="C990" s="81"/>
      <c r="D990" s="173"/>
      <c r="E990" s="173"/>
      <c r="F990" s="80"/>
      <c r="G990" s="173"/>
      <c r="H990" s="81"/>
      <c r="I990" s="81"/>
      <c r="J990" s="102"/>
      <c r="K990" s="102"/>
      <c r="L990" s="102"/>
      <c r="M990" s="102"/>
      <c r="N990" s="102"/>
      <c r="O990" s="102"/>
      <c r="P990" s="81"/>
      <c r="Q990" s="81"/>
      <c r="R990" s="81"/>
      <c r="S990" s="81"/>
      <c r="T990" s="81"/>
      <c r="U990" s="81"/>
      <c r="V990" s="81"/>
      <c r="W990" s="81"/>
      <c r="X990" s="81"/>
      <c r="Y990" s="81"/>
      <c r="Z990" s="81"/>
    </row>
    <row r="991" customFormat="false" ht="12" hidden="false" customHeight="true" outlineLevel="0" collapsed="false">
      <c r="A991" s="91"/>
      <c r="B991" s="81"/>
      <c r="C991" s="81"/>
      <c r="D991" s="173"/>
      <c r="E991" s="173"/>
      <c r="F991" s="80"/>
      <c r="G991" s="173"/>
      <c r="H991" s="81"/>
      <c r="I991" s="81"/>
      <c r="J991" s="102"/>
      <c r="K991" s="102"/>
      <c r="L991" s="102"/>
      <c r="M991" s="102"/>
      <c r="N991" s="102"/>
      <c r="O991" s="102"/>
      <c r="P991" s="81"/>
      <c r="Q991" s="81"/>
      <c r="R991" s="81"/>
      <c r="S991" s="81"/>
      <c r="T991" s="81"/>
      <c r="U991" s="81"/>
      <c r="V991" s="81"/>
      <c r="W991" s="81"/>
      <c r="X991" s="81"/>
      <c r="Y991" s="81"/>
      <c r="Z991" s="81"/>
    </row>
    <row r="992" customFormat="false" ht="12" hidden="false" customHeight="true" outlineLevel="0" collapsed="false">
      <c r="A992" s="91"/>
      <c r="B992" s="81"/>
      <c r="C992" s="81"/>
      <c r="D992" s="173"/>
      <c r="E992" s="173"/>
      <c r="F992" s="80"/>
      <c r="G992" s="173"/>
      <c r="H992" s="81"/>
      <c r="I992" s="81"/>
      <c r="J992" s="102"/>
      <c r="K992" s="102"/>
      <c r="L992" s="102"/>
      <c r="M992" s="102"/>
      <c r="N992" s="102"/>
      <c r="O992" s="102"/>
      <c r="P992" s="81"/>
      <c r="Q992" s="81"/>
      <c r="R992" s="81"/>
      <c r="S992" s="81"/>
      <c r="T992" s="81"/>
      <c r="U992" s="81"/>
      <c r="V992" s="81"/>
      <c r="W992" s="81"/>
      <c r="X992" s="81"/>
      <c r="Y992" s="81"/>
      <c r="Z992" s="81"/>
    </row>
    <row r="993" customFormat="false" ht="12" hidden="false" customHeight="true" outlineLevel="0" collapsed="false">
      <c r="A993" s="91"/>
      <c r="B993" s="81"/>
      <c r="C993" s="81"/>
      <c r="D993" s="173"/>
      <c r="E993" s="173"/>
      <c r="F993" s="80"/>
      <c r="G993" s="173"/>
      <c r="H993" s="81"/>
      <c r="I993" s="81"/>
      <c r="J993" s="102"/>
      <c r="K993" s="102"/>
      <c r="L993" s="102"/>
      <c r="M993" s="102"/>
      <c r="N993" s="102"/>
      <c r="O993" s="102"/>
      <c r="P993" s="81"/>
      <c r="Q993" s="81"/>
      <c r="R993" s="81"/>
      <c r="S993" s="81"/>
      <c r="T993" s="81"/>
      <c r="U993" s="81"/>
      <c r="V993" s="81"/>
      <c r="W993" s="81"/>
      <c r="X993" s="81"/>
      <c r="Y993" s="81"/>
      <c r="Z993" s="81"/>
    </row>
    <row r="994" customFormat="false" ht="12" hidden="false" customHeight="true" outlineLevel="0" collapsed="false">
      <c r="A994" s="91"/>
      <c r="B994" s="81"/>
      <c r="C994" s="81"/>
      <c r="D994" s="173"/>
      <c r="E994" s="173"/>
      <c r="F994" s="80"/>
      <c r="G994" s="173"/>
      <c r="H994" s="81"/>
      <c r="I994" s="81"/>
      <c r="J994" s="102"/>
      <c r="K994" s="102"/>
      <c r="L994" s="102"/>
      <c r="M994" s="102"/>
      <c r="N994" s="102"/>
      <c r="O994" s="102"/>
      <c r="P994" s="81"/>
      <c r="Q994" s="81"/>
      <c r="R994" s="81"/>
      <c r="S994" s="81"/>
      <c r="T994" s="81"/>
      <c r="U994" s="81"/>
      <c r="V994" s="81"/>
      <c r="W994" s="81"/>
      <c r="X994" s="81"/>
      <c r="Y994" s="81"/>
      <c r="Z994" s="81"/>
    </row>
    <row r="995" customFormat="false" ht="12" hidden="false" customHeight="true" outlineLevel="0" collapsed="false">
      <c r="A995" s="91"/>
      <c r="B995" s="81"/>
      <c r="C995" s="81"/>
      <c r="D995" s="173"/>
      <c r="E995" s="173"/>
      <c r="F995" s="80"/>
      <c r="G995" s="173"/>
      <c r="H995" s="81"/>
      <c r="I995" s="81"/>
      <c r="J995" s="102"/>
      <c r="K995" s="102"/>
      <c r="L995" s="102"/>
      <c r="M995" s="102"/>
      <c r="N995" s="102"/>
      <c r="O995" s="102"/>
      <c r="P995" s="81"/>
      <c r="Q995" s="81"/>
      <c r="R995" s="81"/>
      <c r="S995" s="81"/>
      <c r="T995" s="81"/>
      <c r="U995" s="81"/>
      <c r="V995" s="81"/>
      <c r="W995" s="81"/>
      <c r="X995" s="81"/>
      <c r="Y995" s="81"/>
      <c r="Z995" s="81"/>
    </row>
    <row r="996" customFormat="false" ht="12" hidden="false" customHeight="true" outlineLevel="0" collapsed="false">
      <c r="A996" s="91"/>
      <c r="B996" s="81"/>
      <c r="C996" s="81"/>
      <c r="D996" s="173"/>
      <c r="E996" s="173"/>
      <c r="F996" s="80"/>
      <c r="G996" s="173"/>
      <c r="H996" s="81"/>
      <c r="I996" s="81"/>
      <c r="J996" s="102"/>
      <c r="K996" s="102"/>
      <c r="L996" s="102"/>
      <c r="M996" s="102"/>
      <c r="N996" s="102"/>
      <c r="O996" s="102"/>
      <c r="P996" s="81"/>
      <c r="Q996" s="81"/>
      <c r="R996" s="81"/>
      <c r="S996" s="81"/>
      <c r="T996" s="81"/>
      <c r="U996" s="81"/>
      <c r="V996" s="81"/>
      <c r="W996" s="81"/>
      <c r="X996" s="81"/>
      <c r="Y996" s="81"/>
      <c r="Z996" s="81"/>
    </row>
    <row r="997" customFormat="false" ht="12" hidden="false" customHeight="true" outlineLevel="0" collapsed="false">
      <c r="A997" s="91"/>
      <c r="B997" s="81"/>
      <c r="C997" s="81"/>
      <c r="D997" s="173"/>
      <c r="E997" s="173"/>
      <c r="F997" s="80"/>
      <c r="G997" s="173"/>
      <c r="H997" s="81"/>
      <c r="I997" s="81"/>
      <c r="J997" s="102"/>
      <c r="K997" s="102"/>
      <c r="L997" s="102"/>
      <c r="M997" s="102"/>
      <c r="N997" s="102"/>
      <c r="O997" s="102"/>
      <c r="P997" s="81"/>
      <c r="Q997" s="81"/>
      <c r="R997" s="81"/>
      <c r="S997" s="81"/>
      <c r="T997" s="81"/>
      <c r="U997" s="81"/>
      <c r="V997" s="81"/>
      <c r="W997" s="81"/>
      <c r="X997" s="81"/>
      <c r="Y997" s="81"/>
      <c r="Z997" s="81"/>
    </row>
    <row r="998" customFormat="false" ht="12" hidden="false" customHeight="true" outlineLevel="0" collapsed="false">
      <c r="A998" s="91"/>
      <c r="B998" s="81"/>
      <c r="C998" s="81"/>
      <c r="D998" s="173"/>
      <c r="E998" s="173"/>
      <c r="F998" s="80"/>
      <c r="G998" s="173"/>
      <c r="H998" s="81"/>
      <c r="I998" s="81"/>
      <c r="J998" s="102"/>
      <c r="K998" s="102"/>
      <c r="L998" s="102"/>
      <c r="M998" s="102"/>
      <c r="N998" s="102"/>
      <c r="O998" s="102"/>
      <c r="P998" s="81"/>
      <c r="Q998" s="81"/>
      <c r="R998" s="81"/>
      <c r="S998" s="81"/>
      <c r="T998" s="81"/>
      <c r="U998" s="81"/>
      <c r="V998" s="81"/>
      <c r="W998" s="81"/>
      <c r="X998" s="81"/>
      <c r="Y998" s="81"/>
      <c r="Z998" s="81"/>
    </row>
    <row r="999" customFormat="false" ht="12" hidden="false" customHeight="true" outlineLevel="0" collapsed="false">
      <c r="A999" s="91"/>
      <c r="B999" s="81"/>
      <c r="C999" s="81"/>
      <c r="D999" s="173"/>
      <c r="E999" s="173"/>
      <c r="F999" s="80"/>
      <c r="G999" s="173"/>
      <c r="H999" s="81"/>
      <c r="I999" s="81"/>
      <c r="J999" s="102"/>
      <c r="K999" s="102"/>
      <c r="L999" s="102"/>
      <c r="M999" s="102"/>
      <c r="N999" s="102"/>
      <c r="O999" s="102"/>
      <c r="P999" s="81"/>
      <c r="Q999" s="81"/>
      <c r="R999" s="81"/>
      <c r="S999" s="81"/>
      <c r="T999" s="81"/>
      <c r="U999" s="81"/>
      <c r="V999" s="81"/>
      <c r="W999" s="81"/>
      <c r="X999" s="81"/>
      <c r="Y999" s="81"/>
      <c r="Z999" s="81"/>
    </row>
    <row r="1000" customFormat="false" ht="12" hidden="false" customHeight="true" outlineLevel="0" collapsed="false">
      <c r="A1000" s="91"/>
      <c r="B1000" s="81"/>
      <c r="C1000" s="81"/>
      <c r="D1000" s="173"/>
      <c r="E1000" s="173"/>
      <c r="F1000" s="80"/>
      <c r="G1000" s="173"/>
      <c r="H1000" s="81"/>
      <c r="I1000" s="81"/>
      <c r="J1000" s="102"/>
      <c r="K1000" s="102"/>
      <c r="L1000" s="102"/>
      <c r="M1000" s="102"/>
      <c r="N1000" s="102"/>
      <c r="O1000" s="102"/>
      <c r="P1000" s="81"/>
      <c r="Q1000" s="81"/>
      <c r="R1000" s="81"/>
      <c r="S1000" s="81"/>
      <c r="T1000" s="81"/>
      <c r="U1000" s="81"/>
      <c r="V1000" s="81"/>
      <c r="W1000" s="81"/>
      <c r="X1000" s="81"/>
      <c r="Y1000" s="81"/>
      <c r="Z1000" s="81"/>
    </row>
  </sheetData>
  <autoFilter ref="A3:T3"/>
  <mergeCells count="1">
    <mergeCell ref="G2:I2"/>
  </mergeCells>
  <hyperlinks>
    <hyperlink ref="K4" r:id="rId1" display="https://www.centene.com/why-were-different/corporate-sustainability/empowering-health/innovation-thought-leadership.html&#10;&#10;&#10;&#10;&#10;https://investors.centene.com/2026-04-28-CENTENE-CORPORATION-REPORTS-FIRST-QUARTER-2026-RESULTS&#10;&#10;https://www.investing.com/news/company-news/centene-2026-guidance-slides-40-eps-growth-target-despite-revenue-headwinds-93CH-4491279&#10;&#10;https://www.prnewswire.com/news-releases/centene-appoints-lauren-m-tyler-to-board-of-directors-302806827.html&#10;"/>
    <hyperlink ref="K5" r:id="rId2" display="Humana Reports First Quarter 2026 Financial Results; Affirms Full Year 2026 Adjusted Financial Guidance | Humana Inc.&#10;&#10;https://news.humana.com/news/articles/humana-redefines-the-member-experience-with-agent-assist-built-with-google-cloud&#10;&#10;https://humana.gcs-web.com/news-releases (Q1 2026 results; Illinois Medicaid award; Gentiva divestment; $1.0bn notes; board election)&#10;&#10;&#10;&#10;&#10;&#10;&#10;"/>
    <hyperlink ref="K6" r:id="rId3" display="Progressive investors hear about AI strategies, successes | Repairer Driven News&#10;&#10;https://www.fool.com/investing/2026/05/29/progressives-telematics-edge-is-quietly-reshaping/&#10;&#10;https://progressive.mediaroom.com/2026-01-20-progressive-insurance-R-introduces-pet-insurance-for-cats-and-dogs&#10;&#10;https://investors.progressive.com/financials/financial-news-releases/news-details/2026/Progressive-Announces-Plans-For-CFO-Transition/default.aspx"/>
    <hyperlink ref="K7" r:id="rId4" display="State Farm Advances AI Vision Through OpenAI Collaboration&#10;&#10;&#10;https://www.liveinsurancenews.com/state-farm-is-rewriting-the-deal/8573293/&#10;&#10;https://newsroom.statefarm.com/state-farm-responds-to-widespread-winter-catastrophe/&#10;&#10;https://www.insurancejournal.com/company/statefarm/"/>
    <hyperlink ref="K8" r:id="rId5" display="Berkshire Q1 2026: $1.72B Insurance Gain as Abel Maps GEICO's Five-Year Tech Rebuild | actuary.info&#10;https://www.geico.com/about/pressreleases/2026/&#10;&#10;https://www.geico.com/about/pressreleases/2026/20260326/&#10;https://www.carriermanagement.com/news/2026/05/04/287521.htm#&#10;https://www.clarkhill.com/news-events/news/geico-ai-settlement-insurance-underwriting-compliance/"/>
    <hyperlink ref="K9" r:id="rId6" display="https://www.tokiomarinehd.com/en/newsroom/release/&#10;&#10;&#10;https://www.tokiomarinehd.com/en/newsroom/release/o1ckc9000001n1lb-att/250616_AI_governance_e.pdf&#10;&#10;https://www.tokiomarinehd.com/en/newsroom/release/ikr22500000008w0-att/20250925_OpenAI_e.pdf&#10;&#10;https://www.tokiomarinehighland.com/blog/tokio-marine-highland-releases-2026-tmh-horizons-report/&#10;https://www.insurancebusinessmag.com/us/news/breaking-news/tokio-marine-america-ceo-eyes-capital-surge-as-growth-engine-566725.aspx&#10;&#10;&#10;https://www.reinsurancene.ws/tokio-marine-to-enhance-specialty-offerings-in-us-agricultural-sector-with-cih-acquisition/&#10;&#10;https://finimize.com/content/tokio-marine-wants-more-than-north-america (Berkshire partnership; 2036 targets)&#10;&#10;https://simplywall.st/stocks/us/insurance/otc-tkom.y/tokio-marine-holdings (CIH completion 2 Feb 2026; ¥200bn buyback)"/>
    <hyperlink ref="K10" r:id="rId7" display="Travelers Investor Relations | Travelers Advances AI Strategy with Award-Winning Insurance-Specific Large Language Model&#10;&#10;https://investor.travelers.com/newsroom/press-releases/news-details/2026/Travelers-Partners-with-Anthropic-to-Expand-AI-Enabled-Engineering-and-Analytics-Capabilities/default.aspx&#10;&#10;https://agencychecklists.com/2026/01/26/travelers-deepens-ai-strategy-as-innovation-2-0-takes-shape-79336/"/>
    <hyperlink ref="C14" r:id="rId8" display="One Rockefeller Plaza, Suite 2120, New York, USA "/>
    <hyperlink ref="K17" r:id="rId9" display="https://www.insurancebusinessmag.com/us/news/catastrophe/two-insurers-report-spike-in-march-storm-losses-569026.aspx&#10;&#10;https://newsroom.amfam.com/american-family-completes-main-street-america-insurance-bonds-renewal-rights-transaction/&#10;&#10;&#10;https://www.insurancejournal.com/company/amfam/ (FY2025 underwriting profit)&#10;&#10;https://newsroom.amfam.com/ (Ward's Top 50; Summerfest partnership extension)"/>
    <hyperlink ref="K18" r:id="rId10" display="https://markets.financialcontent.com/wral/article/bizwire-2026-3-16-lincoln-financial-unveils-new-fixed-indexed-annuity-income-solutions-with-category-first-legacy-planning&#10;&#10;https://www.lincolnfinancial.com/public/aboutus/newsroom/pressreleases/Lincoln-appoints-Gotham-Majumdar&#10;&#10;https://www.lincolnfinancial.com/public/aboutus/newsroom/pressreleases/executive-leadership-transitions"/>
    <hyperlink ref="K19" r:id="rId11" display="https://ir.oldrepublic.com/news/news-details/2026/OLD-REPUBLIC-ANNOUNCES-SENIOR-MANAGEMENT-CHANGES-AT-BITCO-INSURANCE-COMPANIES/default.aspx&#10;&#10;https://ir.oldrepublic.com/news/news-details/2026/OLD-REPUBLIC-FORMS-NEW-PROPERTY-INSURANCE-COMPANY/default.aspx&#10;&#10;https://ir.oldrepublic.com/news/news-details/2026/LODESTAR-LAUNCHES-AS-INDEPENDENT-BRAND-FOR-OLD-REPUBLICS-THIRD-PARTY-ADMINISTRATOR-BUSINESS/default.aspx&#10;&#10;https://ir.oldrepublic.com/news/news-details/2026/OLD-REPUBLIC-REFRESHES-BRAND-TO-HIGHLIGHT-SPECIALTY-EXPERTISE-AND-COLLECTIVE-STRENGTH/default.aspx"/>
    <hyperlink ref="K20" r:id="rId12" display="https://finance.yahoo.com/markets/stocks/articles/faf-q1-deep-dive-commercial-081323035.html&#10;&#10;https://finance.yahoo.com/markets/stocks/articles/faf-q1-deep-dive-commercial-081323035.html&#10;&#10;https://marketchameleon.com/Overview/FAF/PressReleases/"/>
    <hyperlink ref="K21" r:id="rId13" display="https://markets.financialcontent.com/dowtheoryletters/article/stockstory-2026-1-27-wrb-q4-deep-dive-management-focuses-on-technology-distribution-and-underwriting-discipline&#10;&#10;https://markets.financialcontent.com/dowtheoryletters/article/stockstory-2026-1-27-wrb-q4-deep-dive-management-focuses-on-technology-distribution-and-underwriting-discipline&#10;&#10;&#10;https://www.stocktitan.net/sec-filings/WRB/schedule-13d-a-berkley-w-r-corp-amended-major-shareholder-report-4164e282c0e1.html (MSI 13D/A — 14.9%)&#10;&#10;https://www.insurancebusinessmag.com/us/news/breaking-news/mitsui-sumitomo-takes-12-5-stake-in-w-r--berkley-559207.aspx&#10;&#10;https://fintool.com/news/mitsui-sumitomo-wrb-69m-stake-buildup (Q4 2025 results; expense ratio guidance)"/>
    <hyperlink ref="K22" r:id="rId14" display="https://newsroom.thrivent.com/Q-A-on-Thrivents-2026-Annual-Total-Payout&#10;&#10;https://newsroom.thrivent.com/2026-02-05-Thrivent-Launches-Three-New-Retail-Separately-Managed-Accounts-SMAs&#10;&#10;https://www.prnewswire.com/news-releases/thrivent-continues-major-growth-push-with-plans-to-add-600-more-financial-advisors-in-2026-302708534.html&#10;&#10;https://newsroom.thrivent.com/2026-05-06-Thrivent-Maintains-AA-Credit-Rating-with-Stable-Outlook-From-S-P-Global&#10;&#10;https://newsroom.thrivent.com/2026-06-15-Thrivent-Launches-Two-International-Equity-ETFs,-Expanding-Its-ETF-Product-Suite&#10;&#10;https://newsroom.thrivent.com/2026-07-13-Packers,-Thrivent-Announce-Multi-Year-Partnership-Centered-on-Fan-Engagement-and-Community-Impact"/>
    <hyperlink ref="K23" r:id="rId15" display="https://ir.equitableholdings.com/news-and-events/investor-releases/news-details/2026/Equitable-Holdings-Announces-Additional-1-Billion-Share-Repurchase-Authorization-and-Declares-Common-and-Preferred-Stock-Dividends/default.aspx&#10;&#10;https://investors.corebridgefinancial.com/news/news-details/2026/Corebridge-Financial-and-Equitable-Holdings-Announce-Transformational-Merger/default.aspx&#10;&#10;https://www.marketscreener.com/news/equitable-launches-403-b-pooled-employer-plan-to-support-nonprofits-ce7e50dbd080fe21&#10;&#10;&#10;https://www.sec.gov/Archives/edgar/data/0001889539/000119312526279656/d115497ddefm14a.htm (joint proxy statement/prospectus)&#10;&#10;https://www.sec.gov/Archives/edgar/data/1889539/000114036126011261/ef20068723_425.htm (structure, leadership, Houston HQ, timing)&#10;&#10;https://www.sec.gov/Archives/edgar/data/0001889539/000188953926000116/crbg-20260331.htm (Corebridge Q1 2026 10-Q — exchange ratios)"/>
    <hyperlink ref="K24" r:id="rId16" display="https://news.northwesternmutual.com/2025-10-28-Northwestern-Mutual-Announces-Historic-9-2-Billion-Dividend-Payout-in-2026-A-Powerful-Demonstration-of-Companys-Enduring-Commitment-to-Policyowners&#10;&#10;https://www.prnewswire.com/news-releases/northwestern-mutual-announces-150-million-venture-capital-commitment-to-accelerate-fintech-innovation-302754777.html&#10;&#10;https://news.northwesternmutual.com/investing-in-milwaukee"/>
    <hyperlink ref="K25" r:id="rId17" display="https://www.mutualofomaha.com/careers/life-at-mutual/careers-blog/video/exploring-ai-at-mutual-of-omaha&#10;&#10;https://www.businesswire.com/news/home/20260224556643/en/Mutual-of-Omaha-Continues-Expansion-of-API-Offerings-to-Streamline-Benefits-Administration-for-Brokers-and-Employers&#10;&#10;https://ebs.publicnow.com/view/5292601E48DFC70E085A0BBD9D8B8899516B5420&#10;&#10;https://www.publicnow.com/view/F3B8B1FB4C5682B72AE217D1851169E3EADFA88E"/>
    <hyperlink ref="K26" r:id="rId18" display="https://investors.cinfin.com/2026-04-27-Cincinnati-Financial-Reports-First-Quarter-2026-Results&#10;&#10;https://investors.cinfin.com/2026-06-19-Cincinnati-Financial-Corporation-Expands-Board-With-Appointment-of-Independent-Director&#10;&#10;https://investors.cinfin.com/2026-06-16-The-Cincinnati-Insurance-Company-Chief-Information-Officer-Announces-Retirement"/>
    <hyperlink ref="K27" r:id="rId19" display="https://investors.jackson.com/news/news-details/2026/Jackson-Financial-Inc--and-TPG-Inc--Announce-Launch-of-Long-Term-Strategic-Partnership/default.aspx&#10;&#10;https://investors.jackson.com/news/news-details/2026/Jackson-Introduces-Dow-Jones-Industrial-Average-Index-Option-Flexible-Premiums-Six-Year-Rate-Guarantee-in-Latest-Registered-Index-Linked-Annuity-Launch/default.aspx"/>
    <hyperlink ref="K28" r:id="rId20" display="https://www.publicnow.com/view/BAD5E3E6229A69F9D68A4DF36BF2B3B8EB08F9F9&#10;&#10;https://www.trustage.com/newsroom/2026-press-releases/collateral-protection-insurance-auto-tracked-product&#10;&#10;https://www.trustage.com/newsroom/2026-press-releases/happy-money-offering-payment-guard-advantage&#10;&#10;https://www.trustage.com/newsroom/2026-press-releases/polly-expands-trustage-partnership"/>
    <hyperlink ref="K29" r:id="rId21" display="https://secure.businesswire.com/news/home/20260128893102/en/Pacific-Life-and-Selerix-Launch-Digital-Evidence-of-Insurability-Integration&#10;&#10;https://www.pacificlife.com/press-releases/stories/pacific-life-polls-industry-leaders-in-2026-underwriting-outlook-survey.html&#10;&#10;https://www.pacificlifere.com/news/Pacific-Life-Re-Awarded-4bn-Longevity-Reinsurance-Transaction-with-Achmea-Pension-and-Life-Insurance.html&#10;&#10;https://www.pacificlifere.com/news/Pacific-Life-Re-Announces-Third-Block-Reinsurance-Deal-with-Tokio-Marine-and-Nichido-Life.html"/>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2.62890625" defaultRowHeight="15" zeroHeight="false" outlineLevelRow="0" outlineLevelCol="0"/>
  <cols>
    <col collapsed="false" customWidth="true" hidden="false" outlineLevel="0" max="1" min="1" style="0" width="8.76"/>
    <col collapsed="false" customWidth="true" hidden="false" outlineLevel="0" max="2" min="2" style="0" width="42.13"/>
    <col collapsed="false" customWidth="true" hidden="false" outlineLevel="0" max="3" min="3" style="0" width="14.13"/>
    <col collapsed="false" customWidth="true" hidden="false" outlineLevel="0" max="4" min="4" style="0" width="17.5"/>
    <col collapsed="false" customWidth="true" hidden="false" outlineLevel="0" max="5" min="5" style="0" width="15.5"/>
    <col collapsed="false" customWidth="true" hidden="false" outlineLevel="0" max="6" min="6" style="0" width="13.5"/>
    <col collapsed="false" customWidth="true" hidden="false" outlineLevel="0" max="7" min="7" style="0" width="20.25"/>
    <col collapsed="false" customWidth="true" hidden="false" outlineLevel="0" max="8" min="8" style="0" width="79.25"/>
    <col collapsed="false" customWidth="true" hidden="false" outlineLevel="0" max="9" min="9" style="0" width="45.13"/>
    <col collapsed="false" customWidth="true" hidden="false" outlineLevel="0" max="11" min="10" style="0" width="28.13"/>
    <col collapsed="false" customWidth="true" hidden="true" outlineLevel="0" max="12" min="12" style="0" width="28.13"/>
    <col collapsed="false" customWidth="true" hidden="false" outlineLevel="0" max="13" min="13" style="0" width="19.13"/>
    <col collapsed="false" customWidth="true" hidden="false" outlineLevel="0" max="14" min="14" style="0" width="17.5"/>
    <col collapsed="false" customWidth="true" hidden="false" outlineLevel="0" max="15" min="15" style="0" width="23.88"/>
    <col collapsed="false" customWidth="true" hidden="false" outlineLevel="0" max="16" min="16" style="0" width="46.5"/>
    <col collapsed="false" customWidth="true" hidden="false" outlineLevel="0" max="26" min="17" style="0" width="8.76"/>
  </cols>
  <sheetData>
    <row r="1" customFormat="false" ht="13.5" hidden="false" customHeight="true" outlineLevel="0" collapsed="false">
      <c r="A1" s="220" t="s">
        <v>1735</v>
      </c>
      <c r="B1" s="221"/>
      <c r="C1" s="221"/>
      <c r="D1" s="221"/>
      <c r="E1" s="221"/>
      <c r="F1" s="221"/>
      <c r="G1" s="222"/>
      <c r="H1" s="221"/>
      <c r="I1" s="221"/>
      <c r="J1" s="221"/>
      <c r="K1" s="221"/>
      <c r="L1" s="221"/>
      <c r="M1" s="221"/>
      <c r="N1" s="221"/>
      <c r="O1" s="221"/>
      <c r="P1" s="221"/>
      <c r="Q1" s="221"/>
      <c r="R1" s="221"/>
      <c r="S1" s="221"/>
      <c r="T1" s="221"/>
      <c r="U1" s="221"/>
      <c r="V1" s="221"/>
      <c r="W1" s="221"/>
      <c r="X1" s="221"/>
      <c r="Y1" s="221"/>
      <c r="Z1" s="221"/>
    </row>
    <row r="2" customFormat="false" ht="13.5" hidden="false" customHeight="true" outlineLevel="0" collapsed="false">
      <c r="A2" s="221"/>
      <c r="B2" s="221"/>
      <c r="C2" s="221"/>
      <c r="D2" s="221"/>
      <c r="E2" s="221"/>
      <c r="F2" s="221"/>
      <c r="G2" s="221"/>
      <c r="H2" s="221"/>
      <c r="I2" s="221"/>
      <c r="J2" s="221"/>
      <c r="K2" s="221"/>
      <c r="L2" s="221"/>
      <c r="M2" s="221"/>
      <c r="N2" s="221"/>
      <c r="O2" s="221"/>
      <c r="P2" s="221"/>
      <c r="Q2" s="221"/>
      <c r="R2" s="221"/>
      <c r="S2" s="221"/>
      <c r="T2" s="221"/>
      <c r="U2" s="221"/>
      <c r="V2" s="221"/>
      <c r="W2" s="221"/>
      <c r="X2" s="221"/>
      <c r="Y2" s="221"/>
      <c r="Z2" s="221"/>
    </row>
    <row r="3" customFormat="false" ht="13.5" hidden="false" customHeight="true" outlineLevel="0" collapsed="false">
      <c r="A3" s="223" t="s">
        <v>6</v>
      </c>
      <c r="B3" s="223" t="s">
        <v>7</v>
      </c>
      <c r="C3" s="223" t="s">
        <v>441</v>
      </c>
      <c r="D3" s="223" t="s">
        <v>165</v>
      </c>
      <c r="E3" s="223" t="s">
        <v>166</v>
      </c>
      <c r="F3" s="223" t="s">
        <v>167</v>
      </c>
      <c r="G3" s="223" t="s">
        <v>168</v>
      </c>
      <c r="H3" s="223" t="s">
        <v>170</v>
      </c>
      <c r="I3" s="224" t="s">
        <v>331</v>
      </c>
      <c r="J3" s="224" t="s">
        <v>1736</v>
      </c>
      <c r="K3" s="225" t="s">
        <v>1737</v>
      </c>
      <c r="L3" s="225" t="s">
        <v>1738</v>
      </c>
      <c r="M3" s="225" t="s">
        <v>713</v>
      </c>
      <c r="N3" s="225" t="s">
        <v>1739</v>
      </c>
      <c r="O3" s="225" t="s">
        <v>164</v>
      </c>
      <c r="P3" s="225" t="s">
        <v>1740</v>
      </c>
      <c r="Q3" s="221"/>
      <c r="R3" s="221"/>
      <c r="S3" s="221"/>
      <c r="T3" s="221"/>
      <c r="U3" s="221"/>
      <c r="V3" s="221"/>
      <c r="W3" s="221"/>
      <c r="X3" s="221"/>
      <c r="Y3" s="221"/>
      <c r="Z3" s="221"/>
    </row>
    <row r="4" customFormat="false" ht="13.5" hidden="false" customHeight="true" outlineLevel="0" collapsed="false">
      <c r="A4" s="226" t="n">
        <v>1</v>
      </c>
      <c r="B4" s="227" t="s">
        <v>1741</v>
      </c>
      <c r="C4" s="228" t="s">
        <v>1742</v>
      </c>
      <c r="D4" s="227" t="s">
        <v>1743</v>
      </c>
      <c r="E4" s="229" t="s">
        <v>175</v>
      </c>
      <c r="F4" s="230" t="s">
        <v>176</v>
      </c>
      <c r="G4" s="227" t="s">
        <v>1317</v>
      </c>
      <c r="H4" s="227" t="s">
        <v>1744</v>
      </c>
      <c r="I4" s="231" t="s">
        <v>1745</v>
      </c>
      <c r="J4" s="232" t="n">
        <v>164265.27</v>
      </c>
      <c r="K4" s="233" t="s">
        <v>1746</v>
      </c>
      <c r="L4" s="232" t="s">
        <v>1747</v>
      </c>
      <c r="M4" s="227" t="s">
        <v>1748</v>
      </c>
      <c r="N4" s="228" t="s">
        <v>1749</v>
      </c>
      <c r="O4" s="228" t="s">
        <v>1750</v>
      </c>
      <c r="P4" s="234" t="s">
        <v>1751</v>
      </c>
      <c r="Q4" s="221"/>
      <c r="R4" s="221"/>
      <c r="S4" s="221"/>
      <c r="T4" s="221"/>
      <c r="U4" s="221"/>
      <c r="V4" s="221"/>
      <c r="W4" s="221"/>
      <c r="X4" s="221"/>
      <c r="Y4" s="221"/>
      <c r="Z4" s="221"/>
    </row>
    <row r="5" customFormat="false" ht="13.5" hidden="false" customHeight="true" outlineLevel="0" collapsed="false">
      <c r="A5" s="226" t="n">
        <v>2</v>
      </c>
      <c r="B5" s="227" t="s">
        <v>1752</v>
      </c>
      <c r="C5" s="227" t="s">
        <v>1753</v>
      </c>
      <c r="D5" s="227" t="s">
        <v>1754</v>
      </c>
      <c r="E5" s="229" t="s">
        <v>175</v>
      </c>
      <c r="F5" s="230" t="s">
        <v>1755</v>
      </c>
      <c r="G5" s="227" t="s">
        <v>1317</v>
      </c>
      <c r="H5" s="227" t="s">
        <v>1756</v>
      </c>
      <c r="I5" s="231" t="s">
        <v>1757</v>
      </c>
      <c r="J5" s="232" t="n">
        <v>43618</v>
      </c>
      <c r="K5" s="231" t="s">
        <v>1758</v>
      </c>
      <c r="L5" s="232" t="s">
        <v>1759</v>
      </c>
      <c r="M5" s="228" t="s">
        <v>1760</v>
      </c>
      <c r="N5" s="228" t="s">
        <v>1761</v>
      </c>
      <c r="O5" s="228" t="s">
        <v>1762</v>
      </c>
      <c r="P5" s="234" t="s">
        <v>1763</v>
      </c>
      <c r="Q5" s="221"/>
      <c r="R5" s="221"/>
      <c r="S5" s="221"/>
      <c r="T5" s="221"/>
      <c r="U5" s="221"/>
      <c r="V5" s="221"/>
      <c r="W5" s="221"/>
      <c r="X5" s="221"/>
      <c r="Y5" s="221"/>
      <c r="Z5" s="221"/>
    </row>
    <row r="6" customFormat="false" ht="13.5" hidden="false" customHeight="true" outlineLevel="0" collapsed="false">
      <c r="A6" s="226" t="n">
        <v>3</v>
      </c>
      <c r="B6" s="227" t="s">
        <v>1764</v>
      </c>
      <c r="C6" s="227" t="s">
        <v>1765</v>
      </c>
      <c r="D6" s="227" t="s">
        <v>1766</v>
      </c>
      <c r="E6" s="229" t="s">
        <v>175</v>
      </c>
      <c r="F6" s="229" t="s">
        <v>176</v>
      </c>
      <c r="G6" s="227" t="s">
        <v>1767</v>
      </c>
      <c r="H6" s="227" t="s">
        <v>1768</v>
      </c>
      <c r="I6" s="231" t="s">
        <v>1769</v>
      </c>
      <c r="J6" s="232" t="n">
        <v>41153.95</v>
      </c>
      <c r="K6" s="233" t="s">
        <v>1770</v>
      </c>
      <c r="L6" s="232" t="s">
        <v>1771</v>
      </c>
      <c r="M6" s="228" t="s">
        <v>1772</v>
      </c>
      <c r="N6" s="228" t="s">
        <v>1773</v>
      </c>
      <c r="O6" s="228" t="s">
        <v>1774</v>
      </c>
      <c r="P6" s="234" t="s">
        <v>1775</v>
      </c>
      <c r="Q6" s="221"/>
      <c r="R6" s="221"/>
      <c r="S6" s="221"/>
      <c r="T6" s="221"/>
      <c r="U6" s="221"/>
      <c r="V6" s="221"/>
      <c r="W6" s="221"/>
      <c r="X6" s="221"/>
      <c r="Y6" s="221"/>
      <c r="Z6" s="221"/>
    </row>
    <row r="7" customFormat="false" ht="13.5" hidden="false" customHeight="true" outlineLevel="0" collapsed="false">
      <c r="A7" s="226" t="n">
        <v>4</v>
      </c>
      <c r="B7" s="227" t="s">
        <v>1776</v>
      </c>
      <c r="C7" s="227" t="s">
        <v>1777</v>
      </c>
      <c r="D7" s="227" t="s">
        <v>1778</v>
      </c>
      <c r="E7" s="229" t="s">
        <v>175</v>
      </c>
      <c r="F7" s="230" t="s">
        <v>203</v>
      </c>
      <c r="G7" s="227" t="s">
        <v>1779</v>
      </c>
      <c r="H7" s="227" t="s">
        <v>1780</v>
      </c>
      <c r="I7" s="231" t="s">
        <v>1781</v>
      </c>
      <c r="J7" s="235" t="s">
        <v>1782</v>
      </c>
      <c r="K7" s="233" t="s">
        <v>1783</v>
      </c>
      <c r="L7" s="232" t="s">
        <v>1784</v>
      </c>
      <c r="M7" s="228" t="s">
        <v>17</v>
      </c>
      <c r="N7" s="228" t="s">
        <v>1785</v>
      </c>
      <c r="O7" s="228" t="s">
        <v>1786</v>
      </c>
      <c r="P7" s="234" t="s">
        <v>1787</v>
      </c>
      <c r="Q7" s="221"/>
      <c r="R7" s="221"/>
      <c r="S7" s="221"/>
      <c r="T7" s="221"/>
      <c r="U7" s="221"/>
      <c r="V7" s="221"/>
      <c r="W7" s="221"/>
      <c r="X7" s="221"/>
      <c r="Y7" s="221"/>
      <c r="Z7" s="221"/>
    </row>
    <row r="8" customFormat="false" ht="105.75" hidden="false" customHeight="true" outlineLevel="0" collapsed="false">
      <c r="A8" s="226" t="n">
        <v>5</v>
      </c>
      <c r="B8" s="227" t="s">
        <v>1788</v>
      </c>
      <c r="C8" s="227" t="s">
        <v>1789</v>
      </c>
      <c r="D8" s="227" t="s">
        <v>1790</v>
      </c>
      <c r="E8" s="229" t="s">
        <v>175</v>
      </c>
      <c r="F8" s="229" t="s">
        <v>1791</v>
      </c>
      <c r="G8" s="227" t="s">
        <v>1317</v>
      </c>
      <c r="H8" s="227" t="s">
        <v>1792</v>
      </c>
      <c r="I8" s="231" t="s">
        <v>1793</v>
      </c>
      <c r="J8" s="235" t="s">
        <v>1794</v>
      </c>
      <c r="K8" s="233" t="s">
        <v>1795</v>
      </c>
      <c r="L8" s="232" t="s">
        <v>1747</v>
      </c>
      <c r="M8" s="228" t="s">
        <v>1796</v>
      </c>
      <c r="N8" s="228" t="s">
        <v>1796</v>
      </c>
      <c r="O8" s="228" t="s">
        <v>1796</v>
      </c>
      <c r="P8" s="234" t="s">
        <v>1797</v>
      </c>
      <c r="Q8" s="221"/>
      <c r="R8" s="221"/>
      <c r="S8" s="221"/>
      <c r="T8" s="221"/>
      <c r="U8" s="221"/>
      <c r="V8" s="221"/>
      <c r="W8" s="221"/>
      <c r="X8" s="221"/>
      <c r="Y8" s="221"/>
      <c r="Z8" s="221"/>
    </row>
    <row r="9" customFormat="false" ht="13.5" hidden="false" customHeight="true" outlineLevel="0" collapsed="false">
      <c r="A9" s="236"/>
      <c r="B9" s="221"/>
      <c r="C9" s="221"/>
      <c r="D9" s="221"/>
      <c r="E9" s="221"/>
      <c r="F9" s="221"/>
      <c r="G9" s="221"/>
      <c r="H9" s="221"/>
      <c r="I9" s="221"/>
      <c r="J9" s="221"/>
      <c r="K9" s="221"/>
      <c r="L9" s="221"/>
      <c r="M9" s="221"/>
      <c r="N9" s="221"/>
      <c r="O9" s="221"/>
      <c r="P9" s="221"/>
      <c r="Q9" s="221"/>
      <c r="R9" s="221"/>
      <c r="S9" s="221"/>
      <c r="T9" s="221"/>
      <c r="U9" s="221"/>
      <c r="V9" s="221"/>
      <c r="W9" s="221"/>
      <c r="X9" s="221"/>
      <c r="Y9" s="221"/>
      <c r="Z9" s="221"/>
    </row>
    <row r="10" customFormat="false" ht="13.5" hidden="false" customHeight="true" outlineLevel="0" collapsed="false">
      <c r="A10" s="221"/>
      <c r="B10" s="221"/>
      <c r="C10" s="221"/>
      <c r="D10" s="221"/>
      <c r="E10" s="221"/>
      <c r="F10" s="221"/>
      <c r="G10" s="221"/>
      <c r="H10" s="221"/>
      <c r="I10" s="221"/>
      <c r="J10" s="221"/>
      <c r="K10" s="221"/>
      <c r="L10" s="221"/>
      <c r="M10" s="221"/>
      <c r="N10" s="221"/>
      <c r="O10" s="221"/>
      <c r="P10" s="221"/>
      <c r="Q10" s="221"/>
      <c r="R10" s="221"/>
      <c r="S10" s="221"/>
      <c r="T10" s="221"/>
      <c r="U10" s="221"/>
      <c r="V10" s="221"/>
      <c r="W10" s="221"/>
      <c r="X10" s="221"/>
      <c r="Y10" s="221"/>
      <c r="Z10" s="221"/>
    </row>
    <row r="11" customFormat="false" ht="13.5" hidden="false" customHeight="true" outlineLevel="0" collapsed="false">
      <c r="A11" s="221"/>
      <c r="B11" s="221"/>
      <c r="C11" s="221"/>
      <c r="D11" s="221"/>
      <c r="E11" s="221"/>
      <c r="F11" s="221"/>
      <c r="G11" s="221"/>
      <c r="H11" s="221"/>
      <c r="I11" s="221"/>
      <c r="J11" s="221"/>
      <c r="K11" s="221"/>
      <c r="L11" s="221"/>
      <c r="M11" s="221"/>
      <c r="N11" s="221"/>
      <c r="O11" s="221"/>
      <c r="P11" s="221"/>
      <c r="Q11" s="221"/>
      <c r="R11" s="221"/>
      <c r="S11" s="221"/>
      <c r="T11" s="221"/>
      <c r="U11" s="221"/>
      <c r="V11" s="221"/>
      <c r="W11" s="221"/>
      <c r="X11" s="221"/>
      <c r="Y11" s="221"/>
      <c r="Z11" s="221"/>
    </row>
    <row r="12" customFormat="false" ht="13.5" hidden="false" customHeight="true" outlineLevel="0" collapsed="false">
      <c r="A12" s="221"/>
      <c r="B12" s="221"/>
      <c r="C12" s="221"/>
      <c r="D12" s="221"/>
      <c r="E12" s="221"/>
      <c r="F12" s="221"/>
      <c r="G12" s="221"/>
      <c r="H12" s="221"/>
      <c r="I12" s="221"/>
      <c r="J12" s="221"/>
      <c r="K12" s="221"/>
      <c r="L12" s="221"/>
      <c r="M12" s="221"/>
      <c r="N12" s="221"/>
      <c r="O12" s="221"/>
      <c r="P12" s="221"/>
      <c r="Q12" s="221"/>
      <c r="R12" s="221"/>
      <c r="S12" s="221"/>
      <c r="T12" s="221"/>
      <c r="U12" s="221"/>
      <c r="V12" s="221"/>
      <c r="W12" s="221"/>
      <c r="X12" s="221"/>
      <c r="Y12" s="221"/>
      <c r="Z12" s="221"/>
    </row>
    <row r="13" customFormat="false" ht="13.5" hidden="false" customHeight="true" outlineLevel="0" collapsed="false">
      <c r="A13" s="221"/>
      <c r="B13" s="221"/>
      <c r="C13" s="221"/>
      <c r="D13" s="221"/>
      <c r="E13" s="221"/>
      <c r="F13" s="221"/>
      <c r="G13" s="221"/>
      <c r="H13" s="221"/>
      <c r="I13" s="221"/>
      <c r="J13" s="221"/>
      <c r="K13" s="221"/>
      <c r="L13" s="221"/>
      <c r="M13" s="221"/>
      <c r="N13" s="221"/>
      <c r="O13" s="221"/>
      <c r="P13" s="221"/>
      <c r="Q13" s="221"/>
      <c r="R13" s="221"/>
      <c r="S13" s="221"/>
      <c r="T13" s="221"/>
      <c r="U13" s="221"/>
      <c r="V13" s="221"/>
      <c r="W13" s="221"/>
      <c r="X13" s="221"/>
      <c r="Y13" s="221"/>
      <c r="Z13" s="221"/>
    </row>
    <row r="14" customFormat="false" ht="13.5" hidden="false" customHeight="true" outlineLevel="0" collapsed="false">
      <c r="A14" s="221"/>
      <c r="B14" s="221"/>
      <c r="C14" s="221"/>
      <c r="D14" s="221"/>
      <c r="E14" s="221"/>
      <c r="F14" s="221"/>
      <c r="G14" s="221"/>
      <c r="H14" s="221"/>
      <c r="I14" s="221"/>
      <c r="J14" s="221"/>
      <c r="K14" s="221"/>
      <c r="L14" s="221"/>
      <c r="M14" s="221"/>
      <c r="N14" s="221"/>
      <c r="O14" s="221"/>
      <c r="P14" s="221"/>
      <c r="Q14" s="221"/>
      <c r="R14" s="221"/>
      <c r="S14" s="221"/>
      <c r="T14" s="221"/>
      <c r="U14" s="221"/>
      <c r="V14" s="221"/>
      <c r="W14" s="221"/>
      <c r="X14" s="221"/>
      <c r="Y14" s="221"/>
      <c r="Z14" s="221"/>
    </row>
    <row r="15" customFormat="false" ht="13.5" hidden="false" customHeight="true" outlineLevel="0" collapsed="false">
      <c r="A15" s="221"/>
      <c r="B15" s="221"/>
      <c r="C15" s="221"/>
      <c r="D15" s="221"/>
      <c r="E15" s="221"/>
      <c r="F15" s="221"/>
      <c r="G15" s="221"/>
      <c r="H15" s="221"/>
      <c r="I15" s="221"/>
      <c r="J15" s="221"/>
      <c r="K15" s="221"/>
      <c r="L15" s="221"/>
      <c r="M15" s="221"/>
      <c r="N15" s="221"/>
      <c r="O15" s="221"/>
      <c r="P15" s="221"/>
      <c r="Q15" s="221"/>
      <c r="R15" s="221"/>
      <c r="S15" s="221"/>
      <c r="T15" s="221"/>
      <c r="U15" s="221"/>
      <c r="V15" s="221"/>
      <c r="W15" s="221"/>
      <c r="X15" s="221"/>
      <c r="Y15" s="221"/>
      <c r="Z15" s="221"/>
    </row>
    <row r="16" customFormat="false" ht="13.5" hidden="false" customHeight="true" outlineLevel="0" collapsed="false">
      <c r="A16" s="221"/>
      <c r="B16" s="221"/>
      <c r="C16" s="221"/>
      <c r="D16" s="221"/>
      <c r="E16" s="221"/>
      <c r="F16" s="221"/>
      <c r="G16" s="221"/>
      <c r="H16" s="221"/>
      <c r="I16" s="221"/>
      <c r="J16" s="221"/>
      <c r="K16" s="221"/>
      <c r="L16" s="221"/>
      <c r="M16" s="221"/>
      <c r="N16" s="221"/>
      <c r="O16" s="221"/>
      <c r="P16" s="221"/>
      <c r="Q16" s="221"/>
      <c r="R16" s="221"/>
      <c r="S16" s="221"/>
      <c r="T16" s="221"/>
      <c r="U16" s="221"/>
      <c r="V16" s="221"/>
      <c r="W16" s="221"/>
      <c r="X16" s="221"/>
      <c r="Y16" s="221"/>
      <c r="Z16" s="221"/>
    </row>
    <row r="17" customFormat="false" ht="13.5" hidden="false" customHeight="true" outlineLevel="0" collapsed="false">
      <c r="A17" s="221"/>
      <c r="B17" s="221"/>
      <c r="C17" s="221"/>
      <c r="D17" s="221"/>
      <c r="E17" s="221"/>
      <c r="F17" s="221"/>
      <c r="G17" s="221"/>
      <c r="H17" s="221"/>
      <c r="I17" s="221"/>
      <c r="J17" s="221"/>
      <c r="K17" s="221"/>
      <c r="L17" s="221"/>
      <c r="M17" s="221"/>
      <c r="N17" s="221"/>
      <c r="O17" s="221"/>
      <c r="P17" s="221"/>
      <c r="Q17" s="221"/>
      <c r="R17" s="221"/>
      <c r="S17" s="221"/>
      <c r="T17" s="221"/>
      <c r="U17" s="221"/>
      <c r="V17" s="221"/>
      <c r="W17" s="221"/>
      <c r="X17" s="221"/>
      <c r="Y17" s="221"/>
      <c r="Z17" s="221"/>
    </row>
    <row r="18" customFormat="false" ht="13.5" hidden="false" customHeight="true" outlineLevel="0" collapsed="false">
      <c r="A18" s="221"/>
      <c r="B18" s="221"/>
      <c r="C18" s="221"/>
      <c r="D18" s="221"/>
      <c r="E18" s="221"/>
      <c r="F18" s="221"/>
      <c r="G18" s="221"/>
      <c r="H18" s="221"/>
      <c r="I18" s="221"/>
      <c r="J18" s="221"/>
      <c r="K18" s="221"/>
      <c r="L18" s="221"/>
      <c r="M18" s="221"/>
      <c r="N18" s="221"/>
      <c r="O18" s="221"/>
      <c r="P18" s="221"/>
      <c r="Q18" s="221"/>
      <c r="R18" s="221"/>
      <c r="S18" s="221"/>
      <c r="T18" s="221"/>
      <c r="U18" s="221"/>
      <c r="V18" s="221"/>
      <c r="W18" s="221"/>
      <c r="X18" s="221"/>
      <c r="Y18" s="221"/>
      <c r="Z18" s="221"/>
    </row>
    <row r="19" customFormat="false" ht="13.5" hidden="false" customHeight="true" outlineLevel="0" collapsed="false">
      <c r="A19" s="221"/>
      <c r="B19" s="221"/>
      <c r="C19" s="221"/>
      <c r="D19" s="221"/>
      <c r="E19" s="221"/>
      <c r="F19" s="221"/>
      <c r="G19" s="221"/>
      <c r="H19" s="221"/>
      <c r="I19" s="221"/>
      <c r="J19" s="221"/>
      <c r="K19" s="221"/>
      <c r="L19" s="221"/>
      <c r="M19" s="221"/>
      <c r="N19" s="221"/>
      <c r="O19" s="221"/>
      <c r="P19" s="221"/>
      <c r="Q19" s="221"/>
      <c r="R19" s="221"/>
      <c r="S19" s="221"/>
      <c r="T19" s="221"/>
      <c r="U19" s="221"/>
      <c r="V19" s="221"/>
      <c r="W19" s="221"/>
      <c r="X19" s="221"/>
      <c r="Y19" s="221"/>
      <c r="Z19" s="221"/>
    </row>
    <row r="20" customFormat="false" ht="13.5" hidden="false" customHeight="true" outlineLevel="0" collapsed="false">
      <c r="A20" s="221"/>
      <c r="B20" s="221"/>
      <c r="C20" s="221"/>
      <c r="D20" s="221"/>
      <c r="E20" s="221"/>
      <c r="F20" s="221"/>
      <c r="G20" s="221"/>
      <c r="H20" s="221"/>
      <c r="I20" s="221"/>
      <c r="J20" s="221"/>
      <c r="K20" s="221"/>
      <c r="L20" s="221"/>
      <c r="M20" s="221"/>
      <c r="N20" s="221"/>
      <c r="O20" s="221"/>
      <c r="P20" s="221"/>
      <c r="Q20" s="221"/>
      <c r="R20" s="221"/>
      <c r="S20" s="221"/>
      <c r="T20" s="221"/>
      <c r="U20" s="221"/>
      <c r="V20" s="221"/>
      <c r="W20" s="221"/>
      <c r="X20" s="221"/>
      <c r="Y20" s="221"/>
      <c r="Z20" s="221"/>
    </row>
    <row r="21" customFormat="false" ht="13.5" hidden="false" customHeight="true" outlineLevel="0" collapsed="false">
      <c r="A21" s="221"/>
      <c r="B21" s="221"/>
      <c r="C21" s="221"/>
      <c r="D21" s="221"/>
      <c r="E21" s="221"/>
      <c r="F21" s="221"/>
      <c r="G21" s="221"/>
      <c r="H21" s="221"/>
      <c r="I21" s="221"/>
      <c r="J21" s="221"/>
      <c r="K21" s="221"/>
      <c r="L21" s="221"/>
      <c r="M21" s="221"/>
      <c r="N21" s="221"/>
      <c r="O21" s="221"/>
      <c r="P21" s="221"/>
      <c r="Q21" s="221"/>
      <c r="R21" s="221"/>
      <c r="S21" s="221"/>
      <c r="T21" s="221"/>
      <c r="U21" s="221"/>
      <c r="V21" s="221"/>
      <c r="W21" s="221"/>
      <c r="X21" s="221"/>
      <c r="Y21" s="221"/>
      <c r="Z21" s="221"/>
    </row>
    <row r="22" customFormat="false" ht="13.5" hidden="false" customHeight="true" outlineLevel="0" collapsed="false">
      <c r="A22" s="221"/>
      <c r="B22" s="221"/>
      <c r="C22" s="221"/>
      <c r="D22" s="221"/>
      <c r="E22" s="221"/>
      <c r="F22" s="221"/>
      <c r="G22" s="221"/>
      <c r="H22" s="221"/>
      <c r="I22" s="221"/>
      <c r="J22" s="221"/>
      <c r="K22" s="221"/>
      <c r="L22" s="221"/>
      <c r="M22" s="221"/>
      <c r="N22" s="221"/>
      <c r="O22" s="221"/>
      <c r="P22" s="221"/>
      <c r="Q22" s="221"/>
      <c r="R22" s="221"/>
      <c r="S22" s="221"/>
      <c r="T22" s="221"/>
      <c r="U22" s="221"/>
      <c r="V22" s="221"/>
      <c r="W22" s="221"/>
      <c r="X22" s="221"/>
      <c r="Y22" s="221"/>
      <c r="Z22" s="221"/>
    </row>
    <row r="23" customFormat="false" ht="13.5" hidden="false" customHeight="true" outlineLevel="0" collapsed="false">
      <c r="A23" s="221"/>
      <c r="B23" s="221"/>
      <c r="C23" s="221"/>
      <c r="D23" s="221"/>
      <c r="E23" s="221"/>
      <c r="F23" s="221"/>
      <c r="G23" s="221"/>
      <c r="H23" s="221"/>
      <c r="I23" s="221"/>
      <c r="J23" s="221"/>
      <c r="K23" s="221"/>
      <c r="L23" s="221"/>
      <c r="M23" s="221"/>
      <c r="N23" s="221"/>
      <c r="O23" s="221"/>
      <c r="P23" s="221"/>
      <c r="Q23" s="221"/>
      <c r="R23" s="221"/>
      <c r="S23" s="221"/>
      <c r="T23" s="221"/>
      <c r="U23" s="221"/>
      <c r="V23" s="221"/>
      <c r="W23" s="221"/>
      <c r="X23" s="221"/>
      <c r="Y23" s="221"/>
      <c r="Z23" s="221"/>
    </row>
    <row r="24" customFormat="false" ht="13.5" hidden="false" customHeight="true" outlineLevel="0" collapsed="false">
      <c r="A24" s="221"/>
      <c r="B24" s="221"/>
      <c r="C24" s="221"/>
      <c r="D24" s="221"/>
      <c r="E24" s="221"/>
      <c r="F24" s="221"/>
      <c r="G24" s="221"/>
      <c r="H24" s="221"/>
      <c r="I24" s="221"/>
      <c r="J24" s="221"/>
      <c r="K24" s="221"/>
      <c r="L24" s="221"/>
      <c r="M24" s="221"/>
      <c r="N24" s="221"/>
      <c r="O24" s="221"/>
      <c r="P24" s="221"/>
      <c r="Q24" s="221"/>
      <c r="R24" s="221"/>
      <c r="S24" s="221"/>
      <c r="T24" s="221"/>
      <c r="U24" s="221"/>
      <c r="V24" s="221"/>
      <c r="W24" s="221"/>
      <c r="X24" s="221"/>
      <c r="Y24" s="221"/>
      <c r="Z24" s="221"/>
    </row>
    <row r="25" customFormat="false" ht="13.5" hidden="false" customHeight="true" outlineLevel="0" collapsed="false">
      <c r="A25" s="221"/>
      <c r="B25" s="221"/>
      <c r="C25" s="221"/>
      <c r="D25" s="221"/>
      <c r="E25" s="221"/>
      <c r="F25" s="221"/>
      <c r="G25" s="221"/>
      <c r="H25" s="221"/>
      <c r="I25" s="221"/>
      <c r="J25" s="221"/>
      <c r="K25" s="221"/>
      <c r="L25" s="221"/>
      <c r="M25" s="221"/>
      <c r="N25" s="221"/>
      <c r="O25" s="221"/>
      <c r="P25" s="221"/>
      <c r="Q25" s="221"/>
      <c r="R25" s="221"/>
      <c r="S25" s="221"/>
      <c r="T25" s="221"/>
      <c r="U25" s="221"/>
      <c r="V25" s="221"/>
      <c r="W25" s="221"/>
      <c r="X25" s="221"/>
      <c r="Y25" s="221"/>
      <c r="Z25" s="221"/>
    </row>
    <row r="26" customFormat="false" ht="13.5" hidden="false" customHeight="true" outlineLevel="0" collapsed="false">
      <c r="A26" s="221"/>
      <c r="B26" s="221"/>
      <c r="C26" s="221"/>
      <c r="D26" s="221"/>
      <c r="E26" s="221"/>
      <c r="F26" s="221"/>
      <c r="G26" s="221"/>
      <c r="H26" s="221"/>
      <c r="I26" s="221"/>
      <c r="J26" s="221"/>
      <c r="K26" s="221"/>
      <c r="L26" s="221"/>
      <c r="M26" s="221"/>
      <c r="N26" s="221"/>
      <c r="O26" s="221"/>
      <c r="P26" s="221"/>
      <c r="Q26" s="221"/>
      <c r="R26" s="221"/>
      <c r="S26" s="221"/>
      <c r="T26" s="221"/>
      <c r="U26" s="221"/>
      <c r="V26" s="221"/>
      <c r="W26" s="221"/>
      <c r="X26" s="221"/>
      <c r="Y26" s="221"/>
      <c r="Z26" s="221"/>
    </row>
    <row r="27" customFormat="false" ht="13.5" hidden="false" customHeight="true" outlineLevel="0" collapsed="false">
      <c r="A27" s="221"/>
      <c r="B27" s="221"/>
      <c r="C27" s="221"/>
      <c r="D27" s="221"/>
      <c r="E27" s="221"/>
      <c r="F27" s="221"/>
      <c r="G27" s="221"/>
      <c r="H27" s="221"/>
      <c r="I27" s="221"/>
      <c r="J27" s="221"/>
      <c r="K27" s="221"/>
      <c r="L27" s="221"/>
      <c r="M27" s="221"/>
      <c r="N27" s="221"/>
      <c r="O27" s="221"/>
      <c r="P27" s="221"/>
      <c r="Q27" s="221"/>
      <c r="R27" s="221"/>
      <c r="S27" s="221"/>
      <c r="T27" s="221"/>
      <c r="U27" s="221"/>
      <c r="V27" s="221"/>
      <c r="W27" s="221"/>
      <c r="X27" s="221"/>
      <c r="Y27" s="221"/>
      <c r="Z27" s="221"/>
    </row>
    <row r="28" customFormat="false" ht="13.5" hidden="false" customHeight="true" outlineLevel="0" collapsed="false">
      <c r="A28" s="221"/>
      <c r="B28" s="221"/>
      <c r="C28" s="221"/>
      <c r="D28" s="221"/>
      <c r="E28" s="221"/>
      <c r="F28" s="221"/>
      <c r="G28" s="221"/>
      <c r="H28" s="221"/>
      <c r="I28" s="221"/>
      <c r="J28" s="221"/>
      <c r="K28" s="221"/>
      <c r="L28" s="221"/>
      <c r="M28" s="221"/>
      <c r="N28" s="221"/>
      <c r="O28" s="221"/>
      <c r="P28" s="221"/>
      <c r="Q28" s="221"/>
      <c r="R28" s="221"/>
      <c r="S28" s="221"/>
      <c r="T28" s="221"/>
      <c r="U28" s="221"/>
      <c r="V28" s="221"/>
      <c r="W28" s="221"/>
      <c r="X28" s="221"/>
      <c r="Y28" s="221"/>
      <c r="Z28" s="221"/>
    </row>
    <row r="29" customFormat="false" ht="13.5" hidden="false" customHeight="true" outlineLevel="0" collapsed="false">
      <c r="A29" s="221"/>
      <c r="B29" s="221"/>
      <c r="C29" s="221"/>
      <c r="D29" s="221"/>
      <c r="E29" s="221"/>
      <c r="F29" s="221"/>
      <c r="G29" s="221"/>
      <c r="H29" s="221"/>
      <c r="I29" s="221"/>
      <c r="J29" s="221"/>
      <c r="K29" s="221"/>
      <c r="L29" s="221"/>
      <c r="M29" s="221"/>
      <c r="N29" s="221"/>
      <c r="O29" s="221"/>
      <c r="P29" s="221"/>
      <c r="Q29" s="221"/>
      <c r="R29" s="221"/>
      <c r="S29" s="221"/>
      <c r="T29" s="221"/>
      <c r="U29" s="221"/>
      <c r="V29" s="221"/>
      <c r="W29" s="221"/>
      <c r="X29" s="221"/>
      <c r="Y29" s="221"/>
      <c r="Z29" s="221"/>
    </row>
    <row r="30" customFormat="false" ht="13.5" hidden="false" customHeight="true" outlineLevel="0" collapsed="false">
      <c r="A30" s="221"/>
      <c r="B30" s="221"/>
      <c r="C30" s="221"/>
      <c r="D30" s="221"/>
      <c r="E30" s="221"/>
      <c r="F30" s="221"/>
      <c r="G30" s="221"/>
      <c r="H30" s="221"/>
      <c r="I30" s="221"/>
      <c r="J30" s="221"/>
      <c r="K30" s="221"/>
      <c r="L30" s="221"/>
      <c r="M30" s="221"/>
      <c r="N30" s="221"/>
      <c r="O30" s="221"/>
      <c r="P30" s="221"/>
      <c r="Q30" s="221"/>
      <c r="R30" s="221"/>
      <c r="S30" s="221"/>
      <c r="T30" s="221"/>
      <c r="U30" s="221"/>
      <c r="V30" s="221"/>
      <c r="W30" s="221"/>
      <c r="X30" s="221"/>
      <c r="Y30" s="221"/>
      <c r="Z30" s="221"/>
    </row>
    <row r="31" customFormat="false" ht="13.5" hidden="false" customHeight="true" outlineLevel="0" collapsed="false">
      <c r="A31" s="221"/>
      <c r="B31" s="221"/>
      <c r="C31" s="221"/>
      <c r="D31" s="221"/>
      <c r="E31" s="221"/>
      <c r="F31" s="221"/>
      <c r="G31" s="221"/>
      <c r="H31" s="221"/>
      <c r="I31" s="221"/>
      <c r="J31" s="221"/>
      <c r="K31" s="221"/>
      <c r="L31" s="221"/>
      <c r="M31" s="221"/>
      <c r="N31" s="221"/>
      <c r="O31" s="221"/>
      <c r="P31" s="221"/>
      <c r="Q31" s="221"/>
      <c r="R31" s="221"/>
      <c r="S31" s="221"/>
      <c r="T31" s="221"/>
      <c r="U31" s="221"/>
      <c r="V31" s="221"/>
      <c r="W31" s="221"/>
      <c r="X31" s="221"/>
      <c r="Y31" s="221"/>
      <c r="Z31" s="221"/>
    </row>
    <row r="32" customFormat="false" ht="13.5" hidden="false" customHeight="true" outlineLevel="0" collapsed="false">
      <c r="A32" s="221"/>
      <c r="B32" s="221"/>
      <c r="C32" s="221"/>
      <c r="D32" s="221"/>
      <c r="E32" s="221"/>
      <c r="F32" s="221"/>
      <c r="G32" s="221"/>
      <c r="H32" s="221"/>
      <c r="I32" s="221"/>
      <c r="J32" s="221"/>
      <c r="K32" s="221"/>
      <c r="L32" s="221"/>
      <c r="M32" s="221"/>
      <c r="N32" s="221"/>
      <c r="O32" s="221"/>
      <c r="P32" s="221"/>
      <c r="Q32" s="221"/>
      <c r="R32" s="221"/>
      <c r="S32" s="221"/>
      <c r="T32" s="221"/>
      <c r="U32" s="221"/>
      <c r="V32" s="221"/>
      <c r="W32" s="221"/>
      <c r="X32" s="221"/>
      <c r="Y32" s="221"/>
      <c r="Z32" s="221"/>
    </row>
    <row r="33" customFormat="false" ht="13.5" hidden="false" customHeight="true" outlineLevel="0" collapsed="false">
      <c r="A33" s="221"/>
      <c r="B33" s="221"/>
      <c r="C33" s="221"/>
      <c r="D33" s="221"/>
      <c r="E33" s="221"/>
      <c r="F33" s="221"/>
      <c r="G33" s="221"/>
      <c r="H33" s="221"/>
      <c r="I33" s="221"/>
      <c r="J33" s="221"/>
      <c r="K33" s="221"/>
      <c r="L33" s="221"/>
      <c r="M33" s="221"/>
      <c r="N33" s="221"/>
      <c r="O33" s="221"/>
      <c r="P33" s="221"/>
      <c r="Q33" s="221"/>
      <c r="R33" s="221"/>
      <c r="S33" s="221"/>
      <c r="T33" s="221"/>
      <c r="U33" s="221"/>
      <c r="V33" s="221"/>
      <c r="W33" s="221"/>
      <c r="X33" s="221"/>
      <c r="Y33" s="221"/>
      <c r="Z33" s="221"/>
    </row>
    <row r="34" customFormat="false" ht="13.5" hidden="false" customHeight="true" outlineLevel="0" collapsed="false">
      <c r="A34" s="221"/>
      <c r="B34" s="221"/>
      <c r="C34" s="221"/>
      <c r="D34" s="221"/>
      <c r="E34" s="221"/>
      <c r="F34" s="221"/>
      <c r="G34" s="221"/>
      <c r="H34" s="221"/>
      <c r="I34" s="221"/>
      <c r="J34" s="221"/>
      <c r="K34" s="221"/>
      <c r="L34" s="221"/>
      <c r="M34" s="221"/>
      <c r="N34" s="221"/>
      <c r="O34" s="221"/>
      <c r="P34" s="221"/>
      <c r="Q34" s="221"/>
      <c r="R34" s="221"/>
      <c r="S34" s="221"/>
      <c r="T34" s="221"/>
      <c r="U34" s="221"/>
      <c r="V34" s="221"/>
      <c r="W34" s="221"/>
      <c r="X34" s="221"/>
      <c r="Y34" s="221"/>
      <c r="Z34" s="221"/>
    </row>
    <row r="35" customFormat="false" ht="13.5" hidden="false" customHeight="true" outlineLevel="0" collapsed="false">
      <c r="A35" s="221"/>
      <c r="B35" s="221"/>
      <c r="C35" s="221"/>
      <c r="D35" s="221"/>
      <c r="E35" s="221"/>
      <c r="F35" s="221"/>
      <c r="G35" s="221"/>
      <c r="H35" s="221"/>
      <c r="I35" s="221"/>
      <c r="J35" s="221"/>
      <c r="K35" s="221"/>
      <c r="L35" s="221"/>
      <c r="M35" s="221"/>
      <c r="N35" s="221"/>
      <c r="O35" s="221"/>
      <c r="P35" s="221"/>
      <c r="Q35" s="221"/>
      <c r="R35" s="221"/>
      <c r="S35" s="221"/>
      <c r="T35" s="221"/>
      <c r="U35" s="221"/>
      <c r="V35" s="221"/>
      <c r="W35" s="221"/>
      <c r="X35" s="221"/>
      <c r="Y35" s="221"/>
      <c r="Z35" s="221"/>
    </row>
    <row r="36" customFormat="false" ht="13.5" hidden="false" customHeight="true" outlineLevel="0" collapsed="false">
      <c r="A36" s="221"/>
      <c r="B36" s="221"/>
      <c r="C36" s="221"/>
      <c r="D36" s="221"/>
      <c r="E36" s="221"/>
      <c r="F36" s="221"/>
      <c r="G36" s="221"/>
      <c r="H36" s="221"/>
      <c r="I36" s="221"/>
      <c r="J36" s="221"/>
      <c r="K36" s="221"/>
      <c r="L36" s="221"/>
      <c r="M36" s="221"/>
      <c r="N36" s="221"/>
      <c r="O36" s="221"/>
      <c r="P36" s="221"/>
      <c r="Q36" s="221"/>
      <c r="R36" s="221"/>
      <c r="S36" s="221"/>
      <c r="T36" s="221"/>
      <c r="U36" s="221"/>
      <c r="V36" s="221"/>
      <c r="W36" s="221"/>
      <c r="X36" s="221"/>
      <c r="Y36" s="221"/>
      <c r="Z36" s="221"/>
    </row>
    <row r="37" customFormat="false" ht="13.5" hidden="false" customHeight="true" outlineLevel="0" collapsed="false">
      <c r="A37" s="221"/>
      <c r="B37" s="221"/>
      <c r="C37" s="221"/>
      <c r="D37" s="221"/>
      <c r="E37" s="221"/>
      <c r="F37" s="221"/>
      <c r="G37" s="221"/>
      <c r="H37" s="221"/>
      <c r="I37" s="221"/>
      <c r="J37" s="221"/>
      <c r="K37" s="221"/>
      <c r="L37" s="221"/>
      <c r="M37" s="221"/>
      <c r="N37" s="221"/>
      <c r="O37" s="221"/>
      <c r="P37" s="221"/>
      <c r="Q37" s="221"/>
      <c r="R37" s="221"/>
      <c r="S37" s="221"/>
      <c r="T37" s="221"/>
      <c r="U37" s="221"/>
      <c r="V37" s="221"/>
      <c r="W37" s="221"/>
      <c r="X37" s="221"/>
      <c r="Y37" s="221"/>
      <c r="Z37" s="221"/>
    </row>
    <row r="38" customFormat="false" ht="13.5" hidden="false" customHeight="true" outlineLevel="0" collapsed="false">
      <c r="A38" s="221"/>
      <c r="B38" s="221"/>
      <c r="C38" s="221"/>
      <c r="D38" s="221"/>
      <c r="E38" s="221"/>
      <c r="F38" s="221"/>
      <c r="G38" s="221"/>
      <c r="H38" s="221"/>
      <c r="I38" s="221"/>
      <c r="J38" s="221"/>
      <c r="K38" s="221"/>
      <c r="L38" s="221"/>
      <c r="M38" s="221"/>
      <c r="N38" s="221"/>
      <c r="O38" s="221"/>
      <c r="P38" s="221"/>
      <c r="Q38" s="221"/>
      <c r="R38" s="221"/>
      <c r="S38" s="221"/>
      <c r="T38" s="221"/>
      <c r="U38" s="221"/>
      <c r="V38" s="221"/>
      <c r="W38" s="221"/>
      <c r="X38" s="221"/>
      <c r="Y38" s="221"/>
      <c r="Z38" s="221"/>
    </row>
    <row r="39" customFormat="false" ht="13.5" hidden="false" customHeight="true" outlineLevel="0" collapsed="false">
      <c r="A39" s="221"/>
      <c r="B39" s="221"/>
      <c r="C39" s="221"/>
      <c r="D39" s="221"/>
      <c r="E39" s="221"/>
      <c r="F39" s="221"/>
      <c r="G39" s="221"/>
      <c r="H39" s="221"/>
      <c r="I39" s="221"/>
      <c r="J39" s="221"/>
      <c r="K39" s="221"/>
      <c r="L39" s="221"/>
      <c r="M39" s="221"/>
      <c r="N39" s="221"/>
      <c r="O39" s="221"/>
      <c r="P39" s="221"/>
      <c r="Q39" s="221"/>
      <c r="R39" s="221"/>
      <c r="S39" s="221"/>
      <c r="T39" s="221"/>
      <c r="U39" s="221"/>
      <c r="V39" s="221"/>
      <c r="W39" s="221"/>
      <c r="X39" s="221"/>
      <c r="Y39" s="221"/>
      <c r="Z39" s="221"/>
    </row>
    <row r="40" customFormat="false" ht="13.5" hidden="false" customHeight="true" outlineLevel="0" collapsed="false">
      <c r="A40" s="221"/>
      <c r="B40" s="221"/>
      <c r="C40" s="221"/>
      <c r="D40" s="221"/>
      <c r="E40" s="221"/>
      <c r="F40" s="221"/>
      <c r="G40" s="221"/>
      <c r="H40" s="221"/>
      <c r="I40" s="221"/>
      <c r="J40" s="221"/>
      <c r="K40" s="221"/>
      <c r="L40" s="221"/>
      <c r="M40" s="221"/>
      <c r="N40" s="221"/>
      <c r="O40" s="221"/>
      <c r="P40" s="221"/>
      <c r="Q40" s="221"/>
      <c r="R40" s="221"/>
      <c r="S40" s="221"/>
      <c r="T40" s="221"/>
      <c r="U40" s="221"/>
      <c r="V40" s="221"/>
      <c r="W40" s="221"/>
      <c r="X40" s="221"/>
      <c r="Y40" s="221"/>
      <c r="Z40" s="221"/>
    </row>
    <row r="41" customFormat="false" ht="13.5" hidden="false" customHeight="true" outlineLevel="0" collapsed="false">
      <c r="A41" s="221"/>
      <c r="B41" s="221"/>
      <c r="C41" s="221"/>
      <c r="D41" s="221"/>
      <c r="E41" s="221"/>
      <c r="F41" s="221"/>
      <c r="G41" s="221"/>
      <c r="H41" s="221"/>
      <c r="I41" s="221"/>
      <c r="J41" s="221"/>
      <c r="K41" s="221"/>
      <c r="L41" s="221"/>
      <c r="M41" s="221"/>
      <c r="N41" s="221"/>
      <c r="O41" s="221"/>
      <c r="P41" s="221"/>
      <c r="Q41" s="221"/>
      <c r="R41" s="221"/>
      <c r="S41" s="221"/>
      <c r="T41" s="221"/>
      <c r="U41" s="221"/>
      <c r="V41" s="221"/>
      <c r="W41" s="221"/>
      <c r="X41" s="221"/>
      <c r="Y41" s="221"/>
      <c r="Z41" s="221"/>
    </row>
    <row r="42" customFormat="false" ht="13.5" hidden="false" customHeight="true" outlineLevel="0" collapsed="false">
      <c r="A42" s="221"/>
      <c r="B42" s="221"/>
      <c r="C42" s="221"/>
      <c r="D42" s="221"/>
      <c r="E42" s="221"/>
      <c r="F42" s="221"/>
      <c r="G42" s="221"/>
      <c r="H42" s="221"/>
      <c r="I42" s="221"/>
      <c r="J42" s="221"/>
      <c r="K42" s="221"/>
      <c r="L42" s="221"/>
      <c r="M42" s="221"/>
      <c r="N42" s="221"/>
      <c r="O42" s="221"/>
      <c r="P42" s="221"/>
      <c r="Q42" s="221"/>
      <c r="R42" s="221"/>
      <c r="S42" s="221"/>
      <c r="T42" s="221"/>
      <c r="U42" s="221"/>
      <c r="V42" s="221"/>
      <c r="W42" s="221"/>
      <c r="X42" s="221"/>
      <c r="Y42" s="221"/>
      <c r="Z42" s="221"/>
    </row>
    <row r="43" customFormat="false" ht="13.5" hidden="false" customHeight="true" outlineLevel="0" collapsed="false">
      <c r="A43" s="221"/>
      <c r="B43" s="221"/>
      <c r="C43" s="221"/>
      <c r="D43" s="221"/>
      <c r="E43" s="221"/>
      <c r="F43" s="221"/>
      <c r="G43" s="221"/>
      <c r="H43" s="221"/>
      <c r="I43" s="221"/>
      <c r="J43" s="221"/>
      <c r="K43" s="221"/>
      <c r="L43" s="221"/>
      <c r="M43" s="221"/>
      <c r="N43" s="221"/>
      <c r="O43" s="221"/>
      <c r="P43" s="221"/>
      <c r="Q43" s="221"/>
      <c r="R43" s="221"/>
      <c r="S43" s="221"/>
      <c r="T43" s="221"/>
      <c r="U43" s="221"/>
      <c r="V43" s="221"/>
      <c r="W43" s="221"/>
      <c r="X43" s="221"/>
      <c r="Y43" s="221"/>
      <c r="Z43" s="221"/>
    </row>
    <row r="44" customFormat="false" ht="13.5" hidden="false" customHeight="true" outlineLevel="0" collapsed="false">
      <c r="A44" s="221"/>
      <c r="B44" s="221"/>
      <c r="C44" s="221"/>
      <c r="D44" s="221"/>
      <c r="E44" s="221"/>
      <c r="F44" s="221"/>
      <c r="G44" s="221"/>
      <c r="H44" s="221"/>
      <c r="I44" s="221"/>
      <c r="J44" s="221"/>
      <c r="K44" s="221"/>
      <c r="L44" s="221"/>
      <c r="M44" s="221"/>
      <c r="N44" s="221"/>
      <c r="O44" s="221"/>
      <c r="P44" s="221"/>
      <c r="Q44" s="221"/>
      <c r="R44" s="221"/>
      <c r="S44" s="221"/>
      <c r="T44" s="221"/>
      <c r="U44" s="221"/>
      <c r="V44" s="221"/>
      <c r="W44" s="221"/>
      <c r="X44" s="221"/>
      <c r="Y44" s="221"/>
      <c r="Z44" s="221"/>
    </row>
    <row r="45" customFormat="false" ht="13.5" hidden="false" customHeight="true" outlineLevel="0" collapsed="false">
      <c r="A45" s="221"/>
      <c r="B45" s="221"/>
      <c r="C45" s="221"/>
      <c r="D45" s="221"/>
      <c r="E45" s="221"/>
      <c r="F45" s="221"/>
      <c r="G45" s="221"/>
      <c r="H45" s="221"/>
      <c r="I45" s="221"/>
      <c r="J45" s="221"/>
      <c r="K45" s="221"/>
      <c r="L45" s="221"/>
      <c r="M45" s="221"/>
      <c r="N45" s="221"/>
      <c r="O45" s="221"/>
      <c r="P45" s="221"/>
      <c r="Q45" s="221"/>
      <c r="R45" s="221"/>
      <c r="S45" s="221"/>
      <c r="T45" s="221"/>
      <c r="U45" s="221"/>
      <c r="V45" s="221"/>
      <c r="W45" s="221"/>
      <c r="X45" s="221"/>
      <c r="Y45" s="221"/>
      <c r="Z45" s="221"/>
    </row>
    <row r="46" customFormat="false" ht="13.5" hidden="false" customHeight="true" outlineLevel="0" collapsed="false">
      <c r="A46" s="221"/>
      <c r="B46" s="221"/>
      <c r="C46" s="221"/>
      <c r="D46" s="221"/>
      <c r="E46" s="221"/>
      <c r="F46" s="221"/>
      <c r="G46" s="221"/>
      <c r="H46" s="221"/>
      <c r="I46" s="221"/>
      <c r="J46" s="221"/>
      <c r="K46" s="221"/>
      <c r="L46" s="221"/>
      <c r="M46" s="221"/>
      <c r="N46" s="221"/>
      <c r="O46" s="221"/>
      <c r="P46" s="221"/>
      <c r="Q46" s="221"/>
      <c r="R46" s="221"/>
      <c r="S46" s="221"/>
      <c r="T46" s="221"/>
      <c r="U46" s="221"/>
      <c r="V46" s="221"/>
      <c r="W46" s="221"/>
      <c r="X46" s="221"/>
      <c r="Y46" s="221"/>
      <c r="Z46" s="221"/>
    </row>
    <row r="47" customFormat="false" ht="13.5" hidden="false" customHeight="true" outlineLevel="0" collapsed="false">
      <c r="A47" s="221"/>
      <c r="B47" s="221"/>
      <c r="C47" s="221"/>
      <c r="D47" s="221"/>
      <c r="E47" s="221"/>
      <c r="F47" s="221"/>
      <c r="G47" s="221"/>
      <c r="H47" s="221"/>
      <c r="I47" s="221"/>
      <c r="J47" s="221"/>
      <c r="K47" s="221"/>
      <c r="L47" s="221"/>
      <c r="M47" s="221"/>
      <c r="N47" s="221"/>
      <c r="O47" s="221"/>
      <c r="P47" s="221"/>
      <c r="Q47" s="221"/>
      <c r="R47" s="221"/>
      <c r="S47" s="221"/>
      <c r="T47" s="221"/>
      <c r="U47" s="221"/>
      <c r="V47" s="221"/>
      <c r="W47" s="221"/>
      <c r="X47" s="221"/>
      <c r="Y47" s="221"/>
      <c r="Z47" s="221"/>
    </row>
    <row r="48" customFormat="false" ht="13.5" hidden="false" customHeight="true" outlineLevel="0" collapsed="false">
      <c r="A48" s="221"/>
      <c r="B48" s="221"/>
      <c r="C48" s="221"/>
      <c r="D48" s="221"/>
      <c r="E48" s="221"/>
      <c r="F48" s="221"/>
      <c r="G48" s="221"/>
      <c r="H48" s="221"/>
      <c r="I48" s="221"/>
      <c r="J48" s="221"/>
      <c r="K48" s="221"/>
      <c r="L48" s="221"/>
      <c r="M48" s="221"/>
      <c r="N48" s="221"/>
      <c r="O48" s="221"/>
      <c r="P48" s="221"/>
      <c r="Q48" s="221"/>
      <c r="R48" s="221"/>
      <c r="S48" s="221"/>
      <c r="T48" s="221"/>
      <c r="U48" s="221"/>
      <c r="V48" s="221"/>
      <c r="W48" s="221"/>
      <c r="X48" s="221"/>
      <c r="Y48" s="221"/>
      <c r="Z48" s="221"/>
    </row>
    <row r="49" customFormat="false" ht="13.5" hidden="false" customHeight="true" outlineLevel="0" collapsed="false">
      <c r="A49" s="221"/>
      <c r="B49" s="221"/>
      <c r="C49" s="221"/>
      <c r="D49" s="221"/>
      <c r="E49" s="221"/>
      <c r="F49" s="221"/>
      <c r="G49" s="221"/>
      <c r="H49" s="221"/>
      <c r="I49" s="221"/>
      <c r="J49" s="221"/>
      <c r="K49" s="221"/>
      <c r="L49" s="221"/>
      <c r="M49" s="221"/>
      <c r="N49" s="221"/>
      <c r="O49" s="221"/>
      <c r="P49" s="221"/>
      <c r="Q49" s="221"/>
      <c r="R49" s="221"/>
      <c r="S49" s="221"/>
      <c r="T49" s="221"/>
      <c r="U49" s="221"/>
      <c r="V49" s="221"/>
      <c r="W49" s="221"/>
      <c r="X49" s="221"/>
      <c r="Y49" s="221"/>
      <c r="Z49" s="221"/>
    </row>
    <row r="50" customFormat="false" ht="13.5" hidden="false" customHeight="true" outlineLevel="0" collapsed="false">
      <c r="A50" s="221"/>
      <c r="B50" s="221"/>
      <c r="C50" s="221"/>
      <c r="D50" s="221"/>
      <c r="E50" s="221"/>
      <c r="F50" s="221"/>
      <c r="G50" s="221"/>
      <c r="H50" s="221"/>
      <c r="I50" s="221"/>
      <c r="J50" s="221"/>
      <c r="K50" s="221"/>
      <c r="L50" s="221"/>
      <c r="M50" s="221"/>
      <c r="N50" s="221"/>
      <c r="O50" s="221"/>
      <c r="P50" s="221"/>
      <c r="Q50" s="221"/>
      <c r="R50" s="221"/>
      <c r="S50" s="221"/>
      <c r="T50" s="221"/>
      <c r="U50" s="221"/>
      <c r="V50" s="221"/>
      <c r="W50" s="221"/>
      <c r="X50" s="221"/>
      <c r="Y50" s="221"/>
      <c r="Z50" s="221"/>
    </row>
    <row r="51" customFormat="false" ht="13.5" hidden="false" customHeight="true" outlineLevel="0" collapsed="false">
      <c r="A51" s="221"/>
      <c r="B51" s="221"/>
      <c r="C51" s="221"/>
      <c r="D51" s="221"/>
      <c r="E51" s="221"/>
      <c r="F51" s="221"/>
      <c r="G51" s="221"/>
      <c r="H51" s="221"/>
      <c r="I51" s="221"/>
      <c r="J51" s="221"/>
      <c r="K51" s="221"/>
      <c r="L51" s="221"/>
      <c r="M51" s="221"/>
      <c r="N51" s="221"/>
      <c r="O51" s="221"/>
      <c r="P51" s="221"/>
      <c r="Q51" s="221"/>
      <c r="R51" s="221"/>
      <c r="S51" s="221"/>
      <c r="T51" s="221"/>
      <c r="U51" s="221"/>
      <c r="V51" s="221"/>
      <c r="W51" s="221"/>
      <c r="X51" s="221"/>
      <c r="Y51" s="221"/>
      <c r="Z51" s="221"/>
    </row>
    <row r="52" customFormat="false" ht="13.5" hidden="false" customHeight="true" outlineLevel="0" collapsed="false">
      <c r="A52" s="221"/>
      <c r="B52" s="221"/>
      <c r="C52" s="221"/>
      <c r="D52" s="221"/>
      <c r="E52" s="221"/>
      <c r="F52" s="221"/>
      <c r="G52" s="221"/>
      <c r="H52" s="221"/>
      <c r="I52" s="221"/>
      <c r="J52" s="221"/>
      <c r="K52" s="221"/>
      <c r="L52" s="221"/>
      <c r="M52" s="221"/>
      <c r="N52" s="221"/>
      <c r="O52" s="221"/>
      <c r="P52" s="221"/>
      <c r="Q52" s="221"/>
      <c r="R52" s="221"/>
      <c r="S52" s="221"/>
      <c r="T52" s="221"/>
      <c r="U52" s="221"/>
      <c r="V52" s="221"/>
      <c r="W52" s="221"/>
      <c r="X52" s="221"/>
      <c r="Y52" s="221"/>
      <c r="Z52" s="221"/>
    </row>
    <row r="53" customFormat="false" ht="13.5" hidden="false" customHeight="true" outlineLevel="0" collapsed="false">
      <c r="A53" s="221"/>
      <c r="B53" s="221"/>
      <c r="C53" s="221"/>
      <c r="D53" s="221"/>
      <c r="E53" s="221"/>
      <c r="F53" s="221"/>
      <c r="G53" s="221"/>
      <c r="H53" s="221"/>
      <c r="I53" s="221"/>
      <c r="J53" s="221"/>
      <c r="K53" s="221"/>
      <c r="L53" s="221"/>
      <c r="M53" s="221"/>
      <c r="N53" s="221"/>
      <c r="O53" s="221"/>
      <c r="P53" s="221"/>
      <c r="Q53" s="221"/>
      <c r="R53" s="221"/>
      <c r="S53" s="221"/>
      <c r="T53" s="221"/>
      <c r="U53" s="221"/>
      <c r="V53" s="221"/>
      <c r="W53" s="221"/>
      <c r="X53" s="221"/>
      <c r="Y53" s="221"/>
      <c r="Z53" s="221"/>
    </row>
    <row r="54" customFormat="false" ht="13.5" hidden="false" customHeight="true" outlineLevel="0" collapsed="false">
      <c r="A54" s="221"/>
      <c r="B54" s="221"/>
      <c r="C54" s="221"/>
      <c r="D54" s="221"/>
      <c r="E54" s="221"/>
      <c r="F54" s="221"/>
      <c r="G54" s="221"/>
      <c r="H54" s="221"/>
      <c r="I54" s="221"/>
      <c r="J54" s="221"/>
      <c r="K54" s="221"/>
      <c r="L54" s="221"/>
      <c r="M54" s="221"/>
      <c r="N54" s="221"/>
      <c r="O54" s="221"/>
      <c r="P54" s="221"/>
      <c r="Q54" s="221"/>
      <c r="R54" s="221"/>
      <c r="S54" s="221"/>
      <c r="T54" s="221"/>
      <c r="U54" s="221"/>
      <c r="V54" s="221"/>
      <c r="W54" s="221"/>
      <c r="X54" s="221"/>
      <c r="Y54" s="221"/>
      <c r="Z54" s="221"/>
    </row>
    <row r="55" customFormat="false" ht="13.5" hidden="false" customHeight="true" outlineLevel="0" collapsed="false">
      <c r="A55" s="221"/>
      <c r="B55" s="221"/>
      <c r="C55" s="221"/>
      <c r="D55" s="221"/>
      <c r="E55" s="221"/>
      <c r="F55" s="221"/>
      <c r="G55" s="221"/>
      <c r="H55" s="221"/>
      <c r="I55" s="221"/>
      <c r="J55" s="221"/>
      <c r="K55" s="221"/>
      <c r="L55" s="221"/>
      <c r="M55" s="221"/>
      <c r="N55" s="221"/>
      <c r="O55" s="221"/>
      <c r="P55" s="221"/>
      <c r="Q55" s="221"/>
      <c r="R55" s="221"/>
      <c r="S55" s="221"/>
      <c r="T55" s="221"/>
      <c r="U55" s="221"/>
      <c r="V55" s="221"/>
      <c r="W55" s="221"/>
      <c r="X55" s="221"/>
      <c r="Y55" s="221"/>
      <c r="Z55" s="221"/>
    </row>
    <row r="56" customFormat="false" ht="13.5" hidden="false" customHeight="true" outlineLevel="0" collapsed="false">
      <c r="A56" s="221"/>
      <c r="B56" s="221"/>
      <c r="C56" s="221"/>
      <c r="D56" s="221"/>
      <c r="E56" s="221"/>
      <c r="F56" s="221"/>
      <c r="G56" s="221"/>
      <c r="H56" s="221"/>
      <c r="I56" s="221"/>
      <c r="J56" s="221"/>
      <c r="K56" s="221"/>
      <c r="L56" s="221"/>
      <c r="M56" s="221"/>
      <c r="N56" s="221"/>
      <c r="O56" s="221"/>
      <c r="P56" s="221"/>
      <c r="Q56" s="221"/>
      <c r="R56" s="221"/>
      <c r="S56" s="221"/>
      <c r="T56" s="221"/>
      <c r="U56" s="221"/>
      <c r="V56" s="221"/>
      <c r="W56" s="221"/>
      <c r="X56" s="221"/>
      <c r="Y56" s="221"/>
      <c r="Z56" s="221"/>
    </row>
    <row r="57" customFormat="false" ht="13.5" hidden="false" customHeight="true" outlineLevel="0" collapsed="false">
      <c r="A57" s="221"/>
      <c r="B57" s="221"/>
      <c r="C57" s="221"/>
      <c r="D57" s="221"/>
      <c r="E57" s="221"/>
      <c r="F57" s="221"/>
      <c r="G57" s="221"/>
      <c r="H57" s="221"/>
      <c r="I57" s="221"/>
      <c r="J57" s="221"/>
      <c r="K57" s="221"/>
      <c r="L57" s="221"/>
      <c r="M57" s="221"/>
      <c r="N57" s="221"/>
      <c r="O57" s="221"/>
      <c r="P57" s="221"/>
      <c r="Q57" s="221"/>
      <c r="R57" s="221"/>
      <c r="S57" s="221"/>
      <c r="T57" s="221"/>
      <c r="U57" s="221"/>
      <c r="V57" s="221"/>
      <c r="W57" s="221"/>
      <c r="X57" s="221"/>
      <c r="Y57" s="221"/>
      <c r="Z57" s="221"/>
    </row>
    <row r="58" customFormat="false" ht="13.5" hidden="false" customHeight="true" outlineLevel="0" collapsed="false">
      <c r="A58" s="221"/>
      <c r="B58" s="221"/>
      <c r="C58" s="221"/>
      <c r="D58" s="221"/>
      <c r="E58" s="221"/>
      <c r="F58" s="221"/>
      <c r="G58" s="221"/>
      <c r="H58" s="221"/>
      <c r="I58" s="221"/>
      <c r="J58" s="221"/>
      <c r="K58" s="221"/>
      <c r="L58" s="221"/>
      <c r="M58" s="221"/>
      <c r="N58" s="221"/>
      <c r="O58" s="221"/>
      <c r="P58" s="221"/>
      <c r="Q58" s="221"/>
      <c r="R58" s="221"/>
      <c r="S58" s="221"/>
      <c r="T58" s="221"/>
      <c r="U58" s="221"/>
      <c r="V58" s="221"/>
      <c r="W58" s="221"/>
      <c r="X58" s="221"/>
      <c r="Y58" s="221"/>
      <c r="Z58" s="221"/>
    </row>
    <row r="59" customFormat="false" ht="13.5" hidden="false" customHeight="true" outlineLevel="0" collapsed="false">
      <c r="A59" s="221"/>
      <c r="B59" s="221"/>
      <c r="C59" s="221"/>
      <c r="D59" s="221"/>
      <c r="E59" s="221"/>
      <c r="F59" s="221"/>
      <c r="G59" s="221"/>
      <c r="H59" s="221"/>
      <c r="I59" s="221"/>
      <c r="J59" s="221"/>
      <c r="K59" s="221"/>
      <c r="L59" s="221"/>
      <c r="M59" s="221"/>
      <c r="N59" s="221"/>
      <c r="O59" s="221"/>
      <c r="P59" s="221"/>
      <c r="Q59" s="221"/>
      <c r="R59" s="221"/>
      <c r="S59" s="221"/>
      <c r="T59" s="221"/>
      <c r="U59" s="221"/>
      <c r="V59" s="221"/>
      <c r="W59" s="221"/>
      <c r="X59" s="221"/>
      <c r="Y59" s="221"/>
      <c r="Z59" s="221"/>
    </row>
    <row r="60" customFormat="false" ht="13.5" hidden="false" customHeight="true" outlineLevel="0" collapsed="false">
      <c r="A60" s="221"/>
      <c r="B60" s="221"/>
      <c r="C60" s="221"/>
      <c r="D60" s="221"/>
      <c r="E60" s="221"/>
      <c r="F60" s="221"/>
      <c r="G60" s="221"/>
      <c r="H60" s="221"/>
      <c r="I60" s="221"/>
      <c r="J60" s="221"/>
      <c r="K60" s="221"/>
      <c r="L60" s="221"/>
      <c r="M60" s="221"/>
      <c r="N60" s="221"/>
      <c r="O60" s="221"/>
      <c r="P60" s="221"/>
      <c r="Q60" s="221"/>
      <c r="R60" s="221"/>
      <c r="S60" s="221"/>
      <c r="T60" s="221"/>
      <c r="U60" s="221"/>
      <c r="V60" s="221"/>
      <c r="W60" s="221"/>
      <c r="X60" s="221"/>
      <c r="Y60" s="221"/>
      <c r="Z60" s="221"/>
    </row>
    <row r="61" customFormat="false" ht="13.5" hidden="false" customHeight="true" outlineLevel="0" collapsed="false">
      <c r="A61" s="221"/>
      <c r="B61" s="221"/>
      <c r="C61" s="221"/>
      <c r="D61" s="221"/>
      <c r="E61" s="221"/>
      <c r="F61" s="221"/>
      <c r="G61" s="221"/>
      <c r="H61" s="221"/>
      <c r="I61" s="221"/>
      <c r="J61" s="221"/>
      <c r="K61" s="221"/>
      <c r="L61" s="221"/>
      <c r="M61" s="221"/>
      <c r="N61" s="221"/>
      <c r="O61" s="221"/>
      <c r="P61" s="221"/>
      <c r="Q61" s="221"/>
      <c r="R61" s="221"/>
      <c r="S61" s="221"/>
      <c r="T61" s="221"/>
      <c r="U61" s="221"/>
      <c r="V61" s="221"/>
      <c r="W61" s="221"/>
      <c r="X61" s="221"/>
      <c r="Y61" s="221"/>
      <c r="Z61" s="221"/>
    </row>
    <row r="62" customFormat="false" ht="13.5" hidden="false" customHeight="true" outlineLevel="0" collapsed="false">
      <c r="A62" s="221"/>
      <c r="B62" s="221"/>
      <c r="C62" s="221"/>
      <c r="D62" s="221"/>
      <c r="E62" s="221"/>
      <c r="F62" s="221"/>
      <c r="G62" s="221"/>
      <c r="H62" s="221"/>
      <c r="I62" s="221"/>
      <c r="J62" s="221"/>
      <c r="K62" s="221"/>
      <c r="L62" s="221"/>
      <c r="M62" s="221"/>
      <c r="N62" s="221"/>
      <c r="O62" s="221"/>
      <c r="P62" s="221"/>
      <c r="Q62" s="221"/>
      <c r="R62" s="221"/>
      <c r="S62" s="221"/>
      <c r="T62" s="221"/>
      <c r="U62" s="221"/>
      <c r="V62" s="221"/>
      <c r="W62" s="221"/>
      <c r="X62" s="221"/>
      <c r="Y62" s="221"/>
      <c r="Z62" s="221"/>
    </row>
    <row r="63" customFormat="false" ht="13.5" hidden="false" customHeight="true" outlineLevel="0" collapsed="false">
      <c r="A63" s="221"/>
      <c r="B63" s="221"/>
      <c r="C63" s="221"/>
      <c r="D63" s="221"/>
      <c r="E63" s="221"/>
      <c r="F63" s="221"/>
      <c r="G63" s="221"/>
      <c r="H63" s="221"/>
      <c r="I63" s="221"/>
      <c r="J63" s="221"/>
      <c r="K63" s="221"/>
      <c r="L63" s="221"/>
      <c r="M63" s="221"/>
      <c r="N63" s="221"/>
      <c r="O63" s="221"/>
      <c r="P63" s="221"/>
      <c r="Q63" s="221"/>
      <c r="R63" s="221"/>
      <c r="S63" s="221"/>
      <c r="T63" s="221"/>
      <c r="U63" s="221"/>
      <c r="V63" s="221"/>
      <c r="W63" s="221"/>
      <c r="X63" s="221"/>
      <c r="Y63" s="221"/>
      <c r="Z63" s="221"/>
    </row>
    <row r="64" customFormat="false" ht="13.5" hidden="false" customHeight="true" outlineLevel="0" collapsed="false">
      <c r="A64" s="221"/>
      <c r="B64" s="221"/>
      <c r="C64" s="221"/>
      <c r="D64" s="221"/>
      <c r="E64" s="221"/>
      <c r="F64" s="221"/>
      <c r="G64" s="221"/>
      <c r="H64" s="221"/>
      <c r="I64" s="221"/>
      <c r="J64" s="221"/>
      <c r="K64" s="221"/>
      <c r="L64" s="221"/>
      <c r="M64" s="221"/>
      <c r="N64" s="221"/>
      <c r="O64" s="221"/>
      <c r="P64" s="221"/>
      <c r="Q64" s="221"/>
      <c r="R64" s="221"/>
      <c r="S64" s="221"/>
      <c r="T64" s="221"/>
      <c r="U64" s="221"/>
      <c r="V64" s="221"/>
      <c r="W64" s="221"/>
      <c r="X64" s="221"/>
      <c r="Y64" s="221"/>
      <c r="Z64" s="221"/>
    </row>
    <row r="65" customFormat="false" ht="13.5" hidden="false" customHeight="true" outlineLevel="0" collapsed="false">
      <c r="A65" s="221"/>
      <c r="B65" s="221"/>
      <c r="C65" s="221"/>
      <c r="D65" s="221"/>
      <c r="E65" s="221"/>
      <c r="F65" s="221"/>
      <c r="G65" s="221"/>
      <c r="H65" s="221"/>
      <c r="I65" s="221"/>
      <c r="J65" s="221"/>
      <c r="K65" s="221"/>
      <c r="L65" s="221"/>
      <c r="M65" s="221"/>
      <c r="N65" s="221"/>
      <c r="O65" s="221"/>
      <c r="P65" s="221"/>
      <c r="Q65" s="221"/>
      <c r="R65" s="221"/>
      <c r="S65" s="221"/>
      <c r="T65" s="221"/>
      <c r="U65" s="221"/>
      <c r="V65" s="221"/>
      <c r="W65" s="221"/>
      <c r="X65" s="221"/>
      <c r="Y65" s="221"/>
      <c r="Z65" s="221"/>
    </row>
    <row r="66" customFormat="false" ht="13.5" hidden="false" customHeight="true" outlineLevel="0" collapsed="false">
      <c r="A66" s="221"/>
      <c r="B66" s="221"/>
      <c r="C66" s="221"/>
      <c r="D66" s="221"/>
      <c r="E66" s="221"/>
      <c r="F66" s="221"/>
      <c r="G66" s="221"/>
      <c r="H66" s="221"/>
      <c r="I66" s="221"/>
      <c r="J66" s="221"/>
      <c r="K66" s="221"/>
      <c r="L66" s="221"/>
      <c r="M66" s="221"/>
      <c r="N66" s="221"/>
      <c r="O66" s="221"/>
      <c r="P66" s="221"/>
      <c r="Q66" s="221"/>
      <c r="R66" s="221"/>
      <c r="S66" s="221"/>
      <c r="T66" s="221"/>
      <c r="U66" s="221"/>
      <c r="V66" s="221"/>
      <c r="W66" s="221"/>
      <c r="X66" s="221"/>
      <c r="Y66" s="221"/>
      <c r="Z66" s="221"/>
    </row>
    <row r="67" customFormat="false" ht="13.5" hidden="false" customHeight="true" outlineLevel="0" collapsed="false">
      <c r="A67" s="221"/>
      <c r="B67" s="221"/>
      <c r="C67" s="221"/>
      <c r="D67" s="221"/>
      <c r="E67" s="221"/>
      <c r="F67" s="221"/>
      <c r="G67" s="221"/>
      <c r="H67" s="221"/>
      <c r="I67" s="221"/>
      <c r="J67" s="221"/>
      <c r="K67" s="221"/>
      <c r="L67" s="221"/>
      <c r="M67" s="221"/>
      <c r="N67" s="221"/>
      <c r="O67" s="221"/>
      <c r="P67" s="221"/>
      <c r="Q67" s="221"/>
      <c r="R67" s="221"/>
      <c r="S67" s="221"/>
      <c r="T67" s="221"/>
      <c r="U67" s="221"/>
      <c r="V67" s="221"/>
      <c r="W67" s="221"/>
      <c r="X67" s="221"/>
      <c r="Y67" s="221"/>
      <c r="Z67" s="221"/>
    </row>
    <row r="68" customFormat="false" ht="13.5" hidden="false" customHeight="true" outlineLevel="0" collapsed="false">
      <c r="A68" s="221"/>
      <c r="B68" s="221"/>
      <c r="C68" s="221"/>
      <c r="D68" s="221"/>
      <c r="E68" s="221"/>
      <c r="F68" s="221"/>
      <c r="G68" s="221"/>
      <c r="H68" s="221"/>
      <c r="I68" s="221"/>
      <c r="J68" s="221"/>
      <c r="K68" s="221"/>
      <c r="L68" s="221"/>
      <c r="M68" s="221"/>
      <c r="N68" s="221"/>
      <c r="O68" s="221"/>
      <c r="P68" s="221"/>
      <c r="Q68" s="221"/>
      <c r="R68" s="221"/>
      <c r="S68" s="221"/>
      <c r="T68" s="221"/>
      <c r="U68" s="221"/>
      <c r="V68" s="221"/>
      <c r="W68" s="221"/>
      <c r="X68" s="221"/>
      <c r="Y68" s="221"/>
      <c r="Z68" s="221"/>
    </row>
    <row r="69" customFormat="false" ht="13.5" hidden="false" customHeight="true" outlineLevel="0" collapsed="false">
      <c r="A69" s="221"/>
      <c r="B69" s="221"/>
      <c r="C69" s="221"/>
      <c r="D69" s="221"/>
      <c r="E69" s="221"/>
      <c r="F69" s="221"/>
      <c r="G69" s="221"/>
      <c r="H69" s="221"/>
      <c r="I69" s="221"/>
      <c r="J69" s="221"/>
      <c r="K69" s="221"/>
      <c r="L69" s="221"/>
      <c r="M69" s="221"/>
      <c r="N69" s="221"/>
      <c r="O69" s="221"/>
      <c r="P69" s="221"/>
      <c r="Q69" s="221"/>
      <c r="R69" s="221"/>
      <c r="S69" s="221"/>
      <c r="T69" s="221"/>
      <c r="U69" s="221"/>
      <c r="V69" s="221"/>
      <c r="W69" s="221"/>
      <c r="X69" s="221"/>
      <c r="Y69" s="221"/>
      <c r="Z69" s="221"/>
    </row>
    <row r="70" customFormat="false" ht="13.5" hidden="false" customHeight="true" outlineLevel="0" collapsed="false">
      <c r="A70" s="221"/>
      <c r="B70" s="221"/>
      <c r="C70" s="221"/>
      <c r="D70" s="221"/>
      <c r="E70" s="221"/>
      <c r="F70" s="221"/>
      <c r="G70" s="221"/>
      <c r="H70" s="221"/>
      <c r="I70" s="221"/>
      <c r="J70" s="221"/>
      <c r="K70" s="221"/>
      <c r="L70" s="221"/>
      <c r="M70" s="221"/>
      <c r="N70" s="221"/>
      <c r="O70" s="221"/>
      <c r="P70" s="221"/>
      <c r="Q70" s="221"/>
      <c r="R70" s="221"/>
      <c r="S70" s="221"/>
      <c r="T70" s="221"/>
      <c r="U70" s="221"/>
      <c r="V70" s="221"/>
      <c r="W70" s="221"/>
      <c r="X70" s="221"/>
      <c r="Y70" s="221"/>
      <c r="Z70" s="221"/>
    </row>
    <row r="71" customFormat="false" ht="13.5" hidden="false" customHeight="true" outlineLevel="0" collapsed="false">
      <c r="A71" s="221"/>
      <c r="B71" s="221"/>
      <c r="C71" s="221"/>
      <c r="D71" s="221"/>
      <c r="E71" s="221"/>
      <c r="F71" s="221"/>
      <c r="G71" s="221"/>
      <c r="H71" s="221"/>
      <c r="I71" s="221"/>
      <c r="J71" s="221"/>
      <c r="K71" s="221"/>
      <c r="L71" s="221"/>
      <c r="M71" s="221"/>
      <c r="N71" s="221"/>
      <c r="O71" s="221"/>
      <c r="P71" s="221"/>
      <c r="Q71" s="221"/>
      <c r="R71" s="221"/>
      <c r="S71" s="221"/>
      <c r="T71" s="221"/>
      <c r="U71" s="221"/>
      <c r="V71" s="221"/>
      <c r="W71" s="221"/>
      <c r="X71" s="221"/>
      <c r="Y71" s="221"/>
      <c r="Z71" s="221"/>
    </row>
    <row r="72" customFormat="false" ht="13.5" hidden="false" customHeight="true" outlineLevel="0" collapsed="false">
      <c r="A72" s="221"/>
      <c r="B72" s="221"/>
      <c r="C72" s="221"/>
      <c r="D72" s="221"/>
      <c r="E72" s="221"/>
      <c r="F72" s="221"/>
      <c r="G72" s="221"/>
      <c r="H72" s="221"/>
      <c r="I72" s="221"/>
      <c r="J72" s="221"/>
      <c r="K72" s="221"/>
      <c r="L72" s="221"/>
      <c r="M72" s="221"/>
      <c r="N72" s="221"/>
      <c r="O72" s="221"/>
      <c r="P72" s="221"/>
      <c r="Q72" s="221"/>
      <c r="R72" s="221"/>
      <c r="S72" s="221"/>
      <c r="T72" s="221"/>
      <c r="U72" s="221"/>
      <c r="V72" s="221"/>
      <c r="W72" s="221"/>
      <c r="X72" s="221"/>
      <c r="Y72" s="221"/>
      <c r="Z72" s="221"/>
    </row>
    <row r="73" customFormat="false" ht="13.5" hidden="false" customHeight="true" outlineLevel="0" collapsed="false">
      <c r="A73" s="221"/>
      <c r="B73" s="221"/>
      <c r="C73" s="221"/>
      <c r="D73" s="221"/>
      <c r="E73" s="221"/>
      <c r="F73" s="221"/>
      <c r="G73" s="221"/>
      <c r="H73" s="221"/>
      <c r="I73" s="221"/>
      <c r="J73" s="221"/>
      <c r="K73" s="221"/>
      <c r="L73" s="221"/>
      <c r="M73" s="221"/>
      <c r="N73" s="221"/>
      <c r="O73" s="221"/>
      <c r="P73" s="221"/>
      <c r="Q73" s="221"/>
      <c r="R73" s="221"/>
      <c r="S73" s="221"/>
      <c r="T73" s="221"/>
      <c r="U73" s="221"/>
      <c r="V73" s="221"/>
      <c r="W73" s="221"/>
      <c r="X73" s="221"/>
      <c r="Y73" s="221"/>
      <c r="Z73" s="221"/>
    </row>
    <row r="74" customFormat="false" ht="13.5" hidden="false" customHeight="true" outlineLevel="0" collapsed="false">
      <c r="A74" s="221"/>
      <c r="B74" s="221"/>
      <c r="C74" s="221"/>
      <c r="D74" s="221"/>
      <c r="E74" s="221"/>
      <c r="F74" s="221"/>
      <c r="G74" s="221"/>
      <c r="H74" s="221"/>
      <c r="I74" s="221"/>
      <c r="J74" s="221"/>
      <c r="K74" s="221"/>
      <c r="L74" s="221"/>
      <c r="M74" s="221"/>
      <c r="N74" s="221"/>
      <c r="O74" s="221"/>
      <c r="P74" s="221"/>
      <c r="Q74" s="221"/>
      <c r="R74" s="221"/>
      <c r="S74" s="221"/>
      <c r="T74" s="221"/>
      <c r="U74" s="221"/>
      <c r="V74" s="221"/>
      <c r="W74" s="221"/>
      <c r="X74" s="221"/>
      <c r="Y74" s="221"/>
      <c r="Z74" s="221"/>
    </row>
    <row r="75" customFormat="false" ht="13.5" hidden="false" customHeight="true" outlineLevel="0" collapsed="false">
      <c r="A75" s="221"/>
      <c r="B75" s="221"/>
      <c r="C75" s="221"/>
      <c r="D75" s="221"/>
      <c r="E75" s="221"/>
      <c r="F75" s="221"/>
      <c r="G75" s="221"/>
      <c r="H75" s="221"/>
      <c r="I75" s="221"/>
      <c r="J75" s="221"/>
      <c r="K75" s="221"/>
      <c r="L75" s="221"/>
      <c r="M75" s="221"/>
      <c r="N75" s="221"/>
      <c r="O75" s="221"/>
      <c r="P75" s="221"/>
      <c r="Q75" s="221"/>
      <c r="R75" s="221"/>
      <c r="S75" s="221"/>
      <c r="T75" s="221"/>
      <c r="U75" s="221"/>
      <c r="V75" s="221"/>
      <c r="W75" s="221"/>
      <c r="X75" s="221"/>
      <c r="Y75" s="221"/>
      <c r="Z75" s="221"/>
    </row>
    <row r="76" customFormat="false" ht="13.5" hidden="false" customHeight="true" outlineLevel="0" collapsed="false">
      <c r="A76" s="221"/>
      <c r="B76" s="221"/>
      <c r="C76" s="221"/>
      <c r="D76" s="221"/>
      <c r="E76" s="221"/>
      <c r="F76" s="221"/>
      <c r="G76" s="221"/>
      <c r="H76" s="221"/>
      <c r="I76" s="221"/>
      <c r="J76" s="221"/>
      <c r="K76" s="221"/>
      <c r="L76" s="221"/>
      <c r="M76" s="221"/>
      <c r="N76" s="221"/>
      <c r="O76" s="221"/>
      <c r="P76" s="221"/>
      <c r="Q76" s="221"/>
      <c r="R76" s="221"/>
      <c r="S76" s="221"/>
      <c r="T76" s="221"/>
      <c r="U76" s="221"/>
      <c r="V76" s="221"/>
      <c r="W76" s="221"/>
      <c r="X76" s="221"/>
      <c r="Y76" s="221"/>
      <c r="Z76" s="221"/>
    </row>
    <row r="77" customFormat="false" ht="13.5" hidden="false" customHeight="true" outlineLevel="0" collapsed="false">
      <c r="A77" s="221"/>
      <c r="B77" s="221"/>
      <c r="C77" s="221"/>
      <c r="D77" s="221"/>
      <c r="E77" s="221"/>
      <c r="F77" s="221"/>
      <c r="G77" s="221"/>
      <c r="H77" s="221"/>
      <c r="I77" s="221"/>
      <c r="J77" s="221"/>
      <c r="K77" s="221"/>
      <c r="L77" s="221"/>
      <c r="M77" s="221"/>
      <c r="N77" s="221"/>
      <c r="O77" s="221"/>
      <c r="P77" s="221"/>
      <c r="Q77" s="221"/>
      <c r="R77" s="221"/>
      <c r="S77" s="221"/>
      <c r="T77" s="221"/>
      <c r="U77" s="221"/>
      <c r="V77" s="221"/>
      <c r="W77" s="221"/>
      <c r="X77" s="221"/>
      <c r="Y77" s="221"/>
      <c r="Z77" s="221"/>
    </row>
    <row r="78" customFormat="false" ht="13.5" hidden="false" customHeight="true" outlineLevel="0" collapsed="false">
      <c r="A78" s="221"/>
      <c r="B78" s="221"/>
      <c r="C78" s="221"/>
      <c r="D78" s="221"/>
      <c r="E78" s="221"/>
      <c r="F78" s="221"/>
      <c r="G78" s="221"/>
      <c r="H78" s="221"/>
      <c r="I78" s="221"/>
      <c r="J78" s="221"/>
      <c r="K78" s="221"/>
      <c r="L78" s="221"/>
      <c r="M78" s="221"/>
      <c r="N78" s="221"/>
      <c r="O78" s="221"/>
      <c r="P78" s="221"/>
      <c r="Q78" s="221"/>
      <c r="R78" s="221"/>
      <c r="S78" s="221"/>
      <c r="T78" s="221"/>
      <c r="U78" s="221"/>
      <c r="V78" s="221"/>
      <c r="W78" s="221"/>
      <c r="X78" s="221"/>
      <c r="Y78" s="221"/>
      <c r="Z78" s="221"/>
    </row>
    <row r="79" customFormat="false" ht="13.5" hidden="false" customHeight="true" outlineLevel="0" collapsed="false">
      <c r="A79" s="221"/>
      <c r="B79" s="221"/>
      <c r="C79" s="221"/>
      <c r="D79" s="221"/>
      <c r="E79" s="221"/>
      <c r="F79" s="221"/>
      <c r="G79" s="221"/>
      <c r="H79" s="221"/>
      <c r="I79" s="221"/>
      <c r="J79" s="221"/>
      <c r="K79" s="221"/>
      <c r="L79" s="221"/>
      <c r="M79" s="221"/>
      <c r="N79" s="221"/>
      <c r="O79" s="221"/>
      <c r="P79" s="221"/>
      <c r="Q79" s="221"/>
      <c r="R79" s="221"/>
      <c r="S79" s="221"/>
      <c r="T79" s="221"/>
      <c r="U79" s="221"/>
      <c r="V79" s="221"/>
      <c r="W79" s="221"/>
      <c r="X79" s="221"/>
      <c r="Y79" s="221"/>
      <c r="Z79" s="221"/>
    </row>
    <row r="80" customFormat="false" ht="13.5" hidden="false" customHeight="true" outlineLevel="0" collapsed="false">
      <c r="A80" s="221"/>
      <c r="B80" s="221"/>
      <c r="C80" s="221"/>
      <c r="D80" s="221"/>
      <c r="E80" s="221"/>
      <c r="F80" s="221"/>
      <c r="G80" s="221"/>
      <c r="H80" s="221"/>
      <c r="I80" s="221"/>
      <c r="J80" s="221"/>
      <c r="K80" s="221"/>
      <c r="L80" s="221"/>
      <c r="M80" s="221"/>
      <c r="N80" s="221"/>
      <c r="O80" s="221"/>
      <c r="P80" s="221"/>
      <c r="Q80" s="221"/>
      <c r="R80" s="221"/>
      <c r="S80" s="221"/>
      <c r="T80" s="221"/>
      <c r="U80" s="221"/>
      <c r="V80" s="221"/>
      <c r="W80" s="221"/>
      <c r="X80" s="221"/>
      <c r="Y80" s="221"/>
      <c r="Z80" s="221"/>
    </row>
    <row r="81" customFormat="false" ht="13.5" hidden="false" customHeight="true" outlineLevel="0" collapsed="false">
      <c r="A81" s="221"/>
      <c r="B81" s="221"/>
      <c r="C81" s="221"/>
      <c r="D81" s="221"/>
      <c r="E81" s="221"/>
      <c r="F81" s="221"/>
      <c r="G81" s="221"/>
      <c r="H81" s="221"/>
      <c r="I81" s="221"/>
      <c r="J81" s="221"/>
      <c r="K81" s="221"/>
      <c r="L81" s="221"/>
      <c r="M81" s="221"/>
      <c r="N81" s="221"/>
      <c r="O81" s="221"/>
      <c r="P81" s="221"/>
      <c r="Q81" s="221"/>
      <c r="R81" s="221"/>
      <c r="S81" s="221"/>
      <c r="T81" s="221"/>
      <c r="U81" s="221"/>
      <c r="V81" s="221"/>
      <c r="W81" s="221"/>
      <c r="X81" s="221"/>
      <c r="Y81" s="221"/>
      <c r="Z81" s="221"/>
    </row>
    <row r="82" customFormat="false" ht="13.5" hidden="false" customHeight="true" outlineLevel="0" collapsed="false">
      <c r="A82" s="221"/>
      <c r="B82" s="221"/>
      <c r="C82" s="221"/>
      <c r="D82" s="221"/>
      <c r="E82" s="221"/>
      <c r="F82" s="221"/>
      <c r="G82" s="221"/>
      <c r="H82" s="221"/>
      <c r="I82" s="221"/>
      <c r="J82" s="221"/>
      <c r="K82" s="221"/>
      <c r="L82" s="221"/>
      <c r="M82" s="221"/>
      <c r="N82" s="221"/>
      <c r="O82" s="221"/>
      <c r="P82" s="221"/>
      <c r="Q82" s="221"/>
      <c r="R82" s="221"/>
      <c r="S82" s="221"/>
      <c r="T82" s="221"/>
      <c r="U82" s="221"/>
      <c r="V82" s="221"/>
      <c r="W82" s="221"/>
      <c r="X82" s="221"/>
      <c r="Y82" s="221"/>
      <c r="Z82" s="221"/>
    </row>
    <row r="83" customFormat="false" ht="13.5" hidden="false" customHeight="true" outlineLevel="0" collapsed="false">
      <c r="A83" s="221"/>
      <c r="B83" s="221"/>
      <c r="C83" s="221"/>
      <c r="D83" s="221"/>
      <c r="E83" s="221"/>
      <c r="F83" s="221"/>
      <c r="G83" s="221"/>
      <c r="H83" s="221"/>
      <c r="I83" s="221"/>
      <c r="J83" s="221"/>
      <c r="K83" s="221"/>
      <c r="L83" s="221"/>
      <c r="M83" s="221"/>
      <c r="N83" s="221"/>
      <c r="O83" s="221"/>
      <c r="P83" s="221"/>
      <c r="Q83" s="221"/>
      <c r="R83" s="221"/>
      <c r="S83" s="221"/>
      <c r="T83" s="221"/>
      <c r="U83" s="221"/>
      <c r="V83" s="221"/>
      <c r="W83" s="221"/>
      <c r="X83" s="221"/>
      <c r="Y83" s="221"/>
      <c r="Z83" s="221"/>
    </row>
    <row r="84" customFormat="false" ht="13.5" hidden="false" customHeight="true" outlineLevel="0" collapsed="false">
      <c r="A84" s="221"/>
      <c r="B84" s="221"/>
      <c r="C84" s="221"/>
      <c r="D84" s="221"/>
      <c r="E84" s="221"/>
      <c r="F84" s="221"/>
      <c r="G84" s="221"/>
      <c r="H84" s="221"/>
      <c r="I84" s="221"/>
      <c r="J84" s="221"/>
      <c r="K84" s="221"/>
      <c r="L84" s="221"/>
      <c r="M84" s="221"/>
      <c r="N84" s="221"/>
      <c r="O84" s="221"/>
      <c r="P84" s="221"/>
      <c r="Q84" s="221"/>
      <c r="R84" s="221"/>
      <c r="S84" s="221"/>
      <c r="T84" s="221"/>
      <c r="U84" s="221"/>
      <c r="V84" s="221"/>
      <c r="W84" s="221"/>
      <c r="X84" s="221"/>
      <c r="Y84" s="221"/>
      <c r="Z84" s="221"/>
    </row>
    <row r="85" customFormat="false" ht="13.5" hidden="false" customHeight="true" outlineLevel="0" collapsed="false">
      <c r="A85" s="221"/>
      <c r="B85" s="221"/>
      <c r="C85" s="221"/>
      <c r="D85" s="221"/>
      <c r="E85" s="221"/>
      <c r="F85" s="221"/>
      <c r="G85" s="221"/>
      <c r="H85" s="221"/>
      <c r="I85" s="221"/>
      <c r="J85" s="221"/>
      <c r="K85" s="221"/>
      <c r="L85" s="221"/>
      <c r="M85" s="221"/>
      <c r="N85" s="221"/>
      <c r="O85" s="221"/>
      <c r="P85" s="221"/>
      <c r="Q85" s="221"/>
      <c r="R85" s="221"/>
      <c r="S85" s="221"/>
      <c r="T85" s="221"/>
      <c r="U85" s="221"/>
      <c r="V85" s="221"/>
      <c r="W85" s="221"/>
      <c r="X85" s="221"/>
      <c r="Y85" s="221"/>
      <c r="Z85" s="221"/>
    </row>
    <row r="86" customFormat="false" ht="13.5" hidden="false" customHeight="true" outlineLevel="0" collapsed="false">
      <c r="A86" s="221"/>
      <c r="B86" s="221"/>
      <c r="C86" s="221"/>
      <c r="D86" s="221"/>
      <c r="E86" s="221"/>
      <c r="F86" s="221"/>
      <c r="G86" s="221"/>
      <c r="H86" s="221"/>
      <c r="I86" s="221"/>
      <c r="J86" s="221"/>
      <c r="K86" s="221"/>
      <c r="L86" s="221"/>
      <c r="M86" s="221"/>
      <c r="N86" s="221"/>
      <c r="O86" s="221"/>
      <c r="P86" s="221"/>
      <c r="Q86" s="221"/>
      <c r="R86" s="221"/>
      <c r="S86" s="221"/>
      <c r="T86" s="221"/>
      <c r="U86" s="221"/>
      <c r="V86" s="221"/>
      <c r="W86" s="221"/>
      <c r="X86" s="221"/>
      <c r="Y86" s="221"/>
      <c r="Z86" s="221"/>
    </row>
    <row r="87" customFormat="false" ht="13.5" hidden="false" customHeight="true" outlineLevel="0" collapsed="false">
      <c r="A87" s="221"/>
      <c r="B87" s="221"/>
      <c r="C87" s="221"/>
      <c r="D87" s="221"/>
      <c r="E87" s="221"/>
      <c r="F87" s="221"/>
      <c r="G87" s="221"/>
      <c r="H87" s="221"/>
      <c r="I87" s="221"/>
      <c r="J87" s="221"/>
      <c r="K87" s="221"/>
      <c r="L87" s="221"/>
      <c r="M87" s="221"/>
      <c r="N87" s="221"/>
      <c r="O87" s="221"/>
      <c r="P87" s="221"/>
      <c r="Q87" s="221"/>
      <c r="R87" s="221"/>
      <c r="S87" s="221"/>
      <c r="T87" s="221"/>
      <c r="U87" s="221"/>
      <c r="V87" s="221"/>
      <c r="W87" s="221"/>
      <c r="X87" s="221"/>
      <c r="Y87" s="221"/>
      <c r="Z87" s="221"/>
    </row>
    <row r="88" customFormat="false" ht="13.5" hidden="false" customHeight="true" outlineLevel="0" collapsed="false">
      <c r="A88" s="221"/>
      <c r="B88" s="221"/>
      <c r="C88" s="221"/>
      <c r="D88" s="221"/>
      <c r="E88" s="221"/>
      <c r="F88" s="221"/>
      <c r="G88" s="221"/>
      <c r="H88" s="221"/>
      <c r="I88" s="221"/>
      <c r="J88" s="221"/>
      <c r="K88" s="221"/>
      <c r="L88" s="221"/>
      <c r="M88" s="221"/>
      <c r="N88" s="221"/>
      <c r="O88" s="221"/>
      <c r="P88" s="221"/>
      <c r="Q88" s="221"/>
      <c r="R88" s="221"/>
      <c r="S88" s="221"/>
      <c r="T88" s="221"/>
      <c r="U88" s="221"/>
      <c r="V88" s="221"/>
      <c r="W88" s="221"/>
      <c r="X88" s="221"/>
      <c r="Y88" s="221"/>
      <c r="Z88" s="221"/>
    </row>
    <row r="89" customFormat="false" ht="13.5" hidden="false" customHeight="true" outlineLevel="0" collapsed="false">
      <c r="A89" s="221"/>
      <c r="B89" s="221"/>
      <c r="C89" s="221"/>
      <c r="D89" s="221"/>
      <c r="E89" s="221"/>
      <c r="F89" s="221"/>
      <c r="G89" s="221"/>
      <c r="H89" s="221"/>
      <c r="I89" s="221"/>
      <c r="J89" s="221"/>
      <c r="K89" s="221"/>
      <c r="L89" s="221"/>
      <c r="M89" s="221"/>
      <c r="N89" s="221"/>
      <c r="O89" s="221"/>
      <c r="P89" s="221"/>
      <c r="Q89" s="221"/>
      <c r="R89" s="221"/>
      <c r="S89" s="221"/>
      <c r="T89" s="221"/>
      <c r="U89" s="221"/>
      <c r="V89" s="221"/>
      <c r="W89" s="221"/>
      <c r="X89" s="221"/>
      <c r="Y89" s="221"/>
      <c r="Z89" s="221"/>
    </row>
    <row r="90" customFormat="false" ht="13.5" hidden="false" customHeight="true" outlineLevel="0" collapsed="false">
      <c r="A90" s="221"/>
      <c r="B90" s="221"/>
      <c r="C90" s="221"/>
      <c r="D90" s="221"/>
      <c r="E90" s="221"/>
      <c r="F90" s="221"/>
      <c r="G90" s="221"/>
      <c r="H90" s="221"/>
      <c r="I90" s="221"/>
      <c r="J90" s="221"/>
      <c r="K90" s="221"/>
      <c r="L90" s="221"/>
      <c r="M90" s="221"/>
      <c r="N90" s="221"/>
      <c r="O90" s="221"/>
      <c r="P90" s="221"/>
      <c r="Q90" s="221"/>
      <c r="R90" s="221"/>
      <c r="S90" s="221"/>
      <c r="T90" s="221"/>
      <c r="U90" s="221"/>
      <c r="V90" s="221"/>
      <c r="W90" s="221"/>
      <c r="X90" s="221"/>
      <c r="Y90" s="221"/>
      <c r="Z90" s="221"/>
    </row>
    <row r="91" customFormat="false" ht="13.5" hidden="false" customHeight="true" outlineLevel="0" collapsed="false">
      <c r="A91" s="221"/>
      <c r="B91" s="221"/>
      <c r="C91" s="221"/>
      <c r="D91" s="221"/>
      <c r="E91" s="221"/>
      <c r="F91" s="221"/>
      <c r="G91" s="221"/>
      <c r="H91" s="221"/>
      <c r="I91" s="221"/>
      <c r="J91" s="221"/>
      <c r="K91" s="221"/>
      <c r="L91" s="221"/>
      <c r="M91" s="221"/>
      <c r="N91" s="221"/>
      <c r="O91" s="221"/>
      <c r="P91" s="221"/>
      <c r="Q91" s="221"/>
      <c r="R91" s="221"/>
      <c r="S91" s="221"/>
      <c r="T91" s="221"/>
      <c r="U91" s="221"/>
      <c r="V91" s="221"/>
      <c r="W91" s="221"/>
      <c r="X91" s="221"/>
      <c r="Y91" s="221"/>
      <c r="Z91" s="221"/>
    </row>
    <row r="92" customFormat="false" ht="13.5" hidden="false" customHeight="true" outlineLevel="0" collapsed="false">
      <c r="A92" s="221"/>
      <c r="B92" s="221"/>
      <c r="C92" s="221"/>
      <c r="D92" s="221"/>
      <c r="E92" s="221"/>
      <c r="F92" s="221"/>
      <c r="G92" s="221"/>
      <c r="H92" s="221"/>
      <c r="I92" s="221"/>
      <c r="J92" s="221"/>
      <c r="K92" s="221"/>
      <c r="L92" s="221"/>
      <c r="M92" s="221"/>
      <c r="N92" s="221"/>
      <c r="O92" s="221"/>
      <c r="P92" s="221"/>
      <c r="Q92" s="221"/>
      <c r="R92" s="221"/>
      <c r="S92" s="221"/>
      <c r="T92" s="221"/>
      <c r="U92" s="221"/>
      <c r="V92" s="221"/>
      <c r="W92" s="221"/>
      <c r="X92" s="221"/>
      <c r="Y92" s="221"/>
      <c r="Z92" s="221"/>
    </row>
    <row r="93" customFormat="false" ht="13.5" hidden="false" customHeight="true" outlineLevel="0" collapsed="false">
      <c r="A93" s="221"/>
      <c r="B93" s="221"/>
      <c r="C93" s="221"/>
      <c r="D93" s="221"/>
      <c r="E93" s="221"/>
      <c r="F93" s="221"/>
      <c r="G93" s="221"/>
      <c r="H93" s="221"/>
      <c r="I93" s="221"/>
      <c r="J93" s="221"/>
      <c r="K93" s="221"/>
      <c r="L93" s="221"/>
      <c r="M93" s="221"/>
      <c r="N93" s="221"/>
      <c r="O93" s="221"/>
      <c r="P93" s="221"/>
      <c r="Q93" s="221"/>
      <c r="R93" s="221"/>
      <c r="S93" s="221"/>
      <c r="T93" s="221"/>
      <c r="U93" s="221"/>
      <c r="V93" s="221"/>
      <c r="W93" s="221"/>
      <c r="X93" s="221"/>
      <c r="Y93" s="221"/>
      <c r="Z93" s="221"/>
    </row>
    <row r="94" customFormat="false" ht="13.5" hidden="false" customHeight="true" outlineLevel="0" collapsed="false">
      <c r="A94" s="221"/>
      <c r="B94" s="221"/>
      <c r="C94" s="221"/>
      <c r="D94" s="221"/>
      <c r="E94" s="221"/>
      <c r="F94" s="221"/>
      <c r="G94" s="221"/>
      <c r="H94" s="221"/>
      <c r="I94" s="221"/>
      <c r="J94" s="221"/>
      <c r="K94" s="221"/>
      <c r="L94" s="221"/>
      <c r="M94" s="221"/>
      <c r="N94" s="221"/>
      <c r="O94" s="221"/>
      <c r="P94" s="221"/>
      <c r="Q94" s="221"/>
      <c r="R94" s="221"/>
      <c r="S94" s="221"/>
      <c r="T94" s="221"/>
      <c r="U94" s="221"/>
      <c r="V94" s="221"/>
      <c r="W94" s="221"/>
      <c r="X94" s="221"/>
      <c r="Y94" s="221"/>
      <c r="Z94" s="221"/>
    </row>
    <row r="95" customFormat="false" ht="13.5" hidden="false" customHeight="true" outlineLevel="0" collapsed="false">
      <c r="A95" s="221"/>
      <c r="B95" s="221"/>
      <c r="C95" s="221"/>
      <c r="D95" s="221"/>
      <c r="E95" s="221"/>
      <c r="F95" s="221"/>
      <c r="G95" s="221"/>
      <c r="H95" s="221"/>
      <c r="I95" s="221"/>
      <c r="J95" s="221"/>
      <c r="K95" s="221"/>
      <c r="L95" s="221"/>
      <c r="M95" s="221"/>
      <c r="N95" s="221"/>
      <c r="O95" s="221"/>
      <c r="P95" s="221"/>
      <c r="Q95" s="221"/>
      <c r="R95" s="221"/>
      <c r="S95" s="221"/>
      <c r="T95" s="221"/>
      <c r="U95" s="221"/>
      <c r="V95" s="221"/>
      <c r="W95" s="221"/>
      <c r="X95" s="221"/>
      <c r="Y95" s="221"/>
      <c r="Z95" s="221"/>
    </row>
    <row r="96" customFormat="false" ht="13.5" hidden="false" customHeight="true" outlineLevel="0" collapsed="false">
      <c r="A96" s="221"/>
      <c r="B96" s="221"/>
      <c r="C96" s="221"/>
      <c r="D96" s="221"/>
      <c r="E96" s="221"/>
      <c r="F96" s="221"/>
      <c r="G96" s="221"/>
      <c r="H96" s="221"/>
      <c r="I96" s="221"/>
      <c r="J96" s="221"/>
      <c r="K96" s="221"/>
      <c r="L96" s="221"/>
      <c r="M96" s="221"/>
      <c r="N96" s="221"/>
      <c r="O96" s="221"/>
      <c r="P96" s="221"/>
      <c r="Q96" s="221"/>
      <c r="R96" s="221"/>
      <c r="S96" s="221"/>
      <c r="T96" s="221"/>
      <c r="U96" s="221"/>
      <c r="V96" s="221"/>
      <c r="W96" s="221"/>
      <c r="X96" s="221"/>
      <c r="Y96" s="221"/>
      <c r="Z96" s="221"/>
    </row>
    <row r="97" customFormat="false" ht="13.5" hidden="false" customHeight="true" outlineLevel="0" collapsed="false">
      <c r="A97" s="221"/>
      <c r="B97" s="221"/>
      <c r="C97" s="221"/>
      <c r="D97" s="221"/>
      <c r="E97" s="221"/>
      <c r="F97" s="221"/>
      <c r="G97" s="221"/>
      <c r="H97" s="221"/>
      <c r="I97" s="221"/>
      <c r="J97" s="221"/>
      <c r="K97" s="221"/>
      <c r="L97" s="221"/>
      <c r="M97" s="221"/>
      <c r="N97" s="221"/>
      <c r="O97" s="221"/>
      <c r="P97" s="221"/>
      <c r="Q97" s="221"/>
      <c r="R97" s="221"/>
      <c r="S97" s="221"/>
      <c r="T97" s="221"/>
      <c r="U97" s="221"/>
      <c r="V97" s="221"/>
      <c r="W97" s="221"/>
      <c r="X97" s="221"/>
      <c r="Y97" s="221"/>
      <c r="Z97" s="221"/>
    </row>
    <row r="98" customFormat="false" ht="13.5" hidden="false" customHeight="true" outlineLevel="0" collapsed="false">
      <c r="A98" s="221"/>
      <c r="B98" s="221"/>
      <c r="C98" s="221"/>
      <c r="D98" s="221"/>
      <c r="E98" s="221"/>
      <c r="F98" s="221"/>
      <c r="G98" s="221"/>
      <c r="H98" s="221"/>
      <c r="I98" s="221"/>
      <c r="J98" s="221"/>
      <c r="K98" s="221"/>
      <c r="L98" s="221"/>
      <c r="M98" s="221"/>
      <c r="N98" s="221"/>
      <c r="O98" s="221"/>
      <c r="P98" s="221"/>
      <c r="Q98" s="221"/>
      <c r="R98" s="221"/>
      <c r="S98" s="221"/>
      <c r="T98" s="221"/>
      <c r="U98" s="221"/>
      <c r="V98" s="221"/>
      <c r="W98" s="221"/>
      <c r="X98" s="221"/>
      <c r="Y98" s="221"/>
      <c r="Z98" s="221"/>
    </row>
    <row r="99" customFormat="false" ht="13.5" hidden="false" customHeight="true" outlineLevel="0" collapsed="false">
      <c r="A99" s="221"/>
      <c r="B99" s="221"/>
      <c r="C99" s="221"/>
      <c r="D99" s="221"/>
      <c r="E99" s="221"/>
      <c r="F99" s="221"/>
      <c r="G99" s="221"/>
      <c r="H99" s="221"/>
      <c r="I99" s="221"/>
      <c r="J99" s="221"/>
      <c r="K99" s="221"/>
      <c r="L99" s="221"/>
      <c r="M99" s="221"/>
      <c r="N99" s="221"/>
      <c r="O99" s="221"/>
      <c r="P99" s="221"/>
      <c r="Q99" s="221"/>
      <c r="R99" s="221"/>
      <c r="S99" s="221"/>
      <c r="T99" s="221"/>
      <c r="U99" s="221"/>
      <c r="V99" s="221"/>
      <c r="W99" s="221"/>
      <c r="X99" s="221"/>
      <c r="Y99" s="221"/>
      <c r="Z99" s="221"/>
    </row>
    <row r="100" customFormat="false" ht="13.5" hidden="false" customHeight="true" outlineLevel="0" collapsed="false">
      <c r="A100" s="221"/>
      <c r="B100" s="221"/>
      <c r="C100" s="221"/>
      <c r="D100" s="221"/>
      <c r="E100" s="221"/>
      <c r="F100" s="221"/>
      <c r="G100" s="221"/>
      <c r="H100" s="221"/>
      <c r="I100" s="221"/>
      <c r="J100" s="221"/>
      <c r="K100" s="221"/>
      <c r="L100" s="221"/>
      <c r="M100" s="221"/>
      <c r="N100" s="221"/>
      <c r="O100" s="221"/>
      <c r="P100" s="221"/>
      <c r="Q100" s="221"/>
      <c r="R100" s="221"/>
      <c r="S100" s="221"/>
      <c r="T100" s="221"/>
      <c r="U100" s="221"/>
      <c r="V100" s="221"/>
      <c r="W100" s="221"/>
      <c r="X100" s="221"/>
      <c r="Y100" s="221"/>
      <c r="Z100" s="221"/>
    </row>
    <row r="101" customFormat="false" ht="13.5" hidden="false" customHeight="true" outlineLevel="0" collapsed="false">
      <c r="A101" s="221"/>
      <c r="B101" s="221"/>
      <c r="C101" s="221"/>
      <c r="D101" s="221"/>
      <c r="E101" s="221"/>
      <c r="F101" s="221"/>
      <c r="G101" s="221"/>
      <c r="H101" s="221"/>
      <c r="I101" s="221"/>
      <c r="J101" s="221"/>
      <c r="K101" s="221"/>
      <c r="L101" s="221"/>
      <c r="M101" s="221"/>
      <c r="N101" s="221"/>
      <c r="O101" s="221"/>
      <c r="P101" s="221"/>
      <c r="Q101" s="221"/>
      <c r="R101" s="221"/>
      <c r="S101" s="221"/>
      <c r="T101" s="221"/>
      <c r="U101" s="221"/>
      <c r="V101" s="221"/>
      <c r="W101" s="221"/>
      <c r="X101" s="221"/>
      <c r="Y101" s="221"/>
      <c r="Z101" s="221"/>
    </row>
    <row r="102" customFormat="false" ht="13.5" hidden="false" customHeight="true" outlineLevel="0" collapsed="false">
      <c r="A102" s="221"/>
      <c r="B102" s="221"/>
      <c r="C102" s="221"/>
      <c r="D102" s="221"/>
      <c r="E102" s="221"/>
      <c r="F102" s="221"/>
      <c r="G102" s="221"/>
      <c r="H102" s="221"/>
      <c r="I102" s="221"/>
      <c r="J102" s="221"/>
      <c r="K102" s="221"/>
      <c r="L102" s="221"/>
      <c r="M102" s="221"/>
      <c r="N102" s="221"/>
      <c r="O102" s="221"/>
      <c r="P102" s="221"/>
      <c r="Q102" s="221"/>
      <c r="R102" s="221"/>
      <c r="S102" s="221"/>
      <c r="T102" s="221"/>
      <c r="U102" s="221"/>
      <c r="V102" s="221"/>
      <c r="W102" s="221"/>
      <c r="X102" s="221"/>
      <c r="Y102" s="221"/>
      <c r="Z102" s="221"/>
    </row>
    <row r="103" customFormat="false" ht="13.5" hidden="false" customHeight="true" outlineLevel="0" collapsed="false">
      <c r="A103" s="221"/>
      <c r="B103" s="221"/>
      <c r="C103" s="221"/>
      <c r="D103" s="221"/>
      <c r="E103" s="221"/>
      <c r="F103" s="221"/>
      <c r="G103" s="221"/>
      <c r="H103" s="221"/>
      <c r="I103" s="221"/>
      <c r="J103" s="221"/>
      <c r="K103" s="221"/>
      <c r="L103" s="221"/>
      <c r="M103" s="221"/>
      <c r="N103" s="221"/>
      <c r="O103" s="221"/>
      <c r="P103" s="221"/>
      <c r="Q103" s="221"/>
      <c r="R103" s="221"/>
      <c r="S103" s="221"/>
      <c r="T103" s="221"/>
      <c r="U103" s="221"/>
      <c r="V103" s="221"/>
      <c r="W103" s="221"/>
      <c r="X103" s="221"/>
      <c r="Y103" s="221"/>
      <c r="Z103" s="221"/>
    </row>
    <row r="104" customFormat="false" ht="13.5" hidden="false" customHeight="true" outlineLevel="0" collapsed="false">
      <c r="A104" s="221"/>
      <c r="B104" s="221"/>
      <c r="C104" s="221"/>
      <c r="D104" s="221"/>
      <c r="E104" s="221"/>
      <c r="F104" s="221"/>
      <c r="G104" s="221"/>
      <c r="H104" s="221"/>
      <c r="I104" s="221"/>
      <c r="J104" s="221"/>
      <c r="K104" s="221"/>
      <c r="L104" s="221"/>
      <c r="M104" s="221"/>
      <c r="N104" s="221"/>
      <c r="O104" s="221"/>
      <c r="P104" s="221"/>
      <c r="Q104" s="221"/>
      <c r="R104" s="221"/>
      <c r="S104" s="221"/>
      <c r="T104" s="221"/>
      <c r="U104" s="221"/>
      <c r="V104" s="221"/>
      <c r="W104" s="221"/>
      <c r="X104" s="221"/>
      <c r="Y104" s="221"/>
      <c r="Z104" s="221"/>
    </row>
    <row r="105" customFormat="false" ht="13.5" hidden="false" customHeight="true" outlineLevel="0" collapsed="false">
      <c r="A105" s="221"/>
      <c r="B105" s="221"/>
      <c r="C105" s="221"/>
      <c r="D105" s="221"/>
      <c r="E105" s="221"/>
      <c r="F105" s="221"/>
      <c r="G105" s="221"/>
      <c r="H105" s="221"/>
      <c r="I105" s="221"/>
      <c r="J105" s="221"/>
      <c r="K105" s="221"/>
      <c r="L105" s="221"/>
      <c r="M105" s="221"/>
      <c r="N105" s="221"/>
      <c r="O105" s="221"/>
      <c r="P105" s="221"/>
      <c r="Q105" s="221"/>
      <c r="R105" s="221"/>
      <c r="S105" s="221"/>
      <c r="T105" s="221"/>
      <c r="U105" s="221"/>
      <c r="V105" s="221"/>
      <c r="W105" s="221"/>
      <c r="X105" s="221"/>
      <c r="Y105" s="221"/>
      <c r="Z105" s="221"/>
    </row>
    <row r="106" customFormat="false" ht="13.5" hidden="false" customHeight="true" outlineLevel="0" collapsed="false">
      <c r="A106" s="221"/>
      <c r="B106" s="221"/>
      <c r="C106" s="221"/>
      <c r="D106" s="221"/>
      <c r="E106" s="221"/>
      <c r="F106" s="221"/>
      <c r="G106" s="221"/>
      <c r="H106" s="221"/>
      <c r="I106" s="221"/>
      <c r="J106" s="221"/>
      <c r="K106" s="221"/>
      <c r="L106" s="221"/>
      <c r="M106" s="221"/>
      <c r="N106" s="221"/>
      <c r="O106" s="221"/>
      <c r="P106" s="221"/>
      <c r="Q106" s="221"/>
      <c r="R106" s="221"/>
      <c r="S106" s="221"/>
      <c r="T106" s="221"/>
      <c r="U106" s="221"/>
      <c r="V106" s="221"/>
      <c r="W106" s="221"/>
      <c r="X106" s="221"/>
      <c r="Y106" s="221"/>
      <c r="Z106" s="221"/>
    </row>
    <row r="107" customFormat="false" ht="13.5" hidden="false" customHeight="true" outlineLevel="0" collapsed="false">
      <c r="A107" s="221"/>
      <c r="B107" s="221"/>
      <c r="C107" s="221"/>
      <c r="D107" s="221"/>
      <c r="E107" s="221"/>
      <c r="F107" s="221"/>
      <c r="G107" s="221"/>
      <c r="H107" s="221"/>
      <c r="I107" s="221"/>
      <c r="J107" s="221"/>
      <c r="K107" s="221"/>
      <c r="L107" s="221"/>
      <c r="M107" s="221"/>
      <c r="N107" s="221"/>
      <c r="O107" s="221"/>
      <c r="P107" s="221"/>
      <c r="Q107" s="221"/>
      <c r="R107" s="221"/>
      <c r="S107" s="221"/>
      <c r="T107" s="221"/>
      <c r="U107" s="221"/>
      <c r="V107" s="221"/>
      <c r="W107" s="221"/>
      <c r="X107" s="221"/>
      <c r="Y107" s="221"/>
      <c r="Z107" s="221"/>
    </row>
    <row r="108" customFormat="false" ht="13.5" hidden="false" customHeight="true" outlineLevel="0" collapsed="false">
      <c r="A108" s="221"/>
      <c r="B108" s="221"/>
      <c r="C108" s="221"/>
      <c r="D108" s="221"/>
      <c r="E108" s="221"/>
      <c r="F108" s="221"/>
      <c r="G108" s="221"/>
      <c r="H108" s="221"/>
      <c r="I108" s="221"/>
      <c r="J108" s="221"/>
      <c r="K108" s="221"/>
      <c r="L108" s="221"/>
      <c r="M108" s="221"/>
      <c r="N108" s="221"/>
      <c r="O108" s="221"/>
      <c r="P108" s="221"/>
      <c r="Q108" s="221"/>
      <c r="R108" s="221"/>
      <c r="S108" s="221"/>
      <c r="T108" s="221"/>
      <c r="U108" s="221"/>
      <c r="V108" s="221"/>
      <c r="W108" s="221"/>
      <c r="X108" s="221"/>
      <c r="Y108" s="221"/>
      <c r="Z108" s="221"/>
    </row>
    <row r="109" customFormat="false" ht="13.5" hidden="false" customHeight="true" outlineLevel="0" collapsed="false">
      <c r="A109" s="221"/>
      <c r="B109" s="221"/>
      <c r="C109" s="221"/>
      <c r="D109" s="221"/>
      <c r="E109" s="221"/>
      <c r="F109" s="221"/>
      <c r="G109" s="221"/>
      <c r="H109" s="221"/>
      <c r="I109" s="221"/>
      <c r="J109" s="221"/>
      <c r="K109" s="221"/>
      <c r="L109" s="221"/>
      <c r="M109" s="221"/>
      <c r="N109" s="221"/>
      <c r="O109" s="221"/>
      <c r="P109" s="221"/>
      <c r="Q109" s="221"/>
      <c r="R109" s="221"/>
      <c r="S109" s="221"/>
      <c r="T109" s="221"/>
      <c r="U109" s="221"/>
      <c r="V109" s="221"/>
      <c r="W109" s="221"/>
      <c r="X109" s="221"/>
      <c r="Y109" s="221"/>
      <c r="Z109" s="221"/>
    </row>
    <row r="110" customFormat="false" ht="13.5" hidden="false" customHeight="true" outlineLevel="0" collapsed="false">
      <c r="A110" s="221"/>
      <c r="B110" s="221"/>
      <c r="C110" s="221"/>
      <c r="D110" s="221"/>
      <c r="E110" s="221"/>
      <c r="F110" s="221"/>
      <c r="G110" s="221"/>
      <c r="H110" s="221"/>
      <c r="I110" s="221"/>
      <c r="J110" s="221"/>
      <c r="K110" s="221"/>
      <c r="L110" s="221"/>
      <c r="M110" s="221"/>
      <c r="N110" s="221"/>
      <c r="O110" s="221"/>
      <c r="P110" s="221"/>
      <c r="Q110" s="221"/>
      <c r="R110" s="221"/>
      <c r="S110" s="221"/>
      <c r="T110" s="221"/>
      <c r="U110" s="221"/>
      <c r="V110" s="221"/>
      <c r="W110" s="221"/>
      <c r="X110" s="221"/>
      <c r="Y110" s="221"/>
      <c r="Z110" s="221"/>
    </row>
    <row r="111" customFormat="false" ht="13.5" hidden="false" customHeight="true" outlineLevel="0" collapsed="false">
      <c r="A111" s="221"/>
      <c r="B111" s="221"/>
      <c r="C111" s="221"/>
      <c r="D111" s="221"/>
      <c r="E111" s="221"/>
      <c r="F111" s="221"/>
      <c r="G111" s="221"/>
      <c r="H111" s="221"/>
      <c r="I111" s="221"/>
      <c r="J111" s="221"/>
      <c r="K111" s="221"/>
      <c r="L111" s="221"/>
      <c r="M111" s="221"/>
      <c r="N111" s="221"/>
      <c r="O111" s="221"/>
      <c r="P111" s="221"/>
      <c r="Q111" s="221"/>
      <c r="R111" s="221"/>
      <c r="S111" s="221"/>
      <c r="T111" s="221"/>
      <c r="U111" s="221"/>
      <c r="V111" s="221"/>
      <c r="W111" s="221"/>
      <c r="X111" s="221"/>
      <c r="Y111" s="221"/>
      <c r="Z111" s="221"/>
    </row>
    <row r="112" customFormat="false" ht="13.5" hidden="false" customHeight="true" outlineLevel="0" collapsed="false">
      <c r="A112" s="221"/>
      <c r="B112" s="221"/>
      <c r="C112" s="221"/>
      <c r="D112" s="221"/>
      <c r="E112" s="221"/>
      <c r="F112" s="221"/>
      <c r="G112" s="221"/>
      <c r="H112" s="221"/>
      <c r="I112" s="221"/>
      <c r="J112" s="221"/>
      <c r="K112" s="221"/>
      <c r="L112" s="221"/>
      <c r="M112" s="221"/>
      <c r="N112" s="221"/>
      <c r="O112" s="221"/>
      <c r="P112" s="221"/>
      <c r="Q112" s="221"/>
      <c r="R112" s="221"/>
      <c r="S112" s="221"/>
      <c r="T112" s="221"/>
      <c r="U112" s="221"/>
      <c r="V112" s="221"/>
      <c r="W112" s="221"/>
      <c r="X112" s="221"/>
      <c r="Y112" s="221"/>
      <c r="Z112" s="221"/>
    </row>
    <row r="113" customFormat="false" ht="13.5" hidden="false" customHeight="true" outlineLevel="0" collapsed="false">
      <c r="A113" s="221"/>
      <c r="B113" s="221"/>
      <c r="C113" s="221"/>
      <c r="D113" s="221"/>
      <c r="E113" s="221"/>
      <c r="F113" s="221"/>
      <c r="G113" s="221"/>
      <c r="H113" s="221"/>
      <c r="I113" s="221"/>
      <c r="J113" s="221"/>
      <c r="K113" s="221"/>
      <c r="L113" s="221"/>
      <c r="M113" s="221"/>
      <c r="N113" s="221"/>
      <c r="O113" s="221"/>
      <c r="P113" s="221"/>
      <c r="Q113" s="221"/>
      <c r="R113" s="221"/>
      <c r="S113" s="221"/>
      <c r="T113" s="221"/>
      <c r="U113" s="221"/>
      <c r="V113" s="221"/>
      <c r="W113" s="221"/>
      <c r="X113" s="221"/>
      <c r="Y113" s="221"/>
      <c r="Z113" s="221"/>
    </row>
    <row r="114" customFormat="false" ht="13.5" hidden="false" customHeight="true" outlineLevel="0" collapsed="false">
      <c r="A114" s="221"/>
      <c r="B114" s="221"/>
      <c r="C114" s="221"/>
      <c r="D114" s="221"/>
      <c r="E114" s="221"/>
      <c r="F114" s="221"/>
      <c r="G114" s="221"/>
      <c r="H114" s="221"/>
      <c r="I114" s="221"/>
      <c r="J114" s="221"/>
      <c r="K114" s="221"/>
      <c r="L114" s="221"/>
      <c r="M114" s="221"/>
      <c r="N114" s="221"/>
      <c r="O114" s="221"/>
      <c r="P114" s="221"/>
      <c r="Q114" s="221"/>
      <c r="R114" s="221"/>
      <c r="S114" s="221"/>
      <c r="T114" s="221"/>
      <c r="U114" s="221"/>
      <c r="V114" s="221"/>
      <c r="W114" s="221"/>
      <c r="X114" s="221"/>
      <c r="Y114" s="221"/>
      <c r="Z114" s="221"/>
    </row>
    <row r="115" customFormat="false" ht="13.5" hidden="false" customHeight="true" outlineLevel="0" collapsed="false">
      <c r="A115" s="221"/>
      <c r="B115" s="221"/>
      <c r="C115" s="221"/>
      <c r="D115" s="221"/>
      <c r="E115" s="221"/>
      <c r="F115" s="221"/>
      <c r="G115" s="221"/>
      <c r="H115" s="221"/>
      <c r="I115" s="221"/>
      <c r="J115" s="221"/>
      <c r="K115" s="221"/>
      <c r="L115" s="221"/>
      <c r="M115" s="221"/>
      <c r="N115" s="221"/>
      <c r="O115" s="221"/>
      <c r="P115" s="221"/>
      <c r="Q115" s="221"/>
      <c r="R115" s="221"/>
      <c r="S115" s="221"/>
      <c r="T115" s="221"/>
      <c r="U115" s="221"/>
      <c r="V115" s="221"/>
      <c r="W115" s="221"/>
      <c r="X115" s="221"/>
      <c r="Y115" s="221"/>
      <c r="Z115" s="221"/>
    </row>
    <row r="116" customFormat="false" ht="13.5" hidden="false" customHeight="true" outlineLevel="0" collapsed="false">
      <c r="A116" s="221"/>
      <c r="B116" s="221"/>
      <c r="C116" s="221"/>
      <c r="D116" s="221"/>
      <c r="E116" s="221"/>
      <c r="F116" s="221"/>
      <c r="G116" s="221"/>
      <c r="H116" s="221"/>
      <c r="I116" s="221"/>
      <c r="J116" s="221"/>
      <c r="K116" s="221"/>
      <c r="L116" s="221"/>
      <c r="M116" s="221"/>
      <c r="N116" s="221"/>
      <c r="O116" s="221"/>
      <c r="P116" s="221"/>
      <c r="Q116" s="221"/>
      <c r="R116" s="221"/>
      <c r="S116" s="221"/>
      <c r="T116" s="221"/>
      <c r="U116" s="221"/>
      <c r="V116" s="221"/>
      <c r="W116" s="221"/>
      <c r="X116" s="221"/>
      <c r="Y116" s="221"/>
      <c r="Z116" s="221"/>
    </row>
    <row r="117" customFormat="false" ht="13.5" hidden="false" customHeight="true" outlineLevel="0" collapsed="false">
      <c r="A117" s="221"/>
      <c r="B117" s="221"/>
      <c r="C117" s="221"/>
      <c r="D117" s="221"/>
      <c r="E117" s="221"/>
      <c r="F117" s="221"/>
      <c r="G117" s="221"/>
      <c r="H117" s="221"/>
      <c r="I117" s="221"/>
      <c r="J117" s="221"/>
      <c r="K117" s="221"/>
      <c r="L117" s="221"/>
      <c r="M117" s="221"/>
      <c r="N117" s="221"/>
      <c r="O117" s="221"/>
      <c r="P117" s="221"/>
      <c r="Q117" s="221"/>
      <c r="R117" s="221"/>
      <c r="S117" s="221"/>
      <c r="T117" s="221"/>
      <c r="U117" s="221"/>
      <c r="V117" s="221"/>
      <c r="W117" s="221"/>
      <c r="X117" s="221"/>
      <c r="Y117" s="221"/>
      <c r="Z117" s="221"/>
    </row>
    <row r="118" customFormat="false" ht="13.5" hidden="false" customHeight="true" outlineLevel="0" collapsed="false">
      <c r="A118" s="221"/>
      <c r="B118" s="221"/>
      <c r="C118" s="221"/>
      <c r="D118" s="221"/>
      <c r="E118" s="221"/>
      <c r="F118" s="221"/>
      <c r="G118" s="221"/>
      <c r="H118" s="221"/>
      <c r="I118" s="221"/>
      <c r="J118" s="221"/>
      <c r="K118" s="221"/>
      <c r="L118" s="221"/>
      <c r="M118" s="221"/>
      <c r="N118" s="221"/>
      <c r="O118" s="221"/>
      <c r="P118" s="221"/>
      <c r="Q118" s="221"/>
      <c r="R118" s="221"/>
      <c r="S118" s="221"/>
      <c r="T118" s="221"/>
      <c r="U118" s="221"/>
      <c r="V118" s="221"/>
      <c r="W118" s="221"/>
      <c r="X118" s="221"/>
      <c r="Y118" s="221"/>
      <c r="Z118" s="221"/>
    </row>
    <row r="119" customFormat="false" ht="13.5" hidden="false" customHeight="true" outlineLevel="0" collapsed="false">
      <c r="A119" s="221"/>
      <c r="B119" s="221"/>
      <c r="C119" s="221"/>
      <c r="D119" s="221"/>
      <c r="E119" s="221"/>
      <c r="F119" s="221"/>
      <c r="G119" s="221"/>
      <c r="H119" s="221"/>
      <c r="I119" s="221"/>
      <c r="J119" s="221"/>
      <c r="K119" s="221"/>
      <c r="L119" s="221"/>
      <c r="M119" s="221"/>
      <c r="N119" s="221"/>
      <c r="O119" s="221"/>
      <c r="P119" s="221"/>
      <c r="Q119" s="221"/>
      <c r="R119" s="221"/>
      <c r="S119" s="221"/>
      <c r="T119" s="221"/>
      <c r="U119" s="221"/>
      <c r="V119" s="221"/>
      <c r="W119" s="221"/>
      <c r="X119" s="221"/>
      <c r="Y119" s="221"/>
      <c r="Z119" s="221"/>
    </row>
    <row r="120" customFormat="false" ht="13.5" hidden="false" customHeight="true" outlineLevel="0" collapsed="false">
      <c r="A120" s="221"/>
      <c r="B120" s="221"/>
      <c r="C120" s="221"/>
      <c r="D120" s="221"/>
      <c r="E120" s="221"/>
      <c r="F120" s="221"/>
      <c r="G120" s="221"/>
      <c r="H120" s="221"/>
      <c r="I120" s="221"/>
      <c r="J120" s="221"/>
      <c r="K120" s="221"/>
      <c r="L120" s="221"/>
      <c r="M120" s="221"/>
      <c r="N120" s="221"/>
      <c r="O120" s="221"/>
      <c r="P120" s="221"/>
      <c r="Q120" s="221"/>
      <c r="R120" s="221"/>
      <c r="S120" s="221"/>
      <c r="T120" s="221"/>
      <c r="U120" s="221"/>
      <c r="V120" s="221"/>
      <c r="W120" s="221"/>
      <c r="X120" s="221"/>
      <c r="Y120" s="221"/>
      <c r="Z120" s="221"/>
    </row>
    <row r="121" customFormat="false" ht="13.5" hidden="false" customHeight="true" outlineLevel="0" collapsed="false">
      <c r="A121" s="221"/>
      <c r="B121" s="221"/>
      <c r="C121" s="221"/>
      <c r="D121" s="221"/>
      <c r="E121" s="221"/>
      <c r="F121" s="221"/>
      <c r="G121" s="221"/>
      <c r="H121" s="221"/>
      <c r="I121" s="221"/>
      <c r="J121" s="221"/>
      <c r="K121" s="221"/>
      <c r="L121" s="221"/>
      <c r="M121" s="221"/>
      <c r="N121" s="221"/>
      <c r="O121" s="221"/>
      <c r="P121" s="221"/>
      <c r="Q121" s="221"/>
      <c r="R121" s="221"/>
      <c r="S121" s="221"/>
      <c r="T121" s="221"/>
      <c r="U121" s="221"/>
      <c r="V121" s="221"/>
      <c r="W121" s="221"/>
      <c r="X121" s="221"/>
      <c r="Y121" s="221"/>
      <c r="Z121" s="221"/>
    </row>
    <row r="122" customFormat="false" ht="13.5" hidden="false" customHeight="true" outlineLevel="0" collapsed="false">
      <c r="A122" s="221"/>
      <c r="B122" s="221"/>
      <c r="C122" s="221"/>
      <c r="D122" s="221"/>
      <c r="E122" s="221"/>
      <c r="F122" s="221"/>
      <c r="G122" s="221"/>
      <c r="H122" s="221"/>
      <c r="I122" s="221"/>
      <c r="J122" s="221"/>
      <c r="K122" s="221"/>
      <c r="L122" s="221"/>
      <c r="M122" s="221"/>
      <c r="N122" s="221"/>
      <c r="O122" s="221"/>
      <c r="P122" s="221"/>
      <c r="Q122" s="221"/>
      <c r="R122" s="221"/>
      <c r="S122" s="221"/>
      <c r="T122" s="221"/>
      <c r="U122" s="221"/>
      <c r="V122" s="221"/>
      <c r="W122" s="221"/>
      <c r="X122" s="221"/>
      <c r="Y122" s="221"/>
      <c r="Z122" s="221"/>
    </row>
    <row r="123" customFormat="false" ht="13.5" hidden="false" customHeight="true" outlineLevel="0" collapsed="false">
      <c r="A123" s="221"/>
      <c r="B123" s="221"/>
      <c r="C123" s="221"/>
      <c r="D123" s="221"/>
      <c r="E123" s="221"/>
      <c r="F123" s="221"/>
      <c r="G123" s="221"/>
      <c r="H123" s="221"/>
      <c r="I123" s="221"/>
      <c r="J123" s="221"/>
      <c r="K123" s="221"/>
      <c r="L123" s="221"/>
      <c r="M123" s="221"/>
      <c r="N123" s="221"/>
      <c r="O123" s="221"/>
      <c r="P123" s="221"/>
      <c r="Q123" s="221"/>
      <c r="R123" s="221"/>
      <c r="S123" s="221"/>
      <c r="T123" s="221"/>
      <c r="U123" s="221"/>
      <c r="V123" s="221"/>
      <c r="W123" s="221"/>
      <c r="X123" s="221"/>
      <c r="Y123" s="221"/>
      <c r="Z123" s="221"/>
    </row>
    <row r="124" customFormat="false" ht="13.5" hidden="false" customHeight="true" outlineLevel="0" collapsed="false">
      <c r="A124" s="221"/>
      <c r="B124" s="221"/>
      <c r="C124" s="221"/>
      <c r="D124" s="221"/>
      <c r="E124" s="221"/>
      <c r="F124" s="221"/>
      <c r="G124" s="221"/>
      <c r="H124" s="221"/>
      <c r="I124" s="221"/>
      <c r="J124" s="221"/>
      <c r="K124" s="221"/>
      <c r="L124" s="221"/>
      <c r="M124" s="221"/>
      <c r="N124" s="221"/>
      <c r="O124" s="221"/>
      <c r="P124" s="221"/>
      <c r="Q124" s="221"/>
      <c r="R124" s="221"/>
      <c r="S124" s="221"/>
      <c r="T124" s="221"/>
      <c r="U124" s="221"/>
      <c r="V124" s="221"/>
      <c r="W124" s="221"/>
      <c r="X124" s="221"/>
      <c r="Y124" s="221"/>
      <c r="Z124" s="221"/>
    </row>
    <row r="125" customFormat="false" ht="13.5" hidden="false" customHeight="true" outlineLevel="0" collapsed="false">
      <c r="A125" s="221"/>
      <c r="B125" s="221"/>
      <c r="C125" s="221"/>
      <c r="D125" s="221"/>
      <c r="E125" s="221"/>
      <c r="F125" s="221"/>
      <c r="G125" s="221"/>
      <c r="H125" s="221"/>
      <c r="I125" s="221"/>
      <c r="J125" s="221"/>
      <c r="K125" s="221"/>
      <c r="L125" s="221"/>
      <c r="M125" s="221"/>
      <c r="N125" s="221"/>
      <c r="O125" s="221"/>
      <c r="P125" s="221"/>
      <c r="Q125" s="221"/>
      <c r="R125" s="221"/>
      <c r="S125" s="221"/>
      <c r="T125" s="221"/>
      <c r="U125" s="221"/>
      <c r="V125" s="221"/>
      <c r="W125" s="221"/>
      <c r="X125" s="221"/>
      <c r="Y125" s="221"/>
      <c r="Z125" s="221"/>
    </row>
    <row r="126" customFormat="false" ht="13.5" hidden="false" customHeight="true" outlineLevel="0" collapsed="false">
      <c r="A126" s="221"/>
      <c r="B126" s="221"/>
      <c r="C126" s="221"/>
      <c r="D126" s="221"/>
      <c r="E126" s="221"/>
      <c r="F126" s="221"/>
      <c r="G126" s="221"/>
      <c r="H126" s="221"/>
      <c r="I126" s="221"/>
      <c r="J126" s="221"/>
      <c r="K126" s="221"/>
      <c r="L126" s="221"/>
      <c r="M126" s="221"/>
      <c r="N126" s="221"/>
      <c r="O126" s="221"/>
      <c r="P126" s="221"/>
      <c r="Q126" s="221"/>
      <c r="R126" s="221"/>
      <c r="S126" s="221"/>
      <c r="T126" s="221"/>
      <c r="U126" s="221"/>
      <c r="V126" s="221"/>
      <c r="W126" s="221"/>
      <c r="X126" s="221"/>
      <c r="Y126" s="221"/>
      <c r="Z126" s="221"/>
    </row>
    <row r="127" customFormat="false" ht="13.5" hidden="false" customHeight="true" outlineLevel="0" collapsed="false">
      <c r="A127" s="221"/>
      <c r="B127" s="221"/>
      <c r="C127" s="221"/>
      <c r="D127" s="221"/>
      <c r="E127" s="221"/>
      <c r="F127" s="221"/>
      <c r="G127" s="221"/>
      <c r="H127" s="221"/>
      <c r="I127" s="221"/>
      <c r="J127" s="221"/>
      <c r="K127" s="221"/>
      <c r="L127" s="221"/>
      <c r="M127" s="221"/>
      <c r="N127" s="221"/>
      <c r="O127" s="221"/>
      <c r="P127" s="221"/>
      <c r="Q127" s="221"/>
      <c r="R127" s="221"/>
      <c r="S127" s="221"/>
      <c r="T127" s="221"/>
      <c r="U127" s="221"/>
      <c r="V127" s="221"/>
      <c r="W127" s="221"/>
      <c r="X127" s="221"/>
      <c r="Y127" s="221"/>
      <c r="Z127" s="221"/>
    </row>
    <row r="128" customFormat="false" ht="13.5" hidden="false" customHeight="true" outlineLevel="0" collapsed="false">
      <c r="A128" s="221"/>
      <c r="B128" s="221"/>
      <c r="C128" s="221"/>
      <c r="D128" s="221"/>
      <c r="E128" s="221"/>
      <c r="F128" s="221"/>
      <c r="G128" s="221"/>
      <c r="H128" s="221"/>
      <c r="I128" s="221"/>
      <c r="J128" s="221"/>
      <c r="K128" s="221"/>
      <c r="L128" s="221"/>
      <c r="M128" s="221"/>
      <c r="N128" s="221"/>
      <c r="O128" s="221"/>
      <c r="P128" s="221"/>
      <c r="Q128" s="221"/>
      <c r="R128" s="221"/>
      <c r="S128" s="221"/>
      <c r="T128" s="221"/>
      <c r="U128" s="221"/>
      <c r="V128" s="221"/>
      <c r="W128" s="221"/>
      <c r="X128" s="221"/>
      <c r="Y128" s="221"/>
      <c r="Z128" s="221"/>
    </row>
    <row r="129" customFormat="false" ht="13.5" hidden="false" customHeight="true" outlineLevel="0" collapsed="false">
      <c r="A129" s="221"/>
      <c r="B129" s="221"/>
      <c r="C129" s="221"/>
      <c r="D129" s="221"/>
      <c r="E129" s="221"/>
      <c r="F129" s="221"/>
      <c r="G129" s="221"/>
      <c r="H129" s="221"/>
      <c r="I129" s="221"/>
      <c r="J129" s="221"/>
      <c r="K129" s="221"/>
      <c r="L129" s="221"/>
      <c r="M129" s="221"/>
      <c r="N129" s="221"/>
      <c r="O129" s="221"/>
      <c r="P129" s="221"/>
      <c r="Q129" s="221"/>
      <c r="R129" s="221"/>
      <c r="S129" s="221"/>
      <c r="T129" s="221"/>
      <c r="U129" s="221"/>
      <c r="V129" s="221"/>
      <c r="W129" s="221"/>
      <c r="X129" s="221"/>
      <c r="Y129" s="221"/>
      <c r="Z129" s="221"/>
    </row>
    <row r="130" customFormat="false" ht="13.5" hidden="false" customHeight="true" outlineLevel="0" collapsed="false">
      <c r="A130" s="221"/>
      <c r="B130" s="221"/>
      <c r="C130" s="221"/>
      <c r="D130" s="221"/>
      <c r="E130" s="221"/>
      <c r="F130" s="221"/>
      <c r="G130" s="221"/>
      <c r="H130" s="221"/>
      <c r="I130" s="221"/>
      <c r="J130" s="221"/>
      <c r="K130" s="221"/>
      <c r="L130" s="221"/>
      <c r="M130" s="221"/>
      <c r="N130" s="221"/>
      <c r="O130" s="221"/>
      <c r="P130" s="221"/>
      <c r="Q130" s="221"/>
      <c r="R130" s="221"/>
      <c r="S130" s="221"/>
      <c r="T130" s="221"/>
      <c r="U130" s="221"/>
      <c r="V130" s="221"/>
      <c r="W130" s="221"/>
      <c r="X130" s="221"/>
      <c r="Y130" s="221"/>
      <c r="Z130" s="221"/>
    </row>
    <row r="131" customFormat="false" ht="13.5" hidden="false" customHeight="true" outlineLevel="0" collapsed="false">
      <c r="A131" s="221"/>
      <c r="B131" s="221"/>
      <c r="C131" s="221"/>
      <c r="D131" s="221"/>
      <c r="E131" s="221"/>
      <c r="F131" s="221"/>
      <c r="G131" s="221"/>
      <c r="H131" s="221"/>
      <c r="I131" s="221"/>
      <c r="J131" s="221"/>
      <c r="K131" s="221"/>
      <c r="L131" s="221"/>
      <c r="M131" s="221"/>
      <c r="N131" s="221"/>
      <c r="O131" s="221"/>
      <c r="P131" s="221"/>
      <c r="Q131" s="221"/>
      <c r="R131" s="221"/>
      <c r="S131" s="221"/>
      <c r="T131" s="221"/>
      <c r="U131" s="221"/>
      <c r="V131" s="221"/>
      <c r="W131" s="221"/>
      <c r="X131" s="221"/>
      <c r="Y131" s="221"/>
      <c r="Z131" s="221"/>
    </row>
    <row r="132" customFormat="false" ht="13.5" hidden="false" customHeight="true" outlineLevel="0" collapsed="false">
      <c r="A132" s="221"/>
      <c r="B132" s="221"/>
      <c r="C132" s="221"/>
      <c r="D132" s="221"/>
      <c r="E132" s="221"/>
      <c r="F132" s="221"/>
      <c r="G132" s="221"/>
      <c r="H132" s="221"/>
      <c r="I132" s="221"/>
      <c r="J132" s="221"/>
      <c r="K132" s="221"/>
      <c r="L132" s="221"/>
      <c r="M132" s="221"/>
      <c r="N132" s="221"/>
      <c r="O132" s="221"/>
      <c r="P132" s="221"/>
      <c r="Q132" s="221"/>
      <c r="R132" s="221"/>
      <c r="S132" s="221"/>
      <c r="T132" s="221"/>
      <c r="U132" s="221"/>
      <c r="V132" s="221"/>
      <c r="W132" s="221"/>
      <c r="X132" s="221"/>
      <c r="Y132" s="221"/>
      <c r="Z132" s="221"/>
    </row>
    <row r="133" customFormat="false" ht="13.5" hidden="false" customHeight="true" outlineLevel="0" collapsed="false">
      <c r="A133" s="221"/>
      <c r="B133" s="221"/>
      <c r="C133" s="221"/>
      <c r="D133" s="221"/>
      <c r="E133" s="221"/>
      <c r="F133" s="221"/>
      <c r="G133" s="221"/>
      <c r="H133" s="221"/>
      <c r="I133" s="221"/>
      <c r="J133" s="221"/>
      <c r="K133" s="221"/>
      <c r="L133" s="221"/>
      <c r="M133" s="221"/>
      <c r="N133" s="221"/>
      <c r="O133" s="221"/>
      <c r="P133" s="221"/>
      <c r="Q133" s="221"/>
      <c r="R133" s="221"/>
      <c r="S133" s="221"/>
      <c r="T133" s="221"/>
      <c r="U133" s="221"/>
      <c r="V133" s="221"/>
      <c r="W133" s="221"/>
      <c r="X133" s="221"/>
      <c r="Y133" s="221"/>
      <c r="Z133" s="221"/>
    </row>
    <row r="134" customFormat="false" ht="13.5" hidden="false" customHeight="true" outlineLevel="0" collapsed="false">
      <c r="A134" s="221"/>
      <c r="B134" s="221"/>
      <c r="C134" s="221"/>
      <c r="D134" s="221"/>
      <c r="E134" s="221"/>
      <c r="F134" s="221"/>
      <c r="G134" s="221"/>
      <c r="H134" s="221"/>
      <c r="I134" s="221"/>
      <c r="J134" s="221"/>
      <c r="K134" s="221"/>
      <c r="L134" s="221"/>
      <c r="M134" s="221"/>
      <c r="N134" s="221"/>
      <c r="O134" s="221"/>
      <c r="P134" s="221"/>
      <c r="Q134" s="221"/>
      <c r="R134" s="221"/>
      <c r="S134" s="221"/>
      <c r="T134" s="221"/>
      <c r="U134" s="221"/>
      <c r="V134" s="221"/>
      <c r="W134" s="221"/>
      <c r="X134" s="221"/>
      <c r="Y134" s="221"/>
      <c r="Z134" s="221"/>
    </row>
    <row r="135" customFormat="false" ht="13.5" hidden="false" customHeight="true" outlineLevel="0" collapsed="false">
      <c r="A135" s="221"/>
      <c r="B135" s="221"/>
      <c r="C135" s="221"/>
      <c r="D135" s="221"/>
      <c r="E135" s="221"/>
      <c r="F135" s="221"/>
      <c r="G135" s="221"/>
      <c r="H135" s="221"/>
      <c r="I135" s="221"/>
      <c r="J135" s="221"/>
      <c r="K135" s="221"/>
      <c r="L135" s="221"/>
      <c r="M135" s="221"/>
      <c r="N135" s="221"/>
      <c r="O135" s="221"/>
      <c r="P135" s="221"/>
      <c r="Q135" s="221"/>
      <c r="R135" s="221"/>
      <c r="S135" s="221"/>
      <c r="T135" s="221"/>
      <c r="U135" s="221"/>
      <c r="V135" s="221"/>
      <c r="W135" s="221"/>
      <c r="X135" s="221"/>
      <c r="Y135" s="221"/>
      <c r="Z135" s="221"/>
    </row>
    <row r="136" customFormat="false" ht="13.5" hidden="false" customHeight="true" outlineLevel="0" collapsed="false">
      <c r="A136" s="221"/>
      <c r="B136" s="221"/>
      <c r="C136" s="221"/>
      <c r="D136" s="221"/>
      <c r="E136" s="221"/>
      <c r="F136" s="221"/>
      <c r="G136" s="221"/>
      <c r="H136" s="221"/>
      <c r="I136" s="221"/>
      <c r="J136" s="221"/>
      <c r="K136" s="221"/>
      <c r="L136" s="221"/>
      <c r="M136" s="221"/>
      <c r="N136" s="221"/>
      <c r="O136" s="221"/>
      <c r="P136" s="221"/>
      <c r="Q136" s="221"/>
      <c r="R136" s="221"/>
      <c r="S136" s="221"/>
      <c r="T136" s="221"/>
      <c r="U136" s="221"/>
      <c r="V136" s="221"/>
      <c r="W136" s="221"/>
      <c r="X136" s="221"/>
      <c r="Y136" s="221"/>
      <c r="Z136" s="221"/>
    </row>
    <row r="137" customFormat="false" ht="13.5" hidden="false" customHeight="true" outlineLevel="0" collapsed="false">
      <c r="A137" s="221"/>
      <c r="B137" s="221"/>
      <c r="C137" s="221"/>
      <c r="D137" s="221"/>
      <c r="E137" s="221"/>
      <c r="F137" s="221"/>
      <c r="G137" s="221"/>
      <c r="H137" s="221"/>
      <c r="I137" s="221"/>
      <c r="J137" s="221"/>
      <c r="K137" s="221"/>
      <c r="L137" s="221"/>
      <c r="M137" s="221"/>
      <c r="N137" s="221"/>
      <c r="O137" s="221"/>
      <c r="P137" s="221"/>
      <c r="Q137" s="221"/>
      <c r="R137" s="221"/>
      <c r="S137" s="221"/>
      <c r="T137" s="221"/>
      <c r="U137" s="221"/>
      <c r="V137" s="221"/>
      <c r="W137" s="221"/>
      <c r="X137" s="221"/>
      <c r="Y137" s="221"/>
      <c r="Z137" s="221"/>
    </row>
    <row r="138" customFormat="false" ht="13.5" hidden="false" customHeight="true" outlineLevel="0" collapsed="false">
      <c r="A138" s="221"/>
      <c r="B138" s="221"/>
      <c r="C138" s="221"/>
      <c r="D138" s="221"/>
      <c r="E138" s="221"/>
      <c r="F138" s="221"/>
      <c r="G138" s="221"/>
      <c r="H138" s="221"/>
      <c r="I138" s="221"/>
      <c r="J138" s="221"/>
      <c r="K138" s="221"/>
      <c r="L138" s="221"/>
      <c r="M138" s="221"/>
      <c r="N138" s="221"/>
      <c r="O138" s="221"/>
      <c r="P138" s="221"/>
      <c r="Q138" s="221"/>
      <c r="R138" s="221"/>
      <c r="S138" s="221"/>
      <c r="T138" s="221"/>
      <c r="U138" s="221"/>
      <c r="V138" s="221"/>
      <c r="W138" s="221"/>
      <c r="X138" s="221"/>
      <c r="Y138" s="221"/>
      <c r="Z138" s="221"/>
    </row>
    <row r="139" customFormat="false" ht="13.5" hidden="false" customHeight="true" outlineLevel="0" collapsed="false">
      <c r="A139" s="221"/>
      <c r="B139" s="221"/>
      <c r="C139" s="221"/>
      <c r="D139" s="221"/>
      <c r="E139" s="221"/>
      <c r="F139" s="221"/>
      <c r="G139" s="221"/>
      <c r="H139" s="221"/>
      <c r="I139" s="221"/>
      <c r="J139" s="221"/>
      <c r="K139" s="221"/>
      <c r="L139" s="221"/>
      <c r="M139" s="221"/>
      <c r="N139" s="221"/>
      <c r="O139" s="221"/>
      <c r="P139" s="221"/>
      <c r="Q139" s="221"/>
      <c r="R139" s="221"/>
      <c r="S139" s="221"/>
      <c r="T139" s="221"/>
      <c r="U139" s="221"/>
      <c r="V139" s="221"/>
      <c r="W139" s="221"/>
      <c r="X139" s="221"/>
      <c r="Y139" s="221"/>
      <c r="Z139" s="221"/>
    </row>
    <row r="140" customFormat="false" ht="13.5" hidden="false" customHeight="true" outlineLevel="0" collapsed="false">
      <c r="A140" s="221"/>
      <c r="B140" s="221"/>
      <c r="C140" s="221"/>
      <c r="D140" s="221"/>
      <c r="E140" s="221"/>
      <c r="F140" s="221"/>
      <c r="G140" s="221"/>
      <c r="H140" s="221"/>
      <c r="I140" s="221"/>
      <c r="J140" s="221"/>
      <c r="K140" s="221"/>
      <c r="L140" s="221"/>
      <c r="M140" s="221"/>
      <c r="N140" s="221"/>
      <c r="O140" s="221"/>
      <c r="P140" s="221"/>
      <c r="Q140" s="221"/>
      <c r="R140" s="221"/>
      <c r="S140" s="221"/>
      <c r="T140" s="221"/>
      <c r="U140" s="221"/>
      <c r="V140" s="221"/>
      <c r="W140" s="221"/>
      <c r="X140" s="221"/>
      <c r="Y140" s="221"/>
      <c r="Z140" s="221"/>
    </row>
    <row r="141" customFormat="false" ht="13.5" hidden="false" customHeight="true" outlineLevel="0" collapsed="false">
      <c r="A141" s="221"/>
      <c r="B141" s="221"/>
      <c r="C141" s="221"/>
      <c r="D141" s="221"/>
      <c r="E141" s="221"/>
      <c r="F141" s="221"/>
      <c r="G141" s="221"/>
      <c r="H141" s="221"/>
      <c r="I141" s="221"/>
      <c r="J141" s="221"/>
      <c r="K141" s="221"/>
      <c r="L141" s="221"/>
      <c r="M141" s="221"/>
      <c r="N141" s="221"/>
      <c r="O141" s="221"/>
      <c r="P141" s="221"/>
      <c r="Q141" s="221"/>
      <c r="R141" s="221"/>
      <c r="S141" s="221"/>
      <c r="T141" s="221"/>
      <c r="U141" s="221"/>
      <c r="V141" s="221"/>
      <c r="W141" s="221"/>
      <c r="X141" s="221"/>
      <c r="Y141" s="221"/>
      <c r="Z141" s="221"/>
    </row>
    <row r="142" customFormat="false" ht="13.5" hidden="false" customHeight="true" outlineLevel="0" collapsed="false">
      <c r="A142" s="221"/>
      <c r="B142" s="221"/>
      <c r="C142" s="221"/>
      <c r="D142" s="221"/>
      <c r="E142" s="221"/>
      <c r="F142" s="221"/>
      <c r="G142" s="221"/>
      <c r="H142" s="221"/>
      <c r="I142" s="221"/>
      <c r="J142" s="221"/>
      <c r="K142" s="221"/>
      <c r="L142" s="221"/>
      <c r="M142" s="221"/>
      <c r="N142" s="221"/>
      <c r="O142" s="221"/>
      <c r="P142" s="221"/>
      <c r="Q142" s="221"/>
      <c r="R142" s="221"/>
      <c r="S142" s="221"/>
      <c r="T142" s="221"/>
      <c r="U142" s="221"/>
      <c r="V142" s="221"/>
      <c r="W142" s="221"/>
      <c r="X142" s="221"/>
      <c r="Y142" s="221"/>
      <c r="Z142" s="221"/>
    </row>
    <row r="143" customFormat="false" ht="13.5" hidden="false" customHeight="true" outlineLevel="0" collapsed="false">
      <c r="A143" s="221"/>
      <c r="B143" s="221"/>
      <c r="C143" s="221"/>
      <c r="D143" s="221"/>
      <c r="E143" s="221"/>
      <c r="F143" s="221"/>
      <c r="G143" s="221"/>
      <c r="H143" s="221"/>
      <c r="I143" s="221"/>
      <c r="J143" s="221"/>
      <c r="K143" s="221"/>
      <c r="L143" s="221"/>
      <c r="M143" s="221"/>
      <c r="N143" s="221"/>
      <c r="O143" s="221"/>
      <c r="P143" s="221"/>
      <c r="Q143" s="221"/>
      <c r="R143" s="221"/>
      <c r="S143" s="221"/>
      <c r="T143" s="221"/>
      <c r="U143" s="221"/>
      <c r="V143" s="221"/>
      <c r="W143" s="221"/>
      <c r="X143" s="221"/>
      <c r="Y143" s="221"/>
      <c r="Z143" s="221"/>
    </row>
    <row r="144" customFormat="false" ht="13.5" hidden="false" customHeight="true" outlineLevel="0" collapsed="false">
      <c r="A144" s="221"/>
      <c r="B144" s="221"/>
      <c r="C144" s="221"/>
      <c r="D144" s="221"/>
      <c r="E144" s="221"/>
      <c r="F144" s="221"/>
      <c r="G144" s="221"/>
      <c r="H144" s="221"/>
      <c r="I144" s="221"/>
      <c r="J144" s="221"/>
      <c r="K144" s="221"/>
      <c r="L144" s="221"/>
      <c r="M144" s="221"/>
      <c r="N144" s="221"/>
      <c r="O144" s="221"/>
      <c r="P144" s="221"/>
      <c r="Q144" s="221"/>
      <c r="R144" s="221"/>
      <c r="S144" s="221"/>
      <c r="T144" s="221"/>
      <c r="U144" s="221"/>
      <c r="V144" s="221"/>
      <c r="W144" s="221"/>
      <c r="X144" s="221"/>
      <c r="Y144" s="221"/>
      <c r="Z144" s="221"/>
    </row>
    <row r="145" customFormat="false" ht="13.5" hidden="false" customHeight="true" outlineLevel="0" collapsed="false">
      <c r="A145" s="221"/>
      <c r="B145" s="221"/>
      <c r="C145" s="221"/>
      <c r="D145" s="221"/>
      <c r="E145" s="221"/>
      <c r="F145" s="221"/>
      <c r="G145" s="221"/>
      <c r="H145" s="221"/>
      <c r="I145" s="221"/>
      <c r="J145" s="221"/>
      <c r="K145" s="221"/>
      <c r="L145" s="221"/>
      <c r="M145" s="221"/>
      <c r="N145" s="221"/>
      <c r="O145" s="221"/>
      <c r="P145" s="221"/>
      <c r="Q145" s="221"/>
      <c r="R145" s="221"/>
      <c r="S145" s="221"/>
      <c r="T145" s="221"/>
      <c r="U145" s="221"/>
      <c r="V145" s="221"/>
      <c r="W145" s="221"/>
      <c r="X145" s="221"/>
      <c r="Y145" s="221"/>
      <c r="Z145" s="221"/>
    </row>
    <row r="146" customFormat="false" ht="13.5" hidden="false" customHeight="true" outlineLevel="0" collapsed="false">
      <c r="A146" s="221"/>
      <c r="B146" s="221"/>
      <c r="C146" s="221"/>
      <c r="D146" s="221"/>
      <c r="E146" s="221"/>
      <c r="F146" s="221"/>
      <c r="G146" s="221"/>
      <c r="H146" s="221"/>
      <c r="I146" s="221"/>
      <c r="J146" s="221"/>
      <c r="K146" s="221"/>
      <c r="L146" s="221"/>
      <c r="M146" s="221"/>
      <c r="N146" s="221"/>
      <c r="O146" s="221"/>
      <c r="P146" s="221"/>
      <c r="Q146" s="221"/>
      <c r="R146" s="221"/>
      <c r="S146" s="221"/>
      <c r="T146" s="221"/>
      <c r="U146" s="221"/>
      <c r="V146" s="221"/>
      <c r="W146" s="221"/>
      <c r="X146" s="221"/>
      <c r="Y146" s="221"/>
      <c r="Z146" s="221"/>
    </row>
    <row r="147" customFormat="false" ht="13.5" hidden="false" customHeight="true" outlineLevel="0" collapsed="false">
      <c r="A147" s="221"/>
      <c r="B147" s="221"/>
      <c r="C147" s="221"/>
      <c r="D147" s="221"/>
      <c r="E147" s="221"/>
      <c r="F147" s="221"/>
      <c r="G147" s="221"/>
      <c r="H147" s="221"/>
      <c r="I147" s="221"/>
      <c r="J147" s="221"/>
      <c r="K147" s="221"/>
      <c r="L147" s="221"/>
      <c r="M147" s="221"/>
      <c r="N147" s="221"/>
      <c r="O147" s="221"/>
      <c r="P147" s="221"/>
      <c r="Q147" s="221"/>
      <c r="R147" s="221"/>
      <c r="S147" s="221"/>
      <c r="T147" s="221"/>
      <c r="U147" s="221"/>
      <c r="V147" s="221"/>
      <c r="W147" s="221"/>
      <c r="X147" s="221"/>
      <c r="Y147" s="221"/>
      <c r="Z147" s="221"/>
    </row>
    <row r="148" customFormat="false" ht="13.5" hidden="false" customHeight="true" outlineLevel="0" collapsed="false">
      <c r="A148" s="221"/>
      <c r="B148" s="221"/>
      <c r="C148" s="221"/>
      <c r="D148" s="221"/>
      <c r="E148" s="221"/>
      <c r="F148" s="221"/>
      <c r="G148" s="221"/>
      <c r="H148" s="221"/>
      <c r="I148" s="221"/>
      <c r="J148" s="221"/>
      <c r="K148" s="221"/>
      <c r="L148" s="221"/>
      <c r="M148" s="221"/>
      <c r="N148" s="221"/>
      <c r="O148" s="221"/>
      <c r="P148" s="221"/>
      <c r="Q148" s="221"/>
      <c r="R148" s="221"/>
      <c r="S148" s="221"/>
      <c r="T148" s="221"/>
      <c r="U148" s="221"/>
      <c r="V148" s="221"/>
      <c r="W148" s="221"/>
      <c r="X148" s="221"/>
      <c r="Y148" s="221"/>
      <c r="Z148" s="221"/>
    </row>
    <row r="149" customFormat="false" ht="13.5" hidden="false" customHeight="true" outlineLevel="0" collapsed="false">
      <c r="A149" s="221"/>
      <c r="B149" s="221"/>
      <c r="C149" s="221"/>
      <c r="D149" s="221"/>
      <c r="E149" s="221"/>
      <c r="F149" s="221"/>
      <c r="G149" s="221"/>
      <c r="H149" s="221"/>
      <c r="I149" s="221"/>
      <c r="J149" s="221"/>
      <c r="K149" s="221"/>
      <c r="L149" s="221"/>
      <c r="M149" s="221"/>
      <c r="N149" s="221"/>
      <c r="O149" s="221"/>
      <c r="P149" s="221"/>
      <c r="Q149" s="221"/>
      <c r="R149" s="221"/>
      <c r="S149" s="221"/>
      <c r="T149" s="221"/>
      <c r="U149" s="221"/>
      <c r="V149" s="221"/>
      <c r="W149" s="221"/>
      <c r="X149" s="221"/>
      <c r="Y149" s="221"/>
      <c r="Z149" s="221"/>
    </row>
    <row r="150" customFormat="false" ht="13.5" hidden="false" customHeight="true" outlineLevel="0" collapsed="false">
      <c r="A150" s="221"/>
      <c r="B150" s="221"/>
      <c r="C150" s="221"/>
      <c r="D150" s="221"/>
      <c r="E150" s="221"/>
      <c r="F150" s="221"/>
      <c r="G150" s="221"/>
      <c r="H150" s="221"/>
      <c r="I150" s="221"/>
      <c r="J150" s="221"/>
      <c r="K150" s="221"/>
      <c r="L150" s="221"/>
      <c r="M150" s="221"/>
      <c r="N150" s="221"/>
      <c r="O150" s="221"/>
      <c r="P150" s="221"/>
      <c r="Q150" s="221"/>
      <c r="R150" s="221"/>
      <c r="S150" s="221"/>
      <c r="T150" s="221"/>
      <c r="U150" s="221"/>
      <c r="V150" s="221"/>
      <c r="W150" s="221"/>
      <c r="X150" s="221"/>
      <c r="Y150" s="221"/>
      <c r="Z150" s="221"/>
    </row>
    <row r="151" customFormat="false" ht="13.5" hidden="false" customHeight="true" outlineLevel="0" collapsed="false">
      <c r="A151" s="221"/>
      <c r="B151" s="221"/>
      <c r="C151" s="221"/>
      <c r="D151" s="221"/>
      <c r="E151" s="221"/>
      <c r="F151" s="221"/>
      <c r="G151" s="221"/>
      <c r="H151" s="221"/>
      <c r="I151" s="221"/>
      <c r="J151" s="221"/>
      <c r="K151" s="221"/>
      <c r="L151" s="221"/>
      <c r="M151" s="221"/>
      <c r="N151" s="221"/>
      <c r="O151" s="221"/>
      <c r="P151" s="221"/>
      <c r="Q151" s="221"/>
      <c r="R151" s="221"/>
      <c r="S151" s="221"/>
      <c r="T151" s="221"/>
      <c r="U151" s="221"/>
      <c r="V151" s="221"/>
      <c r="W151" s="221"/>
      <c r="X151" s="221"/>
      <c r="Y151" s="221"/>
      <c r="Z151" s="221"/>
    </row>
    <row r="152" customFormat="false" ht="13.5" hidden="false" customHeight="true" outlineLevel="0" collapsed="false">
      <c r="A152" s="221"/>
      <c r="B152" s="221"/>
      <c r="C152" s="221"/>
      <c r="D152" s="221"/>
      <c r="E152" s="221"/>
      <c r="F152" s="221"/>
      <c r="G152" s="221"/>
      <c r="H152" s="221"/>
      <c r="I152" s="221"/>
      <c r="J152" s="221"/>
      <c r="K152" s="221"/>
      <c r="L152" s="221"/>
      <c r="M152" s="221"/>
      <c r="N152" s="221"/>
      <c r="O152" s="221"/>
      <c r="P152" s="221"/>
      <c r="Q152" s="221"/>
      <c r="R152" s="221"/>
      <c r="S152" s="221"/>
      <c r="T152" s="221"/>
      <c r="U152" s="221"/>
      <c r="V152" s="221"/>
      <c r="W152" s="221"/>
      <c r="X152" s="221"/>
      <c r="Y152" s="221"/>
      <c r="Z152" s="221"/>
    </row>
    <row r="153" customFormat="false" ht="13.5" hidden="false" customHeight="true" outlineLevel="0" collapsed="false">
      <c r="A153" s="221"/>
      <c r="B153" s="221"/>
      <c r="C153" s="221"/>
      <c r="D153" s="221"/>
      <c r="E153" s="221"/>
      <c r="F153" s="221"/>
      <c r="G153" s="221"/>
      <c r="H153" s="221"/>
      <c r="I153" s="221"/>
      <c r="J153" s="221"/>
      <c r="K153" s="221"/>
      <c r="L153" s="221"/>
      <c r="M153" s="221"/>
      <c r="N153" s="221"/>
      <c r="O153" s="221"/>
      <c r="P153" s="221"/>
      <c r="Q153" s="221"/>
      <c r="R153" s="221"/>
      <c r="S153" s="221"/>
      <c r="T153" s="221"/>
      <c r="U153" s="221"/>
      <c r="V153" s="221"/>
      <c r="W153" s="221"/>
      <c r="X153" s="221"/>
      <c r="Y153" s="221"/>
      <c r="Z153" s="221"/>
    </row>
    <row r="154" customFormat="false" ht="13.5" hidden="false" customHeight="true" outlineLevel="0" collapsed="false">
      <c r="A154" s="221"/>
      <c r="B154" s="221"/>
      <c r="C154" s="221"/>
      <c r="D154" s="221"/>
      <c r="E154" s="221"/>
      <c r="F154" s="221"/>
      <c r="G154" s="221"/>
      <c r="H154" s="221"/>
      <c r="I154" s="221"/>
      <c r="J154" s="221"/>
      <c r="K154" s="221"/>
      <c r="L154" s="221"/>
      <c r="M154" s="221"/>
      <c r="N154" s="221"/>
      <c r="O154" s="221"/>
      <c r="P154" s="221"/>
      <c r="Q154" s="221"/>
      <c r="R154" s="221"/>
      <c r="S154" s="221"/>
      <c r="T154" s="221"/>
      <c r="U154" s="221"/>
      <c r="V154" s="221"/>
      <c r="W154" s="221"/>
      <c r="X154" s="221"/>
      <c r="Y154" s="221"/>
      <c r="Z154" s="221"/>
    </row>
    <row r="155" customFormat="false" ht="13.5" hidden="false" customHeight="true" outlineLevel="0" collapsed="false">
      <c r="A155" s="221"/>
      <c r="B155" s="221"/>
      <c r="C155" s="221"/>
      <c r="D155" s="221"/>
      <c r="E155" s="221"/>
      <c r="F155" s="221"/>
      <c r="G155" s="221"/>
      <c r="H155" s="221"/>
      <c r="I155" s="221"/>
      <c r="J155" s="221"/>
      <c r="K155" s="221"/>
      <c r="L155" s="221"/>
      <c r="M155" s="221"/>
      <c r="N155" s="221"/>
      <c r="O155" s="221"/>
      <c r="P155" s="221"/>
      <c r="Q155" s="221"/>
      <c r="R155" s="221"/>
      <c r="S155" s="221"/>
      <c r="T155" s="221"/>
      <c r="U155" s="221"/>
      <c r="V155" s="221"/>
      <c r="W155" s="221"/>
      <c r="X155" s="221"/>
      <c r="Y155" s="221"/>
      <c r="Z155" s="221"/>
    </row>
    <row r="156" customFormat="false" ht="13.5" hidden="false" customHeight="true" outlineLevel="0" collapsed="false">
      <c r="A156" s="221"/>
      <c r="B156" s="221"/>
      <c r="C156" s="221"/>
      <c r="D156" s="221"/>
      <c r="E156" s="221"/>
      <c r="F156" s="221"/>
      <c r="G156" s="221"/>
      <c r="H156" s="221"/>
      <c r="I156" s="221"/>
      <c r="J156" s="221"/>
      <c r="K156" s="221"/>
      <c r="L156" s="221"/>
      <c r="M156" s="221"/>
      <c r="N156" s="221"/>
      <c r="O156" s="221"/>
      <c r="P156" s="221"/>
      <c r="Q156" s="221"/>
      <c r="R156" s="221"/>
      <c r="S156" s="221"/>
      <c r="T156" s="221"/>
      <c r="U156" s="221"/>
      <c r="V156" s="221"/>
      <c r="W156" s="221"/>
      <c r="X156" s="221"/>
      <c r="Y156" s="221"/>
      <c r="Z156" s="221"/>
    </row>
    <row r="157" customFormat="false" ht="13.5" hidden="false" customHeight="true" outlineLevel="0" collapsed="false">
      <c r="A157" s="221"/>
      <c r="B157" s="221"/>
      <c r="C157" s="221"/>
      <c r="D157" s="221"/>
      <c r="E157" s="221"/>
      <c r="F157" s="221"/>
      <c r="G157" s="221"/>
      <c r="H157" s="221"/>
      <c r="I157" s="221"/>
      <c r="J157" s="221"/>
      <c r="K157" s="221"/>
      <c r="L157" s="221"/>
      <c r="M157" s="221"/>
      <c r="N157" s="221"/>
      <c r="O157" s="221"/>
      <c r="P157" s="221"/>
      <c r="Q157" s="221"/>
      <c r="R157" s="221"/>
      <c r="S157" s="221"/>
      <c r="T157" s="221"/>
      <c r="U157" s="221"/>
      <c r="V157" s="221"/>
      <c r="W157" s="221"/>
      <c r="X157" s="221"/>
      <c r="Y157" s="221"/>
      <c r="Z157" s="221"/>
    </row>
    <row r="158" customFormat="false" ht="13.5" hidden="false" customHeight="true" outlineLevel="0" collapsed="false">
      <c r="A158" s="221"/>
      <c r="B158" s="221"/>
      <c r="C158" s="221"/>
      <c r="D158" s="221"/>
      <c r="E158" s="221"/>
      <c r="F158" s="221"/>
      <c r="G158" s="221"/>
      <c r="H158" s="221"/>
      <c r="I158" s="221"/>
      <c r="J158" s="221"/>
      <c r="K158" s="221"/>
      <c r="L158" s="221"/>
      <c r="M158" s="221"/>
      <c r="N158" s="221"/>
      <c r="O158" s="221"/>
      <c r="P158" s="221"/>
      <c r="Q158" s="221"/>
      <c r="R158" s="221"/>
      <c r="S158" s="221"/>
      <c r="T158" s="221"/>
      <c r="U158" s="221"/>
      <c r="V158" s="221"/>
      <c r="W158" s="221"/>
      <c r="X158" s="221"/>
      <c r="Y158" s="221"/>
      <c r="Z158" s="221"/>
    </row>
    <row r="159" customFormat="false" ht="13.5" hidden="false" customHeight="true" outlineLevel="0" collapsed="false">
      <c r="A159" s="221"/>
      <c r="B159" s="221"/>
      <c r="C159" s="221"/>
      <c r="D159" s="221"/>
      <c r="E159" s="221"/>
      <c r="F159" s="221"/>
      <c r="G159" s="221"/>
      <c r="H159" s="221"/>
      <c r="I159" s="221"/>
      <c r="J159" s="221"/>
      <c r="K159" s="221"/>
      <c r="L159" s="221"/>
      <c r="M159" s="221"/>
      <c r="N159" s="221"/>
      <c r="O159" s="221"/>
      <c r="P159" s="221"/>
      <c r="Q159" s="221"/>
      <c r="R159" s="221"/>
      <c r="S159" s="221"/>
      <c r="T159" s="221"/>
      <c r="U159" s="221"/>
      <c r="V159" s="221"/>
      <c r="W159" s="221"/>
      <c r="X159" s="221"/>
      <c r="Y159" s="221"/>
      <c r="Z159" s="221"/>
    </row>
    <row r="160" customFormat="false" ht="13.5" hidden="false" customHeight="true" outlineLevel="0" collapsed="false">
      <c r="A160" s="221"/>
      <c r="B160" s="221"/>
      <c r="C160" s="221"/>
      <c r="D160" s="221"/>
      <c r="E160" s="221"/>
      <c r="F160" s="221"/>
      <c r="G160" s="221"/>
      <c r="H160" s="221"/>
      <c r="I160" s="221"/>
      <c r="J160" s="221"/>
      <c r="K160" s="221"/>
      <c r="L160" s="221"/>
      <c r="M160" s="221"/>
      <c r="N160" s="221"/>
      <c r="O160" s="221"/>
      <c r="P160" s="221"/>
      <c r="Q160" s="221"/>
      <c r="R160" s="221"/>
      <c r="S160" s="221"/>
      <c r="T160" s="221"/>
      <c r="U160" s="221"/>
      <c r="V160" s="221"/>
      <c r="W160" s="221"/>
      <c r="X160" s="221"/>
      <c r="Y160" s="221"/>
      <c r="Z160" s="221"/>
    </row>
    <row r="161" customFormat="false" ht="13.5" hidden="false" customHeight="true" outlineLevel="0" collapsed="false">
      <c r="A161" s="221"/>
      <c r="B161" s="221"/>
      <c r="C161" s="221"/>
      <c r="D161" s="221"/>
      <c r="E161" s="221"/>
      <c r="F161" s="221"/>
      <c r="G161" s="221"/>
      <c r="H161" s="221"/>
      <c r="I161" s="221"/>
      <c r="J161" s="221"/>
      <c r="K161" s="221"/>
      <c r="L161" s="221"/>
      <c r="M161" s="221"/>
      <c r="N161" s="221"/>
      <c r="O161" s="221"/>
      <c r="P161" s="221"/>
      <c r="Q161" s="221"/>
      <c r="R161" s="221"/>
      <c r="S161" s="221"/>
      <c r="T161" s="221"/>
      <c r="U161" s="221"/>
      <c r="V161" s="221"/>
      <c r="W161" s="221"/>
      <c r="X161" s="221"/>
      <c r="Y161" s="221"/>
      <c r="Z161" s="221"/>
    </row>
    <row r="162" customFormat="false" ht="13.5" hidden="false" customHeight="true" outlineLevel="0" collapsed="false">
      <c r="A162" s="221"/>
      <c r="B162" s="221"/>
      <c r="C162" s="221"/>
      <c r="D162" s="221"/>
      <c r="E162" s="221"/>
      <c r="F162" s="221"/>
      <c r="G162" s="221"/>
      <c r="H162" s="221"/>
      <c r="I162" s="221"/>
      <c r="J162" s="221"/>
      <c r="K162" s="221"/>
      <c r="L162" s="221"/>
      <c r="M162" s="221"/>
      <c r="N162" s="221"/>
      <c r="O162" s="221"/>
      <c r="P162" s="221"/>
      <c r="Q162" s="221"/>
      <c r="R162" s="221"/>
      <c r="S162" s="221"/>
      <c r="T162" s="221"/>
      <c r="U162" s="221"/>
      <c r="V162" s="221"/>
      <c r="W162" s="221"/>
      <c r="X162" s="221"/>
      <c r="Y162" s="221"/>
      <c r="Z162" s="221"/>
    </row>
    <row r="163" customFormat="false" ht="13.5" hidden="false" customHeight="true" outlineLevel="0" collapsed="false">
      <c r="A163" s="221"/>
      <c r="B163" s="221"/>
      <c r="C163" s="221"/>
      <c r="D163" s="221"/>
      <c r="E163" s="221"/>
      <c r="F163" s="221"/>
      <c r="G163" s="221"/>
      <c r="H163" s="221"/>
      <c r="I163" s="221"/>
      <c r="J163" s="221"/>
      <c r="K163" s="221"/>
      <c r="L163" s="221"/>
      <c r="M163" s="221"/>
      <c r="N163" s="221"/>
      <c r="O163" s="221"/>
      <c r="P163" s="221"/>
      <c r="Q163" s="221"/>
      <c r="R163" s="221"/>
      <c r="S163" s="221"/>
      <c r="T163" s="221"/>
      <c r="U163" s="221"/>
      <c r="V163" s="221"/>
      <c r="W163" s="221"/>
      <c r="X163" s="221"/>
      <c r="Y163" s="221"/>
      <c r="Z163" s="221"/>
    </row>
    <row r="164" customFormat="false" ht="13.5" hidden="false" customHeight="true" outlineLevel="0" collapsed="false">
      <c r="A164" s="221"/>
      <c r="B164" s="221"/>
      <c r="C164" s="221"/>
      <c r="D164" s="221"/>
      <c r="E164" s="221"/>
      <c r="F164" s="221"/>
      <c r="G164" s="221"/>
      <c r="H164" s="221"/>
      <c r="I164" s="221"/>
      <c r="J164" s="221"/>
      <c r="K164" s="221"/>
      <c r="L164" s="221"/>
      <c r="M164" s="221"/>
      <c r="N164" s="221"/>
      <c r="O164" s="221"/>
      <c r="P164" s="221"/>
      <c r="Q164" s="221"/>
      <c r="R164" s="221"/>
      <c r="S164" s="221"/>
      <c r="T164" s="221"/>
      <c r="U164" s="221"/>
      <c r="V164" s="221"/>
      <c r="W164" s="221"/>
      <c r="X164" s="221"/>
      <c r="Y164" s="221"/>
      <c r="Z164" s="221"/>
    </row>
    <row r="165" customFormat="false" ht="13.5" hidden="false" customHeight="true" outlineLevel="0" collapsed="false">
      <c r="A165" s="221"/>
      <c r="B165" s="221"/>
      <c r="C165" s="221"/>
      <c r="D165" s="221"/>
      <c r="E165" s="221"/>
      <c r="F165" s="221"/>
      <c r="G165" s="221"/>
      <c r="H165" s="221"/>
      <c r="I165" s="221"/>
      <c r="J165" s="221"/>
      <c r="K165" s="221"/>
      <c r="L165" s="221"/>
      <c r="M165" s="221"/>
      <c r="N165" s="221"/>
      <c r="O165" s="221"/>
      <c r="P165" s="221"/>
      <c r="Q165" s="221"/>
      <c r="R165" s="221"/>
      <c r="S165" s="221"/>
      <c r="T165" s="221"/>
      <c r="U165" s="221"/>
      <c r="V165" s="221"/>
      <c r="W165" s="221"/>
      <c r="X165" s="221"/>
      <c r="Y165" s="221"/>
      <c r="Z165" s="221"/>
    </row>
    <row r="166" customFormat="false" ht="13.5" hidden="false" customHeight="true" outlineLevel="0" collapsed="false">
      <c r="A166" s="221"/>
      <c r="B166" s="221"/>
      <c r="C166" s="221"/>
      <c r="D166" s="221"/>
      <c r="E166" s="221"/>
      <c r="F166" s="221"/>
      <c r="G166" s="221"/>
      <c r="H166" s="221"/>
      <c r="I166" s="221"/>
      <c r="J166" s="221"/>
      <c r="K166" s="221"/>
      <c r="L166" s="221"/>
      <c r="M166" s="221"/>
      <c r="N166" s="221"/>
      <c r="O166" s="221"/>
      <c r="P166" s="221"/>
      <c r="Q166" s="221"/>
      <c r="R166" s="221"/>
      <c r="S166" s="221"/>
      <c r="T166" s="221"/>
      <c r="U166" s="221"/>
      <c r="V166" s="221"/>
      <c r="W166" s="221"/>
      <c r="X166" s="221"/>
      <c r="Y166" s="221"/>
      <c r="Z166" s="221"/>
    </row>
    <row r="167" customFormat="false" ht="13.5" hidden="false" customHeight="true" outlineLevel="0" collapsed="false">
      <c r="A167" s="221"/>
      <c r="B167" s="221"/>
      <c r="C167" s="221"/>
      <c r="D167" s="221"/>
      <c r="E167" s="221"/>
      <c r="F167" s="221"/>
      <c r="G167" s="221"/>
      <c r="H167" s="221"/>
      <c r="I167" s="221"/>
      <c r="J167" s="221"/>
      <c r="K167" s="221"/>
      <c r="L167" s="221"/>
      <c r="M167" s="221"/>
      <c r="N167" s="221"/>
      <c r="O167" s="221"/>
      <c r="P167" s="221"/>
      <c r="Q167" s="221"/>
      <c r="R167" s="221"/>
      <c r="S167" s="221"/>
      <c r="T167" s="221"/>
      <c r="U167" s="221"/>
      <c r="V167" s="221"/>
      <c r="W167" s="221"/>
      <c r="X167" s="221"/>
      <c r="Y167" s="221"/>
      <c r="Z167" s="221"/>
    </row>
    <row r="168" customFormat="false" ht="13.5" hidden="false" customHeight="true" outlineLevel="0" collapsed="false">
      <c r="A168" s="221"/>
      <c r="B168" s="221"/>
      <c r="C168" s="221"/>
      <c r="D168" s="221"/>
      <c r="E168" s="221"/>
      <c r="F168" s="221"/>
      <c r="G168" s="221"/>
      <c r="H168" s="221"/>
      <c r="I168" s="221"/>
      <c r="J168" s="221"/>
      <c r="K168" s="221"/>
      <c r="L168" s="221"/>
      <c r="M168" s="221"/>
      <c r="N168" s="221"/>
      <c r="O168" s="221"/>
      <c r="P168" s="221"/>
      <c r="Q168" s="221"/>
      <c r="R168" s="221"/>
      <c r="S168" s="221"/>
      <c r="T168" s="221"/>
      <c r="U168" s="221"/>
      <c r="V168" s="221"/>
      <c r="W168" s="221"/>
      <c r="X168" s="221"/>
      <c r="Y168" s="221"/>
      <c r="Z168" s="221"/>
    </row>
    <row r="169" customFormat="false" ht="13.5" hidden="false" customHeight="true" outlineLevel="0" collapsed="false">
      <c r="A169" s="221"/>
      <c r="B169" s="221"/>
      <c r="C169" s="221"/>
      <c r="D169" s="221"/>
      <c r="E169" s="221"/>
      <c r="F169" s="221"/>
      <c r="G169" s="221"/>
      <c r="H169" s="221"/>
      <c r="I169" s="221"/>
      <c r="J169" s="221"/>
      <c r="K169" s="221"/>
      <c r="L169" s="221"/>
      <c r="M169" s="221"/>
      <c r="N169" s="221"/>
      <c r="O169" s="221"/>
      <c r="P169" s="221"/>
      <c r="Q169" s="221"/>
      <c r="R169" s="221"/>
      <c r="S169" s="221"/>
      <c r="T169" s="221"/>
      <c r="U169" s="221"/>
      <c r="V169" s="221"/>
      <c r="W169" s="221"/>
      <c r="X169" s="221"/>
      <c r="Y169" s="221"/>
      <c r="Z169" s="221"/>
    </row>
    <row r="170" customFormat="false" ht="13.5" hidden="false" customHeight="true" outlineLevel="0" collapsed="false">
      <c r="A170" s="221"/>
      <c r="B170" s="221"/>
      <c r="C170" s="221"/>
      <c r="D170" s="221"/>
      <c r="E170" s="221"/>
      <c r="F170" s="221"/>
      <c r="G170" s="221"/>
      <c r="H170" s="221"/>
      <c r="I170" s="221"/>
      <c r="J170" s="221"/>
      <c r="K170" s="221"/>
      <c r="L170" s="221"/>
      <c r="M170" s="221"/>
      <c r="N170" s="221"/>
      <c r="O170" s="221"/>
      <c r="P170" s="221"/>
      <c r="Q170" s="221"/>
      <c r="R170" s="221"/>
      <c r="S170" s="221"/>
      <c r="T170" s="221"/>
      <c r="U170" s="221"/>
      <c r="V170" s="221"/>
      <c r="W170" s="221"/>
      <c r="X170" s="221"/>
      <c r="Y170" s="221"/>
      <c r="Z170" s="221"/>
    </row>
    <row r="171" customFormat="false" ht="13.5" hidden="false" customHeight="true" outlineLevel="0" collapsed="false">
      <c r="A171" s="221"/>
      <c r="B171" s="221"/>
      <c r="C171" s="221"/>
      <c r="D171" s="221"/>
      <c r="E171" s="221"/>
      <c r="F171" s="221"/>
      <c r="G171" s="221"/>
      <c r="H171" s="221"/>
      <c r="I171" s="221"/>
      <c r="J171" s="221"/>
      <c r="K171" s="221"/>
      <c r="L171" s="221"/>
      <c r="M171" s="221"/>
      <c r="N171" s="221"/>
      <c r="O171" s="221"/>
      <c r="P171" s="221"/>
      <c r="Q171" s="221"/>
      <c r="R171" s="221"/>
      <c r="S171" s="221"/>
      <c r="T171" s="221"/>
      <c r="U171" s="221"/>
      <c r="V171" s="221"/>
      <c r="W171" s="221"/>
      <c r="X171" s="221"/>
      <c r="Y171" s="221"/>
      <c r="Z171" s="221"/>
    </row>
    <row r="172" customFormat="false" ht="13.5" hidden="false" customHeight="true" outlineLevel="0" collapsed="false">
      <c r="A172" s="221"/>
      <c r="B172" s="221"/>
      <c r="C172" s="221"/>
      <c r="D172" s="221"/>
      <c r="E172" s="221"/>
      <c r="F172" s="221"/>
      <c r="G172" s="221"/>
      <c r="H172" s="221"/>
      <c r="I172" s="221"/>
      <c r="J172" s="221"/>
      <c r="K172" s="221"/>
      <c r="L172" s="221"/>
      <c r="M172" s="221"/>
      <c r="N172" s="221"/>
      <c r="O172" s="221"/>
      <c r="P172" s="221"/>
      <c r="Q172" s="221"/>
      <c r="R172" s="221"/>
      <c r="S172" s="221"/>
      <c r="T172" s="221"/>
      <c r="U172" s="221"/>
      <c r="V172" s="221"/>
      <c r="W172" s="221"/>
      <c r="X172" s="221"/>
      <c r="Y172" s="221"/>
      <c r="Z172" s="221"/>
    </row>
    <row r="173" customFormat="false" ht="13.5" hidden="false" customHeight="true" outlineLevel="0" collapsed="false">
      <c r="A173" s="221"/>
      <c r="B173" s="221"/>
      <c r="C173" s="221"/>
      <c r="D173" s="221"/>
      <c r="E173" s="221"/>
      <c r="F173" s="221"/>
      <c r="G173" s="221"/>
      <c r="H173" s="221"/>
      <c r="I173" s="221"/>
      <c r="J173" s="221"/>
      <c r="K173" s="221"/>
      <c r="L173" s="221"/>
      <c r="M173" s="221"/>
      <c r="N173" s="221"/>
      <c r="O173" s="221"/>
      <c r="P173" s="221"/>
      <c r="Q173" s="221"/>
      <c r="R173" s="221"/>
      <c r="S173" s="221"/>
      <c r="T173" s="221"/>
      <c r="U173" s="221"/>
      <c r="V173" s="221"/>
      <c r="W173" s="221"/>
      <c r="X173" s="221"/>
      <c r="Y173" s="221"/>
      <c r="Z173" s="221"/>
    </row>
    <row r="174" customFormat="false" ht="13.5" hidden="false" customHeight="true" outlineLevel="0" collapsed="false">
      <c r="A174" s="221"/>
      <c r="B174" s="221"/>
      <c r="C174" s="221"/>
      <c r="D174" s="221"/>
      <c r="E174" s="221"/>
      <c r="F174" s="221"/>
      <c r="G174" s="221"/>
      <c r="H174" s="221"/>
      <c r="I174" s="221"/>
      <c r="J174" s="221"/>
      <c r="K174" s="221"/>
      <c r="L174" s="221"/>
      <c r="M174" s="221"/>
      <c r="N174" s="221"/>
      <c r="O174" s="221"/>
      <c r="P174" s="221"/>
      <c r="Q174" s="221"/>
      <c r="R174" s="221"/>
      <c r="S174" s="221"/>
      <c r="T174" s="221"/>
      <c r="U174" s="221"/>
      <c r="V174" s="221"/>
      <c r="W174" s="221"/>
      <c r="X174" s="221"/>
      <c r="Y174" s="221"/>
      <c r="Z174" s="221"/>
    </row>
    <row r="175" customFormat="false" ht="13.5" hidden="false" customHeight="true" outlineLevel="0" collapsed="false">
      <c r="A175" s="221"/>
      <c r="B175" s="221"/>
      <c r="C175" s="221"/>
      <c r="D175" s="221"/>
      <c r="E175" s="221"/>
      <c r="F175" s="221"/>
      <c r="G175" s="221"/>
      <c r="H175" s="221"/>
      <c r="I175" s="221"/>
      <c r="J175" s="221"/>
      <c r="K175" s="221"/>
      <c r="L175" s="221"/>
      <c r="M175" s="221"/>
      <c r="N175" s="221"/>
      <c r="O175" s="221"/>
      <c r="P175" s="221"/>
      <c r="Q175" s="221"/>
      <c r="R175" s="221"/>
      <c r="S175" s="221"/>
      <c r="T175" s="221"/>
      <c r="U175" s="221"/>
      <c r="V175" s="221"/>
      <c r="W175" s="221"/>
      <c r="X175" s="221"/>
      <c r="Y175" s="221"/>
      <c r="Z175" s="221"/>
    </row>
    <row r="176" customFormat="false" ht="13.5" hidden="false" customHeight="true" outlineLevel="0" collapsed="false">
      <c r="A176" s="221"/>
      <c r="B176" s="221"/>
      <c r="C176" s="221"/>
      <c r="D176" s="221"/>
      <c r="E176" s="221"/>
      <c r="F176" s="221"/>
      <c r="G176" s="221"/>
      <c r="H176" s="221"/>
      <c r="I176" s="221"/>
      <c r="J176" s="221"/>
      <c r="K176" s="221"/>
      <c r="L176" s="221"/>
      <c r="M176" s="221"/>
      <c r="N176" s="221"/>
      <c r="O176" s="221"/>
      <c r="P176" s="221"/>
      <c r="Q176" s="221"/>
      <c r="R176" s="221"/>
      <c r="S176" s="221"/>
      <c r="T176" s="221"/>
      <c r="U176" s="221"/>
      <c r="V176" s="221"/>
      <c r="W176" s="221"/>
      <c r="X176" s="221"/>
      <c r="Y176" s="221"/>
      <c r="Z176" s="221"/>
    </row>
    <row r="177" customFormat="false" ht="13.5" hidden="false" customHeight="true" outlineLevel="0" collapsed="false">
      <c r="A177" s="221"/>
      <c r="B177" s="221"/>
      <c r="C177" s="221"/>
      <c r="D177" s="221"/>
      <c r="E177" s="221"/>
      <c r="F177" s="221"/>
      <c r="G177" s="221"/>
      <c r="H177" s="221"/>
      <c r="I177" s="221"/>
      <c r="J177" s="221"/>
      <c r="K177" s="221"/>
      <c r="L177" s="221"/>
      <c r="M177" s="221"/>
      <c r="N177" s="221"/>
      <c r="O177" s="221"/>
      <c r="P177" s="221"/>
      <c r="Q177" s="221"/>
      <c r="R177" s="221"/>
      <c r="S177" s="221"/>
      <c r="T177" s="221"/>
      <c r="U177" s="221"/>
      <c r="V177" s="221"/>
      <c r="W177" s="221"/>
      <c r="X177" s="221"/>
      <c r="Y177" s="221"/>
      <c r="Z177" s="221"/>
    </row>
    <row r="178" customFormat="false" ht="13.5" hidden="false" customHeight="true" outlineLevel="0" collapsed="false">
      <c r="A178" s="221"/>
      <c r="B178" s="221"/>
      <c r="C178" s="221"/>
      <c r="D178" s="221"/>
      <c r="E178" s="221"/>
      <c r="F178" s="221"/>
      <c r="G178" s="221"/>
      <c r="H178" s="221"/>
      <c r="I178" s="221"/>
      <c r="J178" s="221"/>
      <c r="K178" s="221"/>
      <c r="L178" s="221"/>
      <c r="M178" s="221"/>
      <c r="N178" s="221"/>
      <c r="O178" s="221"/>
      <c r="P178" s="221"/>
      <c r="Q178" s="221"/>
      <c r="R178" s="221"/>
      <c r="S178" s="221"/>
      <c r="T178" s="221"/>
      <c r="U178" s="221"/>
      <c r="V178" s="221"/>
      <c r="W178" s="221"/>
      <c r="X178" s="221"/>
      <c r="Y178" s="221"/>
      <c r="Z178" s="221"/>
    </row>
    <row r="179" customFormat="false" ht="13.5" hidden="false" customHeight="true" outlineLevel="0" collapsed="false">
      <c r="A179" s="221"/>
      <c r="B179" s="221"/>
      <c r="C179" s="221"/>
      <c r="D179" s="221"/>
      <c r="E179" s="221"/>
      <c r="F179" s="221"/>
      <c r="G179" s="221"/>
      <c r="H179" s="221"/>
      <c r="I179" s="221"/>
      <c r="J179" s="221"/>
      <c r="K179" s="221"/>
      <c r="L179" s="221"/>
      <c r="M179" s="221"/>
      <c r="N179" s="221"/>
      <c r="O179" s="221"/>
      <c r="P179" s="221"/>
      <c r="Q179" s="221"/>
      <c r="R179" s="221"/>
      <c r="S179" s="221"/>
      <c r="T179" s="221"/>
      <c r="U179" s="221"/>
      <c r="V179" s="221"/>
      <c r="W179" s="221"/>
      <c r="X179" s="221"/>
      <c r="Y179" s="221"/>
      <c r="Z179" s="221"/>
    </row>
    <row r="180" customFormat="false" ht="13.5" hidden="false" customHeight="true" outlineLevel="0" collapsed="false">
      <c r="A180" s="221"/>
      <c r="B180" s="221"/>
      <c r="C180" s="221"/>
      <c r="D180" s="221"/>
      <c r="E180" s="221"/>
      <c r="F180" s="221"/>
      <c r="G180" s="221"/>
      <c r="H180" s="221"/>
      <c r="I180" s="221"/>
      <c r="J180" s="221"/>
      <c r="K180" s="221"/>
      <c r="L180" s="221"/>
      <c r="M180" s="221"/>
      <c r="N180" s="221"/>
      <c r="O180" s="221"/>
      <c r="P180" s="221"/>
      <c r="Q180" s="221"/>
      <c r="R180" s="221"/>
      <c r="S180" s="221"/>
      <c r="T180" s="221"/>
      <c r="U180" s="221"/>
      <c r="V180" s="221"/>
      <c r="W180" s="221"/>
      <c r="X180" s="221"/>
      <c r="Y180" s="221"/>
      <c r="Z180" s="221"/>
    </row>
    <row r="181" customFormat="false" ht="13.5" hidden="false" customHeight="true" outlineLevel="0" collapsed="false">
      <c r="A181" s="221"/>
      <c r="B181" s="221"/>
      <c r="C181" s="221"/>
      <c r="D181" s="221"/>
      <c r="E181" s="221"/>
      <c r="F181" s="221"/>
      <c r="G181" s="221"/>
      <c r="H181" s="221"/>
      <c r="I181" s="221"/>
      <c r="J181" s="221"/>
      <c r="K181" s="221"/>
      <c r="L181" s="221"/>
      <c r="M181" s="221"/>
      <c r="N181" s="221"/>
      <c r="O181" s="221"/>
      <c r="P181" s="221"/>
      <c r="Q181" s="221"/>
      <c r="R181" s="221"/>
      <c r="S181" s="221"/>
      <c r="T181" s="221"/>
      <c r="U181" s="221"/>
      <c r="V181" s="221"/>
      <c r="W181" s="221"/>
      <c r="X181" s="221"/>
      <c r="Y181" s="221"/>
      <c r="Z181" s="221"/>
    </row>
    <row r="182" customFormat="false" ht="13.5" hidden="false" customHeight="true" outlineLevel="0" collapsed="false">
      <c r="A182" s="221"/>
      <c r="B182" s="221"/>
      <c r="C182" s="221"/>
      <c r="D182" s="221"/>
      <c r="E182" s="221"/>
      <c r="F182" s="221"/>
      <c r="G182" s="221"/>
      <c r="H182" s="221"/>
      <c r="I182" s="221"/>
      <c r="J182" s="221"/>
      <c r="K182" s="221"/>
      <c r="L182" s="221"/>
      <c r="M182" s="221"/>
      <c r="N182" s="221"/>
      <c r="O182" s="221"/>
      <c r="P182" s="221"/>
      <c r="Q182" s="221"/>
      <c r="R182" s="221"/>
      <c r="S182" s="221"/>
      <c r="T182" s="221"/>
      <c r="U182" s="221"/>
      <c r="V182" s="221"/>
      <c r="W182" s="221"/>
      <c r="X182" s="221"/>
      <c r="Y182" s="221"/>
      <c r="Z182" s="221"/>
    </row>
    <row r="183" customFormat="false" ht="13.5" hidden="false" customHeight="true" outlineLevel="0" collapsed="false">
      <c r="A183" s="221"/>
      <c r="B183" s="221"/>
      <c r="C183" s="221"/>
      <c r="D183" s="221"/>
      <c r="E183" s="221"/>
      <c r="F183" s="221"/>
      <c r="G183" s="221"/>
      <c r="H183" s="221"/>
      <c r="I183" s="221"/>
      <c r="J183" s="221"/>
      <c r="K183" s="221"/>
      <c r="L183" s="221"/>
      <c r="M183" s="221"/>
      <c r="N183" s="221"/>
      <c r="O183" s="221"/>
      <c r="P183" s="221"/>
      <c r="Q183" s="221"/>
      <c r="R183" s="221"/>
      <c r="S183" s="221"/>
      <c r="T183" s="221"/>
      <c r="U183" s="221"/>
      <c r="V183" s="221"/>
      <c r="W183" s="221"/>
      <c r="X183" s="221"/>
      <c r="Y183" s="221"/>
      <c r="Z183" s="221"/>
    </row>
    <row r="184" customFormat="false" ht="13.5" hidden="false" customHeight="true" outlineLevel="0" collapsed="false">
      <c r="A184" s="221"/>
      <c r="B184" s="221"/>
      <c r="C184" s="221"/>
      <c r="D184" s="221"/>
      <c r="E184" s="221"/>
      <c r="F184" s="221"/>
      <c r="G184" s="221"/>
      <c r="H184" s="221"/>
      <c r="I184" s="221"/>
      <c r="J184" s="221"/>
      <c r="K184" s="221"/>
      <c r="L184" s="221"/>
      <c r="M184" s="221"/>
      <c r="N184" s="221"/>
      <c r="O184" s="221"/>
      <c r="P184" s="221"/>
      <c r="Q184" s="221"/>
      <c r="R184" s="221"/>
      <c r="S184" s="221"/>
      <c r="T184" s="221"/>
      <c r="U184" s="221"/>
      <c r="V184" s="221"/>
      <c r="W184" s="221"/>
      <c r="X184" s="221"/>
      <c r="Y184" s="221"/>
      <c r="Z184" s="221"/>
    </row>
    <row r="185" customFormat="false" ht="13.5" hidden="false" customHeight="true" outlineLevel="0" collapsed="false">
      <c r="A185" s="221"/>
      <c r="B185" s="221"/>
      <c r="C185" s="221"/>
      <c r="D185" s="221"/>
      <c r="E185" s="221"/>
      <c r="F185" s="221"/>
      <c r="G185" s="221"/>
      <c r="H185" s="221"/>
      <c r="I185" s="221"/>
      <c r="J185" s="221"/>
      <c r="K185" s="221"/>
      <c r="L185" s="221"/>
      <c r="M185" s="221"/>
      <c r="N185" s="221"/>
      <c r="O185" s="221"/>
      <c r="P185" s="221"/>
      <c r="Q185" s="221"/>
      <c r="R185" s="221"/>
      <c r="S185" s="221"/>
      <c r="T185" s="221"/>
      <c r="U185" s="221"/>
      <c r="V185" s="221"/>
      <c r="W185" s="221"/>
      <c r="X185" s="221"/>
      <c r="Y185" s="221"/>
      <c r="Z185" s="221"/>
    </row>
    <row r="186" customFormat="false" ht="13.5" hidden="false" customHeight="true" outlineLevel="0" collapsed="false">
      <c r="A186" s="221"/>
      <c r="B186" s="221"/>
      <c r="C186" s="221"/>
      <c r="D186" s="221"/>
      <c r="E186" s="221"/>
      <c r="F186" s="221"/>
      <c r="G186" s="221"/>
      <c r="H186" s="221"/>
      <c r="I186" s="221"/>
      <c r="J186" s="221"/>
      <c r="K186" s="221"/>
      <c r="L186" s="221"/>
      <c r="M186" s="221"/>
      <c r="N186" s="221"/>
      <c r="O186" s="221"/>
      <c r="P186" s="221"/>
      <c r="Q186" s="221"/>
      <c r="R186" s="221"/>
      <c r="S186" s="221"/>
      <c r="T186" s="221"/>
      <c r="U186" s="221"/>
      <c r="V186" s="221"/>
      <c r="W186" s="221"/>
      <c r="X186" s="221"/>
      <c r="Y186" s="221"/>
      <c r="Z186" s="221"/>
    </row>
    <row r="187" customFormat="false" ht="13.5" hidden="false" customHeight="true" outlineLevel="0" collapsed="false">
      <c r="A187" s="221"/>
      <c r="B187" s="221"/>
      <c r="C187" s="221"/>
      <c r="D187" s="221"/>
      <c r="E187" s="221"/>
      <c r="F187" s="221"/>
      <c r="G187" s="221"/>
      <c r="H187" s="221"/>
      <c r="I187" s="221"/>
      <c r="J187" s="221"/>
      <c r="K187" s="221"/>
      <c r="L187" s="221"/>
      <c r="M187" s="221"/>
      <c r="N187" s="221"/>
      <c r="O187" s="221"/>
      <c r="P187" s="221"/>
      <c r="Q187" s="221"/>
      <c r="R187" s="221"/>
      <c r="S187" s="221"/>
      <c r="T187" s="221"/>
      <c r="U187" s="221"/>
      <c r="V187" s="221"/>
      <c r="W187" s="221"/>
      <c r="X187" s="221"/>
      <c r="Y187" s="221"/>
      <c r="Z187" s="221"/>
    </row>
    <row r="188" customFormat="false" ht="13.5" hidden="false" customHeight="true" outlineLevel="0" collapsed="false">
      <c r="A188" s="221"/>
      <c r="B188" s="221"/>
      <c r="C188" s="221"/>
      <c r="D188" s="221"/>
      <c r="E188" s="221"/>
      <c r="F188" s="221"/>
      <c r="G188" s="221"/>
      <c r="H188" s="221"/>
      <c r="I188" s="221"/>
      <c r="J188" s="221"/>
      <c r="K188" s="221"/>
      <c r="L188" s="221"/>
      <c r="M188" s="221"/>
      <c r="N188" s="221"/>
      <c r="O188" s="221"/>
      <c r="P188" s="221"/>
      <c r="Q188" s="221"/>
      <c r="R188" s="221"/>
      <c r="S188" s="221"/>
      <c r="T188" s="221"/>
      <c r="U188" s="221"/>
      <c r="V188" s="221"/>
      <c r="W188" s="221"/>
      <c r="X188" s="221"/>
      <c r="Y188" s="221"/>
      <c r="Z188" s="221"/>
    </row>
    <row r="189" customFormat="false" ht="13.5" hidden="false" customHeight="true" outlineLevel="0" collapsed="false">
      <c r="A189" s="221"/>
      <c r="B189" s="221"/>
      <c r="C189" s="221"/>
      <c r="D189" s="221"/>
      <c r="E189" s="221"/>
      <c r="F189" s="221"/>
      <c r="G189" s="221"/>
      <c r="H189" s="221"/>
      <c r="I189" s="221"/>
      <c r="J189" s="221"/>
      <c r="K189" s="221"/>
      <c r="L189" s="221"/>
      <c r="M189" s="221"/>
      <c r="N189" s="221"/>
      <c r="O189" s="221"/>
      <c r="P189" s="221"/>
      <c r="Q189" s="221"/>
      <c r="R189" s="221"/>
      <c r="S189" s="221"/>
      <c r="T189" s="221"/>
      <c r="U189" s="221"/>
      <c r="V189" s="221"/>
      <c r="W189" s="221"/>
      <c r="X189" s="221"/>
      <c r="Y189" s="221"/>
      <c r="Z189" s="221"/>
    </row>
    <row r="190" customFormat="false" ht="13.5" hidden="false" customHeight="true" outlineLevel="0" collapsed="false">
      <c r="A190" s="221"/>
      <c r="B190" s="221"/>
      <c r="C190" s="221"/>
      <c r="D190" s="221"/>
      <c r="E190" s="221"/>
      <c r="F190" s="221"/>
      <c r="G190" s="221"/>
      <c r="H190" s="221"/>
      <c r="I190" s="221"/>
      <c r="J190" s="221"/>
      <c r="K190" s="221"/>
      <c r="L190" s="221"/>
      <c r="M190" s="221"/>
      <c r="N190" s="221"/>
      <c r="O190" s="221"/>
      <c r="P190" s="221"/>
      <c r="Q190" s="221"/>
      <c r="R190" s="221"/>
      <c r="S190" s="221"/>
      <c r="T190" s="221"/>
      <c r="U190" s="221"/>
      <c r="V190" s="221"/>
      <c r="W190" s="221"/>
      <c r="X190" s="221"/>
      <c r="Y190" s="221"/>
      <c r="Z190" s="221"/>
    </row>
    <row r="191" customFormat="false" ht="13.5" hidden="false" customHeight="true" outlineLevel="0" collapsed="false">
      <c r="A191" s="221"/>
      <c r="B191" s="221"/>
      <c r="C191" s="221"/>
      <c r="D191" s="221"/>
      <c r="E191" s="221"/>
      <c r="F191" s="221"/>
      <c r="G191" s="221"/>
      <c r="H191" s="221"/>
      <c r="I191" s="221"/>
      <c r="J191" s="221"/>
      <c r="K191" s="221"/>
      <c r="L191" s="221"/>
      <c r="M191" s="221"/>
      <c r="N191" s="221"/>
      <c r="O191" s="221"/>
      <c r="P191" s="221"/>
      <c r="Q191" s="221"/>
      <c r="R191" s="221"/>
      <c r="S191" s="221"/>
      <c r="T191" s="221"/>
      <c r="U191" s="221"/>
      <c r="V191" s="221"/>
      <c r="W191" s="221"/>
      <c r="X191" s="221"/>
      <c r="Y191" s="221"/>
      <c r="Z191" s="221"/>
    </row>
    <row r="192" customFormat="false" ht="13.5" hidden="false" customHeight="true" outlineLevel="0" collapsed="false">
      <c r="A192" s="221"/>
      <c r="B192" s="221"/>
      <c r="C192" s="221"/>
      <c r="D192" s="221"/>
      <c r="E192" s="221"/>
      <c r="F192" s="221"/>
      <c r="G192" s="221"/>
      <c r="H192" s="221"/>
      <c r="I192" s="221"/>
      <c r="J192" s="221"/>
      <c r="K192" s="221"/>
      <c r="L192" s="221"/>
      <c r="M192" s="221"/>
      <c r="N192" s="221"/>
      <c r="O192" s="221"/>
      <c r="P192" s="221"/>
      <c r="Q192" s="221"/>
      <c r="R192" s="221"/>
      <c r="S192" s="221"/>
      <c r="T192" s="221"/>
      <c r="U192" s="221"/>
      <c r="V192" s="221"/>
      <c r="W192" s="221"/>
      <c r="X192" s="221"/>
      <c r="Y192" s="221"/>
      <c r="Z192" s="221"/>
    </row>
    <row r="193" customFormat="false" ht="13.5" hidden="false" customHeight="true" outlineLevel="0" collapsed="false">
      <c r="A193" s="221"/>
      <c r="B193" s="221"/>
      <c r="C193" s="221"/>
      <c r="D193" s="221"/>
      <c r="E193" s="221"/>
      <c r="F193" s="221"/>
      <c r="G193" s="221"/>
      <c r="H193" s="221"/>
      <c r="I193" s="221"/>
      <c r="J193" s="221"/>
      <c r="K193" s="221"/>
      <c r="L193" s="221"/>
      <c r="M193" s="221"/>
      <c r="N193" s="221"/>
      <c r="O193" s="221"/>
      <c r="P193" s="221"/>
      <c r="Q193" s="221"/>
      <c r="R193" s="221"/>
      <c r="S193" s="221"/>
      <c r="T193" s="221"/>
      <c r="U193" s="221"/>
      <c r="V193" s="221"/>
      <c r="W193" s="221"/>
      <c r="X193" s="221"/>
      <c r="Y193" s="221"/>
      <c r="Z193" s="221"/>
    </row>
    <row r="194" customFormat="false" ht="13.5" hidden="false" customHeight="true" outlineLevel="0" collapsed="false">
      <c r="A194" s="221"/>
      <c r="B194" s="221"/>
      <c r="C194" s="221"/>
      <c r="D194" s="221"/>
      <c r="E194" s="221"/>
      <c r="F194" s="221"/>
      <c r="G194" s="221"/>
      <c r="H194" s="221"/>
      <c r="I194" s="221"/>
      <c r="J194" s="221"/>
      <c r="K194" s="221"/>
      <c r="L194" s="221"/>
      <c r="M194" s="221"/>
      <c r="N194" s="221"/>
      <c r="O194" s="221"/>
      <c r="P194" s="221"/>
      <c r="Q194" s="221"/>
      <c r="R194" s="221"/>
      <c r="S194" s="221"/>
      <c r="T194" s="221"/>
      <c r="U194" s="221"/>
      <c r="V194" s="221"/>
      <c r="W194" s="221"/>
      <c r="X194" s="221"/>
      <c r="Y194" s="221"/>
      <c r="Z194" s="221"/>
    </row>
    <row r="195" customFormat="false" ht="13.5" hidden="false" customHeight="true" outlineLevel="0" collapsed="false">
      <c r="A195" s="221"/>
      <c r="B195" s="221"/>
      <c r="C195" s="221"/>
      <c r="D195" s="221"/>
      <c r="E195" s="221"/>
      <c r="F195" s="221"/>
      <c r="G195" s="221"/>
      <c r="H195" s="221"/>
      <c r="I195" s="221"/>
      <c r="J195" s="221"/>
      <c r="K195" s="221"/>
      <c r="L195" s="221"/>
      <c r="M195" s="221"/>
      <c r="N195" s="221"/>
      <c r="O195" s="221"/>
      <c r="P195" s="221"/>
      <c r="Q195" s="221"/>
      <c r="R195" s="221"/>
      <c r="S195" s="221"/>
      <c r="T195" s="221"/>
      <c r="U195" s="221"/>
      <c r="V195" s="221"/>
      <c r="W195" s="221"/>
      <c r="X195" s="221"/>
      <c r="Y195" s="221"/>
      <c r="Z195" s="221"/>
    </row>
    <row r="196" customFormat="false" ht="13.5" hidden="false" customHeight="true" outlineLevel="0" collapsed="false">
      <c r="A196" s="221"/>
      <c r="B196" s="221"/>
      <c r="C196" s="221"/>
      <c r="D196" s="221"/>
      <c r="E196" s="221"/>
      <c r="F196" s="221"/>
      <c r="G196" s="221"/>
      <c r="H196" s="221"/>
      <c r="I196" s="221"/>
      <c r="J196" s="221"/>
      <c r="K196" s="221"/>
      <c r="L196" s="221"/>
      <c r="M196" s="221"/>
      <c r="N196" s="221"/>
      <c r="O196" s="221"/>
      <c r="P196" s="221"/>
      <c r="Q196" s="221"/>
      <c r="R196" s="221"/>
      <c r="S196" s="221"/>
      <c r="T196" s="221"/>
      <c r="U196" s="221"/>
      <c r="V196" s="221"/>
      <c r="W196" s="221"/>
      <c r="X196" s="221"/>
      <c r="Y196" s="221"/>
      <c r="Z196" s="221"/>
    </row>
    <row r="197" customFormat="false" ht="13.5" hidden="false" customHeight="true" outlineLevel="0" collapsed="false">
      <c r="A197" s="221"/>
      <c r="B197" s="221"/>
      <c r="C197" s="221"/>
      <c r="D197" s="221"/>
      <c r="E197" s="221"/>
      <c r="F197" s="221"/>
      <c r="G197" s="221"/>
      <c r="H197" s="221"/>
      <c r="I197" s="221"/>
      <c r="J197" s="221"/>
      <c r="K197" s="221"/>
      <c r="L197" s="221"/>
      <c r="M197" s="221"/>
      <c r="N197" s="221"/>
      <c r="O197" s="221"/>
      <c r="P197" s="221"/>
      <c r="Q197" s="221"/>
      <c r="R197" s="221"/>
      <c r="S197" s="221"/>
      <c r="T197" s="221"/>
      <c r="U197" s="221"/>
      <c r="V197" s="221"/>
      <c r="W197" s="221"/>
      <c r="X197" s="221"/>
      <c r="Y197" s="221"/>
      <c r="Z197" s="221"/>
    </row>
    <row r="198" customFormat="false" ht="13.5" hidden="false" customHeight="true" outlineLevel="0" collapsed="false">
      <c r="A198" s="221"/>
      <c r="B198" s="221"/>
      <c r="C198" s="221"/>
      <c r="D198" s="221"/>
      <c r="E198" s="221"/>
      <c r="F198" s="221"/>
      <c r="G198" s="221"/>
      <c r="H198" s="221"/>
      <c r="I198" s="221"/>
      <c r="J198" s="221"/>
      <c r="K198" s="221"/>
      <c r="L198" s="221"/>
      <c r="M198" s="221"/>
      <c r="N198" s="221"/>
      <c r="O198" s="221"/>
      <c r="P198" s="221"/>
      <c r="Q198" s="221"/>
      <c r="R198" s="221"/>
      <c r="S198" s="221"/>
      <c r="T198" s="221"/>
      <c r="U198" s="221"/>
      <c r="V198" s="221"/>
      <c r="W198" s="221"/>
      <c r="X198" s="221"/>
      <c r="Y198" s="221"/>
      <c r="Z198" s="221"/>
    </row>
    <row r="199" customFormat="false" ht="13.5" hidden="false" customHeight="true" outlineLevel="0" collapsed="false">
      <c r="A199" s="221"/>
      <c r="B199" s="221"/>
      <c r="C199" s="221"/>
      <c r="D199" s="221"/>
      <c r="E199" s="221"/>
      <c r="F199" s="221"/>
      <c r="G199" s="221"/>
      <c r="H199" s="221"/>
      <c r="I199" s="221"/>
      <c r="J199" s="221"/>
      <c r="K199" s="221"/>
      <c r="L199" s="221"/>
      <c r="M199" s="221"/>
      <c r="N199" s="221"/>
      <c r="O199" s="221"/>
      <c r="P199" s="221"/>
      <c r="Q199" s="221"/>
      <c r="R199" s="221"/>
      <c r="S199" s="221"/>
      <c r="T199" s="221"/>
      <c r="U199" s="221"/>
      <c r="V199" s="221"/>
      <c r="W199" s="221"/>
      <c r="X199" s="221"/>
      <c r="Y199" s="221"/>
      <c r="Z199" s="221"/>
    </row>
    <row r="200" customFormat="false" ht="13.5" hidden="false" customHeight="true" outlineLevel="0" collapsed="false">
      <c r="A200" s="221"/>
      <c r="B200" s="221"/>
      <c r="C200" s="221"/>
      <c r="D200" s="221"/>
      <c r="E200" s="221"/>
      <c r="F200" s="221"/>
      <c r="G200" s="221"/>
      <c r="H200" s="221"/>
      <c r="I200" s="221"/>
      <c r="J200" s="221"/>
      <c r="K200" s="221"/>
      <c r="L200" s="221"/>
      <c r="M200" s="221"/>
      <c r="N200" s="221"/>
      <c r="O200" s="221"/>
      <c r="P200" s="221"/>
      <c r="Q200" s="221"/>
      <c r="R200" s="221"/>
      <c r="S200" s="221"/>
      <c r="T200" s="221"/>
      <c r="U200" s="221"/>
      <c r="V200" s="221"/>
      <c r="W200" s="221"/>
      <c r="X200" s="221"/>
      <c r="Y200" s="221"/>
      <c r="Z200" s="221"/>
    </row>
    <row r="201" customFormat="false" ht="13.5" hidden="false" customHeight="true" outlineLevel="0" collapsed="false">
      <c r="A201" s="221"/>
      <c r="B201" s="221"/>
      <c r="C201" s="221"/>
      <c r="D201" s="221"/>
      <c r="E201" s="221"/>
      <c r="F201" s="221"/>
      <c r="G201" s="221"/>
      <c r="H201" s="221"/>
      <c r="I201" s="221"/>
      <c r="J201" s="221"/>
      <c r="K201" s="221"/>
      <c r="L201" s="221"/>
      <c r="M201" s="221"/>
      <c r="N201" s="221"/>
      <c r="O201" s="221"/>
      <c r="P201" s="221"/>
      <c r="Q201" s="221"/>
      <c r="R201" s="221"/>
      <c r="S201" s="221"/>
      <c r="T201" s="221"/>
      <c r="U201" s="221"/>
      <c r="V201" s="221"/>
      <c r="W201" s="221"/>
      <c r="X201" s="221"/>
      <c r="Y201" s="221"/>
      <c r="Z201" s="221"/>
    </row>
    <row r="202" customFormat="false" ht="13.5" hidden="false" customHeight="true" outlineLevel="0" collapsed="false">
      <c r="A202" s="221"/>
      <c r="B202" s="221"/>
      <c r="C202" s="221"/>
      <c r="D202" s="221"/>
      <c r="E202" s="221"/>
      <c r="F202" s="221"/>
      <c r="G202" s="221"/>
      <c r="H202" s="221"/>
      <c r="I202" s="221"/>
      <c r="J202" s="221"/>
      <c r="K202" s="221"/>
      <c r="L202" s="221"/>
      <c r="M202" s="221"/>
      <c r="N202" s="221"/>
      <c r="O202" s="221"/>
      <c r="P202" s="221"/>
      <c r="Q202" s="221"/>
      <c r="R202" s="221"/>
      <c r="S202" s="221"/>
      <c r="T202" s="221"/>
      <c r="U202" s="221"/>
      <c r="V202" s="221"/>
      <c r="W202" s="221"/>
      <c r="X202" s="221"/>
      <c r="Y202" s="221"/>
      <c r="Z202" s="221"/>
    </row>
    <row r="203" customFormat="false" ht="13.5" hidden="false" customHeight="true" outlineLevel="0" collapsed="false">
      <c r="A203" s="221"/>
      <c r="B203" s="221"/>
      <c r="C203" s="221"/>
      <c r="D203" s="221"/>
      <c r="E203" s="221"/>
      <c r="F203" s="221"/>
      <c r="G203" s="221"/>
      <c r="H203" s="221"/>
      <c r="I203" s="221"/>
      <c r="J203" s="221"/>
      <c r="K203" s="221"/>
      <c r="L203" s="221"/>
      <c r="M203" s="221"/>
      <c r="N203" s="221"/>
      <c r="O203" s="221"/>
      <c r="P203" s="221"/>
      <c r="Q203" s="221"/>
      <c r="R203" s="221"/>
      <c r="S203" s="221"/>
      <c r="T203" s="221"/>
      <c r="U203" s="221"/>
      <c r="V203" s="221"/>
      <c r="W203" s="221"/>
      <c r="X203" s="221"/>
      <c r="Y203" s="221"/>
      <c r="Z203" s="221"/>
    </row>
    <row r="204" customFormat="false" ht="13.5" hidden="false" customHeight="true" outlineLevel="0" collapsed="false">
      <c r="A204" s="221"/>
      <c r="B204" s="221"/>
      <c r="C204" s="221"/>
      <c r="D204" s="221"/>
      <c r="E204" s="221"/>
      <c r="F204" s="221"/>
      <c r="G204" s="221"/>
      <c r="H204" s="221"/>
      <c r="I204" s="221"/>
      <c r="J204" s="221"/>
      <c r="K204" s="221"/>
      <c r="L204" s="221"/>
      <c r="M204" s="221"/>
      <c r="N204" s="221"/>
      <c r="O204" s="221"/>
      <c r="P204" s="221"/>
      <c r="Q204" s="221"/>
      <c r="R204" s="221"/>
      <c r="S204" s="221"/>
      <c r="T204" s="221"/>
      <c r="U204" s="221"/>
      <c r="V204" s="221"/>
      <c r="W204" s="221"/>
      <c r="X204" s="221"/>
      <c r="Y204" s="221"/>
      <c r="Z204" s="221"/>
    </row>
    <row r="205" customFormat="false" ht="13.5" hidden="false" customHeight="true" outlineLevel="0" collapsed="false">
      <c r="A205" s="221"/>
      <c r="B205" s="221"/>
      <c r="C205" s="221"/>
      <c r="D205" s="221"/>
      <c r="E205" s="221"/>
      <c r="F205" s="221"/>
      <c r="G205" s="221"/>
      <c r="H205" s="221"/>
      <c r="I205" s="221"/>
      <c r="J205" s="221"/>
      <c r="K205" s="221"/>
      <c r="L205" s="221"/>
      <c r="M205" s="221"/>
      <c r="N205" s="221"/>
      <c r="O205" s="221"/>
      <c r="P205" s="221"/>
      <c r="Q205" s="221"/>
      <c r="R205" s="221"/>
      <c r="S205" s="221"/>
      <c r="T205" s="221"/>
      <c r="U205" s="221"/>
      <c r="V205" s="221"/>
      <c r="W205" s="221"/>
      <c r="X205" s="221"/>
      <c r="Y205" s="221"/>
      <c r="Z205" s="221"/>
    </row>
    <row r="206" customFormat="false" ht="13.5" hidden="false" customHeight="true" outlineLevel="0" collapsed="false">
      <c r="A206" s="221"/>
      <c r="B206" s="221"/>
      <c r="C206" s="221"/>
      <c r="D206" s="221"/>
      <c r="E206" s="221"/>
      <c r="F206" s="221"/>
      <c r="G206" s="221"/>
      <c r="H206" s="221"/>
      <c r="I206" s="221"/>
      <c r="J206" s="221"/>
      <c r="K206" s="221"/>
      <c r="L206" s="221"/>
      <c r="M206" s="221"/>
      <c r="N206" s="221"/>
      <c r="O206" s="221"/>
      <c r="P206" s="221"/>
      <c r="Q206" s="221"/>
      <c r="R206" s="221"/>
      <c r="S206" s="221"/>
      <c r="T206" s="221"/>
      <c r="U206" s="221"/>
      <c r="V206" s="221"/>
      <c r="W206" s="221"/>
      <c r="X206" s="221"/>
      <c r="Y206" s="221"/>
      <c r="Z206" s="221"/>
    </row>
    <row r="207" customFormat="false" ht="13.5" hidden="false" customHeight="true" outlineLevel="0" collapsed="false">
      <c r="A207" s="221"/>
      <c r="B207" s="221"/>
      <c r="C207" s="221"/>
      <c r="D207" s="221"/>
      <c r="E207" s="221"/>
      <c r="F207" s="221"/>
      <c r="G207" s="221"/>
      <c r="H207" s="221"/>
      <c r="I207" s="221"/>
      <c r="J207" s="221"/>
      <c r="K207" s="221"/>
      <c r="L207" s="221"/>
      <c r="M207" s="221"/>
      <c r="N207" s="221"/>
      <c r="O207" s="221"/>
      <c r="P207" s="221"/>
      <c r="Q207" s="221"/>
      <c r="R207" s="221"/>
      <c r="S207" s="221"/>
      <c r="T207" s="221"/>
      <c r="U207" s="221"/>
      <c r="V207" s="221"/>
      <c r="W207" s="221"/>
      <c r="X207" s="221"/>
      <c r="Y207" s="221"/>
      <c r="Z207" s="221"/>
    </row>
    <row r="208" customFormat="false" ht="13.5" hidden="false" customHeight="true" outlineLevel="0" collapsed="false">
      <c r="A208" s="221"/>
      <c r="B208" s="221"/>
      <c r="C208" s="221"/>
      <c r="D208" s="221"/>
      <c r="E208" s="221"/>
      <c r="F208" s="221"/>
      <c r="G208" s="221"/>
      <c r="H208" s="221"/>
      <c r="I208" s="221"/>
      <c r="J208" s="221"/>
      <c r="K208" s="221"/>
      <c r="L208" s="221"/>
      <c r="M208" s="221"/>
      <c r="N208" s="221"/>
      <c r="O208" s="221"/>
      <c r="P208" s="221"/>
      <c r="Q208" s="221"/>
      <c r="R208" s="221"/>
      <c r="S208" s="221"/>
      <c r="T208" s="221"/>
      <c r="U208" s="221"/>
      <c r="V208" s="221"/>
      <c r="W208" s="221"/>
      <c r="X208" s="221"/>
      <c r="Y208" s="221"/>
      <c r="Z208" s="221"/>
    </row>
    <row r="209" customFormat="false" ht="13.5" hidden="false" customHeight="true" outlineLevel="0" collapsed="false">
      <c r="A209" s="221"/>
      <c r="B209" s="221"/>
      <c r="C209" s="221"/>
      <c r="D209" s="221"/>
      <c r="E209" s="221"/>
      <c r="F209" s="221"/>
      <c r="G209" s="221"/>
      <c r="H209" s="221"/>
      <c r="I209" s="221"/>
      <c r="J209" s="221"/>
      <c r="K209" s="221"/>
      <c r="L209" s="221"/>
      <c r="M209" s="221"/>
      <c r="N209" s="221"/>
      <c r="O209" s="221"/>
      <c r="P209" s="221"/>
      <c r="Q209" s="221"/>
      <c r="R209" s="221"/>
      <c r="S209" s="221"/>
      <c r="T209" s="221"/>
      <c r="U209" s="221"/>
      <c r="V209" s="221"/>
      <c r="W209" s="221"/>
      <c r="X209" s="221"/>
      <c r="Y209" s="221"/>
      <c r="Z209" s="221"/>
    </row>
    <row r="210" customFormat="false" ht="13.5" hidden="false" customHeight="true" outlineLevel="0" collapsed="false">
      <c r="A210" s="221"/>
      <c r="B210" s="221"/>
      <c r="C210" s="221"/>
      <c r="D210" s="221"/>
      <c r="E210" s="221"/>
      <c r="F210" s="221"/>
      <c r="G210" s="221"/>
      <c r="H210" s="221"/>
      <c r="I210" s="221"/>
      <c r="J210" s="221"/>
      <c r="K210" s="221"/>
      <c r="L210" s="221"/>
      <c r="M210" s="221"/>
      <c r="N210" s="221"/>
      <c r="O210" s="221"/>
      <c r="P210" s="221"/>
      <c r="Q210" s="221"/>
      <c r="R210" s="221"/>
      <c r="S210" s="221"/>
      <c r="T210" s="221"/>
      <c r="U210" s="221"/>
      <c r="V210" s="221"/>
      <c r="W210" s="221"/>
      <c r="X210" s="221"/>
      <c r="Y210" s="221"/>
      <c r="Z210" s="221"/>
    </row>
    <row r="211" customFormat="false" ht="13.5" hidden="false" customHeight="true" outlineLevel="0" collapsed="false">
      <c r="A211" s="221"/>
      <c r="B211" s="221"/>
      <c r="C211" s="221"/>
      <c r="D211" s="221"/>
      <c r="E211" s="221"/>
      <c r="F211" s="221"/>
      <c r="G211" s="221"/>
      <c r="H211" s="221"/>
      <c r="I211" s="221"/>
      <c r="J211" s="221"/>
      <c r="K211" s="221"/>
      <c r="L211" s="221"/>
      <c r="M211" s="221"/>
      <c r="N211" s="221"/>
      <c r="O211" s="221"/>
      <c r="P211" s="221"/>
      <c r="Q211" s="221"/>
      <c r="R211" s="221"/>
      <c r="S211" s="221"/>
      <c r="T211" s="221"/>
      <c r="U211" s="221"/>
      <c r="V211" s="221"/>
      <c r="W211" s="221"/>
      <c r="X211" s="221"/>
      <c r="Y211" s="221"/>
      <c r="Z211" s="221"/>
    </row>
    <row r="212" customFormat="false" ht="13.5" hidden="false" customHeight="true" outlineLevel="0" collapsed="false">
      <c r="A212" s="221"/>
      <c r="B212" s="221"/>
      <c r="C212" s="221"/>
      <c r="D212" s="221"/>
      <c r="E212" s="221"/>
      <c r="F212" s="221"/>
      <c r="G212" s="221"/>
      <c r="H212" s="221"/>
      <c r="I212" s="221"/>
      <c r="J212" s="221"/>
      <c r="K212" s="221"/>
      <c r="L212" s="221"/>
      <c r="M212" s="221"/>
      <c r="N212" s="221"/>
      <c r="O212" s="221"/>
      <c r="P212" s="221"/>
      <c r="Q212" s="221"/>
      <c r="R212" s="221"/>
      <c r="S212" s="221"/>
      <c r="T212" s="221"/>
      <c r="U212" s="221"/>
      <c r="V212" s="221"/>
      <c r="W212" s="221"/>
      <c r="X212" s="221"/>
      <c r="Y212" s="221"/>
      <c r="Z212" s="221"/>
    </row>
    <row r="213" customFormat="false" ht="13.5" hidden="false" customHeight="true" outlineLevel="0" collapsed="false">
      <c r="A213" s="221"/>
      <c r="B213" s="221"/>
      <c r="C213" s="221"/>
      <c r="D213" s="221"/>
      <c r="E213" s="221"/>
      <c r="F213" s="221"/>
      <c r="G213" s="221"/>
      <c r="H213" s="221"/>
      <c r="I213" s="221"/>
      <c r="J213" s="221"/>
      <c r="K213" s="221"/>
      <c r="L213" s="221"/>
      <c r="M213" s="221"/>
      <c r="N213" s="221"/>
      <c r="O213" s="221"/>
      <c r="P213" s="221"/>
      <c r="Q213" s="221"/>
      <c r="R213" s="221"/>
      <c r="S213" s="221"/>
      <c r="T213" s="221"/>
      <c r="U213" s="221"/>
      <c r="V213" s="221"/>
      <c r="W213" s="221"/>
      <c r="X213" s="221"/>
      <c r="Y213" s="221"/>
      <c r="Z213" s="221"/>
    </row>
    <row r="214" customFormat="false" ht="13.5" hidden="false" customHeight="true" outlineLevel="0" collapsed="false">
      <c r="A214" s="221"/>
      <c r="B214" s="221"/>
      <c r="C214" s="221"/>
      <c r="D214" s="221"/>
      <c r="E214" s="221"/>
      <c r="F214" s="221"/>
      <c r="G214" s="221"/>
      <c r="H214" s="221"/>
      <c r="I214" s="221"/>
      <c r="J214" s="221"/>
      <c r="K214" s="221"/>
      <c r="L214" s="221"/>
      <c r="M214" s="221"/>
      <c r="N214" s="221"/>
      <c r="O214" s="221"/>
      <c r="P214" s="221"/>
      <c r="Q214" s="221"/>
      <c r="R214" s="221"/>
      <c r="S214" s="221"/>
      <c r="T214" s="221"/>
      <c r="U214" s="221"/>
      <c r="V214" s="221"/>
      <c r="W214" s="221"/>
      <c r="X214" s="221"/>
      <c r="Y214" s="221"/>
      <c r="Z214" s="221"/>
    </row>
    <row r="215" customFormat="false" ht="13.5" hidden="false" customHeight="true" outlineLevel="0" collapsed="false">
      <c r="A215" s="221"/>
      <c r="B215" s="221"/>
      <c r="C215" s="221"/>
      <c r="D215" s="221"/>
      <c r="E215" s="221"/>
      <c r="F215" s="221"/>
      <c r="G215" s="221"/>
      <c r="H215" s="221"/>
      <c r="I215" s="221"/>
      <c r="J215" s="221"/>
      <c r="K215" s="221"/>
      <c r="L215" s="221"/>
      <c r="M215" s="221"/>
      <c r="N215" s="221"/>
      <c r="O215" s="221"/>
      <c r="P215" s="221"/>
      <c r="Q215" s="221"/>
      <c r="R215" s="221"/>
      <c r="S215" s="221"/>
      <c r="T215" s="221"/>
      <c r="U215" s="221"/>
      <c r="V215" s="221"/>
      <c r="W215" s="221"/>
      <c r="X215" s="221"/>
      <c r="Y215" s="221"/>
      <c r="Z215" s="221"/>
    </row>
    <row r="216" customFormat="false" ht="13.5" hidden="false" customHeight="true" outlineLevel="0" collapsed="false">
      <c r="A216" s="221"/>
      <c r="B216" s="221"/>
      <c r="C216" s="221"/>
      <c r="D216" s="221"/>
      <c r="E216" s="221"/>
      <c r="F216" s="221"/>
      <c r="G216" s="221"/>
      <c r="H216" s="221"/>
      <c r="I216" s="221"/>
      <c r="J216" s="221"/>
      <c r="K216" s="221"/>
      <c r="L216" s="221"/>
      <c r="M216" s="221"/>
      <c r="N216" s="221"/>
      <c r="O216" s="221"/>
      <c r="P216" s="221"/>
      <c r="Q216" s="221"/>
      <c r="R216" s="221"/>
      <c r="S216" s="221"/>
      <c r="T216" s="221"/>
      <c r="U216" s="221"/>
      <c r="V216" s="221"/>
      <c r="W216" s="221"/>
      <c r="X216" s="221"/>
      <c r="Y216" s="221"/>
      <c r="Z216" s="221"/>
    </row>
    <row r="217" customFormat="false" ht="13.5" hidden="false" customHeight="true" outlineLevel="0" collapsed="false">
      <c r="A217" s="221"/>
      <c r="B217" s="221"/>
      <c r="C217" s="221"/>
      <c r="D217" s="221"/>
      <c r="E217" s="221"/>
      <c r="F217" s="221"/>
      <c r="G217" s="221"/>
      <c r="H217" s="221"/>
      <c r="I217" s="221"/>
      <c r="J217" s="221"/>
      <c r="K217" s="221"/>
      <c r="L217" s="221"/>
      <c r="M217" s="221"/>
      <c r="N217" s="221"/>
      <c r="O217" s="221"/>
      <c r="P217" s="221"/>
      <c r="Q217" s="221"/>
      <c r="R217" s="221"/>
      <c r="S217" s="221"/>
      <c r="T217" s="221"/>
      <c r="U217" s="221"/>
      <c r="V217" s="221"/>
      <c r="W217" s="221"/>
      <c r="X217" s="221"/>
      <c r="Y217" s="221"/>
      <c r="Z217" s="221"/>
    </row>
    <row r="218" customFormat="false" ht="13.5" hidden="false" customHeight="true" outlineLevel="0" collapsed="false">
      <c r="A218" s="221"/>
      <c r="B218" s="221"/>
      <c r="C218" s="221"/>
      <c r="D218" s="221"/>
      <c r="E218" s="221"/>
      <c r="F218" s="221"/>
      <c r="G218" s="221"/>
      <c r="H218" s="221"/>
      <c r="I218" s="221"/>
      <c r="J218" s="221"/>
      <c r="K218" s="221"/>
      <c r="L218" s="221"/>
      <c r="M218" s="221"/>
      <c r="N218" s="221"/>
      <c r="O218" s="221"/>
      <c r="P218" s="221"/>
      <c r="Q218" s="221"/>
      <c r="R218" s="221"/>
      <c r="S218" s="221"/>
      <c r="T218" s="221"/>
      <c r="U218" s="221"/>
      <c r="V218" s="221"/>
      <c r="W218" s="221"/>
      <c r="X218" s="221"/>
      <c r="Y218" s="221"/>
      <c r="Z218" s="221"/>
    </row>
    <row r="219" customFormat="false" ht="13.5" hidden="false" customHeight="true" outlineLevel="0" collapsed="false">
      <c r="A219" s="221"/>
      <c r="B219" s="221"/>
      <c r="C219" s="221"/>
      <c r="D219" s="221"/>
      <c r="E219" s="221"/>
      <c r="F219" s="221"/>
      <c r="G219" s="221"/>
      <c r="H219" s="221"/>
      <c r="I219" s="221"/>
      <c r="J219" s="221"/>
      <c r="K219" s="221"/>
      <c r="L219" s="221"/>
      <c r="M219" s="221"/>
      <c r="N219" s="221"/>
      <c r="O219" s="221"/>
      <c r="P219" s="221"/>
      <c r="Q219" s="221"/>
      <c r="R219" s="221"/>
      <c r="S219" s="221"/>
      <c r="T219" s="221"/>
      <c r="U219" s="221"/>
      <c r="V219" s="221"/>
      <c r="W219" s="221"/>
      <c r="X219" s="221"/>
      <c r="Y219" s="221"/>
      <c r="Z219" s="221"/>
    </row>
    <row r="220" customFormat="false" ht="13.5" hidden="false" customHeight="true" outlineLevel="0" collapsed="false">
      <c r="A220" s="221"/>
      <c r="B220" s="221"/>
      <c r="C220" s="221"/>
      <c r="D220" s="221"/>
      <c r="E220" s="221"/>
      <c r="F220" s="221"/>
      <c r="G220" s="221"/>
      <c r="H220" s="221"/>
      <c r="I220" s="221"/>
      <c r="J220" s="221"/>
      <c r="K220" s="221"/>
      <c r="L220" s="221"/>
      <c r="M220" s="221"/>
      <c r="N220" s="221"/>
      <c r="O220" s="221"/>
      <c r="P220" s="221"/>
      <c r="Q220" s="221"/>
      <c r="R220" s="221"/>
      <c r="S220" s="221"/>
      <c r="T220" s="221"/>
      <c r="U220" s="221"/>
      <c r="V220" s="221"/>
      <c r="W220" s="221"/>
      <c r="X220" s="221"/>
      <c r="Y220" s="221"/>
      <c r="Z220" s="221"/>
    </row>
    <row r="221" customFormat="false" ht="13.5" hidden="false" customHeight="true" outlineLevel="0" collapsed="false">
      <c r="A221" s="221"/>
      <c r="B221" s="221"/>
      <c r="C221" s="221"/>
      <c r="D221" s="221"/>
      <c r="E221" s="221"/>
      <c r="F221" s="221"/>
      <c r="G221" s="221"/>
      <c r="H221" s="221"/>
      <c r="I221" s="221"/>
      <c r="J221" s="221"/>
      <c r="K221" s="221"/>
      <c r="L221" s="221"/>
      <c r="M221" s="221"/>
      <c r="N221" s="221"/>
      <c r="O221" s="221"/>
      <c r="P221" s="221"/>
      <c r="Q221" s="221"/>
      <c r="R221" s="221"/>
      <c r="S221" s="221"/>
      <c r="T221" s="221"/>
      <c r="U221" s="221"/>
      <c r="V221" s="221"/>
      <c r="W221" s="221"/>
      <c r="X221" s="221"/>
      <c r="Y221" s="221"/>
      <c r="Z221" s="221"/>
    </row>
    <row r="222" customFormat="false" ht="13.5" hidden="false" customHeight="true" outlineLevel="0" collapsed="false">
      <c r="A222" s="221"/>
      <c r="B222" s="221"/>
      <c r="C222" s="221"/>
      <c r="D222" s="221"/>
      <c r="E222" s="221"/>
      <c r="F222" s="221"/>
      <c r="G222" s="221"/>
      <c r="H222" s="221"/>
      <c r="I222" s="221"/>
      <c r="J222" s="221"/>
      <c r="K222" s="221"/>
      <c r="L222" s="221"/>
      <c r="M222" s="221"/>
      <c r="N222" s="221"/>
      <c r="O222" s="221"/>
      <c r="P222" s="221"/>
      <c r="Q222" s="221"/>
      <c r="R222" s="221"/>
      <c r="S222" s="221"/>
      <c r="T222" s="221"/>
      <c r="U222" s="221"/>
      <c r="V222" s="221"/>
      <c r="W222" s="221"/>
      <c r="X222" s="221"/>
      <c r="Y222" s="221"/>
      <c r="Z222" s="221"/>
    </row>
    <row r="223" customFormat="false" ht="13.5" hidden="false" customHeight="true" outlineLevel="0" collapsed="false">
      <c r="A223" s="221"/>
      <c r="B223" s="221"/>
      <c r="C223" s="221"/>
      <c r="D223" s="221"/>
      <c r="E223" s="221"/>
      <c r="F223" s="221"/>
      <c r="G223" s="221"/>
      <c r="H223" s="221"/>
      <c r="I223" s="221"/>
      <c r="J223" s="221"/>
      <c r="K223" s="221"/>
      <c r="L223" s="221"/>
      <c r="M223" s="221"/>
      <c r="N223" s="221"/>
      <c r="O223" s="221"/>
      <c r="P223" s="221"/>
      <c r="Q223" s="221"/>
      <c r="R223" s="221"/>
      <c r="S223" s="221"/>
      <c r="T223" s="221"/>
      <c r="U223" s="221"/>
      <c r="V223" s="221"/>
      <c r="W223" s="221"/>
      <c r="X223" s="221"/>
      <c r="Y223" s="221"/>
      <c r="Z223" s="221"/>
    </row>
    <row r="224" customFormat="false" ht="13.5" hidden="false" customHeight="true" outlineLevel="0" collapsed="false">
      <c r="A224" s="221"/>
      <c r="B224" s="221"/>
      <c r="C224" s="221"/>
      <c r="D224" s="221"/>
      <c r="E224" s="221"/>
      <c r="F224" s="221"/>
      <c r="G224" s="221"/>
      <c r="H224" s="221"/>
      <c r="I224" s="221"/>
      <c r="J224" s="221"/>
      <c r="K224" s="221"/>
      <c r="L224" s="221"/>
      <c r="M224" s="221"/>
      <c r="N224" s="221"/>
      <c r="O224" s="221"/>
      <c r="P224" s="221"/>
      <c r="Q224" s="221"/>
      <c r="R224" s="221"/>
      <c r="S224" s="221"/>
      <c r="T224" s="221"/>
      <c r="U224" s="221"/>
      <c r="V224" s="221"/>
      <c r="W224" s="221"/>
      <c r="X224" s="221"/>
      <c r="Y224" s="221"/>
      <c r="Z224" s="221"/>
    </row>
    <row r="225" customFormat="false" ht="13.5" hidden="false" customHeight="true" outlineLevel="0" collapsed="false">
      <c r="A225" s="221"/>
      <c r="B225" s="221"/>
      <c r="C225" s="221"/>
      <c r="D225" s="221"/>
      <c r="E225" s="221"/>
      <c r="F225" s="221"/>
      <c r="G225" s="221"/>
      <c r="H225" s="221"/>
      <c r="I225" s="221"/>
      <c r="J225" s="221"/>
      <c r="K225" s="221"/>
      <c r="L225" s="221"/>
      <c r="M225" s="221"/>
      <c r="N225" s="221"/>
      <c r="O225" s="221"/>
      <c r="P225" s="221"/>
      <c r="Q225" s="221"/>
      <c r="R225" s="221"/>
      <c r="S225" s="221"/>
      <c r="T225" s="221"/>
      <c r="U225" s="221"/>
      <c r="V225" s="221"/>
      <c r="W225" s="221"/>
      <c r="X225" s="221"/>
      <c r="Y225" s="221"/>
      <c r="Z225" s="221"/>
    </row>
    <row r="226" customFormat="false" ht="13.5" hidden="false" customHeight="true" outlineLevel="0" collapsed="false">
      <c r="A226" s="221"/>
      <c r="B226" s="221"/>
      <c r="C226" s="221"/>
      <c r="D226" s="221"/>
      <c r="E226" s="221"/>
      <c r="F226" s="221"/>
      <c r="G226" s="221"/>
      <c r="H226" s="221"/>
      <c r="I226" s="221"/>
      <c r="J226" s="221"/>
      <c r="K226" s="221"/>
      <c r="L226" s="221"/>
      <c r="M226" s="221"/>
      <c r="N226" s="221"/>
      <c r="O226" s="221"/>
      <c r="P226" s="221"/>
      <c r="Q226" s="221"/>
      <c r="R226" s="221"/>
      <c r="S226" s="221"/>
      <c r="T226" s="221"/>
      <c r="U226" s="221"/>
      <c r="V226" s="221"/>
      <c r="W226" s="221"/>
      <c r="X226" s="221"/>
      <c r="Y226" s="221"/>
      <c r="Z226" s="221"/>
    </row>
    <row r="227" customFormat="false" ht="13.5" hidden="false" customHeight="true" outlineLevel="0" collapsed="false">
      <c r="A227" s="221"/>
      <c r="B227" s="221"/>
      <c r="C227" s="221"/>
      <c r="D227" s="221"/>
      <c r="E227" s="221"/>
      <c r="F227" s="221"/>
      <c r="G227" s="221"/>
      <c r="H227" s="221"/>
      <c r="I227" s="221"/>
      <c r="J227" s="221"/>
      <c r="K227" s="221"/>
      <c r="L227" s="221"/>
      <c r="M227" s="221"/>
      <c r="N227" s="221"/>
      <c r="O227" s="221"/>
      <c r="P227" s="221"/>
      <c r="Q227" s="221"/>
      <c r="R227" s="221"/>
      <c r="S227" s="221"/>
      <c r="T227" s="221"/>
      <c r="U227" s="221"/>
      <c r="V227" s="221"/>
      <c r="W227" s="221"/>
      <c r="X227" s="221"/>
      <c r="Y227" s="221"/>
      <c r="Z227" s="221"/>
    </row>
    <row r="228" customFormat="false" ht="13.5" hidden="false" customHeight="true" outlineLevel="0" collapsed="false">
      <c r="A228" s="221"/>
      <c r="B228" s="221"/>
      <c r="C228" s="221"/>
      <c r="D228" s="221"/>
      <c r="E228" s="221"/>
      <c r="F228" s="221"/>
      <c r="G228" s="221"/>
      <c r="H228" s="221"/>
      <c r="I228" s="221"/>
      <c r="J228" s="221"/>
      <c r="K228" s="221"/>
      <c r="L228" s="221"/>
      <c r="M228" s="221"/>
      <c r="N228" s="221"/>
      <c r="O228" s="221"/>
      <c r="P228" s="221"/>
      <c r="Q228" s="221"/>
      <c r="R228" s="221"/>
      <c r="S228" s="221"/>
      <c r="T228" s="221"/>
      <c r="U228" s="221"/>
      <c r="V228" s="221"/>
      <c r="W228" s="221"/>
      <c r="X228" s="221"/>
      <c r="Y228" s="221"/>
      <c r="Z228" s="221"/>
    </row>
    <row r="229" customFormat="false" ht="13.5" hidden="false" customHeight="true" outlineLevel="0" collapsed="false">
      <c r="A229" s="221"/>
      <c r="B229" s="221"/>
      <c r="C229" s="221"/>
      <c r="D229" s="221"/>
      <c r="E229" s="221"/>
      <c r="F229" s="221"/>
      <c r="G229" s="221"/>
      <c r="H229" s="221"/>
      <c r="I229" s="221"/>
      <c r="J229" s="221"/>
      <c r="K229" s="221"/>
      <c r="L229" s="221"/>
      <c r="M229" s="221"/>
      <c r="N229" s="221"/>
      <c r="O229" s="221"/>
      <c r="P229" s="221"/>
      <c r="Q229" s="221"/>
      <c r="R229" s="221"/>
      <c r="S229" s="221"/>
      <c r="T229" s="221"/>
      <c r="U229" s="221"/>
      <c r="V229" s="221"/>
      <c r="W229" s="221"/>
      <c r="X229" s="221"/>
      <c r="Y229" s="221"/>
      <c r="Z229" s="221"/>
    </row>
    <row r="230" customFormat="false" ht="13.5" hidden="false" customHeight="true" outlineLevel="0" collapsed="false">
      <c r="A230" s="221"/>
      <c r="B230" s="221"/>
      <c r="C230" s="221"/>
      <c r="D230" s="221"/>
      <c r="E230" s="221"/>
      <c r="F230" s="221"/>
      <c r="G230" s="221"/>
      <c r="H230" s="221"/>
      <c r="I230" s="221"/>
      <c r="J230" s="221"/>
      <c r="K230" s="221"/>
      <c r="L230" s="221"/>
      <c r="M230" s="221"/>
      <c r="N230" s="221"/>
      <c r="O230" s="221"/>
      <c r="P230" s="221"/>
      <c r="Q230" s="221"/>
      <c r="R230" s="221"/>
      <c r="S230" s="221"/>
      <c r="T230" s="221"/>
      <c r="U230" s="221"/>
      <c r="V230" s="221"/>
      <c r="W230" s="221"/>
      <c r="X230" s="221"/>
      <c r="Y230" s="221"/>
      <c r="Z230" s="221"/>
    </row>
    <row r="231" customFormat="false" ht="13.5" hidden="false" customHeight="true" outlineLevel="0" collapsed="false">
      <c r="A231" s="221"/>
      <c r="B231" s="221"/>
      <c r="C231" s="221"/>
      <c r="D231" s="221"/>
      <c r="E231" s="221"/>
      <c r="F231" s="221"/>
      <c r="G231" s="221"/>
      <c r="H231" s="221"/>
      <c r="I231" s="221"/>
      <c r="J231" s="221"/>
      <c r="K231" s="221"/>
      <c r="L231" s="221"/>
      <c r="M231" s="221"/>
      <c r="N231" s="221"/>
      <c r="O231" s="221"/>
      <c r="P231" s="221"/>
      <c r="Q231" s="221"/>
      <c r="R231" s="221"/>
      <c r="S231" s="221"/>
      <c r="T231" s="221"/>
      <c r="U231" s="221"/>
      <c r="V231" s="221"/>
      <c r="W231" s="221"/>
      <c r="X231" s="221"/>
      <c r="Y231" s="221"/>
      <c r="Z231" s="221"/>
    </row>
    <row r="232" customFormat="false" ht="13.5" hidden="false" customHeight="true" outlineLevel="0" collapsed="false">
      <c r="A232" s="221"/>
      <c r="B232" s="221"/>
      <c r="C232" s="221"/>
      <c r="D232" s="221"/>
      <c r="E232" s="221"/>
      <c r="F232" s="221"/>
      <c r="G232" s="221"/>
      <c r="H232" s="221"/>
      <c r="I232" s="221"/>
      <c r="J232" s="221"/>
      <c r="K232" s="221"/>
      <c r="L232" s="221"/>
      <c r="M232" s="221"/>
      <c r="N232" s="221"/>
      <c r="O232" s="221"/>
      <c r="P232" s="221"/>
      <c r="Q232" s="221"/>
      <c r="R232" s="221"/>
      <c r="S232" s="221"/>
      <c r="T232" s="221"/>
      <c r="U232" s="221"/>
      <c r="V232" s="221"/>
      <c r="W232" s="221"/>
      <c r="X232" s="221"/>
      <c r="Y232" s="221"/>
      <c r="Z232" s="221"/>
    </row>
    <row r="233" customFormat="false" ht="13.5" hidden="false" customHeight="true" outlineLevel="0" collapsed="false">
      <c r="A233" s="221"/>
      <c r="B233" s="221"/>
      <c r="C233" s="221"/>
      <c r="D233" s="221"/>
      <c r="E233" s="221"/>
      <c r="F233" s="221"/>
      <c r="G233" s="221"/>
      <c r="H233" s="221"/>
      <c r="I233" s="221"/>
      <c r="J233" s="221"/>
      <c r="K233" s="221"/>
      <c r="L233" s="221"/>
      <c r="M233" s="221"/>
      <c r="N233" s="221"/>
      <c r="O233" s="221"/>
      <c r="P233" s="221"/>
      <c r="Q233" s="221"/>
      <c r="R233" s="221"/>
      <c r="S233" s="221"/>
      <c r="T233" s="221"/>
      <c r="U233" s="221"/>
      <c r="V233" s="221"/>
      <c r="W233" s="221"/>
      <c r="X233" s="221"/>
      <c r="Y233" s="221"/>
      <c r="Z233" s="221"/>
    </row>
    <row r="234" customFormat="false" ht="13.5" hidden="false" customHeight="true" outlineLevel="0" collapsed="false">
      <c r="A234" s="221"/>
      <c r="B234" s="221"/>
      <c r="C234" s="221"/>
      <c r="D234" s="221"/>
      <c r="E234" s="221"/>
      <c r="F234" s="221"/>
      <c r="G234" s="221"/>
      <c r="H234" s="221"/>
      <c r="I234" s="221"/>
      <c r="J234" s="221"/>
      <c r="K234" s="221"/>
      <c r="L234" s="221"/>
      <c r="M234" s="221"/>
      <c r="N234" s="221"/>
      <c r="O234" s="221"/>
      <c r="P234" s="221"/>
      <c r="Q234" s="221"/>
      <c r="R234" s="221"/>
      <c r="S234" s="221"/>
      <c r="T234" s="221"/>
      <c r="U234" s="221"/>
      <c r="V234" s="221"/>
      <c r="W234" s="221"/>
      <c r="X234" s="221"/>
      <c r="Y234" s="221"/>
      <c r="Z234" s="221"/>
    </row>
    <row r="235" customFormat="false" ht="13.5" hidden="false" customHeight="true" outlineLevel="0" collapsed="false">
      <c r="A235" s="221"/>
      <c r="B235" s="221"/>
      <c r="C235" s="221"/>
      <c r="D235" s="221"/>
      <c r="E235" s="221"/>
      <c r="F235" s="221"/>
      <c r="G235" s="221"/>
      <c r="H235" s="221"/>
      <c r="I235" s="221"/>
      <c r="J235" s="221"/>
      <c r="K235" s="221"/>
      <c r="L235" s="221"/>
      <c r="M235" s="221"/>
      <c r="N235" s="221"/>
      <c r="O235" s="221"/>
      <c r="P235" s="221"/>
      <c r="Q235" s="221"/>
      <c r="R235" s="221"/>
      <c r="S235" s="221"/>
      <c r="T235" s="221"/>
      <c r="U235" s="221"/>
      <c r="V235" s="221"/>
      <c r="W235" s="221"/>
      <c r="X235" s="221"/>
      <c r="Y235" s="221"/>
      <c r="Z235" s="221"/>
    </row>
    <row r="236" customFormat="false" ht="13.5" hidden="false" customHeight="true" outlineLevel="0" collapsed="false">
      <c r="A236" s="221"/>
      <c r="B236" s="221"/>
      <c r="C236" s="221"/>
      <c r="D236" s="221"/>
      <c r="E236" s="221"/>
      <c r="F236" s="221"/>
      <c r="G236" s="221"/>
      <c r="H236" s="221"/>
      <c r="I236" s="221"/>
      <c r="J236" s="221"/>
      <c r="K236" s="221"/>
      <c r="L236" s="221"/>
      <c r="M236" s="221"/>
      <c r="N236" s="221"/>
      <c r="O236" s="221"/>
      <c r="P236" s="221"/>
      <c r="Q236" s="221"/>
      <c r="R236" s="221"/>
      <c r="S236" s="221"/>
      <c r="T236" s="221"/>
      <c r="U236" s="221"/>
      <c r="V236" s="221"/>
      <c r="W236" s="221"/>
      <c r="X236" s="221"/>
      <c r="Y236" s="221"/>
      <c r="Z236" s="221"/>
    </row>
    <row r="237" customFormat="false" ht="13.5" hidden="false" customHeight="true" outlineLevel="0" collapsed="false">
      <c r="A237" s="221"/>
      <c r="B237" s="221"/>
      <c r="C237" s="221"/>
      <c r="D237" s="221"/>
      <c r="E237" s="221"/>
      <c r="F237" s="221"/>
      <c r="G237" s="221"/>
      <c r="H237" s="221"/>
      <c r="I237" s="221"/>
      <c r="J237" s="221"/>
      <c r="K237" s="221"/>
      <c r="L237" s="221"/>
      <c r="M237" s="221"/>
      <c r="N237" s="221"/>
      <c r="O237" s="221"/>
      <c r="P237" s="221"/>
      <c r="Q237" s="221"/>
      <c r="R237" s="221"/>
      <c r="S237" s="221"/>
      <c r="T237" s="221"/>
      <c r="U237" s="221"/>
      <c r="V237" s="221"/>
      <c r="W237" s="221"/>
      <c r="X237" s="221"/>
      <c r="Y237" s="221"/>
      <c r="Z237" s="221"/>
    </row>
    <row r="238" customFormat="false" ht="13.5" hidden="false" customHeight="true" outlineLevel="0" collapsed="false">
      <c r="A238" s="221"/>
      <c r="B238" s="221"/>
      <c r="C238" s="221"/>
      <c r="D238" s="221"/>
      <c r="E238" s="221"/>
      <c r="F238" s="221"/>
      <c r="G238" s="221"/>
      <c r="H238" s="221"/>
      <c r="I238" s="221"/>
      <c r="J238" s="221"/>
      <c r="K238" s="221"/>
      <c r="L238" s="221"/>
      <c r="M238" s="221"/>
      <c r="N238" s="221"/>
      <c r="O238" s="221"/>
      <c r="P238" s="221"/>
      <c r="Q238" s="221"/>
      <c r="R238" s="221"/>
      <c r="S238" s="221"/>
      <c r="T238" s="221"/>
      <c r="U238" s="221"/>
      <c r="V238" s="221"/>
      <c r="W238" s="221"/>
      <c r="X238" s="221"/>
      <c r="Y238" s="221"/>
      <c r="Z238" s="221"/>
    </row>
    <row r="239" customFormat="false" ht="13.5" hidden="false" customHeight="true" outlineLevel="0" collapsed="false">
      <c r="A239" s="221"/>
      <c r="B239" s="221"/>
      <c r="C239" s="221"/>
      <c r="D239" s="221"/>
      <c r="E239" s="221"/>
      <c r="F239" s="221"/>
      <c r="G239" s="221"/>
      <c r="H239" s="221"/>
      <c r="I239" s="221"/>
      <c r="J239" s="221"/>
      <c r="K239" s="221"/>
      <c r="L239" s="221"/>
      <c r="M239" s="221"/>
      <c r="N239" s="221"/>
      <c r="O239" s="221"/>
      <c r="P239" s="221"/>
      <c r="Q239" s="221"/>
      <c r="R239" s="221"/>
      <c r="S239" s="221"/>
      <c r="T239" s="221"/>
      <c r="U239" s="221"/>
      <c r="V239" s="221"/>
      <c r="W239" s="221"/>
      <c r="X239" s="221"/>
      <c r="Y239" s="221"/>
      <c r="Z239" s="221"/>
    </row>
    <row r="240" customFormat="false" ht="13.5" hidden="false" customHeight="true" outlineLevel="0" collapsed="false">
      <c r="A240" s="221"/>
      <c r="B240" s="221"/>
      <c r="C240" s="221"/>
      <c r="D240" s="221"/>
      <c r="E240" s="221"/>
      <c r="F240" s="221"/>
      <c r="G240" s="221"/>
      <c r="H240" s="221"/>
      <c r="I240" s="221"/>
      <c r="J240" s="221"/>
      <c r="K240" s="221"/>
      <c r="L240" s="221"/>
      <c r="M240" s="221"/>
      <c r="N240" s="221"/>
      <c r="O240" s="221"/>
      <c r="P240" s="221"/>
      <c r="Q240" s="221"/>
      <c r="R240" s="221"/>
      <c r="S240" s="221"/>
      <c r="T240" s="221"/>
      <c r="U240" s="221"/>
      <c r="V240" s="221"/>
      <c r="W240" s="221"/>
      <c r="X240" s="221"/>
      <c r="Y240" s="221"/>
      <c r="Z240" s="221"/>
    </row>
    <row r="241" customFormat="false" ht="13.5" hidden="false" customHeight="true" outlineLevel="0" collapsed="false">
      <c r="A241" s="221"/>
      <c r="B241" s="221"/>
      <c r="C241" s="221"/>
      <c r="D241" s="221"/>
      <c r="E241" s="221"/>
      <c r="F241" s="221"/>
      <c r="G241" s="221"/>
      <c r="H241" s="221"/>
      <c r="I241" s="221"/>
      <c r="J241" s="221"/>
      <c r="K241" s="221"/>
      <c r="L241" s="221"/>
      <c r="M241" s="221"/>
      <c r="N241" s="221"/>
      <c r="O241" s="221"/>
      <c r="P241" s="221"/>
      <c r="Q241" s="221"/>
      <c r="R241" s="221"/>
      <c r="S241" s="221"/>
      <c r="T241" s="221"/>
      <c r="U241" s="221"/>
      <c r="V241" s="221"/>
      <c r="W241" s="221"/>
      <c r="X241" s="221"/>
      <c r="Y241" s="221"/>
      <c r="Z241" s="221"/>
    </row>
    <row r="242" customFormat="false" ht="13.5" hidden="false" customHeight="true" outlineLevel="0" collapsed="false">
      <c r="A242" s="221"/>
      <c r="B242" s="221"/>
      <c r="C242" s="221"/>
      <c r="D242" s="221"/>
      <c r="E242" s="221"/>
      <c r="F242" s="221"/>
      <c r="G242" s="221"/>
      <c r="H242" s="221"/>
      <c r="I242" s="221"/>
      <c r="J242" s="221"/>
      <c r="K242" s="221"/>
      <c r="L242" s="221"/>
      <c r="M242" s="221"/>
      <c r="N242" s="221"/>
      <c r="O242" s="221"/>
      <c r="P242" s="221"/>
      <c r="Q242" s="221"/>
      <c r="R242" s="221"/>
      <c r="S242" s="221"/>
      <c r="T242" s="221"/>
      <c r="U242" s="221"/>
      <c r="V242" s="221"/>
      <c r="W242" s="221"/>
      <c r="X242" s="221"/>
      <c r="Y242" s="221"/>
      <c r="Z242" s="221"/>
    </row>
    <row r="243" customFormat="false" ht="13.5" hidden="false" customHeight="true" outlineLevel="0" collapsed="false">
      <c r="A243" s="221"/>
      <c r="B243" s="221"/>
      <c r="C243" s="221"/>
      <c r="D243" s="221"/>
      <c r="E243" s="221"/>
      <c r="F243" s="221"/>
      <c r="G243" s="221"/>
      <c r="H243" s="221"/>
      <c r="I243" s="221"/>
      <c r="J243" s="221"/>
      <c r="K243" s="221"/>
      <c r="L243" s="221"/>
      <c r="M243" s="221"/>
      <c r="N243" s="221"/>
      <c r="O243" s="221"/>
      <c r="P243" s="221"/>
      <c r="Q243" s="221"/>
      <c r="R243" s="221"/>
      <c r="S243" s="221"/>
      <c r="T243" s="221"/>
      <c r="U243" s="221"/>
      <c r="V243" s="221"/>
      <c r="W243" s="221"/>
      <c r="X243" s="221"/>
      <c r="Y243" s="221"/>
      <c r="Z243" s="221"/>
    </row>
    <row r="244" customFormat="false" ht="13.5" hidden="false" customHeight="true" outlineLevel="0" collapsed="false">
      <c r="A244" s="221"/>
      <c r="B244" s="221"/>
      <c r="C244" s="221"/>
      <c r="D244" s="221"/>
      <c r="E244" s="221"/>
      <c r="F244" s="221"/>
      <c r="G244" s="221"/>
      <c r="H244" s="221"/>
      <c r="I244" s="221"/>
      <c r="J244" s="221"/>
      <c r="K244" s="221"/>
      <c r="L244" s="221"/>
      <c r="M244" s="221"/>
      <c r="N244" s="221"/>
      <c r="O244" s="221"/>
      <c r="P244" s="221"/>
      <c r="Q244" s="221"/>
      <c r="R244" s="221"/>
      <c r="S244" s="221"/>
      <c r="T244" s="221"/>
      <c r="U244" s="221"/>
      <c r="V244" s="221"/>
      <c r="W244" s="221"/>
      <c r="X244" s="221"/>
      <c r="Y244" s="221"/>
      <c r="Z244" s="221"/>
    </row>
    <row r="245" customFormat="false" ht="13.5" hidden="false" customHeight="true" outlineLevel="0" collapsed="false">
      <c r="A245" s="221"/>
      <c r="B245" s="221"/>
      <c r="C245" s="221"/>
      <c r="D245" s="221"/>
      <c r="E245" s="221"/>
      <c r="F245" s="221"/>
      <c r="G245" s="221"/>
      <c r="H245" s="221"/>
      <c r="I245" s="221"/>
      <c r="J245" s="221"/>
      <c r="K245" s="221"/>
      <c r="L245" s="221"/>
      <c r="M245" s="221"/>
      <c r="N245" s="221"/>
      <c r="O245" s="221"/>
      <c r="P245" s="221"/>
      <c r="Q245" s="221"/>
      <c r="R245" s="221"/>
      <c r="S245" s="221"/>
      <c r="T245" s="221"/>
      <c r="U245" s="221"/>
      <c r="V245" s="221"/>
      <c r="W245" s="221"/>
      <c r="X245" s="221"/>
      <c r="Y245" s="221"/>
      <c r="Z245" s="221"/>
    </row>
    <row r="246" customFormat="false" ht="13.5" hidden="false" customHeight="true" outlineLevel="0" collapsed="false">
      <c r="A246" s="221"/>
      <c r="B246" s="221"/>
      <c r="C246" s="221"/>
      <c r="D246" s="221"/>
      <c r="E246" s="221"/>
      <c r="F246" s="221"/>
      <c r="G246" s="221"/>
      <c r="H246" s="221"/>
      <c r="I246" s="221"/>
      <c r="J246" s="221"/>
      <c r="K246" s="221"/>
      <c r="L246" s="221"/>
      <c r="M246" s="221"/>
      <c r="N246" s="221"/>
      <c r="O246" s="221"/>
      <c r="P246" s="221"/>
      <c r="Q246" s="221"/>
      <c r="R246" s="221"/>
      <c r="S246" s="221"/>
      <c r="T246" s="221"/>
      <c r="U246" s="221"/>
      <c r="V246" s="221"/>
      <c r="W246" s="221"/>
      <c r="X246" s="221"/>
      <c r="Y246" s="221"/>
      <c r="Z246" s="221"/>
    </row>
    <row r="247" customFormat="false" ht="13.5" hidden="false" customHeight="true" outlineLevel="0" collapsed="false">
      <c r="A247" s="221"/>
      <c r="B247" s="221"/>
      <c r="C247" s="221"/>
      <c r="D247" s="221"/>
      <c r="E247" s="221"/>
      <c r="F247" s="221"/>
      <c r="G247" s="221"/>
      <c r="H247" s="221"/>
      <c r="I247" s="221"/>
      <c r="J247" s="221"/>
      <c r="K247" s="221"/>
      <c r="L247" s="221"/>
      <c r="M247" s="221"/>
      <c r="N247" s="221"/>
      <c r="O247" s="221"/>
      <c r="P247" s="221"/>
      <c r="Q247" s="221"/>
      <c r="R247" s="221"/>
      <c r="S247" s="221"/>
      <c r="T247" s="221"/>
      <c r="U247" s="221"/>
      <c r="V247" s="221"/>
      <c r="W247" s="221"/>
      <c r="X247" s="221"/>
      <c r="Y247" s="221"/>
      <c r="Z247" s="221"/>
    </row>
    <row r="248" customFormat="false" ht="13.5" hidden="false" customHeight="true" outlineLevel="0" collapsed="false">
      <c r="A248" s="221"/>
      <c r="B248" s="221"/>
      <c r="C248" s="221"/>
      <c r="D248" s="221"/>
      <c r="E248" s="221"/>
      <c r="F248" s="221"/>
      <c r="G248" s="221"/>
      <c r="H248" s="221"/>
      <c r="I248" s="221"/>
      <c r="J248" s="221"/>
      <c r="K248" s="221"/>
      <c r="L248" s="221"/>
      <c r="M248" s="221"/>
      <c r="N248" s="221"/>
      <c r="O248" s="221"/>
      <c r="P248" s="221"/>
      <c r="Q248" s="221"/>
      <c r="R248" s="221"/>
      <c r="S248" s="221"/>
      <c r="T248" s="221"/>
      <c r="U248" s="221"/>
      <c r="V248" s="221"/>
      <c r="W248" s="221"/>
      <c r="X248" s="221"/>
      <c r="Y248" s="221"/>
      <c r="Z248" s="221"/>
    </row>
    <row r="249" customFormat="false" ht="13.5" hidden="false" customHeight="true" outlineLevel="0" collapsed="false">
      <c r="A249" s="221"/>
      <c r="B249" s="221"/>
      <c r="C249" s="221"/>
      <c r="D249" s="221"/>
      <c r="E249" s="221"/>
      <c r="F249" s="221"/>
      <c r="G249" s="221"/>
      <c r="H249" s="221"/>
      <c r="I249" s="221"/>
      <c r="J249" s="221"/>
      <c r="K249" s="221"/>
      <c r="L249" s="221"/>
      <c r="M249" s="221"/>
      <c r="N249" s="221"/>
      <c r="O249" s="221"/>
      <c r="P249" s="221"/>
      <c r="Q249" s="221"/>
      <c r="R249" s="221"/>
      <c r="S249" s="221"/>
      <c r="T249" s="221"/>
      <c r="U249" s="221"/>
      <c r="V249" s="221"/>
      <c r="W249" s="221"/>
      <c r="X249" s="221"/>
      <c r="Y249" s="221"/>
      <c r="Z249" s="221"/>
    </row>
    <row r="250" customFormat="false" ht="13.5" hidden="false" customHeight="true" outlineLevel="0" collapsed="false">
      <c r="A250" s="221"/>
      <c r="B250" s="221"/>
      <c r="C250" s="221"/>
      <c r="D250" s="221"/>
      <c r="E250" s="221"/>
      <c r="F250" s="221"/>
      <c r="G250" s="221"/>
      <c r="H250" s="221"/>
      <c r="I250" s="221"/>
      <c r="J250" s="221"/>
      <c r="K250" s="221"/>
      <c r="L250" s="221"/>
      <c r="M250" s="221"/>
      <c r="N250" s="221"/>
      <c r="O250" s="221"/>
      <c r="P250" s="221"/>
      <c r="Q250" s="221"/>
      <c r="R250" s="221"/>
      <c r="S250" s="221"/>
      <c r="T250" s="221"/>
      <c r="U250" s="221"/>
      <c r="V250" s="221"/>
      <c r="W250" s="221"/>
      <c r="X250" s="221"/>
      <c r="Y250" s="221"/>
      <c r="Z250" s="221"/>
    </row>
    <row r="251" customFormat="false" ht="13.5" hidden="false" customHeight="true" outlineLevel="0" collapsed="false">
      <c r="A251" s="221"/>
      <c r="B251" s="221"/>
      <c r="C251" s="221"/>
      <c r="D251" s="221"/>
      <c r="E251" s="221"/>
      <c r="F251" s="221"/>
      <c r="G251" s="221"/>
      <c r="H251" s="221"/>
      <c r="I251" s="221"/>
      <c r="J251" s="221"/>
      <c r="K251" s="221"/>
      <c r="L251" s="221"/>
      <c r="M251" s="221"/>
      <c r="N251" s="221"/>
      <c r="O251" s="221"/>
      <c r="P251" s="221"/>
      <c r="Q251" s="221"/>
      <c r="R251" s="221"/>
      <c r="S251" s="221"/>
      <c r="T251" s="221"/>
      <c r="U251" s="221"/>
      <c r="V251" s="221"/>
      <c r="W251" s="221"/>
      <c r="X251" s="221"/>
      <c r="Y251" s="221"/>
      <c r="Z251" s="221"/>
    </row>
    <row r="252" customFormat="false" ht="13.5" hidden="false" customHeight="true" outlineLevel="0" collapsed="false">
      <c r="A252" s="221"/>
      <c r="B252" s="221"/>
      <c r="C252" s="221"/>
      <c r="D252" s="221"/>
      <c r="E252" s="221"/>
      <c r="F252" s="221"/>
      <c r="G252" s="221"/>
      <c r="H252" s="221"/>
      <c r="I252" s="221"/>
      <c r="J252" s="221"/>
      <c r="K252" s="221"/>
      <c r="L252" s="221"/>
      <c r="M252" s="221"/>
      <c r="N252" s="221"/>
      <c r="O252" s="221"/>
      <c r="P252" s="221"/>
      <c r="Q252" s="221"/>
      <c r="R252" s="221"/>
      <c r="S252" s="221"/>
      <c r="T252" s="221"/>
      <c r="U252" s="221"/>
      <c r="V252" s="221"/>
      <c r="W252" s="221"/>
      <c r="X252" s="221"/>
      <c r="Y252" s="221"/>
      <c r="Z252" s="221"/>
    </row>
    <row r="253" customFormat="false" ht="13.5" hidden="false" customHeight="true" outlineLevel="0" collapsed="false">
      <c r="A253" s="221"/>
      <c r="B253" s="221"/>
      <c r="C253" s="221"/>
      <c r="D253" s="221"/>
      <c r="E253" s="221"/>
      <c r="F253" s="221"/>
      <c r="G253" s="221"/>
      <c r="H253" s="221"/>
      <c r="I253" s="221"/>
      <c r="J253" s="221"/>
      <c r="K253" s="221"/>
      <c r="L253" s="221"/>
      <c r="M253" s="221"/>
      <c r="N253" s="221"/>
      <c r="O253" s="221"/>
      <c r="P253" s="221"/>
      <c r="Q253" s="221"/>
      <c r="R253" s="221"/>
      <c r="S253" s="221"/>
      <c r="T253" s="221"/>
      <c r="U253" s="221"/>
      <c r="V253" s="221"/>
      <c r="W253" s="221"/>
      <c r="X253" s="221"/>
      <c r="Y253" s="221"/>
      <c r="Z253" s="221"/>
    </row>
    <row r="254" customFormat="false" ht="13.5" hidden="false" customHeight="true" outlineLevel="0" collapsed="false">
      <c r="A254" s="221"/>
      <c r="B254" s="221"/>
      <c r="C254" s="221"/>
      <c r="D254" s="221"/>
      <c r="E254" s="221"/>
      <c r="F254" s="221"/>
      <c r="G254" s="221"/>
      <c r="H254" s="221"/>
      <c r="I254" s="221"/>
      <c r="J254" s="221"/>
      <c r="K254" s="221"/>
      <c r="L254" s="221"/>
      <c r="M254" s="221"/>
      <c r="N254" s="221"/>
      <c r="O254" s="221"/>
      <c r="P254" s="221"/>
      <c r="Q254" s="221"/>
      <c r="R254" s="221"/>
      <c r="S254" s="221"/>
      <c r="T254" s="221"/>
      <c r="U254" s="221"/>
      <c r="V254" s="221"/>
      <c r="W254" s="221"/>
      <c r="X254" s="221"/>
      <c r="Y254" s="221"/>
      <c r="Z254" s="221"/>
    </row>
    <row r="255" customFormat="false" ht="13.5" hidden="false" customHeight="true" outlineLevel="0" collapsed="false">
      <c r="A255" s="221"/>
      <c r="B255" s="221"/>
      <c r="C255" s="221"/>
      <c r="D255" s="221"/>
      <c r="E255" s="221"/>
      <c r="F255" s="221"/>
      <c r="G255" s="221"/>
      <c r="H255" s="221"/>
      <c r="I255" s="221"/>
      <c r="J255" s="221"/>
      <c r="K255" s="221"/>
      <c r="L255" s="221"/>
      <c r="M255" s="221"/>
      <c r="N255" s="221"/>
      <c r="O255" s="221"/>
      <c r="P255" s="221"/>
      <c r="Q255" s="221"/>
      <c r="R255" s="221"/>
      <c r="S255" s="221"/>
      <c r="T255" s="221"/>
      <c r="U255" s="221"/>
      <c r="V255" s="221"/>
      <c r="W255" s="221"/>
      <c r="X255" s="221"/>
      <c r="Y255" s="221"/>
      <c r="Z255" s="221"/>
    </row>
    <row r="256" customFormat="false" ht="13.5" hidden="false" customHeight="true" outlineLevel="0" collapsed="false">
      <c r="A256" s="221"/>
      <c r="B256" s="221"/>
      <c r="C256" s="221"/>
      <c r="D256" s="221"/>
      <c r="E256" s="221"/>
      <c r="F256" s="221"/>
      <c r="G256" s="221"/>
      <c r="H256" s="221"/>
      <c r="I256" s="221"/>
      <c r="J256" s="221"/>
      <c r="K256" s="221"/>
      <c r="L256" s="221"/>
      <c r="M256" s="221"/>
      <c r="N256" s="221"/>
      <c r="O256" s="221"/>
      <c r="P256" s="221"/>
      <c r="Q256" s="221"/>
      <c r="R256" s="221"/>
      <c r="S256" s="221"/>
      <c r="T256" s="221"/>
      <c r="U256" s="221"/>
      <c r="V256" s="221"/>
      <c r="W256" s="221"/>
      <c r="X256" s="221"/>
      <c r="Y256" s="221"/>
      <c r="Z256" s="221"/>
    </row>
    <row r="257" customFormat="false" ht="13.5" hidden="false" customHeight="true" outlineLevel="0" collapsed="false">
      <c r="A257" s="221"/>
      <c r="B257" s="221"/>
      <c r="C257" s="221"/>
      <c r="D257" s="221"/>
      <c r="E257" s="221"/>
      <c r="F257" s="221"/>
      <c r="G257" s="221"/>
      <c r="H257" s="221"/>
      <c r="I257" s="221"/>
      <c r="J257" s="221"/>
      <c r="K257" s="221"/>
      <c r="L257" s="221"/>
      <c r="M257" s="221"/>
      <c r="N257" s="221"/>
      <c r="O257" s="221"/>
      <c r="P257" s="221"/>
      <c r="Q257" s="221"/>
      <c r="R257" s="221"/>
      <c r="S257" s="221"/>
      <c r="T257" s="221"/>
      <c r="U257" s="221"/>
      <c r="V257" s="221"/>
      <c r="W257" s="221"/>
      <c r="X257" s="221"/>
      <c r="Y257" s="221"/>
      <c r="Z257" s="221"/>
    </row>
    <row r="258" customFormat="false" ht="13.5" hidden="false" customHeight="true" outlineLevel="0" collapsed="false">
      <c r="A258" s="221"/>
      <c r="B258" s="221"/>
      <c r="C258" s="221"/>
      <c r="D258" s="221"/>
      <c r="E258" s="221"/>
      <c r="F258" s="221"/>
      <c r="G258" s="221"/>
      <c r="H258" s="221"/>
      <c r="I258" s="221"/>
      <c r="J258" s="221"/>
      <c r="K258" s="221"/>
      <c r="L258" s="221"/>
      <c r="M258" s="221"/>
      <c r="N258" s="221"/>
      <c r="O258" s="221"/>
      <c r="P258" s="221"/>
      <c r="Q258" s="221"/>
      <c r="R258" s="221"/>
      <c r="S258" s="221"/>
      <c r="T258" s="221"/>
      <c r="U258" s="221"/>
      <c r="V258" s="221"/>
      <c r="W258" s="221"/>
      <c r="X258" s="221"/>
      <c r="Y258" s="221"/>
      <c r="Z258" s="221"/>
    </row>
    <row r="259" customFormat="false" ht="13.5" hidden="false" customHeight="true" outlineLevel="0" collapsed="false">
      <c r="A259" s="221"/>
      <c r="B259" s="221"/>
      <c r="C259" s="221"/>
      <c r="D259" s="221"/>
      <c r="E259" s="221"/>
      <c r="F259" s="221"/>
      <c r="G259" s="221"/>
      <c r="H259" s="221"/>
      <c r="I259" s="221"/>
      <c r="J259" s="221"/>
      <c r="K259" s="221"/>
      <c r="L259" s="221"/>
      <c r="M259" s="221"/>
      <c r="N259" s="221"/>
      <c r="O259" s="221"/>
      <c r="P259" s="221"/>
      <c r="Q259" s="221"/>
      <c r="R259" s="221"/>
      <c r="S259" s="221"/>
      <c r="T259" s="221"/>
      <c r="U259" s="221"/>
      <c r="V259" s="221"/>
      <c r="W259" s="221"/>
      <c r="X259" s="221"/>
      <c r="Y259" s="221"/>
      <c r="Z259" s="221"/>
    </row>
    <row r="260" customFormat="false" ht="13.5" hidden="false" customHeight="true" outlineLevel="0" collapsed="false">
      <c r="A260" s="221"/>
      <c r="B260" s="221"/>
      <c r="C260" s="221"/>
      <c r="D260" s="221"/>
      <c r="E260" s="221"/>
      <c r="F260" s="221"/>
      <c r="G260" s="221"/>
      <c r="H260" s="221"/>
      <c r="I260" s="221"/>
      <c r="J260" s="221"/>
      <c r="K260" s="221"/>
      <c r="L260" s="221"/>
      <c r="M260" s="221"/>
      <c r="N260" s="221"/>
      <c r="O260" s="221"/>
      <c r="P260" s="221"/>
      <c r="Q260" s="221"/>
      <c r="R260" s="221"/>
      <c r="S260" s="221"/>
      <c r="T260" s="221"/>
      <c r="U260" s="221"/>
      <c r="V260" s="221"/>
      <c r="W260" s="221"/>
      <c r="X260" s="221"/>
      <c r="Y260" s="221"/>
      <c r="Z260" s="221"/>
    </row>
    <row r="261" customFormat="false" ht="13.5" hidden="false" customHeight="true" outlineLevel="0" collapsed="false">
      <c r="A261" s="221"/>
      <c r="B261" s="221"/>
      <c r="C261" s="221"/>
      <c r="D261" s="221"/>
      <c r="E261" s="221"/>
      <c r="F261" s="221"/>
      <c r="G261" s="221"/>
      <c r="H261" s="221"/>
      <c r="I261" s="221"/>
      <c r="J261" s="221"/>
      <c r="K261" s="221"/>
      <c r="L261" s="221"/>
      <c r="M261" s="221"/>
      <c r="N261" s="221"/>
      <c r="O261" s="221"/>
      <c r="P261" s="221"/>
      <c r="Q261" s="221"/>
      <c r="R261" s="221"/>
      <c r="S261" s="221"/>
      <c r="T261" s="221"/>
      <c r="U261" s="221"/>
      <c r="V261" s="221"/>
      <c r="W261" s="221"/>
      <c r="X261" s="221"/>
      <c r="Y261" s="221"/>
      <c r="Z261" s="221"/>
    </row>
    <row r="262" customFormat="false" ht="13.5" hidden="false" customHeight="true" outlineLevel="0" collapsed="false">
      <c r="A262" s="221"/>
      <c r="B262" s="221"/>
      <c r="C262" s="221"/>
      <c r="D262" s="221"/>
      <c r="E262" s="221"/>
      <c r="F262" s="221"/>
      <c r="G262" s="221"/>
      <c r="H262" s="221"/>
      <c r="I262" s="221"/>
      <c r="J262" s="221"/>
      <c r="K262" s="221"/>
      <c r="L262" s="221"/>
      <c r="M262" s="221"/>
      <c r="N262" s="221"/>
      <c r="O262" s="221"/>
      <c r="P262" s="221"/>
      <c r="Q262" s="221"/>
      <c r="R262" s="221"/>
      <c r="S262" s="221"/>
      <c r="T262" s="221"/>
      <c r="U262" s="221"/>
      <c r="V262" s="221"/>
      <c r="W262" s="221"/>
      <c r="X262" s="221"/>
      <c r="Y262" s="221"/>
      <c r="Z262" s="221"/>
    </row>
    <row r="263" customFormat="false" ht="13.5" hidden="false" customHeight="true" outlineLevel="0" collapsed="false">
      <c r="A263" s="221"/>
      <c r="B263" s="221"/>
      <c r="C263" s="221"/>
      <c r="D263" s="221"/>
      <c r="E263" s="221"/>
      <c r="F263" s="221"/>
      <c r="G263" s="221"/>
      <c r="H263" s="221"/>
      <c r="I263" s="221"/>
      <c r="J263" s="221"/>
      <c r="K263" s="221"/>
      <c r="L263" s="221"/>
      <c r="M263" s="221"/>
      <c r="N263" s="221"/>
      <c r="O263" s="221"/>
      <c r="P263" s="221"/>
      <c r="Q263" s="221"/>
      <c r="R263" s="221"/>
      <c r="S263" s="221"/>
      <c r="T263" s="221"/>
      <c r="U263" s="221"/>
      <c r="V263" s="221"/>
      <c r="W263" s="221"/>
      <c r="X263" s="221"/>
      <c r="Y263" s="221"/>
      <c r="Z263" s="221"/>
    </row>
    <row r="264" customFormat="false" ht="13.5" hidden="false" customHeight="true" outlineLevel="0" collapsed="false">
      <c r="A264" s="221"/>
      <c r="B264" s="221"/>
      <c r="C264" s="221"/>
      <c r="D264" s="221"/>
      <c r="E264" s="221"/>
      <c r="F264" s="221"/>
      <c r="G264" s="221"/>
      <c r="H264" s="221"/>
      <c r="I264" s="221"/>
      <c r="J264" s="221"/>
      <c r="K264" s="221"/>
      <c r="L264" s="221"/>
      <c r="M264" s="221"/>
      <c r="N264" s="221"/>
      <c r="O264" s="221"/>
      <c r="P264" s="221"/>
      <c r="Q264" s="221"/>
      <c r="R264" s="221"/>
      <c r="S264" s="221"/>
      <c r="T264" s="221"/>
      <c r="U264" s="221"/>
      <c r="V264" s="221"/>
      <c r="W264" s="221"/>
      <c r="X264" s="221"/>
      <c r="Y264" s="221"/>
      <c r="Z264" s="221"/>
    </row>
    <row r="265" customFormat="false" ht="13.5" hidden="false" customHeight="true" outlineLevel="0" collapsed="false">
      <c r="A265" s="221"/>
      <c r="B265" s="221"/>
      <c r="C265" s="221"/>
      <c r="D265" s="221"/>
      <c r="E265" s="221"/>
      <c r="F265" s="221"/>
      <c r="G265" s="221"/>
      <c r="H265" s="221"/>
      <c r="I265" s="221"/>
      <c r="J265" s="221"/>
      <c r="K265" s="221"/>
      <c r="L265" s="221"/>
      <c r="M265" s="221"/>
      <c r="N265" s="221"/>
      <c r="O265" s="221"/>
      <c r="P265" s="221"/>
      <c r="Q265" s="221"/>
      <c r="R265" s="221"/>
      <c r="S265" s="221"/>
      <c r="T265" s="221"/>
      <c r="U265" s="221"/>
      <c r="V265" s="221"/>
      <c r="W265" s="221"/>
      <c r="X265" s="221"/>
      <c r="Y265" s="221"/>
      <c r="Z265" s="221"/>
    </row>
    <row r="266" customFormat="false" ht="13.5" hidden="false" customHeight="true" outlineLevel="0" collapsed="false">
      <c r="A266" s="221"/>
      <c r="B266" s="221"/>
      <c r="C266" s="221"/>
      <c r="D266" s="221"/>
      <c r="E266" s="221"/>
      <c r="F266" s="221"/>
      <c r="G266" s="221"/>
      <c r="H266" s="221"/>
      <c r="I266" s="221"/>
      <c r="J266" s="221"/>
      <c r="K266" s="221"/>
      <c r="L266" s="221"/>
      <c r="M266" s="221"/>
      <c r="N266" s="221"/>
      <c r="O266" s="221"/>
      <c r="P266" s="221"/>
      <c r="Q266" s="221"/>
      <c r="R266" s="221"/>
      <c r="S266" s="221"/>
      <c r="T266" s="221"/>
      <c r="U266" s="221"/>
      <c r="V266" s="221"/>
      <c r="W266" s="221"/>
      <c r="X266" s="221"/>
      <c r="Y266" s="221"/>
      <c r="Z266" s="221"/>
    </row>
    <row r="267" customFormat="false" ht="13.5" hidden="false" customHeight="true" outlineLevel="0" collapsed="false">
      <c r="A267" s="221"/>
      <c r="B267" s="221"/>
      <c r="C267" s="221"/>
      <c r="D267" s="221"/>
      <c r="E267" s="221"/>
      <c r="F267" s="221"/>
      <c r="G267" s="221"/>
      <c r="H267" s="221"/>
      <c r="I267" s="221"/>
      <c r="J267" s="221"/>
      <c r="K267" s="221"/>
      <c r="L267" s="221"/>
      <c r="M267" s="221"/>
      <c r="N267" s="221"/>
      <c r="O267" s="221"/>
      <c r="P267" s="221"/>
      <c r="Q267" s="221"/>
      <c r="R267" s="221"/>
      <c r="S267" s="221"/>
      <c r="T267" s="221"/>
      <c r="U267" s="221"/>
      <c r="V267" s="221"/>
      <c r="W267" s="221"/>
      <c r="X267" s="221"/>
      <c r="Y267" s="221"/>
      <c r="Z267" s="221"/>
    </row>
    <row r="268" customFormat="false" ht="13.5" hidden="false" customHeight="true" outlineLevel="0" collapsed="false">
      <c r="A268" s="221"/>
      <c r="B268" s="221"/>
      <c r="C268" s="221"/>
      <c r="D268" s="221"/>
      <c r="E268" s="221"/>
      <c r="F268" s="221"/>
      <c r="G268" s="221"/>
      <c r="H268" s="221"/>
      <c r="I268" s="221"/>
      <c r="J268" s="221"/>
      <c r="K268" s="221"/>
      <c r="L268" s="221"/>
      <c r="M268" s="221"/>
      <c r="N268" s="221"/>
      <c r="O268" s="221"/>
      <c r="P268" s="221"/>
      <c r="Q268" s="221"/>
      <c r="R268" s="221"/>
      <c r="S268" s="221"/>
      <c r="T268" s="221"/>
      <c r="U268" s="221"/>
      <c r="V268" s="221"/>
      <c r="W268" s="221"/>
      <c r="X268" s="221"/>
      <c r="Y268" s="221"/>
      <c r="Z268" s="221"/>
    </row>
    <row r="269" customFormat="false" ht="13.5" hidden="false" customHeight="true" outlineLevel="0" collapsed="false">
      <c r="A269" s="221"/>
      <c r="B269" s="221"/>
      <c r="C269" s="221"/>
      <c r="D269" s="221"/>
      <c r="E269" s="221"/>
      <c r="F269" s="221"/>
      <c r="G269" s="221"/>
      <c r="H269" s="221"/>
      <c r="I269" s="221"/>
      <c r="J269" s="221"/>
      <c r="K269" s="221"/>
      <c r="L269" s="221"/>
      <c r="M269" s="221"/>
      <c r="N269" s="221"/>
      <c r="O269" s="221"/>
      <c r="P269" s="221"/>
      <c r="Q269" s="221"/>
      <c r="R269" s="221"/>
      <c r="S269" s="221"/>
      <c r="T269" s="221"/>
      <c r="U269" s="221"/>
      <c r="V269" s="221"/>
      <c r="W269" s="221"/>
      <c r="X269" s="221"/>
      <c r="Y269" s="221"/>
      <c r="Z269" s="221"/>
    </row>
    <row r="270" customFormat="false" ht="13.5" hidden="false" customHeight="true" outlineLevel="0" collapsed="false">
      <c r="A270" s="221"/>
      <c r="B270" s="221"/>
      <c r="C270" s="221"/>
      <c r="D270" s="221"/>
      <c r="E270" s="221"/>
      <c r="F270" s="221"/>
      <c r="G270" s="221"/>
      <c r="H270" s="221"/>
      <c r="I270" s="221"/>
      <c r="J270" s="221"/>
      <c r="K270" s="221"/>
      <c r="L270" s="221"/>
      <c r="M270" s="221"/>
      <c r="N270" s="221"/>
      <c r="O270" s="221"/>
      <c r="P270" s="221"/>
      <c r="Q270" s="221"/>
      <c r="R270" s="221"/>
      <c r="S270" s="221"/>
      <c r="T270" s="221"/>
      <c r="U270" s="221"/>
      <c r="V270" s="221"/>
      <c r="W270" s="221"/>
      <c r="X270" s="221"/>
      <c r="Y270" s="221"/>
      <c r="Z270" s="221"/>
    </row>
    <row r="271" customFormat="false" ht="13.5" hidden="false" customHeight="true" outlineLevel="0" collapsed="false">
      <c r="A271" s="221"/>
      <c r="B271" s="221"/>
      <c r="C271" s="221"/>
      <c r="D271" s="221"/>
      <c r="E271" s="221"/>
      <c r="F271" s="221"/>
      <c r="G271" s="221"/>
      <c r="H271" s="221"/>
      <c r="I271" s="221"/>
      <c r="J271" s="221"/>
      <c r="K271" s="221"/>
      <c r="L271" s="221"/>
      <c r="M271" s="221"/>
      <c r="N271" s="221"/>
      <c r="O271" s="221"/>
      <c r="P271" s="221"/>
      <c r="Q271" s="221"/>
      <c r="R271" s="221"/>
      <c r="S271" s="221"/>
      <c r="T271" s="221"/>
      <c r="U271" s="221"/>
      <c r="V271" s="221"/>
      <c r="W271" s="221"/>
      <c r="X271" s="221"/>
      <c r="Y271" s="221"/>
      <c r="Z271" s="221"/>
    </row>
    <row r="272" customFormat="false" ht="13.5" hidden="false" customHeight="true" outlineLevel="0" collapsed="false">
      <c r="A272" s="221"/>
      <c r="B272" s="221"/>
      <c r="C272" s="221"/>
      <c r="D272" s="221"/>
      <c r="E272" s="221"/>
      <c r="F272" s="221"/>
      <c r="G272" s="221"/>
      <c r="H272" s="221"/>
      <c r="I272" s="221"/>
      <c r="J272" s="221"/>
      <c r="K272" s="221"/>
      <c r="L272" s="221"/>
      <c r="M272" s="221"/>
      <c r="N272" s="221"/>
      <c r="O272" s="221"/>
      <c r="P272" s="221"/>
      <c r="Q272" s="221"/>
      <c r="R272" s="221"/>
      <c r="S272" s="221"/>
      <c r="T272" s="221"/>
      <c r="U272" s="221"/>
      <c r="V272" s="221"/>
      <c r="W272" s="221"/>
      <c r="X272" s="221"/>
      <c r="Y272" s="221"/>
      <c r="Z272" s="221"/>
    </row>
    <row r="273" customFormat="false" ht="13.5" hidden="false" customHeight="true" outlineLevel="0" collapsed="false">
      <c r="A273" s="221"/>
      <c r="B273" s="221"/>
      <c r="C273" s="221"/>
      <c r="D273" s="221"/>
      <c r="E273" s="221"/>
      <c r="F273" s="221"/>
      <c r="G273" s="221"/>
      <c r="H273" s="221"/>
      <c r="I273" s="221"/>
      <c r="J273" s="221"/>
      <c r="K273" s="221"/>
      <c r="L273" s="221"/>
      <c r="M273" s="221"/>
      <c r="N273" s="221"/>
      <c r="O273" s="221"/>
      <c r="P273" s="221"/>
      <c r="Q273" s="221"/>
      <c r="R273" s="221"/>
      <c r="S273" s="221"/>
      <c r="T273" s="221"/>
      <c r="U273" s="221"/>
      <c r="V273" s="221"/>
      <c r="W273" s="221"/>
      <c r="X273" s="221"/>
      <c r="Y273" s="221"/>
      <c r="Z273" s="221"/>
    </row>
    <row r="274" customFormat="false" ht="13.5" hidden="false" customHeight="true" outlineLevel="0" collapsed="false">
      <c r="A274" s="221"/>
      <c r="B274" s="221"/>
      <c r="C274" s="221"/>
      <c r="D274" s="221"/>
      <c r="E274" s="221"/>
      <c r="F274" s="221"/>
      <c r="G274" s="221"/>
      <c r="H274" s="221"/>
      <c r="I274" s="221"/>
      <c r="J274" s="221"/>
      <c r="K274" s="221"/>
      <c r="L274" s="221"/>
      <c r="M274" s="221"/>
      <c r="N274" s="221"/>
      <c r="O274" s="221"/>
      <c r="P274" s="221"/>
      <c r="Q274" s="221"/>
      <c r="R274" s="221"/>
      <c r="S274" s="221"/>
      <c r="T274" s="221"/>
      <c r="U274" s="221"/>
      <c r="V274" s="221"/>
      <c r="W274" s="221"/>
      <c r="X274" s="221"/>
      <c r="Y274" s="221"/>
      <c r="Z274" s="221"/>
    </row>
    <row r="275" customFormat="false" ht="13.5" hidden="false" customHeight="true" outlineLevel="0" collapsed="false">
      <c r="A275" s="221"/>
      <c r="B275" s="221"/>
      <c r="C275" s="221"/>
      <c r="D275" s="221"/>
      <c r="E275" s="221"/>
      <c r="F275" s="221"/>
      <c r="G275" s="221"/>
      <c r="H275" s="221"/>
      <c r="I275" s="221"/>
      <c r="J275" s="221"/>
      <c r="K275" s="221"/>
      <c r="L275" s="221"/>
      <c r="M275" s="221"/>
      <c r="N275" s="221"/>
      <c r="O275" s="221"/>
      <c r="P275" s="221"/>
      <c r="Q275" s="221"/>
      <c r="R275" s="221"/>
      <c r="S275" s="221"/>
      <c r="T275" s="221"/>
      <c r="U275" s="221"/>
      <c r="V275" s="221"/>
      <c r="W275" s="221"/>
      <c r="X275" s="221"/>
      <c r="Y275" s="221"/>
      <c r="Z275" s="221"/>
    </row>
    <row r="276" customFormat="false" ht="13.5" hidden="false" customHeight="true" outlineLevel="0" collapsed="false">
      <c r="A276" s="221"/>
      <c r="B276" s="221"/>
      <c r="C276" s="221"/>
      <c r="D276" s="221"/>
      <c r="E276" s="221"/>
      <c r="F276" s="221"/>
      <c r="G276" s="221"/>
      <c r="H276" s="221"/>
      <c r="I276" s="221"/>
      <c r="J276" s="221"/>
      <c r="K276" s="221"/>
      <c r="L276" s="221"/>
      <c r="M276" s="221"/>
      <c r="N276" s="221"/>
      <c r="O276" s="221"/>
      <c r="P276" s="221"/>
      <c r="Q276" s="221"/>
      <c r="R276" s="221"/>
      <c r="S276" s="221"/>
      <c r="T276" s="221"/>
      <c r="U276" s="221"/>
      <c r="V276" s="221"/>
      <c r="W276" s="221"/>
      <c r="X276" s="221"/>
      <c r="Y276" s="221"/>
      <c r="Z276" s="221"/>
    </row>
    <row r="277" customFormat="false" ht="13.5" hidden="false" customHeight="true" outlineLevel="0" collapsed="false">
      <c r="A277" s="221"/>
      <c r="B277" s="221"/>
      <c r="C277" s="221"/>
      <c r="D277" s="221"/>
      <c r="E277" s="221"/>
      <c r="F277" s="221"/>
      <c r="G277" s="221"/>
      <c r="H277" s="221"/>
      <c r="I277" s="221"/>
      <c r="J277" s="221"/>
      <c r="K277" s="221"/>
      <c r="L277" s="221"/>
      <c r="M277" s="221"/>
      <c r="N277" s="221"/>
      <c r="O277" s="221"/>
      <c r="P277" s="221"/>
      <c r="Q277" s="221"/>
      <c r="R277" s="221"/>
      <c r="S277" s="221"/>
      <c r="T277" s="221"/>
      <c r="U277" s="221"/>
      <c r="V277" s="221"/>
      <c r="W277" s="221"/>
      <c r="X277" s="221"/>
      <c r="Y277" s="221"/>
      <c r="Z277" s="221"/>
    </row>
    <row r="278" customFormat="false" ht="13.5" hidden="false" customHeight="true" outlineLevel="0" collapsed="false">
      <c r="A278" s="221"/>
      <c r="B278" s="221"/>
      <c r="C278" s="221"/>
      <c r="D278" s="221"/>
      <c r="E278" s="221"/>
      <c r="F278" s="221"/>
      <c r="G278" s="221"/>
      <c r="H278" s="221"/>
      <c r="I278" s="221"/>
      <c r="J278" s="221"/>
      <c r="K278" s="221"/>
      <c r="L278" s="221"/>
      <c r="M278" s="221"/>
      <c r="N278" s="221"/>
      <c r="O278" s="221"/>
      <c r="P278" s="221"/>
      <c r="Q278" s="221"/>
      <c r="R278" s="221"/>
      <c r="S278" s="221"/>
      <c r="T278" s="221"/>
      <c r="U278" s="221"/>
      <c r="V278" s="221"/>
      <c r="W278" s="221"/>
      <c r="X278" s="221"/>
      <c r="Y278" s="221"/>
      <c r="Z278" s="221"/>
    </row>
    <row r="279" customFormat="false" ht="13.5" hidden="false" customHeight="true" outlineLevel="0" collapsed="false">
      <c r="A279" s="221"/>
      <c r="B279" s="221"/>
      <c r="C279" s="221"/>
      <c r="D279" s="221"/>
      <c r="E279" s="221"/>
      <c r="F279" s="221"/>
      <c r="G279" s="221"/>
      <c r="H279" s="221"/>
      <c r="I279" s="221"/>
      <c r="J279" s="221"/>
      <c r="K279" s="221"/>
      <c r="L279" s="221"/>
      <c r="M279" s="221"/>
      <c r="N279" s="221"/>
      <c r="O279" s="221"/>
      <c r="P279" s="221"/>
      <c r="Q279" s="221"/>
      <c r="R279" s="221"/>
      <c r="S279" s="221"/>
      <c r="T279" s="221"/>
      <c r="U279" s="221"/>
      <c r="V279" s="221"/>
      <c r="W279" s="221"/>
      <c r="X279" s="221"/>
      <c r="Y279" s="221"/>
      <c r="Z279" s="221"/>
    </row>
    <row r="280" customFormat="false" ht="13.5" hidden="false" customHeight="true" outlineLevel="0" collapsed="false">
      <c r="A280" s="221"/>
      <c r="B280" s="221"/>
      <c r="C280" s="221"/>
      <c r="D280" s="221"/>
      <c r="E280" s="221"/>
      <c r="F280" s="221"/>
      <c r="G280" s="221"/>
      <c r="H280" s="221"/>
      <c r="I280" s="221"/>
      <c r="J280" s="221"/>
      <c r="K280" s="221"/>
      <c r="L280" s="221"/>
      <c r="M280" s="221"/>
      <c r="N280" s="221"/>
      <c r="O280" s="221"/>
      <c r="P280" s="221"/>
      <c r="Q280" s="221"/>
      <c r="R280" s="221"/>
      <c r="S280" s="221"/>
      <c r="T280" s="221"/>
      <c r="U280" s="221"/>
      <c r="V280" s="221"/>
      <c r="W280" s="221"/>
      <c r="X280" s="221"/>
      <c r="Y280" s="221"/>
      <c r="Z280" s="221"/>
    </row>
    <row r="281" customFormat="false" ht="13.5" hidden="false" customHeight="true" outlineLevel="0" collapsed="false">
      <c r="A281" s="221"/>
      <c r="B281" s="221"/>
      <c r="C281" s="221"/>
      <c r="D281" s="221"/>
      <c r="E281" s="221"/>
      <c r="F281" s="221"/>
      <c r="G281" s="221"/>
      <c r="H281" s="221"/>
      <c r="I281" s="221"/>
      <c r="J281" s="221"/>
      <c r="K281" s="221"/>
      <c r="L281" s="221"/>
      <c r="M281" s="221"/>
      <c r="N281" s="221"/>
      <c r="O281" s="221"/>
      <c r="P281" s="221"/>
      <c r="Q281" s="221"/>
      <c r="R281" s="221"/>
      <c r="S281" s="221"/>
      <c r="T281" s="221"/>
      <c r="U281" s="221"/>
      <c r="V281" s="221"/>
      <c r="W281" s="221"/>
      <c r="X281" s="221"/>
      <c r="Y281" s="221"/>
      <c r="Z281" s="221"/>
    </row>
    <row r="282" customFormat="false" ht="13.5" hidden="false" customHeight="true" outlineLevel="0" collapsed="false">
      <c r="A282" s="221"/>
      <c r="B282" s="221"/>
      <c r="C282" s="221"/>
      <c r="D282" s="221"/>
      <c r="E282" s="221"/>
      <c r="F282" s="221"/>
      <c r="G282" s="221"/>
      <c r="H282" s="221"/>
      <c r="I282" s="221"/>
      <c r="J282" s="221"/>
      <c r="K282" s="221"/>
      <c r="L282" s="221"/>
      <c r="M282" s="221"/>
      <c r="N282" s="221"/>
      <c r="O282" s="221"/>
      <c r="P282" s="221"/>
      <c r="Q282" s="221"/>
      <c r="R282" s="221"/>
      <c r="S282" s="221"/>
      <c r="T282" s="221"/>
      <c r="U282" s="221"/>
      <c r="V282" s="221"/>
      <c r="W282" s="221"/>
      <c r="X282" s="221"/>
      <c r="Y282" s="221"/>
      <c r="Z282" s="221"/>
    </row>
    <row r="283" customFormat="false" ht="13.5" hidden="false" customHeight="true" outlineLevel="0" collapsed="false">
      <c r="A283" s="221"/>
      <c r="B283" s="221"/>
      <c r="C283" s="221"/>
      <c r="D283" s="221"/>
      <c r="E283" s="221"/>
      <c r="F283" s="221"/>
      <c r="G283" s="221"/>
      <c r="H283" s="221"/>
      <c r="I283" s="221"/>
      <c r="J283" s="221"/>
      <c r="K283" s="221"/>
      <c r="L283" s="221"/>
      <c r="M283" s="221"/>
      <c r="N283" s="221"/>
      <c r="O283" s="221"/>
      <c r="P283" s="221"/>
      <c r="Q283" s="221"/>
      <c r="R283" s="221"/>
      <c r="S283" s="221"/>
      <c r="T283" s="221"/>
      <c r="U283" s="221"/>
      <c r="V283" s="221"/>
      <c r="W283" s="221"/>
      <c r="X283" s="221"/>
      <c r="Y283" s="221"/>
      <c r="Z283" s="221"/>
    </row>
    <row r="284" customFormat="false" ht="13.5" hidden="false" customHeight="true" outlineLevel="0" collapsed="false">
      <c r="A284" s="221"/>
      <c r="B284" s="221"/>
      <c r="C284" s="221"/>
      <c r="D284" s="221"/>
      <c r="E284" s="221"/>
      <c r="F284" s="221"/>
      <c r="G284" s="221"/>
      <c r="H284" s="221"/>
      <c r="I284" s="221"/>
      <c r="J284" s="221"/>
      <c r="K284" s="221"/>
      <c r="L284" s="221"/>
      <c r="M284" s="221"/>
      <c r="N284" s="221"/>
      <c r="O284" s="221"/>
      <c r="P284" s="221"/>
      <c r="Q284" s="221"/>
      <c r="R284" s="221"/>
      <c r="S284" s="221"/>
      <c r="T284" s="221"/>
      <c r="U284" s="221"/>
      <c r="V284" s="221"/>
      <c r="W284" s="221"/>
      <c r="X284" s="221"/>
      <c r="Y284" s="221"/>
      <c r="Z284" s="221"/>
    </row>
    <row r="285" customFormat="false" ht="13.5" hidden="false" customHeight="true" outlineLevel="0" collapsed="false">
      <c r="A285" s="221"/>
      <c r="B285" s="221"/>
      <c r="C285" s="221"/>
      <c r="D285" s="221"/>
      <c r="E285" s="221"/>
      <c r="F285" s="221"/>
      <c r="G285" s="221"/>
      <c r="H285" s="221"/>
      <c r="I285" s="221"/>
      <c r="J285" s="221"/>
      <c r="K285" s="221"/>
      <c r="L285" s="221"/>
      <c r="M285" s="221"/>
      <c r="N285" s="221"/>
      <c r="O285" s="221"/>
      <c r="P285" s="221"/>
      <c r="Q285" s="221"/>
      <c r="R285" s="221"/>
      <c r="S285" s="221"/>
      <c r="T285" s="221"/>
      <c r="U285" s="221"/>
      <c r="V285" s="221"/>
      <c r="W285" s="221"/>
      <c r="X285" s="221"/>
      <c r="Y285" s="221"/>
      <c r="Z285" s="221"/>
    </row>
    <row r="286" customFormat="false" ht="13.5" hidden="false" customHeight="true" outlineLevel="0" collapsed="false">
      <c r="A286" s="221"/>
      <c r="B286" s="221"/>
      <c r="C286" s="221"/>
      <c r="D286" s="221"/>
      <c r="E286" s="221"/>
      <c r="F286" s="221"/>
      <c r="G286" s="221"/>
      <c r="H286" s="221"/>
      <c r="I286" s="221"/>
      <c r="J286" s="221"/>
      <c r="K286" s="221"/>
      <c r="L286" s="221"/>
      <c r="M286" s="221"/>
      <c r="N286" s="221"/>
      <c r="O286" s="221"/>
      <c r="P286" s="221"/>
      <c r="Q286" s="221"/>
      <c r="R286" s="221"/>
      <c r="S286" s="221"/>
      <c r="T286" s="221"/>
      <c r="U286" s="221"/>
      <c r="V286" s="221"/>
      <c r="W286" s="221"/>
      <c r="X286" s="221"/>
      <c r="Y286" s="221"/>
      <c r="Z286" s="221"/>
    </row>
    <row r="287" customFormat="false" ht="13.5" hidden="false" customHeight="true" outlineLevel="0" collapsed="false">
      <c r="A287" s="221"/>
      <c r="B287" s="221"/>
      <c r="C287" s="221"/>
      <c r="D287" s="221"/>
      <c r="E287" s="221"/>
      <c r="F287" s="221"/>
      <c r="G287" s="221"/>
      <c r="H287" s="221"/>
      <c r="I287" s="221"/>
      <c r="J287" s="221"/>
      <c r="K287" s="221"/>
      <c r="L287" s="221"/>
      <c r="M287" s="221"/>
      <c r="N287" s="221"/>
      <c r="O287" s="221"/>
      <c r="P287" s="221"/>
      <c r="Q287" s="221"/>
      <c r="R287" s="221"/>
      <c r="S287" s="221"/>
      <c r="T287" s="221"/>
      <c r="U287" s="221"/>
      <c r="V287" s="221"/>
      <c r="W287" s="221"/>
      <c r="X287" s="221"/>
      <c r="Y287" s="221"/>
      <c r="Z287" s="221"/>
    </row>
    <row r="288" customFormat="false" ht="13.5" hidden="false" customHeight="true" outlineLevel="0" collapsed="false">
      <c r="A288" s="221"/>
      <c r="B288" s="221"/>
      <c r="C288" s="221"/>
      <c r="D288" s="221"/>
      <c r="E288" s="221"/>
      <c r="F288" s="221"/>
      <c r="G288" s="221"/>
      <c r="H288" s="221"/>
      <c r="I288" s="221"/>
      <c r="J288" s="221"/>
      <c r="K288" s="221"/>
      <c r="L288" s="221"/>
      <c r="M288" s="221"/>
      <c r="N288" s="221"/>
      <c r="O288" s="221"/>
      <c r="P288" s="221"/>
      <c r="Q288" s="221"/>
      <c r="R288" s="221"/>
      <c r="S288" s="221"/>
      <c r="T288" s="221"/>
      <c r="U288" s="221"/>
      <c r="V288" s="221"/>
      <c r="W288" s="221"/>
      <c r="X288" s="221"/>
      <c r="Y288" s="221"/>
      <c r="Z288" s="221"/>
    </row>
    <row r="289" customFormat="false" ht="13.5" hidden="false" customHeight="true" outlineLevel="0" collapsed="false">
      <c r="A289" s="221"/>
      <c r="B289" s="221"/>
      <c r="C289" s="221"/>
      <c r="D289" s="221"/>
      <c r="E289" s="221"/>
      <c r="F289" s="221"/>
      <c r="G289" s="221"/>
      <c r="H289" s="221"/>
      <c r="I289" s="221"/>
      <c r="J289" s="221"/>
      <c r="K289" s="221"/>
      <c r="L289" s="221"/>
      <c r="M289" s="221"/>
      <c r="N289" s="221"/>
      <c r="O289" s="221"/>
      <c r="P289" s="221"/>
      <c r="Q289" s="221"/>
      <c r="R289" s="221"/>
      <c r="S289" s="221"/>
      <c r="T289" s="221"/>
      <c r="U289" s="221"/>
      <c r="V289" s="221"/>
      <c r="W289" s="221"/>
      <c r="X289" s="221"/>
      <c r="Y289" s="221"/>
      <c r="Z289" s="221"/>
    </row>
    <row r="290" customFormat="false" ht="13.5" hidden="false" customHeight="true" outlineLevel="0" collapsed="false">
      <c r="A290" s="221"/>
      <c r="B290" s="221"/>
      <c r="C290" s="221"/>
      <c r="D290" s="221"/>
      <c r="E290" s="221"/>
      <c r="F290" s="221"/>
      <c r="G290" s="221"/>
      <c r="H290" s="221"/>
      <c r="I290" s="221"/>
      <c r="J290" s="221"/>
      <c r="K290" s="221"/>
      <c r="L290" s="221"/>
      <c r="M290" s="221"/>
      <c r="N290" s="221"/>
      <c r="O290" s="221"/>
      <c r="P290" s="221"/>
      <c r="Q290" s="221"/>
      <c r="R290" s="221"/>
      <c r="S290" s="221"/>
      <c r="T290" s="221"/>
      <c r="U290" s="221"/>
      <c r="V290" s="221"/>
      <c r="W290" s="221"/>
      <c r="X290" s="221"/>
      <c r="Y290" s="221"/>
      <c r="Z290" s="221"/>
    </row>
    <row r="291" customFormat="false" ht="13.5" hidden="false" customHeight="true" outlineLevel="0" collapsed="false">
      <c r="A291" s="221"/>
      <c r="B291" s="221"/>
      <c r="C291" s="221"/>
      <c r="D291" s="221"/>
      <c r="E291" s="221"/>
      <c r="F291" s="221"/>
      <c r="G291" s="221"/>
      <c r="H291" s="221"/>
      <c r="I291" s="221"/>
      <c r="J291" s="221"/>
      <c r="K291" s="221"/>
      <c r="L291" s="221"/>
      <c r="M291" s="221"/>
      <c r="N291" s="221"/>
      <c r="O291" s="221"/>
      <c r="P291" s="221"/>
      <c r="Q291" s="221"/>
      <c r="R291" s="221"/>
      <c r="S291" s="221"/>
      <c r="T291" s="221"/>
      <c r="U291" s="221"/>
      <c r="V291" s="221"/>
      <c r="W291" s="221"/>
      <c r="X291" s="221"/>
      <c r="Y291" s="221"/>
      <c r="Z291" s="221"/>
    </row>
    <row r="292" customFormat="false" ht="13.5" hidden="false" customHeight="true" outlineLevel="0" collapsed="false">
      <c r="A292" s="221"/>
      <c r="B292" s="221"/>
      <c r="C292" s="221"/>
      <c r="D292" s="221"/>
      <c r="E292" s="221"/>
      <c r="F292" s="221"/>
      <c r="G292" s="221"/>
      <c r="H292" s="221"/>
      <c r="I292" s="221"/>
      <c r="J292" s="221"/>
      <c r="K292" s="221"/>
      <c r="L292" s="221"/>
      <c r="M292" s="221"/>
      <c r="N292" s="221"/>
      <c r="O292" s="221"/>
      <c r="P292" s="221"/>
      <c r="Q292" s="221"/>
      <c r="R292" s="221"/>
      <c r="S292" s="221"/>
      <c r="T292" s="221"/>
      <c r="U292" s="221"/>
      <c r="V292" s="221"/>
      <c r="W292" s="221"/>
      <c r="X292" s="221"/>
      <c r="Y292" s="221"/>
      <c r="Z292" s="221"/>
    </row>
    <row r="293" customFormat="false" ht="13.5" hidden="false" customHeight="true" outlineLevel="0" collapsed="false">
      <c r="A293" s="221"/>
      <c r="B293" s="221"/>
      <c r="C293" s="221"/>
      <c r="D293" s="221"/>
      <c r="E293" s="221"/>
      <c r="F293" s="221"/>
      <c r="G293" s="221"/>
      <c r="H293" s="221"/>
      <c r="I293" s="221"/>
      <c r="J293" s="221"/>
      <c r="K293" s="221"/>
      <c r="L293" s="221"/>
      <c r="M293" s="221"/>
      <c r="N293" s="221"/>
      <c r="O293" s="221"/>
      <c r="P293" s="221"/>
      <c r="Q293" s="221"/>
      <c r="R293" s="221"/>
      <c r="S293" s="221"/>
      <c r="T293" s="221"/>
      <c r="U293" s="221"/>
      <c r="V293" s="221"/>
      <c r="W293" s="221"/>
      <c r="X293" s="221"/>
      <c r="Y293" s="221"/>
      <c r="Z293" s="221"/>
    </row>
    <row r="294" customFormat="false" ht="13.5" hidden="false" customHeight="true" outlineLevel="0" collapsed="false">
      <c r="A294" s="221"/>
      <c r="B294" s="221"/>
      <c r="C294" s="221"/>
      <c r="D294" s="221"/>
      <c r="E294" s="221"/>
      <c r="F294" s="221"/>
      <c r="G294" s="221"/>
      <c r="H294" s="221"/>
      <c r="I294" s="221"/>
      <c r="J294" s="221"/>
      <c r="K294" s="221"/>
      <c r="L294" s="221"/>
      <c r="M294" s="221"/>
      <c r="N294" s="221"/>
      <c r="O294" s="221"/>
      <c r="P294" s="221"/>
      <c r="Q294" s="221"/>
      <c r="R294" s="221"/>
      <c r="S294" s="221"/>
      <c r="T294" s="221"/>
      <c r="U294" s="221"/>
      <c r="V294" s="221"/>
      <c r="W294" s="221"/>
      <c r="X294" s="221"/>
      <c r="Y294" s="221"/>
      <c r="Z294" s="221"/>
    </row>
    <row r="295" customFormat="false" ht="13.5" hidden="false" customHeight="true" outlineLevel="0" collapsed="false">
      <c r="A295" s="221"/>
      <c r="B295" s="221"/>
      <c r="C295" s="221"/>
      <c r="D295" s="221"/>
      <c r="E295" s="221"/>
      <c r="F295" s="221"/>
      <c r="G295" s="221"/>
      <c r="H295" s="221"/>
      <c r="I295" s="221"/>
      <c r="J295" s="221"/>
      <c r="K295" s="221"/>
      <c r="L295" s="221"/>
      <c r="M295" s="221"/>
      <c r="N295" s="221"/>
      <c r="O295" s="221"/>
      <c r="P295" s="221"/>
      <c r="Q295" s="221"/>
      <c r="R295" s="221"/>
      <c r="S295" s="221"/>
      <c r="T295" s="221"/>
      <c r="U295" s="221"/>
      <c r="V295" s="221"/>
      <c r="W295" s="221"/>
      <c r="X295" s="221"/>
      <c r="Y295" s="221"/>
      <c r="Z295" s="221"/>
    </row>
    <row r="296" customFormat="false" ht="13.5" hidden="false" customHeight="true" outlineLevel="0" collapsed="false">
      <c r="A296" s="221"/>
      <c r="B296" s="221"/>
      <c r="C296" s="221"/>
      <c r="D296" s="221"/>
      <c r="E296" s="221"/>
      <c r="F296" s="221"/>
      <c r="G296" s="221"/>
      <c r="H296" s="221"/>
      <c r="I296" s="221"/>
      <c r="J296" s="221"/>
      <c r="K296" s="221"/>
      <c r="L296" s="221"/>
      <c r="M296" s="221"/>
      <c r="N296" s="221"/>
      <c r="O296" s="221"/>
      <c r="P296" s="221"/>
      <c r="Q296" s="221"/>
      <c r="R296" s="221"/>
      <c r="S296" s="221"/>
      <c r="T296" s="221"/>
      <c r="U296" s="221"/>
      <c r="V296" s="221"/>
      <c r="W296" s="221"/>
      <c r="X296" s="221"/>
      <c r="Y296" s="221"/>
      <c r="Z296" s="221"/>
    </row>
    <row r="297" customFormat="false" ht="13.5" hidden="false" customHeight="true" outlineLevel="0" collapsed="false">
      <c r="A297" s="221"/>
      <c r="B297" s="221"/>
      <c r="C297" s="221"/>
      <c r="D297" s="221"/>
      <c r="E297" s="221"/>
      <c r="F297" s="221"/>
      <c r="G297" s="221"/>
      <c r="H297" s="221"/>
      <c r="I297" s="221"/>
      <c r="J297" s="221"/>
      <c r="K297" s="221"/>
      <c r="L297" s="221"/>
      <c r="M297" s="221"/>
      <c r="N297" s="221"/>
      <c r="O297" s="221"/>
      <c r="P297" s="221"/>
      <c r="Q297" s="221"/>
      <c r="R297" s="221"/>
      <c r="S297" s="221"/>
      <c r="T297" s="221"/>
      <c r="U297" s="221"/>
      <c r="V297" s="221"/>
      <c r="W297" s="221"/>
      <c r="X297" s="221"/>
      <c r="Y297" s="221"/>
      <c r="Z297" s="221"/>
    </row>
    <row r="298" customFormat="false" ht="13.5" hidden="false" customHeight="true" outlineLevel="0" collapsed="false">
      <c r="A298" s="221"/>
      <c r="B298" s="221"/>
      <c r="C298" s="221"/>
      <c r="D298" s="221"/>
      <c r="E298" s="221"/>
      <c r="F298" s="221"/>
      <c r="G298" s="221"/>
      <c r="H298" s="221"/>
      <c r="I298" s="221"/>
      <c r="J298" s="221"/>
      <c r="K298" s="221"/>
      <c r="L298" s="221"/>
      <c r="M298" s="221"/>
      <c r="N298" s="221"/>
      <c r="O298" s="221"/>
      <c r="P298" s="221"/>
      <c r="Q298" s="221"/>
      <c r="R298" s="221"/>
      <c r="S298" s="221"/>
      <c r="T298" s="221"/>
      <c r="U298" s="221"/>
      <c r="V298" s="221"/>
      <c r="W298" s="221"/>
      <c r="X298" s="221"/>
      <c r="Y298" s="221"/>
      <c r="Z298" s="221"/>
    </row>
    <row r="299" customFormat="false" ht="13.5" hidden="false" customHeight="true" outlineLevel="0" collapsed="false">
      <c r="A299" s="221"/>
      <c r="B299" s="221"/>
      <c r="C299" s="221"/>
      <c r="D299" s="221"/>
      <c r="E299" s="221"/>
      <c r="F299" s="221"/>
      <c r="G299" s="221"/>
      <c r="H299" s="221"/>
      <c r="I299" s="221"/>
      <c r="J299" s="221"/>
      <c r="K299" s="221"/>
      <c r="L299" s="221"/>
      <c r="M299" s="221"/>
      <c r="N299" s="221"/>
      <c r="O299" s="221"/>
      <c r="P299" s="221"/>
      <c r="Q299" s="221"/>
      <c r="R299" s="221"/>
      <c r="S299" s="221"/>
      <c r="T299" s="221"/>
      <c r="U299" s="221"/>
      <c r="V299" s="221"/>
      <c r="W299" s="221"/>
      <c r="X299" s="221"/>
      <c r="Y299" s="221"/>
      <c r="Z299" s="221"/>
    </row>
    <row r="300" customFormat="false" ht="13.5" hidden="false" customHeight="true" outlineLevel="0" collapsed="false">
      <c r="A300" s="221"/>
      <c r="B300" s="221"/>
      <c r="C300" s="221"/>
      <c r="D300" s="221"/>
      <c r="E300" s="221"/>
      <c r="F300" s="221"/>
      <c r="G300" s="221"/>
      <c r="H300" s="221"/>
      <c r="I300" s="221"/>
      <c r="J300" s="221"/>
      <c r="K300" s="221"/>
      <c r="L300" s="221"/>
      <c r="M300" s="221"/>
      <c r="N300" s="221"/>
      <c r="O300" s="221"/>
      <c r="P300" s="221"/>
      <c r="Q300" s="221"/>
      <c r="R300" s="221"/>
      <c r="S300" s="221"/>
      <c r="T300" s="221"/>
      <c r="U300" s="221"/>
      <c r="V300" s="221"/>
      <c r="W300" s="221"/>
      <c r="X300" s="221"/>
      <c r="Y300" s="221"/>
      <c r="Z300" s="221"/>
    </row>
    <row r="301" customFormat="false" ht="13.5" hidden="false" customHeight="true" outlineLevel="0" collapsed="false">
      <c r="A301" s="221"/>
      <c r="B301" s="221"/>
      <c r="C301" s="221"/>
      <c r="D301" s="221"/>
      <c r="E301" s="221"/>
      <c r="F301" s="221"/>
      <c r="G301" s="221"/>
      <c r="H301" s="221"/>
      <c r="I301" s="221"/>
      <c r="J301" s="221"/>
      <c r="K301" s="221"/>
      <c r="L301" s="221"/>
      <c r="M301" s="221"/>
      <c r="N301" s="221"/>
      <c r="O301" s="221"/>
      <c r="P301" s="221"/>
      <c r="Q301" s="221"/>
      <c r="R301" s="221"/>
      <c r="S301" s="221"/>
      <c r="T301" s="221"/>
      <c r="U301" s="221"/>
      <c r="V301" s="221"/>
      <c r="W301" s="221"/>
      <c r="X301" s="221"/>
      <c r="Y301" s="221"/>
      <c r="Z301" s="221"/>
    </row>
    <row r="302" customFormat="false" ht="13.5" hidden="false" customHeight="true" outlineLevel="0" collapsed="false">
      <c r="A302" s="221"/>
      <c r="B302" s="221"/>
      <c r="C302" s="221"/>
      <c r="D302" s="221"/>
      <c r="E302" s="221"/>
      <c r="F302" s="221"/>
      <c r="G302" s="221"/>
      <c r="H302" s="221"/>
      <c r="I302" s="221"/>
      <c r="J302" s="221"/>
      <c r="K302" s="221"/>
      <c r="L302" s="221"/>
      <c r="M302" s="221"/>
      <c r="N302" s="221"/>
      <c r="O302" s="221"/>
      <c r="P302" s="221"/>
      <c r="Q302" s="221"/>
      <c r="R302" s="221"/>
      <c r="S302" s="221"/>
      <c r="T302" s="221"/>
      <c r="U302" s="221"/>
      <c r="V302" s="221"/>
      <c r="W302" s="221"/>
      <c r="X302" s="221"/>
      <c r="Y302" s="221"/>
      <c r="Z302" s="221"/>
    </row>
    <row r="303" customFormat="false" ht="13.5" hidden="false" customHeight="true" outlineLevel="0" collapsed="false">
      <c r="A303" s="221"/>
      <c r="B303" s="221"/>
      <c r="C303" s="221"/>
      <c r="D303" s="221"/>
      <c r="E303" s="221"/>
      <c r="F303" s="221"/>
      <c r="G303" s="221"/>
      <c r="H303" s="221"/>
      <c r="I303" s="221"/>
      <c r="J303" s="221"/>
      <c r="K303" s="221"/>
      <c r="L303" s="221"/>
      <c r="M303" s="221"/>
      <c r="N303" s="221"/>
      <c r="O303" s="221"/>
      <c r="P303" s="221"/>
      <c r="Q303" s="221"/>
      <c r="R303" s="221"/>
      <c r="S303" s="221"/>
      <c r="T303" s="221"/>
      <c r="U303" s="221"/>
      <c r="V303" s="221"/>
      <c r="W303" s="221"/>
      <c r="X303" s="221"/>
      <c r="Y303" s="221"/>
      <c r="Z303" s="221"/>
    </row>
    <row r="304" customFormat="false" ht="13.5" hidden="false" customHeight="true" outlineLevel="0" collapsed="false">
      <c r="A304" s="221"/>
      <c r="B304" s="221"/>
      <c r="C304" s="221"/>
      <c r="D304" s="221"/>
      <c r="E304" s="221"/>
      <c r="F304" s="221"/>
      <c r="G304" s="221"/>
      <c r="H304" s="221"/>
      <c r="I304" s="221"/>
      <c r="J304" s="221"/>
      <c r="K304" s="221"/>
      <c r="L304" s="221"/>
      <c r="M304" s="221"/>
      <c r="N304" s="221"/>
      <c r="O304" s="221"/>
      <c r="P304" s="221"/>
      <c r="Q304" s="221"/>
      <c r="R304" s="221"/>
      <c r="S304" s="221"/>
      <c r="T304" s="221"/>
      <c r="U304" s="221"/>
      <c r="V304" s="221"/>
      <c r="W304" s="221"/>
      <c r="X304" s="221"/>
      <c r="Y304" s="221"/>
      <c r="Z304" s="221"/>
    </row>
    <row r="305" customFormat="false" ht="13.5" hidden="false" customHeight="true" outlineLevel="0" collapsed="false">
      <c r="A305" s="221"/>
      <c r="B305" s="221"/>
      <c r="C305" s="221"/>
      <c r="D305" s="221"/>
      <c r="E305" s="221"/>
      <c r="F305" s="221"/>
      <c r="G305" s="221"/>
      <c r="H305" s="221"/>
      <c r="I305" s="221"/>
      <c r="J305" s="221"/>
      <c r="K305" s="221"/>
      <c r="L305" s="221"/>
      <c r="M305" s="221"/>
      <c r="N305" s="221"/>
      <c r="O305" s="221"/>
      <c r="P305" s="221"/>
      <c r="Q305" s="221"/>
      <c r="R305" s="221"/>
      <c r="S305" s="221"/>
      <c r="T305" s="221"/>
      <c r="U305" s="221"/>
      <c r="V305" s="221"/>
      <c r="W305" s="221"/>
      <c r="X305" s="221"/>
      <c r="Y305" s="221"/>
      <c r="Z305" s="221"/>
    </row>
    <row r="306" customFormat="false" ht="13.5" hidden="false" customHeight="true" outlineLevel="0" collapsed="false">
      <c r="A306" s="221"/>
      <c r="B306" s="221"/>
      <c r="C306" s="221"/>
      <c r="D306" s="221"/>
      <c r="E306" s="221"/>
      <c r="F306" s="221"/>
      <c r="G306" s="221"/>
      <c r="H306" s="221"/>
      <c r="I306" s="221"/>
      <c r="J306" s="221"/>
      <c r="K306" s="221"/>
      <c r="L306" s="221"/>
      <c r="M306" s="221"/>
      <c r="N306" s="221"/>
      <c r="O306" s="221"/>
      <c r="P306" s="221"/>
      <c r="Q306" s="221"/>
      <c r="R306" s="221"/>
      <c r="S306" s="221"/>
      <c r="T306" s="221"/>
      <c r="U306" s="221"/>
      <c r="V306" s="221"/>
      <c r="W306" s="221"/>
      <c r="X306" s="221"/>
      <c r="Y306" s="221"/>
      <c r="Z306" s="221"/>
    </row>
    <row r="307" customFormat="false" ht="13.5" hidden="false" customHeight="true" outlineLevel="0" collapsed="false">
      <c r="A307" s="221"/>
      <c r="B307" s="221"/>
      <c r="C307" s="221"/>
      <c r="D307" s="221"/>
      <c r="E307" s="221"/>
      <c r="F307" s="221"/>
      <c r="G307" s="221"/>
      <c r="H307" s="221"/>
      <c r="I307" s="221"/>
      <c r="J307" s="221"/>
      <c r="K307" s="221"/>
      <c r="L307" s="221"/>
      <c r="M307" s="221"/>
      <c r="N307" s="221"/>
      <c r="O307" s="221"/>
      <c r="P307" s="221"/>
      <c r="Q307" s="221"/>
      <c r="R307" s="221"/>
      <c r="S307" s="221"/>
      <c r="T307" s="221"/>
      <c r="U307" s="221"/>
      <c r="V307" s="221"/>
      <c r="W307" s="221"/>
      <c r="X307" s="221"/>
      <c r="Y307" s="221"/>
      <c r="Z307" s="221"/>
    </row>
    <row r="308" customFormat="false" ht="13.5" hidden="false" customHeight="true" outlineLevel="0" collapsed="false">
      <c r="A308" s="221"/>
      <c r="B308" s="221"/>
      <c r="C308" s="221"/>
      <c r="D308" s="221"/>
      <c r="E308" s="221"/>
      <c r="F308" s="221"/>
      <c r="G308" s="221"/>
      <c r="H308" s="221"/>
      <c r="I308" s="221"/>
      <c r="J308" s="221"/>
      <c r="K308" s="221"/>
      <c r="L308" s="221"/>
      <c r="M308" s="221"/>
      <c r="N308" s="221"/>
      <c r="O308" s="221"/>
      <c r="P308" s="221"/>
      <c r="Q308" s="221"/>
      <c r="R308" s="221"/>
      <c r="S308" s="221"/>
      <c r="T308" s="221"/>
      <c r="U308" s="221"/>
      <c r="V308" s="221"/>
      <c r="W308" s="221"/>
      <c r="X308" s="221"/>
      <c r="Y308" s="221"/>
      <c r="Z308" s="221"/>
    </row>
    <row r="309" customFormat="false" ht="13.5" hidden="false" customHeight="true" outlineLevel="0" collapsed="false">
      <c r="A309" s="221"/>
      <c r="B309" s="221"/>
      <c r="C309" s="221"/>
      <c r="D309" s="221"/>
      <c r="E309" s="221"/>
      <c r="F309" s="221"/>
      <c r="G309" s="221"/>
      <c r="H309" s="221"/>
      <c r="I309" s="221"/>
      <c r="J309" s="221"/>
      <c r="K309" s="221"/>
      <c r="L309" s="221"/>
      <c r="M309" s="221"/>
      <c r="N309" s="221"/>
      <c r="O309" s="221"/>
      <c r="P309" s="221"/>
      <c r="Q309" s="221"/>
      <c r="R309" s="221"/>
      <c r="S309" s="221"/>
      <c r="T309" s="221"/>
      <c r="U309" s="221"/>
      <c r="V309" s="221"/>
      <c r="W309" s="221"/>
      <c r="X309" s="221"/>
      <c r="Y309" s="221"/>
      <c r="Z309" s="221"/>
    </row>
    <row r="310" customFormat="false" ht="13.5" hidden="false" customHeight="true" outlineLevel="0" collapsed="false">
      <c r="A310" s="221"/>
      <c r="B310" s="221"/>
      <c r="C310" s="221"/>
      <c r="D310" s="221"/>
      <c r="E310" s="221"/>
      <c r="F310" s="221"/>
      <c r="G310" s="221"/>
      <c r="H310" s="221"/>
      <c r="I310" s="221"/>
      <c r="J310" s="221"/>
      <c r="K310" s="221"/>
      <c r="L310" s="221"/>
      <c r="M310" s="221"/>
      <c r="N310" s="221"/>
      <c r="O310" s="221"/>
      <c r="P310" s="221"/>
      <c r="Q310" s="221"/>
      <c r="R310" s="221"/>
      <c r="S310" s="221"/>
      <c r="T310" s="221"/>
      <c r="U310" s="221"/>
      <c r="V310" s="221"/>
      <c r="W310" s="221"/>
      <c r="X310" s="221"/>
      <c r="Y310" s="221"/>
      <c r="Z310" s="221"/>
    </row>
    <row r="311" customFormat="false" ht="13.5" hidden="false" customHeight="true" outlineLevel="0" collapsed="false">
      <c r="A311" s="221"/>
      <c r="B311" s="221"/>
      <c r="C311" s="221"/>
      <c r="D311" s="221"/>
      <c r="E311" s="221"/>
      <c r="F311" s="221"/>
      <c r="G311" s="221"/>
      <c r="H311" s="221"/>
      <c r="I311" s="221"/>
      <c r="J311" s="221"/>
      <c r="K311" s="221"/>
      <c r="L311" s="221"/>
      <c r="M311" s="221"/>
      <c r="N311" s="221"/>
      <c r="O311" s="221"/>
      <c r="P311" s="221"/>
      <c r="Q311" s="221"/>
      <c r="R311" s="221"/>
      <c r="S311" s="221"/>
      <c r="T311" s="221"/>
      <c r="U311" s="221"/>
      <c r="V311" s="221"/>
      <c r="W311" s="221"/>
      <c r="X311" s="221"/>
      <c r="Y311" s="221"/>
      <c r="Z311" s="221"/>
    </row>
    <row r="312" customFormat="false" ht="13.5" hidden="false" customHeight="true" outlineLevel="0" collapsed="false">
      <c r="A312" s="221"/>
      <c r="B312" s="221"/>
      <c r="C312" s="221"/>
      <c r="D312" s="221"/>
      <c r="E312" s="221"/>
      <c r="F312" s="221"/>
      <c r="G312" s="221"/>
      <c r="H312" s="221"/>
      <c r="I312" s="221"/>
      <c r="J312" s="221"/>
      <c r="K312" s="221"/>
      <c r="L312" s="221"/>
      <c r="M312" s="221"/>
      <c r="N312" s="221"/>
      <c r="O312" s="221"/>
      <c r="P312" s="221"/>
      <c r="Q312" s="221"/>
      <c r="R312" s="221"/>
      <c r="S312" s="221"/>
      <c r="T312" s="221"/>
      <c r="U312" s="221"/>
      <c r="V312" s="221"/>
      <c r="W312" s="221"/>
      <c r="X312" s="221"/>
      <c r="Y312" s="221"/>
      <c r="Z312" s="221"/>
    </row>
    <row r="313" customFormat="false" ht="13.5" hidden="false" customHeight="true" outlineLevel="0" collapsed="false">
      <c r="A313" s="221"/>
      <c r="B313" s="221"/>
      <c r="C313" s="221"/>
      <c r="D313" s="221"/>
      <c r="E313" s="221"/>
      <c r="F313" s="221"/>
      <c r="G313" s="221"/>
      <c r="H313" s="221"/>
      <c r="I313" s="221"/>
      <c r="J313" s="221"/>
      <c r="K313" s="221"/>
      <c r="L313" s="221"/>
      <c r="M313" s="221"/>
      <c r="N313" s="221"/>
      <c r="O313" s="221"/>
      <c r="P313" s="221"/>
      <c r="Q313" s="221"/>
      <c r="R313" s="221"/>
      <c r="S313" s="221"/>
      <c r="T313" s="221"/>
      <c r="U313" s="221"/>
      <c r="V313" s="221"/>
      <c r="W313" s="221"/>
      <c r="X313" s="221"/>
      <c r="Y313" s="221"/>
      <c r="Z313" s="221"/>
    </row>
    <row r="314" customFormat="false" ht="13.5" hidden="false" customHeight="true" outlineLevel="0" collapsed="false">
      <c r="A314" s="221"/>
      <c r="B314" s="221"/>
      <c r="C314" s="221"/>
      <c r="D314" s="221"/>
      <c r="E314" s="221"/>
      <c r="F314" s="221"/>
      <c r="G314" s="221"/>
      <c r="H314" s="221"/>
      <c r="I314" s="221"/>
      <c r="J314" s="221"/>
      <c r="K314" s="221"/>
      <c r="L314" s="221"/>
      <c r="M314" s="221"/>
      <c r="N314" s="221"/>
      <c r="O314" s="221"/>
      <c r="P314" s="221"/>
      <c r="Q314" s="221"/>
      <c r="R314" s="221"/>
      <c r="S314" s="221"/>
      <c r="T314" s="221"/>
      <c r="U314" s="221"/>
      <c r="V314" s="221"/>
      <c r="W314" s="221"/>
      <c r="X314" s="221"/>
      <c r="Y314" s="221"/>
      <c r="Z314" s="221"/>
    </row>
    <row r="315" customFormat="false" ht="13.5" hidden="false" customHeight="true" outlineLevel="0" collapsed="false">
      <c r="A315" s="221"/>
      <c r="B315" s="221"/>
      <c r="C315" s="221"/>
      <c r="D315" s="221"/>
      <c r="E315" s="221"/>
      <c r="F315" s="221"/>
      <c r="G315" s="221"/>
      <c r="H315" s="221"/>
      <c r="I315" s="221"/>
      <c r="J315" s="221"/>
      <c r="K315" s="221"/>
      <c r="L315" s="221"/>
      <c r="M315" s="221"/>
      <c r="N315" s="221"/>
      <c r="O315" s="221"/>
      <c r="P315" s="221"/>
      <c r="Q315" s="221"/>
      <c r="R315" s="221"/>
      <c r="S315" s="221"/>
      <c r="T315" s="221"/>
      <c r="U315" s="221"/>
      <c r="V315" s="221"/>
      <c r="W315" s="221"/>
      <c r="X315" s="221"/>
      <c r="Y315" s="221"/>
      <c r="Z315" s="221"/>
    </row>
    <row r="316" customFormat="false" ht="13.5" hidden="false" customHeight="true" outlineLevel="0" collapsed="false">
      <c r="A316" s="221"/>
      <c r="B316" s="221"/>
      <c r="C316" s="221"/>
      <c r="D316" s="221"/>
      <c r="E316" s="221"/>
      <c r="F316" s="221"/>
      <c r="G316" s="221"/>
      <c r="H316" s="221"/>
      <c r="I316" s="221"/>
      <c r="J316" s="221"/>
      <c r="K316" s="221"/>
      <c r="L316" s="221"/>
      <c r="M316" s="221"/>
      <c r="N316" s="221"/>
      <c r="O316" s="221"/>
      <c r="P316" s="221"/>
      <c r="Q316" s="221"/>
      <c r="R316" s="221"/>
      <c r="S316" s="221"/>
      <c r="T316" s="221"/>
      <c r="U316" s="221"/>
      <c r="V316" s="221"/>
      <c r="W316" s="221"/>
      <c r="X316" s="221"/>
      <c r="Y316" s="221"/>
      <c r="Z316" s="221"/>
    </row>
    <row r="317" customFormat="false" ht="13.5" hidden="false" customHeight="true" outlineLevel="0" collapsed="false">
      <c r="A317" s="221"/>
      <c r="B317" s="221"/>
      <c r="C317" s="221"/>
      <c r="D317" s="221"/>
      <c r="E317" s="221"/>
      <c r="F317" s="221"/>
      <c r="G317" s="221"/>
      <c r="H317" s="221"/>
      <c r="I317" s="221"/>
      <c r="J317" s="221"/>
      <c r="K317" s="221"/>
      <c r="L317" s="221"/>
      <c r="M317" s="221"/>
      <c r="N317" s="221"/>
      <c r="O317" s="221"/>
      <c r="P317" s="221"/>
      <c r="Q317" s="221"/>
      <c r="R317" s="221"/>
      <c r="S317" s="221"/>
      <c r="T317" s="221"/>
      <c r="U317" s="221"/>
      <c r="V317" s="221"/>
      <c r="W317" s="221"/>
      <c r="X317" s="221"/>
      <c r="Y317" s="221"/>
      <c r="Z317" s="221"/>
    </row>
    <row r="318" customFormat="false" ht="13.5" hidden="false" customHeight="true" outlineLevel="0" collapsed="false">
      <c r="A318" s="221"/>
      <c r="B318" s="221"/>
      <c r="C318" s="221"/>
      <c r="D318" s="221"/>
      <c r="E318" s="221"/>
      <c r="F318" s="221"/>
      <c r="G318" s="221"/>
      <c r="H318" s="221"/>
      <c r="I318" s="221"/>
      <c r="J318" s="221"/>
      <c r="K318" s="221"/>
      <c r="L318" s="221"/>
      <c r="M318" s="221"/>
      <c r="N318" s="221"/>
      <c r="O318" s="221"/>
      <c r="P318" s="221"/>
      <c r="Q318" s="221"/>
      <c r="R318" s="221"/>
      <c r="S318" s="221"/>
      <c r="T318" s="221"/>
      <c r="U318" s="221"/>
      <c r="V318" s="221"/>
      <c r="W318" s="221"/>
      <c r="X318" s="221"/>
      <c r="Y318" s="221"/>
      <c r="Z318" s="221"/>
    </row>
    <row r="319" customFormat="false" ht="13.5" hidden="false" customHeight="true" outlineLevel="0" collapsed="false">
      <c r="A319" s="221"/>
      <c r="B319" s="221"/>
      <c r="C319" s="221"/>
      <c r="D319" s="221"/>
      <c r="E319" s="221"/>
      <c r="F319" s="221"/>
      <c r="G319" s="221"/>
      <c r="H319" s="221"/>
      <c r="I319" s="221"/>
      <c r="J319" s="221"/>
      <c r="K319" s="221"/>
      <c r="L319" s="221"/>
      <c r="M319" s="221"/>
      <c r="N319" s="221"/>
      <c r="O319" s="221"/>
      <c r="P319" s="221"/>
      <c r="Q319" s="221"/>
      <c r="R319" s="221"/>
      <c r="S319" s="221"/>
      <c r="T319" s="221"/>
      <c r="U319" s="221"/>
      <c r="V319" s="221"/>
      <c r="W319" s="221"/>
      <c r="X319" s="221"/>
      <c r="Y319" s="221"/>
      <c r="Z319" s="221"/>
    </row>
    <row r="320" customFormat="false" ht="13.5" hidden="false" customHeight="true" outlineLevel="0" collapsed="false">
      <c r="A320" s="221"/>
      <c r="B320" s="221"/>
      <c r="C320" s="221"/>
      <c r="D320" s="221"/>
      <c r="E320" s="221"/>
      <c r="F320" s="221"/>
      <c r="G320" s="221"/>
      <c r="H320" s="221"/>
      <c r="I320" s="221"/>
      <c r="J320" s="221"/>
      <c r="K320" s="221"/>
      <c r="L320" s="221"/>
      <c r="M320" s="221"/>
      <c r="N320" s="221"/>
      <c r="O320" s="221"/>
      <c r="P320" s="221"/>
      <c r="Q320" s="221"/>
      <c r="R320" s="221"/>
      <c r="S320" s="221"/>
      <c r="T320" s="221"/>
      <c r="U320" s="221"/>
      <c r="V320" s="221"/>
      <c r="W320" s="221"/>
      <c r="X320" s="221"/>
      <c r="Y320" s="221"/>
      <c r="Z320" s="221"/>
    </row>
    <row r="321" customFormat="false" ht="13.5" hidden="false" customHeight="true" outlineLevel="0" collapsed="false">
      <c r="A321" s="221"/>
      <c r="B321" s="221"/>
      <c r="C321" s="221"/>
      <c r="D321" s="221"/>
      <c r="E321" s="221"/>
      <c r="F321" s="221"/>
      <c r="G321" s="221"/>
      <c r="H321" s="221"/>
      <c r="I321" s="221"/>
      <c r="J321" s="221"/>
      <c r="K321" s="221"/>
      <c r="L321" s="221"/>
      <c r="M321" s="221"/>
      <c r="N321" s="221"/>
      <c r="O321" s="221"/>
      <c r="P321" s="221"/>
      <c r="Q321" s="221"/>
      <c r="R321" s="221"/>
      <c r="S321" s="221"/>
      <c r="T321" s="221"/>
      <c r="U321" s="221"/>
      <c r="V321" s="221"/>
      <c r="W321" s="221"/>
      <c r="X321" s="221"/>
      <c r="Y321" s="221"/>
      <c r="Z321" s="221"/>
    </row>
    <row r="322" customFormat="false" ht="13.5" hidden="false" customHeight="true" outlineLevel="0" collapsed="false">
      <c r="A322" s="221"/>
      <c r="B322" s="221"/>
      <c r="C322" s="221"/>
      <c r="D322" s="221"/>
      <c r="E322" s="221"/>
      <c r="F322" s="221"/>
      <c r="G322" s="221"/>
      <c r="H322" s="221"/>
      <c r="I322" s="221"/>
      <c r="J322" s="221"/>
      <c r="K322" s="221"/>
      <c r="L322" s="221"/>
      <c r="M322" s="221"/>
      <c r="N322" s="221"/>
      <c r="O322" s="221"/>
      <c r="P322" s="221"/>
      <c r="Q322" s="221"/>
      <c r="R322" s="221"/>
      <c r="S322" s="221"/>
      <c r="T322" s="221"/>
      <c r="U322" s="221"/>
      <c r="V322" s="221"/>
      <c r="W322" s="221"/>
      <c r="X322" s="221"/>
      <c r="Y322" s="221"/>
      <c r="Z322" s="221"/>
    </row>
    <row r="323" customFormat="false" ht="13.5" hidden="false" customHeight="true" outlineLevel="0" collapsed="false">
      <c r="A323" s="221"/>
      <c r="B323" s="221"/>
      <c r="C323" s="221"/>
      <c r="D323" s="221"/>
      <c r="E323" s="221"/>
      <c r="F323" s="221"/>
      <c r="G323" s="221"/>
      <c r="H323" s="221"/>
      <c r="I323" s="221"/>
      <c r="J323" s="221"/>
      <c r="K323" s="221"/>
      <c r="L323" s="221"/>
      <c r="M323" s="221"/>
      <c r="N323" s="221"/>
      <c r="O323" s="221"/>
      <c r="P323" s="221"/>
      <c r="Q323" s="221"/>
      <c r="R323" s="221"/>
      <c r="S323" s="221"/>
      <c r="T323" s="221"/>
      <c r="U323" s="221"/>
      <c r="V323" s="221"/>
      <c r="W323" s="221"/>
      <c r="X323" s="221"/>
      <c r="Y323" s="221"/>
      <c r="Z323" s="221"/>
    </row>
    <row r="324" customFormat="false" ht="13.5" hidden="false" customHeight="true" outlineLevel="0" collapsed="false">
      <c r="A324" s="221"/>
      <c r="B324" s="221"/>
      <c r="C324" s="221"/>
      <c r="D324" s="221"/>
      <c r="E324" s="221"/>
      <c r="F324" s="221"/>
      <c r="G324" s="221"/>
      <c r="H324" s="221"/>
      <c r="I324" s="221"/>
      <c r="J324" s="221"/>
      <c r="K324" s="221"/>
      <c r="L324" s="221"/>
      <c r="M324" s="221"/>
      <c r="N324" s="221"/>
      <c r="O324" s="221"/>
      <c r="P324" s="221"/>
      <c r="Q324" s="221"/>
      <c r="R324" s="221"/>
      <c r="S324" s="221"/>
      <c r="T324" s="221"/>
      <c r="U324" s="221"/>
      <c r="V324" s="221"/>
      <c r="W324" s="221"/>
      <c r="X324" s="221"/>
      <c r="Y324" s="221"/>
      <c r="Z324" s="221"/>
    </row>
    <row r="325" customFormat="false" ht="13.5" hidden="false" customHeight="true" outlineLevel="0" collapsed="false">
      <c r="A325" s="221"/>
      <c r="B325" s="221"/>
      <c r="C325" s="221"/>
      <c r="D325" s="221"/>
      <c r="E325" s="221"/>
      <c r="F325" s="221"/>
      <c r="G325" s="221"/>
      <c r="H325" s="221"/>
      <c r="I325" s="221"/>
      <c r="J325" s="221"/>
      <c r="K325" s="221"/>
      <c r="L325" s="221"/>
      <c r="M325" s="221"/>
      <c r="N325" s="221"/>
      <c r="O325" s="221"/>
      <c r="P325" s="221"/>
      <c r="Q325" s="221"/>
      <c r="R325" s="221"/>
      <c r="S325" s="221"/>
      <c r="T325" s="221"/>
      <c r="U325" s="221"/>
      <c r="V325" s="221"/>
      <c r="W325" s="221"/>
      <c r="X325" s="221"/>
      <c r="Y325" s="221"/>
      <c r="Z325" s="221"/>
    </row>
    <row r="326" customFormat="false" ht="13.5" hidden="false" customHeight="true" outlineLevel="0" collapsed="false">
      <c r="A326" s="221"/>
      <c r="B326" s="221"/>
      <c r="C326" s="221"/>
      <c r="D326" s="221"/>
      <c r="E326" s="221"/>
      <c r="F326" s="221"/>
      <c r="G326" s="221"/>
      <c r="H326" s="221"/>
      <c r="I326" s="221"/>
      <c r="J326" s="221"/>
      <c r="K326" s="221"/>
      <c r="L326" s="221"/>
      <c r="M326" s="221"/>
      <c r="N326" s="221"/>
      <c r="O326" s="221"/>
      <c r="P326" s="221"/>
      <c r="Q326" s="221"/>
      <c r="R326" s="221"/>
      <c r="S326" s="221"/>
      <c r="T326" s="221"/>
      <c r="U326" s="221"/>
      <c r="V326" s="221"/>
      <c r="W326" s="221"/>
      <c r="X326" s="221"/>
      <c r="Y326" s="221"/>
      <c r="Z326" s="221"/>
    </row>
    <row r="327" customFormat="false" ht="13.5" hidden="false" customHeight="true" outlineLevel="0" collapsed="false">
      <c r="A327" s="221"/>
      <c r="B327" s="221"/>
      <c r="C327" s="221"/>
      <c r="D327" s="221"/>
      <c r="E327" s="221"/>
      <c r="F327" s="221"/>
      <c r="G327" s="221"/>
      <c r="H327" s="221"/>
      <c r="I327" s="221"/>
      <c r="J327" s="221"/>
      <c r="K327" s="221"/>
      <c r="L327" s="221"/>
      <c r="M327" s="221"/>
      <c r="N327" s="221"/>
      <c r="O327" s="221"/>
      <c r="P327" s="221"/>
      <c r="Q327" s="221"/>
      <c r="R327" s="221"/>
      <c r="S327" s="221"/>
      <c r="T327" s="221"/>
      <c r="U327" s="221"/>
      <c r="V327" s="221"/>
      <c r="W327" s="221"/>
      <c r="X327" s="221"/>
      <c r="Y327" s="221"/>
      <c r="Z327" s="221"/>
    </row>
    <row r="328" customFormat="false" ht="13.5" hidden="false" customHeight="true" outlineLevel="0" collapsed="false">
      <c r="A328" s="221"/>
      <c r="B328" s="221"/>
      <c r="C328" s="221"/>
      <c r="D328" s="221"/>
      <c r="E328" s="221"/>
      <c r="F328" s="221"/>
      <c r="G328" s="221"/>
      <c r="H328" s="221"/>
      <c r="I328" s="221"/>
      <c r="J328" s="221"/>
      <c r="K328" s="221"/>
      <c r="L328" s="221"/>
      <c r="M328" s="221"/>
      <c r="N328" s="221"/>
      <c r="O328" s="221"/>
      <c r="P328" s="221"/>
      <c r="Q328" s="221"/>
      <c r="R328" s="221"/>
      <c r="S328" s="221"/>
      <c r="T328" s="221"/>
      <c r="U328" s="221"/>
      <c r="V328" s="221"/>
      <c r="W328" s="221"/>
      <c r="X328" s="221"/>
      <c r="Y328" s="221"/>
      <c r="Z328" s="221"/>
    </row>
    <row r="329" customFormat="false" ht="13.5" hidden="false" customHeight="true" outlineLevel="0" collapsed="false">
      <c r="A329" s="221"/>
      <c r="B329" s="221"/>
      <c r="C329" s="221"/>
      <c r="D329" s="221"/>
      <c r="E329" s="221"/>
      <c r="F329" s="221"/>
      <c r="G329" s="221"/>
      <c r="H329" s="221"/>
      <c r="I329" s="221"/>
      <c r="J329" s="221"/>
      <c r="K329" s="221"/>
      <c r="L329" s="221"/>
      <c r="M329" s="221"/>
      <c r="N329" s="221"/>
      <c r="O329" s="221"/>
      <c r="P329" s="221"/>
      <c r="Q329" s="221"/>
      <c r="R329" s="221"/>
      <c r="S329" s="221"/>
      <c r="T329" s="221"/>
      <c r="U329" s="221"/>
      <c r="V329" s="221"/>
      <c r="W329" s="221"/>
      <c r="X329" s="221"/>
      <c r="Y329" s="221"/>
      <c r="Z329" s="221"/>
    </row>
    <row r="330" customFormat="false" ht="13.5" hidden="false" customHeight="true" outlineLevel="0" collapsed="false">
      <c r="A330" s="221"/>
      <c r="B330" s="221"/>
      <c r="C330" s="221"/>
      <c r="D330" s="221"/>
      <c r="E330" s="221"/>
      <c r="F330" s="221"/>
      <c r="G330" s="221"/>
      <c r="H330" s="221"/>
      <c r="I330" s="221"/>
      <c r="J330" s="221"/>
      <c r="K330" s="221"/>
      <c r="L330" s="221"/>
      <c r="M330" s="221"/>
      <c r="N330" s="221"/>
      <c r="O330" s="221"/>
      <c r="P330" s="221"/>
      <c r="Q330" s="221"/>
      <c r="R330" s="221"/>
      <c r="S330" s="221"/>
      <c r="T330" s="221"/>
      <c r="U330" s="221"/>
      <c r="V330" s="221"/>
      <c r="W330" s="221"/>
      <c r="X330" s="221"/>
      <c r="Y330" s="221"/>
      <c r="Z330" s="221"/>
    </row>
    <row r="331" customFormat="false" ht="13.5" hidden="false" customHeight="true" outlineLevel="0" collapsed="false">
      <c r="A331" s="221"/>
      <c r="B331" s="221"/>
      <c r="C331" s="221"/>
      <c r="D331" s="221"/>
      <c r="E331" s="221"/>
      <c r="F331" s="221"/>
      <c r="G331" s="221"/>
      <c r="H331" s="221"/>
      <c r="I331" s="221"/>
      <c r="J331" s="221"/>
      <c r="K331" s="221"/>
      <c r="L331" s="221"/>
      <c r="M331" s="221"/>
      <c r="N331" s="221"/>
      <c r="O331" s="221"/>
      <c r="P331" s="221"/>
      <c r="Q331" s="221"/>
      <c r="R331" s="221"/>
      <c r="S331" s="221"/>
      <c r="T331" s="221"/>
      <c r="U331" s="221"/>
      <c r="V331" s="221"/>
      <c r="W331" s="221"/>
      <c r="X331" s="221"/>
      <c r="Y331" s="221"/>
      <c r="Z331" s="221"/>
    </row>
    <row r="332" customFormat="false" ht="13.5" hidden="false" customHeight="true" outlineLevel="0" collapsed="false">
      <c r="A332" s="221"/>
      <c r="B332" s="221"/>
      <c r="C332" s="221"/>
      <c r="D332" s="221"/>
      <c r="E332" s="221"/>
      <c r="F332" s="221"/>
      <c r="G332" s="221"/>
      <c r="H332" s="221"/>
      <c r="I332" s="221"/>
      <c r="J332" s="221"/>
      <c r="K332" s="221"/>
      <c r="L332" s="221"/>
      <c r="M332" s="221"/>
      <c r="N332" s="221"/>
      <c r="O332" s="221"/>
      <c r="P332" s="221"/>
      <c r="Q332" s="221"/>
      <c r="R332" s="221"/>
      <c r="S332" s="221"/>
      <c r="T332" s="221"/>
      <c r="U332" s="221"/>
      <c r="V332" s="221"/>
      <c r="W332" s="221"/>
      <c r="X332" s="221"/>
      <c r="Y332" s="221"/>
      <c r="Z332" s="221"/>
    </row>
    <row r="333" customFormat="false" ht="13.5" hidden="false" customHeight="true" outlineLevel="0" collapsed="false">
      <c r="A333" s="221"/>
      <c r="B333" s="221"/>
      <c r="C333" s="221"/>
      <c r="D333" s="221"/>
      <c r="E333" s="221"/>
      <c r="F333" s="221"/>
      <c r="G333" s="221"/>
      <c r="H333" s="221"/>
      <c r="I333" s="221"/>
      <c r="J333" s="221"/>
      <c r="K333" s="221"/>
      <c r="L333" s="221"/>
      <c r="M333" s="221"/>
      <c r="N333" s="221"/>
      <c r="O333" s="221"/>
      <c r="P333" s="221"/>
      <c r="Q333" s="221"/>
      <c r="R333" s="221"/>
      <c r="S333" s="221"/>
      <c r="T333" s="221"/>
      <c r="U333" s="221"/>
      <c r="V333" s="221"/>
      <c r="W333" s="221"/>
      <c r="X333" s="221"/>
      <c r="Y333" s="221"/>
      <c r="Z333" s="221"/>
    </row>
    <row r="334" customFormat="false" ht="13.5" hidden="false" customHeight="true" outlineLevel="0" collapsed="false">
      <c r="A334" s="221"/>
      <c r="B334" s="221"/>
      <c r="C334" s="221"/>
      <c r="D334" s="221"/>
      <c r="E334" s="221"/>
      <c r="F334" s="221"/>
      <c r="G334" s="221"/>
      <c r="H334" s="221"/>
      <c r="I334" s="221"/>
      <c r="J334" s="221"/>
      <c r="K334" s="221"/>
      <c r="L334" s="221"/>
      <c r="M334" s="221"/>
      <c r="N334" s="221"/>
      <c r="O334" s="221"/>
      <c r="P334" s="221"/>
      <c r="Q334" s="221"/>
      <c r="R334" s="221"/>
      <c r="S334" s="221"/>
      <c r="T334" s="221"/>
      <c r="U334" s="221"/>
      <c r="V334" s="221"/>
      <c r="W334" s="221"/>
      <c r="X334" s="221"/>
      <c r="Y334" s="221"/>
      <c r="Z334" s="221"/>
    </row>
    <row r="335" customFormat="false" ht="13.5" hidden="false" customHeight="true" outlineLevel="0" collapsed="false">
      <c r="A335" s="221"/>
      <c r="B335" s="221"/>
      <c r="C335" s="221"/>
      <c r="D335" s="221"/>
      <c r="E335" s="221"/>
      <c r="F335" s="221"/>
      <c r="G335" s="221"/>
      <c r="H335" s="221"/>
      <c r="I335" s="221"/>
      <c r="J335" s="221"/>
      <c r="K335" s="221"/>
      <c r="L335" s="221"/>
      <c r="M335" s="221"/>
      <c r="N335" s="221"/>
      <c r="O335" s="221"/>
      <c r="P335" s="221"/>
      <c r="Q335" s="221"/>
      <c r="R335" s="221"/>
      <c r="S335" s="221"/>
      <c r="T335" s="221"/>
      <c r="U335" s="221"/>
      <c r="V335" s="221"/>
      <c r="W335" s="221"/>
      <c r="X335" s="221"/>
      <c r="Y335" s="221"/>
      <c r="Z335" s="221"/>
    </row>
    <row r="336" customFormat="false" ht="13.5" hidden="false" customHeight="true" outlineLevel="0" collapsed="false">
      <c r="A336" s="221"/>
      <c r="B336" s="221"/>
      <c r="C336" s="221"/>
      <c r="D336" s="221"/>
      <c r="E336" s="221"/>
      <c r="F336" s="221"/>
      <c r="G336" s="221"/>
      <c r="H336" s="221"/>
      <c r="I336" s="221"/>
      <c r="J336" s="221"/>
      <c r="K336" s="221"/>
      <c r="L336" s="221"/>
      <c r="M336" s="221"/>
      <c r="N336" s="221"/>
      <c r="O336" s="221"/>
      <c r="P336" s="221"/>
      <c r="Q336" s="221"/>
      <c r="R336" s="221"/>
      <c r="S336" s="221"/>
      <c r="T336" s="221"/>
      <c r="U336" s="221"/>
      <c r="V336" s="221"/>
      <c r="W336" s="221"/>
      <c r="X336" s="221"/>
      <c r="Y336" s="221"/>
      <c r="Z336" s="221"/>
    </row>
    <row r="337" customFormat="false" ht="13.5" hidden="false" customHeight="true" outlineLevel="0" collapsed="false">
      <c r="A337" s="221"/>
      <c r="B337" s="221"/>
      <c r="C337" s="221"/>
      <c r="D337" s="221"/>
      <c r="E337" s="221"/>
      <c r="F337" s="221"/>
      <c r="G337" s="221"/>
      <c r="H337" s="221"/>
      <c r="I337" s="221"/>
      <c r="J337" s="221"/>
      <c r="K337" s="221"/>
      <c r="L337" s="221"/>
      <c r="M337" s="221"/>
      <c r="N337" s="221"/>
      <c r="O337" s="221"/>
      <c r="P337" s="221"/>
      <c r="Q337" s="221"/>
      <c r="R337" s="221"/>
      <c r="S337" s="221"/>
      <c r="T337" s="221"/>
      <c r="U337" s="221"/>
      <c r="V337" s="221"/>
      <c r="W337" s="221"/>
      <c r="X337" s="221"/>
      <c r="Y337" s="221"/>
      <c r="Z337" s="221"/>
    </row>
    <row r="338" customFormat="false" ht="13.5" hidden="false" customHeight="true" outlineLevel="0" collapsed="false">
      <c r="A338" s="221"/>
      <c r="B338" s="221"/>
      <c r="C338" s="221"/>
      <c r="D338" s="221"/>
      <c r="E338" s="221"/>
      <c r="F338" s="221"/>
      <c r="G338" s="221"/>
      <c r="H338" s="221"/>
      <c r="I338" s="221"/>
      <c r="J338" s="221"/>
      <c r="K338" s="221"/>
      <c r="L338" s="221"/>
      <c r="M338" s="221"/>
      <c r="N338" s="221"/>
      <c r="O338" s="221"/>
      <c r="P338" s="221"/>
      <c r="Q338" s="221"/>
      <c r="R338" s="221"/>
      <c r="S338" s="221"/>
      <c r="T338" s="221"/>
      <c r="U338" s="221"/>
      <c r="V338" s="221"/>
      <c r="W338" s="221"/>
      <c r="X338" s="221"/>
      <c r="Y338" s="221"/>
      <c r="Z338" s="221"/>
    </row>
    <row r="339" customFormat="false" ht="13.5" hidden="false" customHeight="true" outlineLevel="0" collapsed="false">
      <c r="A339" s="221"/>
      <c r="B339" s="221"/>
      <c r="C339" s="221"/>
      <c r="D339" s="221"/>
      <c r="E339" s="221"/>
      <c r="F339" s="221"/>
      <c r="G339" s="221"/>
      <c r="H339" s="221"/>
      <c r="I339" s="221"/>
      <c r="J339" s="221"/>
      <c r="K339" s="221"/>
      <c r="L339" s="221"/>
      <c r="M339" s="221"/>
      <c r="N339" s="221"/>
      <c r="O339" s="221"/>
      <c r="P339" s="221"/>
      <c r="Q339" s="221"/>
      <c r="R339" s="221"/>
      <c r="S339" s="221"/>
      <c r="T339" s="221"/>
      <c r="U339" s="221"/>
      <c r="V339" s="221"/>
      <c r="W339" s="221"/>
      <c r="X339" s="221"/>
      <c r="Y339" s="221"/>
      <c r="Z339" s="221"/>
    </row>
    <row r="340" customFormat="false" ht="13.5" hidden="false" customHeight="true" outlineLevel="0" collapsed="false">
      <c r="A340" s="221"/>
      <c r="B340" s="221"/>
      <c r="C340" s="221"/>
      <c r="D340" s="221"/>
      <c r="E340" s="221"/>
      <c r="F340" s="221"/>
      <c r="G340" s="221"/>
      <c r="H340" s="221"/>
      <c r="I340" s="221"/>
      <c r="J340" s="221"/>
      <c r="K340" s="221"/>
      <c r="L340" s="221"/>
      <c r="M340" s="221"/>
      <c r="N340" s="221"/>
      <c r="O340" s="221"/>
      <c r="P340" s="221"/>
      <c r="Q340" s="221"/>
      <c r="R340" s="221"/>
      <c r="S340" s="221"/>
      <c r="T340" s="221"/>
      <c r="U340" s="221"/>
      <c r="V340" s="221"/>
      <c r="W340" s="221"/>
      <c r="X340" s="221"/>
      <c r="Y340" s="221"/>
      <c r="Z340" s="221"/>
    </row>
    <row r="341" customFormat="false" ht="13.5" hidden="false" customHeight="true" outlineLevel="0" collapsed="false">
      <c r="A341" s="221"/>
      <c r="B341" s="221"/>
      <c r="C341" s="221"/>
      <c r="D341" s="221"/>
      <c r="E341" s="221"/>
      <c r="F341" s="221"/>
      <c r="G341" s="221"/>
      <c r="H341" s="221"/>
      <c r="I341" s="221"/>
      <c r="J341" s="221"/>
      <c r="K341" s="221"/>
      <c r="L341" s="221"/>
      <c r="M341" s="221"/>
      <c r="N341" s="221"/>
      <c r="O341" s="221"/>
      <c r="P341" s="221"/>
      <c r="Q341" s="221"/>
      <c r="R341" s="221"/>
      <c r="S341" s="221"/>
      <c r="T341" s="221"/>
      <c r="U341" s="221"/>
      <c r="V341" s="221"/>
      <c r="W341" s="221"/>
      <c r="X341" s="221"/>
      <c r="Y341" s="221"/>
      <c r="Z341" s="221"/>
    </row>
    <row r="342" customFormat="false" ht="13.5" hidden="false" customHeight="true" outlineLevel="0" collapsed="false">
      <c r="A342" s="221"/>
      <c r="B342" s="221"/>
      <c r="C342" s="221"/>
      <c r="D342" s="221"/>
      <c r="E342" s="221"/>
      <c r="F342" s="221"/>
      <c r="G342" s="221"/>
      <c r="H342" s="221"/>
      <c r="I342" s="221"/>
      <c r="J342" s="221"/>
      <c r="K342" s="221"/>
      <c r="L342" s="221"/>
      <c r="M342" s="221"/>
      <c r="N342" s="221"/>
      <c r="O342" s="221"/>
      <c r="P342" s="221"/>
      <c r="Q342" s="221"/>
      <c r="R342" s="221"/>
      <c r="S342" s="221"/>
      <c r="T342" s="221"/>
      <c r="U342" s="221"/>
      <c r="V342" s="221"/>
      <c r="W342" s="221"/>
      <c r="X342" s="221"/>
      <c r="Y342" s="221"/>
      <c r="Z342" s="221"/>
    </row>
    <row r="343" customFormat="false" ht="13.5" hidden="false" customHeight="true" outlineLevel="0" collapsed="false">
      <c r="A343" s="221"/>
      <c r="B343" s="221"/>
      <c r="C343" s="221"/>
      <c r="D343" s="221"/>
      <c r="E343" s="221"/>
      <c r="F343" s="221"/>
      <c r="G343" s="221"/>
      <c r="H343" s="221"/>
      <c r="I343" s="221"/>
      <c r="J343" s="221"/>
      <c r="K343" s="221"/>
      <c r="L343" s="221"/>
      <c r="M343" s="221"/>
      <c r="N343" s="221"/>
      <c r="O343" s="221"/>
      <c r="P343" s="221"/>
      <c r="Q343" s="221"/>
      <c r="R343" s="221"/>
      <c r="S343" s="221"/>
      <c r="T343" s="221"/>
      <c r="U343" s="221"/>
      <c r="V343" s="221"/>
      <c r="W343" s="221"/>
      <c r="X343" s="221"/>
      <c r="Y343" s="221"/>
      <c r="Z343" s="221"/>
    </row>
    <row r="344" customFormat="false" ht="13.5" hidden="false" customHeight="true" outlineLevel="0" collapsed="false">
      <c r="A344" s="221"/>
      <c r="B344" s="221"/>
      <c r="C344" s="221"/>
      <c r="D344" s="221"/>
      <c r="E344" s="221"/>
      <c r="F344" s="221"/>
      <c r="G344" s="221"/>
      <c r="H344" s="221"/>
      <c r="I344" s="221"/>
      <c r="J344" s="221"/>
      <c r="K344" s="221"/>
      <c r="L344" s="221"/>
      <c r="M344" s="221"/>
      <c r="N344" s="221"/>
      <c r="O344" s="221"/>
      <c r="P344" s="221"/>
      <c r="Q344" s="221"/>
      <c r="R344" s="221"/>
      <c r="S344" s="221"/>
      <c r="T344" s="221"/>
      <c r="U344" s="221"/>
      <c r="V344" s="221"/>
      <c r="W344" s="221"/>
      <c r="X344" s="221"/>
      <c r="Y344" s="221"/>
      <c r="Z344" s="221"/>
    </row>
    <row r="345" customFormat="false" ht="13.5" hidden="false" customHeight="true" outlineLevel="0" collapsed="false">
      <c r="A345" s="221"/>
      <c r="B345" s="221"/>
      <c r="C345" s="221"/>
      <c r="D345" s="221"/>
      <c r="E345" s="221"/>
      <c r="F345" s="221"/>
      <c r="G345" s="221"/>
      <c r="H345" s="221"/>
      <c r="I345" s="221"/>
      <c r="J345" s="221"/>
      <c r="K345" s="221"/>
      <c r="L345" s="221"/>
      <c r="M345" s="221"/>
      <c r="N345" s="221"/>
      <c r="O345" s="221"/>
      <c r="P345" s="221"/>
      <c r="Q345" s="221"/>
      <c r="R345" s="221"/>
      <c r="S345" s="221"/>
      <c r="T345" s="221"/>
      <c r="U345" s="221"/>
      <c r="V345" s="221"/>
      <c r="W345" s="221"/>
      <c r="X345" s="221"/>
      <c r="Y345" s="221"/>
      <c r="Z345" s="221"/>
    </row>
    <row r="346" customFormat="false" ht="13.5" hidden="false" customHeight="true" outlineLevel="0" collapsed="false">
      <c r="A346" s="221"/>
      <c r="B346" s="221"/>
      <c r="C346" s="221"/>
      <c r="D346" s="221"/>
      <c r="E346" s="221"/>
      <c r="F346" s="221"/>
      <c r="G346" s="221"/>
      <c r="H346" s="221"/>
      <c r="I346" s="221"/>
      <c r="J346" s="221"/>
      <c r="K346" s="221"/>
      <c r="L346" s="221"/>
      <c r="M346" s="221"/>
      <c r="N346" s="221"/>
      <c r="O346" s="221"/>
      <c r="P346" s="221"/>
      <c r="Q346" s="221"/>
      <c r="R346" s="221"/>
      <c r="S346" s="221"/>
      <c r="T346" s="221"/>
      <c r="U346" s="221"/>
      <c r="V346" s="221"/>
      <c r="W346" s="221"/>
      <c r="X346" s="221"/>
      <c r="Y346" s="221"/>
      <c r="Z346" s="221"/>
    </row>
    <row r="347" customFormat="false" ht="13.5" hidden="false" customHeight="true" outlineLevel="0" collapsed="false">
      <c r="A347" s="221"/>
      <c r="B347" s="221"/>
      <c r="C347" s="221"/>
      <c r="D347" s="221"/>
      <c r="E347" s="221"/>
      <c r="F347" s="221"/>
      <c r="G347" s="221"/>
      <c r="H347" s="221"/>
      <c r="I347" s="221"/>
      <c r="J347" s="221"/>
      <c r="K347" s="221"/>
      <c r="L347" s="221"/>
      <c r="M347" s="221"/>
      <c r="N347" s="221"/>
      <c r="O347" s="221"/>
      <c r="P347" s="221"/>
      <c r="Q347" s="221"/>
      <c r="R347" s="221"/>
      <c r="S347" s="221"/>
      <c r="T347" s="221"/>
      <c r="U347" s="221"/>
      <c r="V347" s="221"/>
      <c r="W347" s="221"/>
      <c r="X347" s="221"/>
      <c r="Y347" s="221"/>
      <c r="Z347" s="221"/>
    </row>
    <row r="348" customFormat="false" ht="13.5" hidden="false" customHeight="true" outlineLevel="0" collapsed="false">
      <c r="A348" s="221"/>
      <c r="B348" s="221"/>
      <c r="C348" s="221"/>
      <c r="D348" s="221"/>
      <c r="E348" s="221"/>
      <c r="F348" s="221"/>
      <c r="G348" s="221"/>
      <c r="H348" s="221"/>
      <c r="I348" s="221"/>
      <c r="J348" s="221"/>
      <c r="K348" s="221"/>
      <c r="L348" s="221"/>
      <c r="M348" s="221"/>
      <c r="N348" s="221"/>
      <c r="O348" s="221"/>
      <c r="P348" s="221"/>
      <c r="Q348" s="221"/>
      <c r="R348" s="221"/>
      <c r="S348" s="221"/>
      <c r="T348" s="221"/>
      <c r="U348" s="221"/>
      <c r="V348" s="221"/>
      <c r="W348" s="221"/>
      <c r="X348" s="221"/>
      <c r="Y348" s="221"/>
      <c r="Z348" s="221"/>
    </row>
    <row r="349" customFormat="false" ht="13.5" hidden="false" customHeight="true" outlineLevel="0" collapsed="false">
      <c r="A349" s="221"/>
      <c r="B349" s="221"/>
      <c r="C349" s="221"/>
      <c r="D349" s="221"/>
      <c r="E349" s="221"/>
      <c r="F349" s="221"/>
      <c r="G349" s="221"/>
      <c r="H349" s="221"/>
      <c r="I349" s="221"/>
      <c r="J349" s="221"/>
      <c r="K349" s="221"/>
      <c r="L349" s="221"/>
      <c r="M349" s="221"/>
      <c r="N349" s="221"/>
      <c r="O349" s="221"/>
      <c r="P349" s="221"/>
      <c r="Q349" s="221"/>
      <c r="R349" s="221"/>
      <c r="S349" s="221"/>
      <c r="T349" s="221"/>
      <c r="U349" s="221"/>
      <c r="V349" s="221"/>
      <c r="W349" s="221"/>
      <c r="X349" s="221"/>
      <c r="Y349" s="221"/>
      <c r="Z349" s="221"/>
    </row>
    <row r="350" customFormat="false" ht="13.5" hidden="false" customHeight="true" outlineLevel="0" collapsed="false">
      <c r="A350" s="221"/>
      <c r="B350" s="221"/>
      <c r="C350" s="221"/>
      <c r="D350" s="221"/>
      <c r="E350" s="221"/>
      <c r="F350" s="221"/>
      <c r="G350" s="221"/>
      <c r="H350" s="221"/>
      <c r="I350" s="221"/>
      <c r="J350" s="221"/>
      <c r="K350" s="221"/>
      <c r="L350" s="221"/>
      <c r="M350" s="221"/>
      <c r="N350" s="221"/>
      <c r="O350" s="221"/>
      <c r="P350" s="221"/>
      <c r="Q350" s="221"/>
      <c r="R350" s="221"/>
      <c r="S350" s="221"/>
      <c r="T350" s="221"/>
      <c r="U350" s="221"/>
      <c r="V350" s="221"/>
      <c r="W350" s="221"/>
      <c r="X350" s="221"/>
      <c r="Y350" s="221"/>
      <c r="Z350" s="221"/>
    </row>
    <row r="351" customFormat="false" ht="13.5" hidden="false" customHeight="true" outlineLevel="0" collapsed="false">
      <c r="A351" s="221"/>
      <c r="B351" s="221"/>
      <c r="C351" s="221"/>
      <c r="D351" s="221"/>
      <c r="E351" s="221"/>
      <c r="F351" s="221"/>
      <c r="G351" s="221"/>
      <c r="H351" s="221"/>
      <c r="I351" s="221"/>
      <c r="J351" s="221"/>
      <c r="K351" s="221"/>
      <c r="L351" s="221"/>
      <c r="M351" s="221"/>
      <c r="N351" s="221"/>
      <c r="O351" s="221"/>
      <c r="P351" s="221"/>
      <c r="Q351" s="221"/>
      <c r="R351" s="221"/>
      <c r="S351" s="221"/>
      <c r="T351" s="221"/>
      <c r="U351" s="221"/>
      <c r="V351" s="221"/>
      <c r="W351" s="221"/>
      <c r="X351" s="221"/>
      <c r="Y351" s="221"/>
      <c r="Z351" s="221"/>
    </row>
    <row r="352" customFormat="false" ht="13.5" hidden="false" customHeight="true" outlineLevel="0" collapsed="false">
      <c r="A352" s="221"/>
      <c r="B352" s="221"/>
      <c r="C352" s="221"/>
      <c r="D352" s="221"/>
      <c r="E352" s="221"/>
      <c r="F352" s="221"/>
      <c r="G352" s="221"/>
      <c r="H352" s="221"/>
      <c r="I352" s="221"/>
      <c r="J352" s="221"/>
      <c r="K352" s="221"/>
      <c r="L352" s="221"/>
      <c r="M352" s="221"/>
      <c r="N352" s="221"/>
      <c r="O352" s="221"/>
      <c r="P352" s="221"/>
      <c r="Q352" s="221"/>
      <c r="R352" s="221"/>
      <c r="S352" s="221"/>
      <c r="T352" s="221"/>
      <c r="U352" s="221"/>
      <c r="V352" s="221"/>
      <c r="W352" s="221"/>
      <c r="X352" s="221"/>
      <c r="Y352" s="221"/>
      <c r="Z352" s="221"/>
    </row>
    <row r="353" customFormat="false" ht="13.5" hidden="false" customHeight="true" outlineLevel="0" collapsed="false">
      <c r="A353" s="221"/>
      <c r="B353" s="221"/>
      <c r="C353" s="221"/>
      <c r="D353" s="221"/>
      <c r="E353" s="221"/>
      <c r="F353" s="221"/>
      <c r="G353" s="221"/>
      <c r="H353" s="221"/>
      <c r="I353" s="221"/>
      <c r="J353" s="221"/>
      <c r="K353" s="221"/>
      <c r="L353" s="221"/>
      <c r="M353" s="221"/>
      <c r="N353" s="221"/>
      <c r="O353" s="221"/>
      <c r="P353" s="221"/>
      <c r="Q353" s="221"/>
      <c r="R353" s="221"/>
      <c r="S353" s="221"/>
      <c r="T353" s="221"/>
      <c r="U353" s="221"/>
      <c r="V353" s="221"/>
      <c r="W353" s="221"/>
      <c r="X353" s="221"/>
      <c r="Y353" s="221"/>
      <c r="Z353" s="221"/>
    </row>
    <row r="354" customFormat="false" ht="13.5" hidden="false" customHeight="true" outlineLevel="0" collapsed="false">
      <c r="A354" s="221"/>
      <c r="B354" s="221"/>
      <c r="C354" s="221"/>
      <c r="D354" s="221"/>
      <c r="E354" s="221"/>
      <c r="F354" s="221"/>
      <c r="G354" s="221"/>
      <c r="H354" s="221"/>
      <c r="I354" s="221"/>
      <c r="J354" s="221"/>
      <c r="K354" s="221"/>
      <c r="L354" s="221"/>
      <c r="M354" s="221"/>
      <c r="N354" s="221"/>
      <c r="O354" s="221"/>
      <c r="P354" s="221"/>
      <c r="Q354" s="221"/>
      <c r="R354" s="221"/>
      <c r="S354" s="221"/>
      <c r="T354" s="221"/>
      <c r="U354" s="221"/>
      <c r="V354" s="221"/>
      <c r="W354" s="221"/>
      <c r="X354" s="221"/>
      <c r="Y354" s="221"/>
      <c r="Z354" s="221"/>
    </row>
    <row r="355" customFormat="false" ht="13.5" hidden="false" customHeight="true" outlineLevel="0" collapsed="false">
      <c r="A355" s="221"/>
      <c r="B355" s="221"/>
      <c r="C355" s="221"/>
      <c r="D355" s="221"/>
      <c r="E355" s="221"/>
      <c r="F355" s="221"/>
      <c r="G355" s="221"/>
      <c r="H355" s="221"/>
      <c r="I355" s="221"/>
      <c r="J355" s="221"/>
      <c r="K355" s="221"/>
      <c r="L355" s="221"/>
      <c r="M355" s="221"/>
      <c r="N355" s="221"/>
      <c r="O355" s="221"/>
      <c r="P355" s="221"/>
      <c r="Q355" s="221"/>
      <c r="R355" s="221"/>
      <c r="S355" s="221"/>
      <c r="T355" s="221"/>
      <c r="U355" s="221"/>
      <c r="V355" s="221"/>
      <c r="W355" s="221"/>
      <c r="X355" s="221"/>
      <c r="Y355" s="221"/>
      <c r="Z355" s="221"/>
    </row>
    <row r="356" customFormat="false" ht="13.5" hidden="false" customHeight="true" outlineLevel="0" collapsed="false">
      <c r="A356" s="221"/>
      <c r="B356" s="221"/>
      <c r="C356" s="221"/>
      <c r="D356" s="221"/>
      <c r="E356" s="221"/>
      <c r="F356" s="221"/>
      <c r="G356" s="221"/>
      <c r="H356" s="221"/>
      <c r="I356" s="221"/>
      <c r="J356" s="221"/>
      <c r="K356" s="221"/>
      <c r="L356" s="221"/>
      <c r="M356" s="221"/>
      <c r="N356" s="221"/>
      <c r="O356" s="221"/>
      <c r="P356" s="221"/>
      <c r="Q356" s="221"/>
      <c r="R356" s="221"/>
      <c r="S356" s="221"/>
      <c r="T356" s="221"/>
      <c r="U356" s="221"/>
      <c r="V356" s="221"/>
      <c r="W356" s="221"/>
      <c r="X356" s="221"/>
      <c r="Y356" s="221"/>
      <c r="Z356" s="221"/>
    </row>
    <row r="357" customFormat="false" ht="13.5" hidden="false" customHeight="true" outlineLevel="0" collapsed="false">
      <c r="A357" s="221"/>
      <c r="B357" s="221"/>
      <c r="C357" s="221"/>
      <c r="D357" s="221"/>
      <c r="E357" s="221"/>
      <c r="F357" s="221"/>
      <c r="G357" s="221"/>
      <c r="H357" s="221"/>
      <c r="I357" s="221"/>
      <c r="J357" s="221"/>
      <c r="K357" s="221"/>
      <c r="L357" s="221"/>
      <c r="M357" s="221"/>
      <c r="N357" s="221"/>
      <c r="O357" s="221"/>
      <c r="P357" s="221"/>
      <c r="Q357" s="221"/>
      <c r="R357" s="221"/>
      <c r="S357" s="221"/>
      <c r="T357" s="221"/>
      <c r="U357" s="221"/>
      <c r="V357" s="221"/>
      <c r="W357" s="221"/>
      <c r="X357" s="221"/>
      <c r="Y357" s="221"/>
      <c r="Z357" s="221"/>
    </row>
    <row r="358" customFormat="false" ht="13.5" hidden="false" customHeight="true" outlineLevel="0" collapsed="false">
      <c r="A358" s="221"/>
      <c r="B358" s="221"/>
      <c r="C358" s="221"/>
      <c r="D358" s="221"/>
      <c r="E358" s="221"/>
      <c r="F358" s="221"/>
      <c r="G358" s="221"/>
      <c r="H358" s="221"/>
      <c r="I358" s="221"/>
      <c r="J358" s="221"/>
      <c r="K358" s="221"/>
      <c r="L358" s="221"/>
      <c r="M358" s="221"/>
      <c r="N358" s="221"/>
      <c r="O358" s="221"/>
      <c r="P358" s="221"/>
      <c r="Q358" s="221"/>
      <c r="R358" s="221"/>
      <c r="S358" s="221"/>
      <c r="T358" s="221"/>
      <c r="U358" s="221"/>
      <c r="V358" s="221"/>
      <c r="W358" s="221"/>
      <c r="X358" s="221"/>
      <c r="Y358" s="221"/>
      <c r="Z358" s="221"/>
    </row>
    <row r="359" customFormat="false" ht="13.5" hidden="false" customHeight="true" outlineLevel="0" collapsed="false">
      <c r="A359" s="221"/>
      <c r="B359" s="221"/>
      <c r="C359" s="221"/>
      <c r="D359" s="221"/>
      <c r="E359" s="221"/>
      <c r="F359" s="221"/>
      <c r="G359" s="221"/>
      <c r="H359" s="221"/>
      <c r="I359" s="221"/>
      <c r="J359" s="221"/>
      <c r="K359" s="221"/>
      <c r="L359" s="221"/>
      <c r="M359" s="221"/>
      <c r="N359" s="221"/>
      <c r="O359" s="221"/>
      <c r="P359" s="221"/>
      <c r="Q359" s="221"/>
      <c r="R359" s="221"/>
      <c r="S359" s="221"/>
      <c r="T359" s="221"/>
      <c r="U359" s="221"/>
      <c r="V359" s="221"/>
      <c r="W359" s="221"/>
      <c r="X359" s="221"/>
      <c r="Y359" s="221"/>
      <c r="Z359" s="221"/>
    </row>
    <row r="360" customFormat="false" ht="13.5" hidden="false" customHeight="true" outlineLevel="0" collapsed="false">
      <c r="A360" s="221"/>
      <c r="B360" s="221"/>
      <c r="C360" s="221"/>
      <c r="D360" s="221"/>
      <c r="E360" s="221"/>
      <c r="F360" s="221"/>
      <c r="G360" s="221"/>
      <c r="H360" s="221"/>
      <c r="I360" s="221"/>
      <c r="J360" s="221"/>
      <c r="K360" s="221"/>
      <c r="L360" s="221"/>
      <c r="M360" s="221"/>
      <c r="N360" s="221"/>
      <c r="O360" s="221"/>
      <c r="P360" s="221"/>
      <c r="Q360" s="221"/>
      <c r="R360" s="221"/>
      <c r="S360" s="221"/>
      <c r="T360" s="221"/>
      <c r="U360" s="221"/>
      <c r="V360" s="221"/>
      <c r="W360" s="221"/>
      <c r="X360" s="221"/>
      <c r="Y360" s="221"/>
      <c r="Z360" s="221"/>
    </row>
    <row r="361" customFormat="false" ht="13.5" hidden="false" customHeight="true" outlineLevel="0" collapsed="false">
      <c r="A361" s="221"/>
      <c r="B361" s="221"/>
      <c r="C361" s="221"/>
      <c r="D361" s="221"/>
      <c r="E361" s="221"/>
      <c r="F361" s="221"/>
      <c r="G361" s="221"/>
      <c r="H361" s="221"/>
      <c r="I361" s="221"/>
      <c r="J361" s="221"/>
      <c r="K361" s="221"/>
      <c r="L361" s="221"/>
      <c r="M361" s="221"/>
      <c r="N361" s="221"/>
      <c r="O361" s="221"/>
      <c r="P361" s="221"/>
      <c r="Q361" s="221"/>
      <c r="R361" s="221"/>
      <c r="S361" s="221"/>
      <c r="T361" s="221"/>
      <c r="U361" s="221"/>
      <c r="V361" s="221"/>
      <c r="W361" s="221"/>
      <c r="X361" s="221"/>
      <c r="Y361" s="221"/>
      <c r="Z361" s="221"/>
    </row>
    <row r="362" customFormat="false" ht="13.5" hidden="false" customHeight="true" outlineLevel="0" collapsed="false">
      <c r="A362" s="221"/>
      <c r="B362" s="221"/>
      <c r="C362" s="221"/>
      <c r="D362" s="221"/>
      <c r="E362" s="221"/>
      <c r="F362" s="221"/>
      <c r="G362" s="221"/>
      <c r="H362" s="221"/>
      <c r="I362" s="221"/>
      <c r="J362" s="221"/>
      <c r="K362" s="221"/>
      <c r="L362" s="221"/>
      <c r="M362" s="221"/>
      <c r="N362" s="221"/>
      <c r="O362" s="221"/>
      <c r="P362" s="221"/>
      <c r="Q362" s="221"/>
      <c r="R362" s="221"/>
      <c r="S362" s="221"/>
      <c r="T362" s="221"/>
      <c r="U362" s="221"/>
      <c r="V362" s="221"/>
      <c r="W362" s="221"/>
      <c r="X362" s="221"/>
      <c r="Y362" s="221"/>
      <c r="Z362" s="221"/>
    </row>
    <row r="363" customFormat="false" ht="13.5" hidden="false" customHeight="true" outlineLevel="0" collapsed="false">
      <c r="A363" s="221"/>
      <c r="B363" s="221"/>
      <c r="C363" s="221"/>
      <c r="D363" s="221"/>
      <c r="E363" s="221"/>
      <c r="F363" s="221"/>
      <c r="G363" s="221"/>
      <c r="H363" s="221"/>
      <c r="I363" s="221"/>
      <c r="J363" s="221"/>
      <c r="K363" s="221"/>
      <c r="L363" s="221"/>
      <c r="M363" s="221"/>
      <c r="N363" s="221"/>
      <c r="O363" s="221"/>
      <c r="P363" s="221"/>
      <c r="Q363" s="221"/>
      <c r="R363" s="221"/>
      <c r="S363" s="221"/>
      <c r="T363" s="221"/>
      <c r="U363" s="221"/>
      <c r="V363" s="221"/>
      <c r="W363" s="221"/>
      <c r="X363" s="221"/>
      <c r="Y363" s="221"/>
      <c r="Z363" s="221"/>
    </row>
    <row r="364" customFormat="false" ht="13.5" hidden="false" customHeight="true" outlineLevel="0" collapsed="false">
      <c r="A364" s="221"/>
      <c r="B364" s="221"/>
      <c r="C364" s="221"/>
      <c r="D364" s="221"/>
      <c r="E364" s="221"/>
      <c r="F364" s="221"/>
      <c r="G364" s="221"/>
      <c r="H364" s="221"/>
      <c r="I364" s="221"/>
      <c r="J364" s="221"/>
      <c r="K364" s="221"/>
      <c r="L364" s="221"/>
      <c r="M364" s="221"/>
      <c r="N364" s="221"/>
      <c r="O364" s="221"/>
      <c r="P364" s="221"/>
      <c r="Q364" s="221"/>
      <c r="R364" s="221"/>
      <c r="S364" s="221"/>
      <c r="T364" s="221"/>
      <c r="U364" s="221"/>
      <c r="V364" s="221"/>
      <c r="W364" s="221"/>
      <c r="X364" s="221"/>
      <c r="Y364" s="221"/>
      <c r="Z364" s="221"/>
    </row>
    <row r="365" customFormat="false" ht="13.5" hidden="false" customHeight="true" outlineLevel="0" collapsed="false">
      <c r="A365" s="221"/>
      <c r="B365" s="221"/>
      <c r="C365" s="221"/>
      <c r="D365" s="221"/>
      <c r="E365" s="221"/>
      <c r="F365" s="221"/>
      <c r="G365" s="221"/>
      <c r="H365" s="221"/>
      <c r="I365" s="221"/>
      <c r="J365" s="221"/>
      <c r="K365" s="221"/>
      <c r="L365" s="221"/>
      <c r="M365" s="221"/>
      <c r="N365" s="221"/>
      <c r="O365" s="221"/>
      <c r="P365" s="221"/>
      <c r="Q365" s="221"/>
      <c r="R365" s="221"/>
      <c r="S365" s="221"/>
      <c r="T365" s="221"/>
      <c r="U365" s="221"/>
      <c r="V365" s="221"/>
      <c r="W365" s="221"/>
      <c r="X365" s="221"/>
      <c r="Y365" s="221"/>
      <c r="Z365" s="221"/>
    </row>
    <row r="366" customFormat="false" ht="13.5" hidden="false" customHeight="true" outlineLevel="0" collapsed="false">
      <c r="A366" s="221"/>
      <c r="B366" s="221"/>
      <c r="C366" s="221"/>
      <c r="D366" s="221"/>
      <c r="E366" s="221"/>
      <c r="F366" s="221"/>
      <c r="G366" s="221"/>
      <c r="H366" s="221"/>
      <c r="I366" s="221"/>
      <c r="J366" s="221"/>
      <c r="K366" s="221"/>
      <c r="L366" s="221"/>
      <c r="M366" s="221"/>
      <c r="N366" s="221"/>
      <c r="O366" s="221"/>
      <c r="P366" s="221"/>
      <c r="Q366" s="221"/>
      <c r="R366" s="221"/>
      <c r="S366" s="221"/>
      <c r="T366" s="221"/>
      <c r="U366" s="221"/>
      <c r="V366" s="221"/>
      <c r="W366" s="221"/>
      <c r="X366" s="221"/>
      <c r="Y366" s="221"/>
      <c r="Z366" s="221"/>
    </row>
    <row r="367" customFormat="false" ht="13.5" hidden="false" customHeight="true" outlineLevel="0" collapsed="false">
      <c r="A367" s="221"/>
      <c r="B367" s="221"/>
      <c r="C367" s="221"/>
      <c r="D367" s="221"/>
      <c r="E367" s="221"/>
      <c r="F367" s="221"/>
      <c r="G367" s="221"/>
      <c r="H367" s="221"/>
      <c r="I367" s="221"/>
      <c r="J367" s="221"/>
      <c r="K367" s="221"/>
      <c r="L367" s="221"/>
      <c r="M367" s="221"/>
      <c r="N367" s="221"/>
      <c r="O367" s="221"/>
      <c r="P367" s="221"/>
      <c r="Q367" s="221"/>
      <c r="R367" s="221"/>
      <c r="S367" s="221"/>
      <c r="T367" s="221"/>
      <c r="U367" s="221"/>
      <c r="V367" s="221"/>
      <c r="W367" s="221"/>
      <c r="X367" s="221"/>
      <c r="Y367" s="221"/>
      <c r="Z367" s="221"/>
    </row>
    <row r="368" customFormat="false" ht="13.5" hidden="false" customHeight="true" outlineLevel="0" collapsed="false">
      <c r="A368" s="221"/>
      <c r="B368" s="221"/>
      <c r="C368" s="221"/>
      <c r="D368" s="221"/>
      <c r="E368" s="221"/>
      <c r="F368" s="221"/>
      <c r="G368" s="221"/>
      <c r="H368" s="221"/>
      <c r="I368" s="221"/>
      <c r="J368" s="221"/>
      <c r="K368" s="221"/>
      <c r="L368" s="221"/>
      <c r="M368" s="221"/>
      <c r="N368" s="221"/>
      <c r="O368" s="221"/>
      <c r="P368" s="221"/>
      <c r="Q368" s="221"/>
      <c r="R368" s="221"/>
      <c r="S368" s="221"/>
      <c r="T368" s="221"/>
      <c r="U368" s="221"/>
      <c r="V368" s="221"/>
      <c r="W368" s="221"/>
      <c r="X368" s="221"/>
      <c r="Y368" s="221"/>
      <c r="Z368" s="221"/>
    </row>
    <row r="369" customFormat="false" ht="13.5" hidden="false" customHeight="true" outlineLevel="0" collapsed="false">
      <c r="A369" s="221"/>
      <c r="B369" s="221"/>
      <c r="C369" s="221"/>
      <c r="D369" s="221"/>
      <c r="E369" s="221"/>
      <c r="F369" s="221"/>
      <c r="G369" s="221"/>
      <c r="H369" s="221"/>
      <c r="I369" s="221"/>
      <c r="J369" s="221"/>
      <c r="K369" s="221"/>
      <c r="L369" s="221"/>
      <c r="M369" s="221"/>
      <c r="N369" s="221"/>
      <c r="O369" s="221"/>
      <c r="P369" s="221"/>
      <c r="Q369" s="221"/>
      <c r="R369" s="221"/>
      <c r="S369" s="221"/>
      <c r="T369" s="221"/>
      <c r="U369" s="221"/>
      <c r="V369" s="221"/>
      <c r="W369" s="221"/>
      <c r="X369" s="221"/>
      <c r="Y369" s="221"/>
      <c r="Z369" s="221"/>
    </row>
    <row r="370" customFormat="false" ht="13.5" hidden="false" customHeight="true" outlineLevel="0" collapsed="false">
      <c r="A370" s="221"/>
      <c r="B370" s="221"/>
      <c r="C370" s="221"/>
      <c r="D370" s="221"/>
      <c r="E370" s="221"/>
      <c r="F370" s="221"/>
      <c r="G370" s="221"/>
      <c r="H370" s="221"/>
      <c r="I370" s="221"/>
      <c r="J370" s="221"/>
      <c r="K370" s="221"/>
      <c r="L370" s="221"/>
      <c r="M370" s="221"/>
      <c r="N370" s="221"/>
      <c r="O370" s="221"/>
      <c r="P370" s="221"/>
      <c r="Q370" s="221"/>
      <c r="R370" s="221"/>
      <c r="S370" s="221"/>
      <c r="T370" s="221"/>
      <c r="U370" s="221"/>
      <c r="V370" s="221"/>
      <c r="W370" s="221"/>
      <c r="X370" s="221"/>
      <c r="Y370" s="221"/>
      <c r="Z370" s="221"/>
    </row>
    <row r="371" customFormat="false" ht="13.5" hidden="false" customHeight="true" outlineLevel="0" collapsed="false">
      <c r="A371" s="221"/>
      <c r="B371" s="221"/>
      <c r="C371" s="221"/>
      <c r="D371" s="221"/>
      <c r="E371" s="221"/>
      <c r="F371" s="221"/>
      <c r="G371" s="221"/>
      <c r="H371" s="221"/>
      <c r="I371" s="221"/>
      <c r="J371" s="221"/>
      <c r="K371" s="221"/>
      <c r="L371" s="221"/>
      <c r="M371" s="221"/>
      <c r="N371" s="221"/>
      <c r="O371" s="221"/>
      <c r="P371" s="221"/>
      <c r="Q371" s="221"/>
      <c r="R371" s="221"/>
      <c r="S371" s="221"/>
      <c r="T371" s="221"/>
      <c r="U371" s="221"/>
      <c r="V371" s="221"/>
      <c r="W371" s="221"/>
      <c r="X371" s="221"/>
      <c r="Y371" s="221"/>
      <c r="Z371" s="221"/>
    </row>
    <row r="372" customFormat="false" ht="13.5" hidden="false" customHeight="true" outlineLevel="0" collapsed="false">
      <c r="A372" s="221"/>
      <c r="B372" s="221"/>
      <c r="C372" s="221"/>
      <c r="D372" s="221"/>
      <c r="E372" s="221"/>
      <c r="F372" s="221"/>
      <c r="G372" s="221"/>
      <c r="H372" s="221"/>
      <c r="I372" s="221"/>
      <c r="J372" s="221"/>
      <c r="K372" s="221"/>
      <c r="L372" s="221"/>
      <c r="M372" s="221"/>
      <c r="N372" s="221"/>
      <c r="O372" s="221"/>
      <c r="P372" s="221"/>
      <c r="Q372" s="221"/>
      <c r="R372" s="221"/>
      <c r="S372" s="221"/>
      <c r="T372" s="221"/>
      <c r="U372" s="221"/>
      <c r="V372" s="221"/>
      <c r="W372" s="221"/>
      <c r="X372" s="221"/>
      <c r="Y372" s="221"/>
      <c r="Z372" s="221"/>
    </row>
    <row r="373" customFormat="false" ht="13.5" hidden="false" customHeight="true" outlineLevel="0" collapsed="false">
      <c r="A373" s="221"/>
      <c r="B373" s="221"/>
      <c r="C373" s="221"/>
      <c r="D373" s="221"/>
      <c r="E373" s="221"/>
      <c r="F373" s="221"/>
      <c r="G373" s="221"/>
      <c r="H373" s="221"/>
      <c r="I373" s="221"/>
      <c r="J373" s="221"/>
      <c r="K373" s="221"/>
      <c r="L373" s="221"/>
      <c r="M373" s="221"/>
      <c r="N373" s="221"/>
      <c r="O373" s="221"/>
      <c r="P373" s="221"/>
      <c r="Q373" s="221"/>
      <c r="R373" s="221"/>
      <c r="S373" s="221"/>
      <c r="T373" s="221"/>
      <c r="U373" s="221"/>
      <c r="V373" s="221"/>
      <c r="W373" s="221"/>
      <c r="X373" s="221"/>
      <c r="Y373" s="221"/>
      <c r="Z373" s="221"/>
    </row>
    <row r="374" customFormat="false" ht="13.5" hidden="false" customHeight="true" outlineLevel="0" collapsed="false">
      <c r="A374" s="221"/>
      <c r="B374" s="221"/>
      <c r="C374" s="221"/>
      <c r="D374" s="221"/>
      <c r="E374" s="221"/>
      <c r="F374" s="221"/>
      <c r="G374" s="221"/>
      <c r="H374" s="221"/>
      <c r="I374" s="221"/>
      <c r="J374" s="221"/>
      <c r="K374" s="221"/>
      <c r="L374" s="221"/>
      <c r="M374" s="221"/>
      <c r="N374" s="221"/>
      <c r="O374" s="221"/>
      <c r="P374" s="221"/>
      <c r="Q374" s="221"/>
      <c r="R374" s="221"/>
      <c r="S374" s="221"/>
      <c r="T374" s="221"/>
      <c r="U374" s="221"/>
      <c r="V374" s="221"/>
      <c r="W374" s="221"/>
      <c r="X374" s="221"/>
      <c r="Y374" s="221"/>
      <c r="Z374" s="221"/>
    </row>
    <row r="375" customFormat="false" ht="13.5" hidden="false" customHeight="true" outlineLevel="0" collapsed="false">
      <c r="A375" s="221"/>
      <c r="B375" s="221"/>
      <c r="C375" s="221"/>
      <c r="D375" s="221"/>
      <c r="E375" s="221"/>
      <c r="F375" s="221"/>
      <c r="G375" s="221"/>
      <c r="H375" s="221"/>
      <c r="I375" s="221"/>
      <c r="J375" s="221"/>
      <c r="K375" s="221"/>
      <c r="L375" s="221"/>
      <c r="M375" s="221"/>
      <c r="N375" s="221"/>
      <c r="O375" s="221"/>
      <c r="P375" s="221"/>
      <c r="Q375" s="221"/>
      <c r="R375" s="221"/>
      <c r="S375" s="221"/>
      <c r="T375" s="221"/>
      <c r="U375" s="221"/>
      <c r="V375" s="221"/>
      <c r="W375" s="221"/>
      <c r="X375" s="221"/>
      <c r="Y375" s="221"/>
      <c r="Z375" s="221"/>
    </row>
    <row r="376" customFormat="false" ht="13.5" hidden="false" customHeight="true" outlineLevel="0" collapsed="false">
      <c r="A376" s="221"/>
      <c r="B376" s="221"/>
      <c r="C376" s="221"/>
      <c r="D376" s="221"/>
      <c r="E376" s="221"/>
      <c r="F376" s="221"/>
      <c r="G376" s="221"/>
      <c r="H376" s="221"/>
      <c r="I376" s="221"/>
      <c r="J376" s="221"/>
      <c r="K376" s="221"/>
      <c r="L376" s="221"/>
      <c r="M376" s="221"/>
      <c r="N376" s="221"/>
      <c r="O376" s="221"/>
      <c r="P376" s="221"/>
      <c r="Q376" s="221"/>
      <c r="R376" s="221"/>
      <c r="S376" s="221"/>
      <c r="T376" s="221"/>
      <c r="U376" s="221"/>
      <c r="V376" s="221"/>
      <c r="W376" s="221"/>
      <c r="X376" s="221"/>
      <c r="Y376" s="221"/>
      <c r="Z376" s="221"/>
    </row>
    <row r="377" customFormat="false" ht="13.5" hidden="false" customHeight="true" outlineLevel="0" collapsed="false">
      <c r="A377" s="221"/>
      <c r="B377" s="221"/>
      <c r="C377" s="221"/>
      <c r="D377" s="221"/>
      <c r="E377" s="221"/>
      <c r="F377" s="221"/>
      <c r="G377" s="221"/>
      <c r="H377" s="221"/>
      <c r="I377" s="221"/>
      <c r="J377" s="221"/>
      <c r="K377" s="221"/>
      <c r="L377" s="221"/>
      <c r="M377" s="221"/>
      <c r="N377" s="221"/>
      <c r="O377" s="221"/>
      <c r="P377" s="221"/>
      <c r="Q377" s="221"/>
      <c r="R377" s="221"/>
      <c r="S377" s="221"/>
      <c r="T377" s="221"/>
      <c r="U377" s="221"/>
      <c r="V377" s="221"/>
      <c r="W377" s="221"/>
      <c r="X377" s="221"/>
      <c r="Y377" s="221"/>
      <c r="Z377" s="221"/>
    </row>
    <row r="378" customFormat="false" ht="13.5" hidden="false" customHeight="true" outlineLevel="0" collapsed="false">
      <c r="A378" s="221"/>
      <c r="B378" s="221"/>
      <c r="C378" s="221"/>
      <c r="D378" s="221"/>
      <c r="E378" s="221"/>
      <c r="F378" s="221"/>
      <c r="G378" s="221"/>
      <c r="H378" s="221"/>
      <c r="I378" s="221"/>
      <c r="J378" s="221"/>
      <c r="K378" s="221"/>
      <c r="L378" s="221"/>
      <c r="M378" s="221"/>
      <c r="N378" s="221"/>
      <c r="O378" s="221"/>
      <c r="P378" s="221"/>
      <c r="Q378" s="221"/>
      <c r="R378" s="221"/>
      <c r="S378" s="221"/>
      <c r="T378" s="221"/>
      <c r="U378" s="221"/>
      <c r="V378" s="221"/>
      <c r="W378" s="221"/>
      <c r="X378" s="221"/>
      <c r="Y378" s="221"/>
      <c r="Z378" s="221"/>
    </row>
    <row r="379" customFormat="false" ht="13.5" hidden="false" customHeight="true" outlineLevel="0" collapsed="false">
      <c r="A379" s="221"/>
      <c r="B379" s="221"/>
      <c r="C379" s="221"/>
      <c r="D379" s="221"/>
      <c r="E379" s="221"/>
      <c r="F379" s="221"/>
      <c r="G379" s="221"/>
      <c r="H379" s="221"/>
      <c r="I379" s="221"/>
      <c r="J379" s="221"/>
      <c r="K379" s="221"/>
      <c r="L379" s="221"/>
      <c r="M379" s="221"/>
      <c r="N379" s="221"/>
      <c r="O379" s="221"/>
      <c r="P379" s="221"/>
      <c r="Q379" s="221"/>
      <c r="R379" s="221"/>
      <c r="S379" s="221"/>
      <c r="T379" s="221"/>
      <c r="U379" s="221"/>
      <c r="V379" s="221"/>
      <c r="W379" s="221"/>
      <c r="X379" s="221"/>
      <c r="Y379" s="221"/>
      <c r="Z379" s="221"/>
    </row>
    <row r="380" customFormat="false" ht="13.5" hidden="false" customHeight="true" outlineLevel="0" collapsed="false">
      <c r="A380" s="221"/>
      <c r="B380" s="221"/>
      <c r="C380" s="221"/>
      <c r="D380" s="221"/>
      <c r="E380" s="221"/>
      <c r="F380" s="221"/>
      <c r="G380" s="221"/>
      <c r="H380" s="221"/>
      <c r="I380" s="221"/>
      <c r="J380" s="221"/>
      <c r="K380" s="221"/>
      <c r="L380" s="221"/>
      <c r="M380" s="221"/>
      <c r="N380" s="221"/>
      <c r="O380" s="221"/>
      <c r="P380" s="221"/>
      <c r="Q380" s="221"/>
      <c r="R380" s="221"/>
      <c r="S380" s="221"/>
      <c r="T380" s="221"/>
      <c r="U380" s="221"/>
      <c r="V380" s="221"/>
      <c r="W380" s="221"/>
      <c r="X380" s="221"/>
      <c r="Y380" s="221"/>
      <c r="Z380" s="221"/>
    </row>
    <row r="381" customFormat="false" ht="13.5" hidden="false" customHeight="true" outlineLevel="0" collapsed="false">
      <c r="A381" s="221"/>
      <c r="B381" s="221"/>
      <c r="C381" s="221"/>
      <c r="D381" s="221"/>
      <c r="E381" s="221"/>
      <c r="F381" s="221"/>
      <c r="G381" s="221"/>
      <c r="H381" s="221"/>
      <c r="I381" s="221"/>
      <c r="J381" s="221"/>
      <c r="K381" s="221"/>
      <c r="L381" s="221"/>
      <c r="M381" s="221"/>
      <c r="N381" s="221"/>
      <c r="O381" s="221"/>
      <c r="P381" s="221"/>
      <c r="Q381" s="221"/>
      <c r="R381" s="221"/>
      <c r="S381" s="221"/>
      <c r="T381" s="221"/>
      <c r="U381" s="221"/>
      <c r="V381" s="221"/>
      <c r="W381" s="221"/>
      <c r="X381" s="221"/>
      <c r="Y381" s="221"/>
      <c r="Z381" s="221"/>
    </row>
    <row r="382" customFormat="false" ht="13.5" hidden="false" customHeight="true" outlineLevel="0" collapsed="false">
      <c r="A382" s="221"/>
      <c r="B382" s="221"/>
      <c r="C382" s="221"/>
      <c r="D382" s="221"/>
      <c r="E382" s="221"/>
      <c r="F382" s="221"/>
      <c r="G382" s="221"/>
      <c r="H382" s="221"/>
      <c r="I382" s="221"/>
      <c r="J382" s="221"/>
      <c r="K382" s="221"/>
      <c r="L382" s="221"/>
      <c r="M382" s="221"/>
      <c r="N382" s="221"/>
      <c r="O382" s="221"/>
      <c r="P382" s="221"/>
      <c r="Q382" s="221"/>
      <c r="R382" s="221"/>
      <c r="S382" s="221"/>
      <c r="T382" s="221"/>
      <c r="U382" s="221"/>
      <c r="V382" s="221"/>
      <c r="W382" s="221"/>
      <c r="X382" s="221"/>
      <c r="Y382" s="221"/>
      <c r="Z382" s="221"/>
    </row>
    <row r="383" customFormat="false" ht="13.5" hidden="false" customHeight="true" outlineLevel="0" collapsed="false">
      <c r="A383" s="221"/>
      <c r="B383" s="221"/>
      <c r="C383" s="221"/>
      <c r="D383" s="221"/>
      <c r="E383" s="221"/>
      <c r="F383" s="221"/>
      <c r="G383" s="221"/>
      <c r="H383" s="221"/>
      <c r="I383" s="221"/>
      <c r="J383" s="221"/>
      <c r="K383" s="221"/>
      <c r="L383" s="221"/>
      <c r="M383" s="221"/>
      <c r="N383" s="221"/>
      <c r="O383" s="221"/>
      <c r="P383" s="221"/>
      <c r="Q383" s="221"/>
      <c r="R383" s="221"/>
      <c r="S383" s="221"/>
      <c r="T383" s="221"/>
      <c r="U383" s="221"/>
      <c r="V383" s="221"/>
      <c r="W383" s="221"/>
      <c r="X383" s="221"/>
      <c r="Y383" s="221"/>
      <c r="Z383" s="221"/>
    </row>
    <row r="384" customFormat="false" ht="13.5" hidden="false" customHeight="true" outlineLevel="0" collapsed="false">
      <c r="A384" s="221"/>
      <c r="B384" s="221"/>
      <c r="C384" s="221"/>
      <c r="D384" s="221"/>
      <c r="E384" s="221"/>
      <c r="F384" s="221"/>
      <c r="G384" s="221"/>
      <c r="H384" s="221"/>
      <c r="I384" s="221"/>
      <c r="J384" s="221"/>
      <c r="K384" s="221"/>
      <c r="L384" s="221"/>
      <c r="M384" s="221"/>
      <c r="N384" s="221"/>
      <c r="O384" s="221"/>
      <c r="P384" s="221"/>
      <c r="Q384" s="221"/>
      <c r="R384" s="221"/>
      <c r="S384" s="221"/>
      <c r="T384" s="221"/>
      <c r="U384" s="221"/>
      <c r="V384" s="221"/>
      <c r="W384" s="221"/>
      <c r="X384" s="221"/>
      <c r="Y384" s="221"/>
      <c r="Z384" s="221"/>
    </row>
    <row r="385" customFormat="false" ht="13.5" hidden="false" customHeight="true" outlineLevel="0" collapsed="false">
      <c r="A385" s="221"/>
      <c r="B385" s="221"/>
      <c r="C385" s="221"/>
      <c r="D385" s="221"/>
      <c r="E385" s="221"/>
      <c r="F385" s="221"/>
      <c r="G385" s="221"/>
      <c r="H385" s="221"/>
      <c r="I385" s="221"/>
      <c r="J385" s="221"/>
      <c r="K385" s="221"/>
      <c r="L385" s="221"/>
      <c r="M385" s="221"/>
      <c r="N385" s="221"/>
      <c r="O385" s="221"/>
      <c r="P385" s="221"/>
      <c r="Q385" s="221"/>
      <c r="R385" s="221"/>
      <c r="S385" s="221"/>
      <c r="T385" s="221"/>
      <c r="U385" s="221"/>
      <c r="V385" s="221"/>
      <c r="W385" s="221"/>
      <c r="X385" s="221"/>
      <c r="Y385" s="221"/>
      <c r="Z385" s="221"/>
    </row>
    <row r="386" customFormat="false" ht="13.5" hidden="false" customHeight="true" outlineLevel="0" collapsed="false">
      <c r="A386" s="221"/>
      <c r="B386" s="221"/>
      <c r="C386" s="221"/>
      <c r="D386" s="221"/>
      <c r="E386" s="221"/>
      <c r="F386" s="221"/>
      <c r="G386" s="221"/>
      <c r="H386" s="221"/>
      <c r="I386" s="221"/>
      <c r="J386" s="221"/>
      <c r="K386" s="221"/>
      <c r="L386" s="221"/>
      <c r="M386" s="221"/>
      <c r="N386" s="221"/>
      <c r="O386" s="221"/>
      <c r="P386" s="221"/>
      <c r="Q386" s="221"/>
      <c r="R386" s="221"/>
      <c r="S386" s="221"/>
      <c r="T386" s="221"/>
      <c r="U386" s="221"/>
      <c r="V386" s="221"/>
      <c r="W386" s="221"/>
      <c r="X386" s="221"/>
      <c r="Y386" s="221"/>
      <c r="Z386" s="221"/>
    </row>
    <row r="387" customFormat="false" ht="13.5" hidden="false" customHeight="true" outlineLevel="0" collapsed="false">
      <c r="A387" s="221"/>
      <c r="B387" s="221"/>
      <c r="C387" s="221"/>
      <c r="D387" s="221"/>
      <c r="E387" s="221"/>
      <c r="F387" s="221"/>
      <c r="G387" s="221"/>
      <c r="H387" s="221"/>
      <c r="I387" s="221"/>
      <c r="J387" s="221"/>
      <c r="K387" s="221"/>
      <c r="L387" s="221"/>
      <c r="M387" s="221"/>
      <c r="N387" s="221"/>
      <c r="O387" s="221"/>
      <c r="P387" s="221"/>
      <c r="Q387" s="221"/>
      <c r="R387" s="221"/>
      <c r="S387" s="221"/>
      <c r="T387" s="221"/>
      <c r="U387" s="221"/>
      <c r="V387" s="221"/>
      <c r="W387" s="221"/>
      <c r="X387" s="221"/>
      <c r="Y387" s="221"/>
      <c r="Z387" s="221"/>
    </row>
    <row r="388" customFormat="false" ht="13.5" hidden="false" customHeight="true" outlineLevel="0" collapsed="false">
      <c r="A388" s="221"/>
      <c r="B388" s="221"/>
      <c r="C388" s="221"/>
      <c r="D388" s="221"/>
      <c r="E388" s="221"/>
      <c r="F388" s="221"/>
      <c r="G388" s="221"/>
      <c r="H388" s="221"/>
      <c r="I388" s="221"/>
      <c r="J388" s="221"/>
      <c r="K388" s="221"/>
      <c r="L388" s="221"/>
      <c r="M388" s="221"/>
      <c r="N388" s="221"/>
      <c r="O388" s="221"/>
      <c r="P388" s="221"/>
      <c r="Q388" s="221"/>
      <c r="R388" s="221"/>
      <c r="S388" s="221"/>
      <c r="T388" s="221"/>
      <c r="U388" s="221"/>
      <c r="V388" s="221"/>
      <c r="W388" s="221"/>
      <c r="X388" s="221"/>
      <c r="Y388" s="221"/>
      <c r="Z388" s="221"/>
    </row>
    <row r="389" customFormat="false" ht="13.5" hidden="false" customHeight="true" outlineLevel="0" collapsed="false">
      <c r="A389" s="221"/>
      <c r="B389" s="221"/>
      <c r="C389" s="221"/>
      <c r="D389" s="221"/>
      <c r="E389" s="221"/>
      <c r="F389" s="221"/>
      <c r="G389" s="221"/>
      <c r="H389" s="221"/>
      <c r="I389" s="221"/>
      <c r="J389" s="221"/>
      <c r="K389" s="221"/>
      <c r="L389" s="221"/>
      <c r="M389" s="221"/>
      <c r="N389" s="221"/>
      <c r="O389" s="221"/>
      <c r="P389" s="221"/>
      <c r="Q389" s="221"/>
      <c r="R389" s="221"/>
      <c r="S389" s="221"/>
      <c r="T389" s="221"/>
      <c r="U389" s="221"/>
      <c r="V389" s="221"/>
      <c r="W389" s="221"/>
      <c r="X389" s="221"/>
      <c r="Y389" s="221"/>
      <c r="Z389" s="221"/>
    </row>
    <row r="390" customFormat="false" ht="13.5" hidden="false" customHeight="true" outlineLevel="0" collapsed="false">
      <c r="A390" s="221"/>
      <c r="B390" s="221"/>
      <c r="C390" s="221"/>
      <c r="D390" s="221"/>
      <c r="E390" s="221"/>
      <c r="F390" s="221"/>
      <c r="G390" s="221"/>
      <c r="H390" s="221"/>
      <c r="I390" s="221"/>
      <c r="J390" s="221"/>
      <c r="K390" s="221"/>
      <c r="L390" s="221"/>
      <c r="M390" s="221"/>
      <c r="N390" s="221"/>
      <c r="O390" s="221"/>
      <c r="P390" s="221"/>
      <c r="Q390" s="221"/>
      <c r="R390" s="221"/>
      <c r="S390" s="221"/>
      <c r="T390" s="221"/>
      <c r="U390" s="221"/>
      <c r="V390" s="221"/>
      <c r="W390" s="221"/>
      <c r="X390" s="221"/>
      <c r="Y390" s="221"/>
      <c r="Z390" s="221"/>
    </row>
    <row r="391" customFormat="false" ht="13.5" hidden="false" customHeight="true" outlineLevel="0" collapsed="false">
      <c r="A391" s="221"/>
      <c r="B391" s="221"/>
      <c r="C391" s="221"/>
      <c r="D391" s="221"/>
      <c r="E391" s="221"/>
      <c r="F391" s="221"/>
      <c r="G391" s="221"/>
      <c r="H391" s="221"/>
      <c r="I391" s="221"/>
      <c r="J391" s="221"/>
      <c r="K391" s="221"/>
      <c r="L391" s="221"/>
      <c r="M391" s="221"/>
      <c r="N391" s="221"/>
      <c r="O391" s="221"/>
      <c r="P391" s="221"/>
      <c r="Q391" s="221"/>
      <c r="R391" s="221"/>
      <c r="S391" s="221"/>
      <c r="T391" s="221"/>
      <c r="U391" s="221"/>
      <c r="V391" s="221"/>
      <c r="W391" s="221"/>
      <c r="X391" s="221"/>
      <c r="Y391" s="221"/>
      <c r="Z391" s="221"/>
    </row>
    <row r="392" customFormat="false" ht="13.5" hidden="false" customHeight="true" outlineLevel="0" collapsed="false">
      <c r="A392" s="221"/>
      <c r="B392" s="221"/>
      <c r="C392" s="221"/>
      <c r="D392" s="221"/>
      <c r="E392" s="221"/>
      <c r="F392" s="221"/>
      <c r="G392" s="221"/>
      <c r="H392" s="221"/>
      <c r="I392" s="221"/>
      <c r="J392" s="221"/>
      <c r="K392" s="221"/>
      <c r="L392" s="221"/>
      <c r="M392" s="221"/>
      <c r="N392" s="221"/>
      <c r="O392" s="221"/>
      <c r="P392" s="221"/>
      <c r="Q392" s="221"/>
      <c r="R392" s="221"/>
      <c r="S392" s="221"/>
      <c r="T392" s="221"/>
      <c r="U392" s="221"/>
      <c r="V392" s="221"/>
      <c r="W392" s="221"/>
      <c r="X392" s="221"/>
      <c r="Y392" s="221"/>
      <c r="Z392" s="221"/>
    </row>
    <row r="393" customFormat="false" ht="13.5" hidden="false" customHeight="true" outlineLevel="0" collapsed="false">
      <c r="A393" s="221"/>
      <c r="B393" s="221"/>
      <c r="C393" s="221"/>
      <c r="D393" s="221"/>
      <c r="E393" s="221"/>
      <c r="F393" s="221"/>
      <c r="G393" s="221"/>
      <c r="H393" s="221"/>
      <c r="I393" s="221"/>
      <c r="J393" s="221"/>
      <c r="K393" s="221"/>
      <c r="L393" s="221"/>
      <c r="M393" s="221"/>
      <c r="N393" s="221"/>
      <c r="O393" s="221"/>
      <c r="P393" s="221"/>
      <c r="Q393" s="221"/>
      <c r="R393" s="221"/>
      <c r="S393" s="221"/>
      <c r="T393" s="221"/>
      <c r="U393" s="221"/>
      <c r="V393" s="221"/>
      <c r="W393" s="221"/>
      <c r="X393" s="221"/>
      <c r="Y393" s="221"/>
      <c r="Z393" s="221"/>
    </row>
    <row r="394" customFormat="false" ht="13.5" hidden="false" customHeight="true" outlineLevel="0" collapsed="false">
      <c r="A394" s="221"/>
      <c r="B394" s="221"/>
      <c r="C394" s="221"/>
      <c r="D394" s="221"/>
      <c r="E394" s="221"/>
      <c r="F394" s="221"/>
      <c r="G394" s="221"/>
      <c r="H394" s="221"/>
      <c r="I394" s="221"/>
      <c r="J394" s="221"/>
      <c r="K394" s="221"/>
      <c r="L394" s="221"/>
      <c r="M394" s="221"/>
      <c r="N394" s="221"/>
      <c r="O394" s="221"/>
      <c r="P394" s="221"/>
      <c r="Q394" s="221"/>
      <c r="R394" s="221"/>
      <c r="S394" s="221"/>
      <c r="T394" s="221"/>
      <c r="U394" s="221"/>
      <c r="V394" s="221"/>
      <c r="W394" s="221"/>
      <c r="X394" s="221"/>
      <c r="Y394" s="221"/>
      <c r="Z394" s="221"/>
    </row>
    <row r="395" customFormat="false" ht="13.5" hidden="false" customHeight="true" outlineLevel="0" collapsed="false">
      <c r="A395" s="221"/>
      <c r="B395" s="221"/>
      <c r="C395" s="221"/>
      <c r="D395" s="221"/>
      <c r="E395" s="221"/>
      <c r="F395" s="221"/>
      <c r="G395" s="221"/>
      <c r="H395" s="221"/>
      <c r="I395" s="221"/>
      <c r="J395" s="221"/>
      <c r="K395" s="221"/>
      <c r="L395" s="221"/>
      <c r="M395" s="221"/>
      <c r="N395" s="221"/>
      <c r="O395" s="221"/>
      <c r="P395" s="221"/>
      <c r="Q395" s="221"/>
      <c r="R395" s="221"/>
      <c r="S395" s="221"/>
      <c r="T395" s="221"/>
      <c r="U395" s="221"/>
      <c r="V395" s="221"/>
      <c r="W395" s="221"/>
      <c r="X395" s="221"/>
      <c r="Y395" s="221"/>
      <c r="Z395" s="221"/>
    </row>
    <row r="396" customFormat="false" ht="13.5" hidden="false" customHeight="true" outlineLevel="0" collapsed="false">
      <c r="A396" s="221"/>
      <c r="B396" s="221"/>
      <c r="C396" s="221"/>
      <c r="D396" s="221"/>
      <c r="E396" s="221"/>
      <c r="F396" s="221"/>
      <c r="G396" s="221"/>
      <c r="H396" s="221"/>
      <c r="I396" s="221"/>
      <c r="J396" s="221"/>
      <c r="K396" s="221"/>
      <c r="L396" s="221"/>
      <c r="M396" s="221"/>
      <c r="N396" s="221"/>
      <c r="O396" s="221"/>
      <c r="P396" s="221"/>
      <c r="Q396" s="221"/>
      <c r="R396" s="221"/>
      <c r="S396" s="221"/>
      <c r="T396" s="221"/>
      <c r="U396" s="221"/>
      <c r="V396" s="221"/>
      <c r="W396" s="221"/>
      <c r="X396" s="221"/>
      <c r="Y396" s="221"/>
      <c r="Z396" s="221"/>
    </row>
    <row r="397" customFormat="false" ht="13.5" hidden="false" customHeight="true" outlineLevel="0" collapsed="false">
      <c r="A397" s="221"/>
      <c r="B397" s="221"/>
      <c r="C397" s="221"/>
      <c r="D397" s="221"/>
      <c r="E397" s="221"/>
      <c r="F397" s="221"/>
      <c r="G397" s="221"/>
      <c r="H397" s="221"/>
      <c r="I397" s="221"/>
      <c r="J397" s="221"/>
      <c r="K397" s="221"/>
      <c r="L397" s="221"/>
      <c r="M397" s="221"/>
      <c r="N397" s="221"/>
      <c r="O397" s="221"/>
      <c r="P397" s="221"/>
      <c r="Q397" s="221"/>
      <c r="R397" s="221"/>
      <c r="S397" s="221"/>
      <c r="T397" s="221"/>
      <c r="U397" s="221"/>
      <c r="V397" s="221"/>
      <c r="W397" s="221"/>
      <c r="X397" s="221"/>
      <c r="Y397" s="221"/>
      <c r="Z397" s="221"/>
    </row>
    <row r="398" customFormat="false" ht="13.5" hidden="false" customHeight="true" outlineLevel="0" collapsed="false">
      <c r="A398" s="221"/>
      <c r="B398" s="221"/>
      <c r="C398" s="221"/>
      <c r="D398" s="221"/>
      <c r="E398" s="221"/>
      <c r="F398" s="221"/>
      <c r="G398" s="221"/>
      <c r="H398" s="221"/>
      <c r="I398" s="221"/>
      <c r="J398" s="221"/>
      <c r="K398" s="221"/>
      <c r="L398" s="221"/>
      <c r="M398" s="221"/>
      <c r="N398" s="221"/>
      <c r="O398" s="221"/>
      <c r="P398" s="221"/>
      <c r="Q398" s="221"/>
      <c r="R398" s="221"/>
      <c r="S398" s="221"/>
      <c r="T398" s="221"/>
      <c r="U398" s="221"/>
      <c r="V398" s="221"/>
      <c r="W398" s="221"/>
      <c r="X398" s="221"/>
      <c r="Y398" s="221"/>
      <c r="Z398" s="221"/>
    </row>
    <row r="399" customFormat="false" ht="13.5" hidden="false" customHeight="true" outlineLevel="0" collapsed="false">
      <c r="A399" s="221"/>
      <c r="B399" s="221"/>
      <c r="C399" s="221"/>
      <c r="D399" s="221"/>
      <c r="E399" s="221"/>
      <c r="F399" s="221"/>
      <c r="G399" s="221"/>
      <c r="H399" s="221"/>
      <c r="I399" s="221"/>
      <c r="J399" s="221"/>
      <c r="K399" s="221"/>
      <c r="L399" s="221"/>
      <c r="M399" s="221"/>
      <c r="N399" s="221"/>
      <c r="O399" s="221"/>
      <c r="P399" s="221"/>
      <c r="Q399" s="221"/>
      <c r="R399" s="221"/>
      <c r="S399" s="221"/>
      <c r="T399" s="221"/>
      <c r="U399" s="221"/>
      <c r="V399" s="221"/>
      <c r="W399" s="221"/>
      <c r="X399" s="221"/>
      <c r="Y399" s="221"/>
      <c r="Z399" s="221"/>
    </row>
    <row r="400" customFormat="false" ht="13.5" hidden="false" customHeight="true" outlineLevel="0" collapsed="false">
      <c r="A400" s="221"/>
      <c r="B400" s="221"/>
      <c r="C400" s="221"/>
      <c r="D400" s="221"/>
      <c r="E400" s="221"/>
      <c r="F400" s="221"/>
      <c r="G400" s="221"/>
      <c r="H400" s="221"/>
      <c r="I400" s="221"/>
      <c r="J400" s="221"/>
      <c r="K400" s="221"/>
      <c r="L400" s="221"/>
      <c r="M400" s="221"/>
      <c r="N400" s="221"/>
      <c r="O400" s="221"/>
      <c r="P400" s="221"/>
      <c r="Q400" s="221"/>
      <c r="R400" s="221"/>
      <c r="S400" s="221"/>
      <c r="T400" s="221"/>
      <c r="U400" s="221"/>
      <c r="V400" s="221"/>
      <c r="W400" s="221"/>
      <c r="X400" s="221"/>
      <c r="Y400" s="221"/>
      <c r="Z400" s="221"/>
    </row>
    <row r="401" customFormat="false" ht="13.5" hidden="false" customHeight="true" outlineLevel="0" collapsed="false">
      <c r="A401" s="221"/>
      <c r="B401" s="221"/>
      <c r="C401" s="221"/>
      <c r="D401" s="221"/>
      <c r="E401" s="221"/>
      <c r="F401" s="221"/>
      <c r="G401" s="221"/>
      <c r="H401" s="221"/>
      <c r="I401" s="221"/>
      <c r="J401" s="221"/>
      <c r="K401" s="221"/>
      <c r="L401" s="221"/>
      <c r="M401" s="221"/>
      <c r="N401" s="221"/>
      <c r="O401" s="221"/>
      <c r="P401" s="221"/>
      <c r="Q401" s="221"/>
      <c r="R401" s="221"/>
      <c r="S401" s="221"/>
      <c r="T401" s="221"/>
      <c r="U401" s="221"/>
      <c r="V401" s="221"/>
      <c r="W401" s="221"/>
      <c r="X401" s="221"/>
      <c r="Y401" s="221"/>
      <c r="Z401" s="221"/>
    </row>
    <row r="402" customFormat="false" ht="13.5" hidden="false" customHeight="true" outlineLevel="0" collapsed="false">
      <c r="A402" s="221"/>
      <c r="B402" s="221"/>
      <c r="C402" s="221"/>
      <c r="D402" s="221"/>
      <c r="E402" s="221"/>
      <c r="F402" s="221"/>
      <c r="G402" s="221"/>
      <c r="H402" s="221"/>
      <c r="I402" s="221"/>
      <c r="J402" s="221"/>
      <c r="K402" s="221"/>
      <c r="L402" s="221"/>
      <c r="M402" s="221"/>
      <c r="N402" s="221"/>
      <c r="O402" s="221"/>
      <c r="P402" s="221"/>
      <c r="Q402" s="221"/>
      <c r="R402" s="221"/>
      <c r="S402" s="221"/>
      <c r="T402" s="221"/>
      <c r="U402" s="221"/>
      <c r="V402" s="221"/>
      <c r="W402" s="221"/>
      <c r="X402" s="221"/>
      <c r="Y402" s="221"/>
      <c r="Z402" s="221"/>
    </row>
    <row r="403" customFormat="false" ht="13.5" hidden="false" customHeight="true" outlineLevel="0" collapsed="false">
      <c r="A403" s="221"/>
      <c r="B403" s="221"/>
      <c r="C403" s="221"/>
      <c r="D403" s="221"/>
      <c r="E403" s="221"/>
      <c r="F403" s="221"/>
      <c r="G403" s="221"/>
      <c r="H403" s="221"/>
      <c r="I403" s="221"/>
      <c r="J403" s="221"/>
      <c r="K403" s="221"/>
      <c r="L403" s="221"/>
      <c r="M403" s="221"/>
      <c r="N403" s="221"/>
      <c r="O403" s="221"/>
      <c r="P403" s="221"/>
      <c r="Q403" s="221"/>
      <c r="R403" s="221"/>
      <c r="S403" s="221"/>
      <c r="T403" s="221"/>
      <c r="U403" s="221"/>
      <c r="V403" s="221"/>
      <c r="W403" s="221"/>
      <c r="X403" s="221"/>
      <c r="Y403" s="221"/>
      <c r="Z403" s="221"/>
    </row>
    <row r="404" customFormat="false" ht="13.5" hidden="false" customHeight="true" outlineLevel="0" collapsed="false">
      <c r="A404" s="221"/>
      <c r="B404" s="221"/>
      <c r="C404" s="221"/>
      <c r="D404" s="221"/>
      <c r="E404" s="221"/>
      <c r="F404" s="221"/>
      <c r="G404" s="221"/>
      <c r="H404" s="221"/>
      <c r="I404" s="221"/>
      <c r="J404" s="221"/>
      <c r="K404" s="221"/>
      <c r="L404" s="221"/>
      <c r="M404" s="221"/>
      <c r="N404" s="221"/>
      <c r="O404" s="221"/>
      <c r="P404" s="221"/>
      <c r="Q404" s="221"/>
      <c r="R404" s="221"/>
      <c r="S404" s="221"/>
      <c r="T404" s="221"/>
      <c r="U404" s="221"/>
      <c r="V404" s="221"/>
      <c r="W404" s="221"/>
      <c r="X404" s="221"/>
      <c r="Y404" s="221"/>
      <c r="Z404" s="221"/>
    </row>
    <row r="405" customFormat="false" ht="13.5" hidden="false" customHeight="true" outlineLevel="0" collapsed="false">
      <c r="A405" s="221"/>
      <c r="B405" s="221"/>
      <c r="C405" s="221"/>
      <c r="D405" s="221"/>
      <c r="E405" s="221"/>
      <c r="F405" s="221"/>
      <c r="G405" s="221"/>
      <c r="H405" s="221"/>
      <c r="I405" s="221"/>
      <c r="J405" s="221"/>
      <c r="K405" s="221"/>
      <c r="L405" s="221"/>
      <c r="M405" s="221"/>
      <c r="N405" s="221"/>
      <c r="O405" s="221"/>
      <c r="P405" s="221"/>
      <c r="Q405" s="221"/>
      <c r="R405" s="221"/>
      <c r="S405" s="221"/>
      <c r="T405" s="221"/>
      <c r="U405" s="221"/>
      <c r="V405" s="221"/>
      <c r="W405" s="221"/>
      <c r="X405" s="221"/>
      <c r="Y405" s="221"/>
      <c r="Z405" s="221"/>
    </row>
    <row r="406" customFormat="false" ht="13.5" hidden="false" customHeight="true" outlineLevel="0" collapsed="false">
      <c r="A406" s="221"/>
      <c r="B406" s="221"/>
      <c r="C406" s="221"/>
      <c r="D406" s="221"/>
      <c r="E406" s="221"/>
      <c r="F406" s="221"/>
      <c r="G406" s="221"/>
      <c r="H406" s="221"/>
      <c r="I406" s="221"/>
      <c r="J406" s="221"/>
      <c r="K406" s="221"/>
      <c r="L406" s="221"/>
      <c r="M406" s="221"/>
      <c r="N406" s="221"/>
      <c r="O406" s="221"/>
      <c r="P406" s="221"/>
      <c r="Q406" s="221"/>
      <c r="R406" s="221"/>
      <c r="S406" s="221"/>
      <c r="T406" s="221"/>
      <c r="U406" s="221"/>
      <c r="V406" s="221"/>
      <c r="W406" s="221"/>
      <c r="X406" s="221"/>
      <c r="Y406" s="221"/>
      <c r="Z406" s="221"/>
    </row>
    <row r="407" customFormat="false" ht="13.5" hidden="false" customHeight="true" outlineLevel="0" collapsed="false">
      <c r="A407" s="221"/>
      <c r="B407" s="221"/>
      <c r="C407" s="221"/>
      <c r="D407" s="221"/>
      <c r="E407" s="221"/>
      <c r="F407" s="221"/>
      <c r="G407" s="221"/>
      <c r="H407" s="221"/>
      <c r="I407" s="221"/>
      <c r="J407" s="221"/>
      <c r="K407" s="221"/>
      <c r="L407" s="221"/>
      <c r="M407" s="221"/>
      <c r="N407" s="221"/>
      <c r="O407" s="221"/>
      <c r="P407" s="221"/>
      <c r="Q407" s="221"/>
      <c r="R407" s="221"/>
      <c r="S407" s="221"/>
      <c r="T407" s="221"/>
      <c r="U407" s="221"/>
      <c r="V407" s="221"/>
      <c r="W407" s="221"/>
      <c r="X407" s="221"/>
      <c r="Y407" s="221"/>
      <c r="Z407" s="221"/>
    </row>
    <row r="408" customFormat="false" ht="13.5" hidden="false" customHeight="true" outlineLevel="0" collapsed="false">
      <c r="A408" s="221"/>
      <c r="B408" s="221"/>
      <c r="C408" s="221"/>
      <c r="D408" s="221"/>
      <c r="E408" s="221"/>
      <c r="F408" s="221"/>
      <c r="G408" s="221"/>
      <c r="H408" s="221"/>
      <c r="I408" s="221"/>
      <c r="J408" s="221"/>
      <c r="K408" s="221"/>
      <c r="L408" s="221"/>
      <c r="M408" s="221"/>
      <c r="N408" s="221"/>
      <c r="O408" s="221"/>
      <c r="P408" s="221"/>
      <c r="Q408" s="221"/>
      <c r="R408" s="221"/>
      <c r="S408" s="221"/>
      <c r="T408" s="221"/>
      <c r="U408" s="221"/>
      <c r="V408" s="221"/>
      <c r="W408" s="221"/>
      <c r="X408" s="221"/>
      <c r="Y408" s="221"/>
      <c r="Z408" s="221"/>
    </row>
    <row r="409" customFormat="false" ht="13.5" hidden="false" customHeight="true" outlineLevel="0" collapsed="false">
      <c r="A409" s="221"/>
      <c r="B409" s="221"/>
      <c r="C409" s="221"/>
      <c r="D409" s="221"/>
      <c r="E409" s="221"/>
      <c r="F409" s="221"/>
      <c r="G409" s="221"/>
      <c r="H409" s="221"/>
      <c r="I409" s="221"/>
      <c r="J409" s="221"/>
      <c r="K409" s="221"/>
      <c r="L409" s="221"/>
      <c r="M409" s="221"/>
      <c r="N409" s="221"/>
      <c r="O409" s="221"/>
      <c r="P409" s="221"/>
      <c r="Q409" s="221"/>
      <c r="R409" s="221"/>
      <c r="S409" s="221"/>
      <c r="T409" s="221"/>
      <c r="U409" s="221"/>
      <c r="V409" s="221"/>
      <c r="W409" s="221"/>
      <c r="X409" s="221"/>
      <c r="Y409" s="221"/>
      <c r="Z409" s="221"/>
    </row>
    <row r="410" customFormat="false" ht="13.5" hidden="false" customHeight="true" outlineLevel="0" collapsed="false">
      <c r="A410" s="221"/>
      <c r="B410" s="221"/>
      <c r="C410" s="221"/>
      <c r="D410" s="221"/>
      <c r="E410" s="221"/>
      <c r="F410" s="221"/>
      <c r="G410" s="221"/>
      <c r="H410" s="221"/>
      <c r="I410" s="221"/>
      <c r="J410" s="221"/>
      <c r="K410" s="221"/>
      <c r="L410" s="221"/>
      <c r="M410" s="221"/>
      <c r="N410" s="221"/>
      <c r="O410" s="221"/>
      <c r="P410" s="221"/>
      <c r="Q410" s="221"/>
      <c r="R410" s="221"/>
      <c r="S410" s="221"/>
      <c r="T410" s="221"/>
      <c r="U410" s="221"/>
      <c r="V410" s="221"/>
      <c r="W410" s="221"/>
      <c r="X410" s="221"/>
      <c r="Y410" s="221"/>
      <c r="Z410" s="221"/>
    </row>
    <row r="411" customFormat="false" ht="13.5" hidden="false" customHeight="true" outlineLevel="0" collapsed="false">
      <c r="A411" s="221"/>
      <c r="B411" s="221"/>
      <c r="C411" s="221"/>
      <c r="D411" s="221"/>
      <c r="E411" s="221"/>
      <c r="F411" s="221"/>
      <c r="G411" s="221"/>
      <c r="H411" s="221"/>
      <c r="I411" s="221"/>
      <c r="J411" s="221"/>
      <c r="K411" s="221"/>
      <c r="L411" s="221"/>
      <c r="M411" s="221"/>
      <c r="N411" s="221"/>
      <c r="O411" s="221"/>
      <c r="P411" s="221"/>
      <c r="Q411" s="221"/>
      <c r="R411" s="221"/>
      <c r="S411" s="221"/>
      <c r="T411" s="221"/>
      <c r="U411" s="221"/>
      <c r="V411" s="221"/>
      <c r="W411" s="221"/>
      <c r="X411" s="221"/>
      <c r="Y411" s="221"/>
      <c r="Z411" s="221"/>
    </row>
    <row r="412" customFormat="false" ht="13.5" hidden="false" customHeight="true" outlineLevel="0" collapsed="false">
      <c r="A412" s="221"/>
      <c r="B412" s="221"/>
      <c r="C412" s="221"/>
      <c r="D412" s="221"/>
      <c r="E412" s="221"/>
      <c r="F412" s="221"/>
      <c r="G412" s="221"/>
      <c r="H412" s="221"/>
      <c r="I412" s="221"/>
      <c r="J412" s="221"/>
      <c r="K412" s="221"/>
      <c r="L412" s="221"/>
      <c r="M412" s="221"/>
      <c r="N412" s="221"/>
      <c r="O412" s="221"/>
      <c r="P412" s="221"/>
      <c r="Q412" s="221"/>
      <c r="R412" s="221"/>
      <c r="S412" s="221"/>
      <c r="T412" s="221"/>
      <c r="U412" s="221"/>
      <c r="V412" s="221"/>
      <c r="W412" s="221"/>
      <c r="X412" s="221"/>
      <c r="Y412" s="221"/>
      <c r="Z412" s="221"/>
    </row>
    <row r="413" customFormat="false" ht="13.5" hidden="false" customHeight="true" outlineLevel="0" collapsed="false">
      <c r="A413" s="221"/>
      <c r="B413" s="221"/>
      <c r="C413" s="221"/>
      <c r="D413" s="221"/>
      <c r="E413" s="221"/>
      <c r="F413" s="221"/>
      <c r="G413" s="221"/>
      <c r="H413" s="221"/>
      <c r="I413" s="221"/>
      <c r="J413" s="221"/>
      <c r="K413" s="221"/>
      <c r="L413" s="221"/>
      <c r="M413" s="221"/>
      <c r="N413" s="221"/>
      <c r="O413" s="221"/>
      <c r="P413" s="221"/>
      <c r="Q413" s="221"/>
      <c r="R413" s="221"/>
      <c r="S413" s="221"/>
      <c r="T413" s="221"/>
      <c r="U413" s="221"/>
      <c r="V413" s="221"/>
      <c r="W413" s="221"/>
      <c r="X413" s="221"/>
      <c r="Y413" s="221"/>
      <c r="Z413" s="221"/>
    </row>
    <row r="414" customFormat="false" ht="13.5" hidden="false" customHeight="true" outlineLevel="0" collapsed="false">
      <c r="A414" s="221"/>
      <c r="B414" s="221"/>
      <c r="C414" s="221"/>
      <c r="D414" s="221"/>
      <c r="E414" s="221"/>
      <c r="F414" s="221"/>
      <c r="G414" s="221"/>
      <c r="H414" s="221"/>
      <c r="I414" s="221"/>
      <c r="J414" s="221"/>
      <c r="K414" s="221"/>
      <c r="L414" s="221"/>
      <c r="M414" s="221"/>
      <c r="N414" s="221"/>
      <c r="O414" s="221"/>
      <c r="P414" s="221"/>
      <c r="Q414" s="221"/>
      <c r="R414" s="221"/>
      <c r="S414" s="221"/>
      <c r="T414" s="221"/>
      <c r="U414" s="221"/>
      <c r="V414" s="221"/>
      <c r="W414" s="221"/>
      <c r="X414" s="221"/>
      <c r="Y414" s="221"/>
      <c r="Z414" s="221"/>
    </row>
    <row r="415" customFormat="false" ht="13.5" hidden="false" customHeight="true" outlineLevel="0" collapsed="false">
      <c r="A415" s="221"/>
      <c r="B415" s="221"/>
      <c r="C415" s="221"/>
      <c r="D415" s="221"/>
      <c r="E415" s="221"/>
      <c r="F415" s="221"/>
      <c r="G415" s="221"/>
      <c r="H415" s="221"/>
      <c r="I415" s="221"/>
      <c r="J415" s="221"/>
      <c r="K415" s="221"/>
      <c r="L415" s="221"/>
      <c r="M415" s="221"/>
      <c r="N415" s="221"/>
      <c r="O415" s="221"/>
      <c r="P415" s="221"/>
      <c r="Q415" s="221"/>
      <c r="R415" s="221"/>
      <c r="S415" s="221"/>
      <c r="T415" s="221"/>
      <c r="U415" s="221"/>
      <c r="V415" s="221"/>
      <c r="W415" s="221"/>
      <c r="X415" s="221"/>
      <c r="Y415" s="221"/>
      <c r="Z415" s="221"/>
    </row>
    <row r="416" customFormat="false" ht="13.5" hidden="false" customHeight="true" outlineLevel="0" collapsed="false">
      <c r="A416" s="221"/>
      <c r="B416" s="221"/>
      <c r="C416" s="221"/>
      <c r="D416" s="221"/>
      <c r="E416" s="221"/>
      <c r="F416" s="221"/>
      <c r="G416" s="221"/>
      <c r="H416" s="221"/>
      <c r="I416" s="221"/>
      <c r="J416" s="221"/>
      <c r="K416" s="221"/>
      <c r="L416" s="221"/>
      <c r="M416" s="221"/>
      <c r="N416" s="221"/>
      <c r="O416" s="221"/>
      <c r="P416" s="221"/>
      <c r="Q416" s="221"/>
      <c r="R416" s="221"/>
      <c r="S416" s="221"/>
      <c r="T416" s="221"/>
      <c r="U416" s="221"/>
      <c r="V416" s="221"/>
      <c r="W416" s="221"/>
      <c r="X416" s="221"/>
      <c r="Y416" s="221"/>
      <c r="Z416" s="221"/>
    </row>
    <row r="417" customFormat="false" ht="13.5" hidden="false" customHeight="true" outlineLevel="0" collapsed="false">
      <c r="A417" s="221"/>
      <c r="B417" s="221"/>
      <c r="C417" s="221"/>
      <c r="D417" s="221"/>
      <c r="E417" s="221"/>
      <c r="F417" s="221"/>
      <c r="G417" s="221"/>
      <c r="H417" s="221"/>
      <c r="I417" s="221"/>
      <c r="J417" s="221"/>
      <c r="K417" s="221"/>
      <c r="L417" s="221"/>
      <c r="M417" s="221"/>
      <c r="N417" s="221"/>
      <c r="O417" s="221"/>
      <c r="P417" s="221"/>
      <c r="Q417" s="221"/>
      <c r="R417" s="221"/>
      <c r="S417" s="221"/>
      <c r="T417" s="221"/>
      <c r="U417" s="221"/>
      <c r="V417" s="221"/>
      <c r="W417" s="221"/>
      <c r="X417" s="221"/>
      <c r="Y417" s="221"/>
      <c r="Z417" s="221"/>
    </row>
    <row r="418" customFormat="false" ht="13.5" hidden="false" customHeight="true" outlineLevel="0" collapsed="false">
      <c r="A418" s="221"/>
      <c r="B418" s="221"/>
      <c r="C418" s="221"/>
      <c r="D418" s="221"/>
      <c r="E418" s="221"/>
      <c r="F418" s="221"/>
      <c r="G418" s="221"/>
      <c r="H418" s="221"/>
      <c r="I418" s="221"/>
      <c r="J418" s="221"/>
      <c r="K418" s="221"/>
      <c r="L418" s="221"/>
      <c r="M418" s="221"/>
      <c r="N418" s="221"/>
      <c r="O418" s="221"/>
      <c r="P418" s="221"/>
      <c r="Q418" s="221"/>
      <c r="R418" s="221"/>
      <c r="S418" s="221"/>
      <c r="T418" s="221"/>
      <c r="U418" s="221"/>
      <c r="V418" s="221"/>
      <c r="W418" s="221"/>
      <c r="X418" s="221"/>
      <c r="Y418" s="221"/>
      <c r="Z418" s="221"/>
    </row>
    <row r="419" customFormat="false" ht="13.5" hidden="false" customHeight="true" outlineLevel="0" collapsed="false">
      <c r="A419" s="221"/>
      <c r="B419" s="221"/>
      <c r="C419" s="221"/>
      <c r="D419" s="221"/>
      <c r="E419" s="221"/>
      <c r="F419" s="221"/>
      <c r="G419" s="221"/>
      <c r="H419" s="221"/>
      <c r="I419" s="221"/>
      <c r="J419" s="221"/>
      <c r="K419" s="221"/>
      <c r="L419" s="221"/>
      <c r="M419" s="221"/>
      <c r="N419" s="221"/>
      <c r="O419" s="221"/>
      <c r="P419" s="221"/>
      <c r="Q419" s="221"/>
      <c r="R419" s="221"/>
      <c r="S419" s="221"/>
      <c r="T419" s="221"/>
      <c r="U419" s="221"/>
      <c r="V419" s="221"/>
      <c r="W419" s="221"/>
      <c r="X419" s="221"/>
      <c r="Y419" s="221"/>
      <c r="Z419" s="221"/>
    </row>
    <row r="420" customFormat="false" ht="13.5" hidden="false" customHeight="true" outlineLevel="0" collapsed="false">
      <c r="A420" s="221"/>
      <c r="B420" s="221"/>
      <c r="C420" s="221"/>
      <c r="D420" s="221"/>
      <c r="E420" s="221"/>
      <c r="F420" s="221"/>
      <c r="G420" s="221"/>
      <c r="H420" s="221"/>
      <c r="I420" s="221"/>
      <c r="J420" s="221"/>
      <c r="K420" s="221"/>
      <c r="L420" s="221"/>
      <c r="M420" s="221"/>
      <c r="N420" s="221"/>
      <c r="O420" s="221"/>
      <c r="P420" s="221"/>
      <c r="Q420" s="221"/>
      <c r="R420" s="221"/>
      <c r="S420" s="221"/>
      <c r="T420" s="221"/>
      <c r="U420" s="221"/>
      <c r="V420" s="221"/>
      <c r="W420" s="221"/>
      <c r="X420" s="221"/>
      <c r="Y420" s="221"/>
      <c r="Z420" s="221"/>
    </row>
    <row r="421" customFormat="false" ht="13.5" hidden="false" customHeight="true" outlineLevel="0" collapsed="false">
      <c r="A421" s="221"/>
      <c r="B421" s="221"/>
      <c r="C421" s="221"/>
      <c r="D421" s="221"/>
      <c r="E421" s="221"/>
      <c r="F421" s="221"/>
      <c r="G421" s="221"/>
      <c r="H421" s="221"/>
      <c r="I421" s="221"/>
      <c r="J421" s="221"/>
      <c r="K421" s="221"/>
      <c r="L421" s="221"/>
      <c r="M421" s="221"/>
      <c r="N421" s="221"/>
      <c r="O421" s="221"/>
      <c r="P421" s="221"/>
      <c r="Q421" s="221"/>
      <c r="R421" s="221"/>
      <c r="S421" s="221"/>
      <c r="T421" s="221"/>
      <c r="U421" s="221"/>
      <c r="V421" s="221"/>
      <c r="W421" s="221"/>
      <c r="X421" s="221"/>
      <c r="Y421" s="221"/>
      <c r="Z421" s="221"/>
    </row>
    <row r="422" customFormat="false" ht="13.5" hidden="false" customHeight="true" outlineLevel="0" collapsed="false">
      <c r="A422" s="221"/>
      <c r="B422" s="221"/>
      <c r="C422" s="221"/>
      <c r="D422" s="221"/>
      <c r="E422" s="221"/>
      <c r="F422" s="221"/>
      <c r="G422" s="221"/>
      <c r="H422" s="221"/>
      <c r="I422" s="221"/>
      <c r="J422" s="221"/>
      <c r="K422" s="221"/>
      <c r="L422" s="221"/>
      <c r="M422" s="221"/>
      <c r="N422" s="221"/>
      <c r="O422" s="221"/>
      <c r="P422" s="221"/>
      <c r="Q422" s="221"/>
      <c r="R422" s="221"/>
      <c r="S422" s="221"/>
      <c r="T422" s="221"/>
      <c r="U422" s="221"/>
      <c r="V422" s="221"/>
      <c r="W422" s="221"/>
      <c r="X422" s="221"/>
      <c r="Y422" s="221"/>
      <c r="Z422" s="221"/>
    </row>
    <row r="423" customFormat="false" ht="13.5" hidden="false" customHeight="true" outlineLevel="0" collapsed="false">
      <c r="A423" s="221"/>
      <c r="B423" s="221"/>
      <c r="C423" s="221"/>
      <c r="D423" s="221"/>
      <c r="E423" s="221"/>
      <c r="F423" s="221"/>
      <c r="G423" s="221"/>
      <c r="H423" s="221"/>
      <c r="I423" s="221"/>
      <c r="J423" s="221"/>
      <c r="K423" s="221"/>
      <c r="L423" s="221"/>
      <c r="M423" s="221"/>
      <c r="N423" s="221"/>
      <c r="O423" s="221"/>
      <c r="P423" s="221"/>
      <c r="Q423" s="221"/>
      <c r="R423" s="221"/>
      <c r="S423" s="221"/>
      <c r="T423" s="221"/>
      <c r="U423" s="221"/>
      <c r="V423" s="221"/>
      <c r="W423" s="221"/>
      <c r="X423" s="221"/>
      <c r="Y423" s="221"/>
      <c r="Z423" s="221"/>
    </row>
    <row r="424" customFormat="false" ht="13.5" hidden="false" customHeight="true" outlineLevel="0" collapsed="false">
      <c r="A424" s="221"/>
      <c r="B424" s="221"/>
      <c r="C424" s="221"/>
      <c r="D424" s="221"/>
      <c r="E424" s="221"/>
      <c r="F424" s="221"/>
      <c r="G424" s="221"/>
      <c r="H424" s="221"/>
      <c r="I424" s="221"/>
      <c r="J424" s="221"/>
      <c r="K424" s="221"/>
      <c r="L424" s="221"/>
      <c r="M424" s="221"/>
      <c r="N424" s="221"/>
      <c r="O424" s="221"/>
      <c r="P424" s="221"/>
      <c r="Q424" s="221"/>
      <c r="R424" s="221"/>
      <c r="S424" s="221"/>
      <c r="T424" s="221"/>
      <c r="U424" s="221"/>
      <c r="V424" s="221"/>
      <c r="W424" s="221"/>
      <c r="X424" s="221"/>
      <c r="Y424" s="221"/>
      <c r="Z424" s="221"/>
    </row>
    <row r="425" customFormat="false" ht="13.5" hidden="false" customHeight="true" outlineLevel="0" collapsed="false">
      <c r="A425" s="221"/>
      <c r="B425" s="221"/>
      <c r="C425" s="221"/>
      <c r="D425" s="221"/>
      <c r="E425" s="221"/>
      <c r="F425" s="221"/>
      <c r="G425" s="221"/>
      <c r="H425" s="221"/>
      <c r="I425" s="221"/>
      <c r="J425" s="221"/>
      <c r="K425" s="221"/>
      <c r="L425" s="221"/>
      <c r="M425" s="221"/>
      <c r="N425" s="221"/>
      <c r="O425" s="221"/>
      <c r="P425" s="221"/>
      <c r="Q425" s="221"/>
      <c r="R425" s="221"/>
      <c r="S425" s="221"/>
      <c r="T425" s="221"/>
      <c r="U425" s="221"/>
      <c r="V425" s="221"/>
      <c r="W425" s="221"/>
      <c r="X425" s="221"/>
      <c r="Y425" s="221"/>
      <c r="Z425" s="221"/>
    </row>
    <row r="426" customFormat="false" ht="13.5" hidden="false" customHeight="true" outlineLevel="0" collapsed="false">
      <c r="A426" s="221"/>
      <c r="B426" s="221"/>
      <c r="C426" s="221"/>
      <c r="D426" s="221"/>
      <c r="E426" s="221"/>
      <c r="F426" s="221"/>
      <c r="G426" s="221"/>
      <c r="H426" s="221"/>
      <c r="I426" s="221"/>
      <c r="J426" s="221"/>
      <c r="K426" s="221"/>
      <c r="L426" s="221"/>
      <c r="M426" s="221"/>
      <c r="N426" s="221"/>
      <c r="O426" s="221"/>
      <c r="P426" s="221"/>
      <c r="Q426" s="221"/>
      <c r="R426" s="221"/>
      <c r="S426" s="221"/>
      <c r="T426" s="221"/>
      <c r="U426" s="221"/>
      <c r="V426" s="221"/>
      <c r="W426" s="221"/>
      <c r="X426" s="221"/>
      <c r="Y426" s="221"/>
      <c r="Z426" s="221"/>
    </row>
    <row r="427" customFormat="false" ht="13.5" hidden="false" customHeight="true" outlineLevel="0" collapsed="false">
      <c r="A427" s="221"/>
      <c r="B427" s="221"/>
      <c r="C427" s="221"/>
      <c r="D427" s="221"/>
      <c r="E427" s="221"/>
      <c r="F427" s="221"/>
      <c r="G427" s="221"/>
      <c r="H427" s="221"/>
      <c r="I427" s="221"/>
      <c r="J427" s="221"/>
      <c r="K427" s="221"/>
      <c r="L427" s="221"/>
      <c r="M427" s="221"/>
      <c r="N427" s="221"/>
      <c r="O427" s="221"/>
      <c r="P427" s="221"/>
      <c r="Q427" s="221"/>
      <c r="R427" s="221"/>
      <c r="S427" s="221"/>
      <c r="T427" s="221"/>
      <c r="U427" s="221"/>
      <c r="V427" s="221"/>
      <c r="W427" s="221"/>
      <c r="X427" s="221"/>
      <c r="Y427" s="221"/>
      <c r="Z427" s="221"/>
    </row>
    <row r="428" customFormat="false" ht="13.5" hidden="false" customHeight="true" outlineLevel="0" collapsed="false">
      <c r="A428" s="221"/>
      <c r="B428" s="221"/>
      <c r="C428" s="221"/>
      <c r="D428" s="221"/>
      <c r="E428" s="221"/>
      <c r="F428" s="221"/>
      <c r="G428" s="221"/>
      <c r="H428" s="221"/>
      <c r="I428" s="221"/>
      <c r="J428" s="221"/>
      <c r="K428" s="221"/>
      <c r="L428" s="221"/>
      <c r="M428" s="221"/>
      <c r="N428" s="221"/>
      <c r="O428" s="221"/>
      <c r="P428" s="221"/>
      <c r="Q428" s="221"/>
      <c r="R428" s="221"/>
      <c r="S428" s="221"/>
      <c r="T428" s="221"/>
      <c r="U428" s="221"/>
      <c r="V428" s="221"/>
      <c r="W428" s="221"/>
      <c r="X428" s="221"/>
      <c r="Y428" s="221"/>
      <c r="Z428" s="221"/>
    </row>
    <row r="429" customFormat="false" ht="13.5" hidden="false" customHeight="true" outlineLevel="0" collapsed="false">
      <c r="A429" s="221"/>
      <c r="B429" s="221"/>
      <c r="C429" s="221"/>
      <c r="D429" s="221"/>
      <c r="E429" s="221"/>
      <c r="F429" s="221"/>
      <c r="G429" s="221"/>
      <c r="H429" s="221"/>
      <c r="I429" s="221"/>
      <c r="J429" s="221"/>
      <c r="K429" s="221"/>
      <c r="L429" s="221"/>
      <c r="M429" s="221"/>
      <c r="N429" s="221"/>
      <c r="O429" s="221"/>
      <c r="P429" s="221"/>
      <c r="Q429" s="221"/>
      <c r="R429" s="221"/>
      <c r="S429" s="221"/>
      <c r="T429" s="221"/>
      <c r="U429" s="221"/>
      <c r="V429" s="221"/>
      <c r="W429" s="221"/>
      <c r="X429" s="221"/>
      <c r="Y429" s="221"/>
      <c r="Z429" s="221"/>
    </row>
    <row r="430" customFormat="false" ht="13.5" hidden="false" customHeight="true" outlineLevel="0" collapsed="false">
      <c r="A430" s="221"/>
      <c r="B430" s="221"/>
      <c r="C430" s="221"/>
      <c r="D430" s="221"/>
      <c r="E430" s="221"/>
      <c r="F430" s="221"/>
      <c r="G430" s="221"/>
      <c r="H430" s="221"/>
      <c r="I430" s="221"/>
      <c r="J430" s="221"/>
      <c r="K430" s="221"/>
      <c r="L430" s="221"/>
      <c r="M430" s="221"/>
      <c r="N430" s="221"/>
      <c r="O430" s="221"/>
      <c r="P430" s="221"/>
      <c r="Q430" s="221"/>
      <c r="R430" s="221"/>
      <c r="S430" s="221"/>
      <c r="T430" s="221"/>
      <c r="U430" s="221"/>
      <c r="V430" s="221"/>
      <c r="W430" s="221"/>
      <c r="X430" s="221"/>
      <c r="Y430" s="221"/>
      <c r="Z430" s="221"/>
    </row>
    <row r="431" customFormat="false" ht="13.5" hidden="false" customHeight="true" outlineLevel="0" collapsed="false">
      <c r="A431" s="221"/>
      <c r="B431" s="221"/>
      <c r="C431" s="221"/>
      <c r="D431" s="221"/>
      <c r="E431" s="221"/>
      <c r="F431" s="221"/>
      <c r="G431" s="221"/>
      <c r="H431" s="221"/>
      <c r="I431" s="221"/>
      <c r="J431" s="221"/>
      <c r="K431" s="221"/>
      <c r="L431" s="221"/>
      <c r="M431" s="221"/>
      <c r="N431" s="221"/>
      <c r="O431" s="221"/>
      <c r="P431" s="221"/>
      <c r="Q431" s="221"/>
      <c r="R431" s="221"/>
      <c r="S431" s="221"/>
      <c r="T431" s="221"/>
      <c r="U431" s="221"/>
      <c r="V431" s="221"/>
      <c r="W431" s="221"/>
      <c r="X431" s="221"/>
      <c r="Y431" s="221"/>
      <c r="Z431" s="221"/>
    </row>
    <row r="432" customFormat="false" ht="13.5" hidden="false" customHeight="true" outlineLevel="0" collapsed="false">
      <c r="A432" s="221"/>
      <c r="B432" s="221"/>
      <c r="C432" s="221"/>
      <c r="D432" s="221"/>
      <c r="E432" s="221"/>
      <c r="F432" s="221"/>
      <c r="G432" s="221"/>
      <c r="H432" s="221"/>
      <c r="I432" s="221"/>
      <c r="J432" s="221"/>
      <c r="K432" s="221"/>
      <c r="L432" s="221"/>
      <c r="M432" s="221"/>
      <c r="N432" s="221"/>
      <c r="O432" s="221"/>
      <c r="P432" s="221"/>
      <c r="Q432" s="221"/>
      <c r="R432" s="221"/>
      <c r="S432" s="221"/>
      <c r="T432" s="221"/>
      <c r="U432" s="221"/>
      <c r="V432" s="221"/>
      <c r="W432" s="221"/>
      <c r="X432" s="221"/>
      <c r="Y432" s="221"/>
      <c r="Z432" s="221"/>
    </row>
    <row r="433" customFormat="false" ht="13.5" hidden="false" customHeight="true" outlineLevel="0" collapsed="false">
      <c r="A433" s="221"/>
      <c r="B433" s="221"/>
      <c r="C433" s="221"/>
      <c r="D433" s="221"/>
      <c r="E433" s="221"/>
      <c r="F433" s="221"/>
      <c r="G433" s="221"/>
      <c r="H433" s="221"/>
      <c r="I433" s="221"/>
      <c r="J433" s="221"/>
      <c r="K433" s="221"/>
      <c r="L433" s="221"/>
      <c r="M433" s="221"/>
      <c r="N433" s="221"/>
      <c r="O433" s="221"/>
      <c r="P433" s="221"/>
      <c r="Q433" s="221"/>
      <c r="R433" s="221"/>
      <c r="S433" s="221"/>
      <c r="T433" s="221"/>
      <c r="U433" s="221"/>
      <c r="V433" s="221"/>
      <c r="W433" s="221"/>
      <c r="X433" s="221"/>
      <c r="Y433" s="221"/>
      <c r="Z433" s="221"/>
    </row>
    <row r="434" customFormat="false" ht="13.5" hidden="false" customHeight="true" outlineLevel="0" collapsed="false">
      <c r="A434" s="221"/>
      <c r="B434" s="221"/>
      <c r="C434" s="221"/>
      <c r="D434" s="221"/>
      <c r="E434" s="221"/>
      <c r="F434" s="221"/>
      <c r="G434" s="221"/>
      <c r="H434" s="221"/>
      <c r="I434" s="221"/>
      <c r="J434" s="221"/>
      <c r="K434" s="221"/>
      <c r="L434" s="221"/>
      <c r="M434" s="221"/>
      <c r="N434" s="221"/>
      <c r="O434" s="221"/>
      <c r="P434" s="221"/>
      <c r="Q434" s="221"/>
      <c r="R434" s="221"/>
      <c r="S434" s="221"/>
      <c r="T434" s="221"/>
      <c r="U434" s="221"/>
      <c r="V434" s="221"/>
      <c r="W434" s="221"/>
      <c r="X434" s="221"/>
      <c r="Y434" s="221"/>
      <c r="Z434" s="221"/>
    </row>
    <row r="435" customFormat="false" ht="13.5" hidden="false" customHeight="true" outlineLevel="0" collapsed="false">
      <c r="A435" s="221"/>
      <c r="B435" s="221"/>
      <c r="C435" s="221"/>
      <c r="D435" s="221"/>
      <c r="E435" s="221"/>
      <c r="F435" s="221"/>
      <c r="G435" s="221"/>
      <c r="H435" s="221"/>
      <c r="I435" s="221"/>
      <c r="J435" s="221"/>
      <c r="K435" s="221"/>
      <c r="L435" s="221"/>
      <c r="M435" s="221"/>
      <c r="N435" s="221"/>
      <c r="O435" s="221"/>
      <c r="P435" s="221"/>
      <c r="Q435" s="221"/>
      <c r="R435" s="221"/>
      <c r="S435" s="221"/>
      <c r="T435" s="221"/>
      <c r="U435" s="221"/>
      <c r="V435" s="221"/>
      <c r="W435" s="221"/>
      <c r="X435" s="221"/>
      <c r="Y435" s="221"/>
      <c r="Z435" s="221"/>
    </row>
    <row r="436" customFormat="false" ht="13.5" hidden="false" customHeight="true" outlineLevel="0" collapsed="false">
      <c r="A436" s="221"/>
      <c r="B436" s="221"/>
      <c r="C436" s="221"/>
      <c r="D436" s="221"/>
      <c r="E436" s="221"/>
      <c r="F436" s="221"/>
      <c r="G436" s="221"/>
      <c r="H436" s="221"/>
      <c r="I436" s="221"/>
      <c r="J436" s="221"/>
      <c r="K436" s="221"/>
      <c r="L436" s="221"/>
      <c r="M436" s="221"/>
      <c r="N436" s="221"/>
      <c r="O436" s="221"/>
      <c r="P436" s="221"/>
      <c r="Q436" s="221"/>
      <c r="R436" s="221"/>
      <c r="S436" s="221"/>
      <c r="T436" s="221"/>
      <c r="U436" s="221"/>
      <c r="V436" s="221"/>
      <c r="W436" s="221"/>
      <c r="X436" s="221"/>
      <c r="Y436" s="221"/>
      <c r="Z436" s="221"/>
    </row>
    <row r="437" customFormat="false" ht="13.5" hidden="false" customHeight="true" outlineLevel="0" collapsed="false">
      <c r="A437" s="221"/>
      <c r="B437" s="221"/>
      <c r="C437" s="221"/>
      <c r="D437" s="221"/>
      <c r="E437" s="221"/>
      <c r="F437" s="221"/>
      <c r="G437" s="221"/>
      <c r="H437" s="221"/>
      <c r="I437" s="221"/>
      <c r="J437" s="221"/>
      <c r="K437" s="221"/>
      <c r="L437" s="221"/>
      <c r="M437" s="221"/>
      <c r="N437" s="221"/>
      <c r="O437" s="221"/>
      <c r="P437" s="221"/>
      <c r="Q437" s="221"/>
      <c r="R437" s="221"/>
      <c r="S437" s="221"/>
      <c r="T437" s="221"/>
      <c r="U437" s="221"/>
      <c r="V437" s="221"/>
      <c r="W437" s="221"/>
      <c r="X437" s="221"/>
      <c r="Y437" s="221"/>
      <c r="Z437" s="221"/>
    </row>
    <row r="438" customFormat="false" ht="13.5" hidden="false" customHeight="true" outlineLevel="0" collapsed="false">
      <c r="A438" s="221"/>
      <c r="B438" s="221"/>
      <c r="C438" s="221"/>
      <c r="D438" s="221"/>
      <c r="E438" s="221"/>
      <c r="F438" s="221"/>
      <c r="G438" s="221"/>
      <c r="H438" s="221"/>
      <c r="I438" s="221"/>
      <c r="J438" s="221"/>
      <c r="K438" s="221"/>
      <c r="L438" s="221"/>
      <c r="M438" s="221"/>
      <c r="N438" s="221"/>
      <c r="O438" s="221"/>
      <c r="P438" s="221"/>
      <c r="Q438" s="221"/>
      <c r="R438" s="221"/>
      <c r="S438" s="221"/>
      <c r="T438" s="221"/>
      <c r="U438" s="221"/>
      <c r="V438" s="221"/>
      <c r="W438" s="221"/>
      <c r="X438" s="221"/>
      <c r="Y438" s="221"/>
      <c r="Z438" s="221"/>
    </row>
    <row r="439" customFormat="false" ht="13.5" hidden="false" customHeight="true" outlineLevel="0" collapsed="false">
      <c r="A439" s="221"/>
      <c r="B439" s="221"/>
      <c r="C439" s="221"/>
      <c r="D439" s="221"/>
      <c r="E439" s="221"/>
      <c r="F439" s="221"/>
      <c r="G439" s="221"/>
      <c r="H439" s="221"/>
      <c r="I439" s="221"/>
      <c r="J439" s="221"/>
      <c r="K439" s="221"/>
      <c r="L439" s="221"/>
      <c r="M439" s="221"/>
      <c r="N439" s="221"/>
      <c r="O439" s="221"/>
      <c r="P439" s="221"/>
      <c r="Q439" s="221"/>
      <c r="R439" s="221"/>
      <c r="S439" s="221"/>
      <c r="T439" s="221"/>
      <c r="U439" s="221"/>
      <c r="V439" s="221"/>
      <c r="W439" s="221"/>
      <c r="X439" s="221"/>
      <c r="Y439" s="221"/>
      <c r="Z439" s="221"/>
    </row>
    <row r="440" customFormat="false" ht="13.5" hidden="false" customHeight="true" outlineLevel="0" collapsed="false">
      <c r="A440" s="221"/>
      <c r="B440" s="221"/>
      <c r="C440" s="221"/>
      <c r="D440" s="221"/>
      <c r="E440" s="221"/>
      <c r="F440" s="221"/>
      <c r="G440" s="221"/>
      <c r="H440" s="221"/>
      <c r="I440" s="221"/>
      <c r="J440" s="221"/>
      <c r="K440" s="221"/>
      <c r="L440" s="221"/>
      <c r="M440" s="221"/>
      <c r="N440" s="221"/>
      <c r="O440" s="221"/>
      <c r="P440" s="221"/>
      <c r="Q440" s="221"/>
      <c r="R440" s="221"/>
      <c r="S440" s="221"/>
      <c r="T440" s="221"/>
      <c r="U440" s="221"/>
      <c r="V440" s="221"/>
      <c r="W440" s="221"/>
      <c r="X440" s="221"/>
      <c r="Y440" s="221"/>
      <c r="Z440" s="221"/>
    </row>
    <row r="441" customFormat="false" ht="13.5" hidden="false" customHeight="true" outlineLevel="0" collapsed="false">
      <c r="A441" s="221"/>
      <c r="B441" s="221"/>
      <c r="C441" s="221"/>
      <c r="D441" s="221"/>
      <c r="E441" s="221"/>
      <c r="F441" s="221"/>
      <c r="G441" s="221"/>
      <c r="H441" s="221"/>
      <c r="I441" s="221"/>
      <c r="J441" s="221"/>
      <c r="K441" s="221"/>
      <c r="L441" s="221"/>
      <c r="M441" s="221"/>
      <c r="N441" s="221"/>
      <c r="O441" s="221"/>
      <c r="P441" s="221"/>
      <c r="Q441" s="221"/>
      <c r="R441" s="221"/>
      <c r="S441" s="221"/>
      <c r="T441" s="221"/>
      <c r="U441" s="221"/>
      <c r="V441" s="221"/>
      <c r="W441" s="221"/>
      <c r="X441" s="221"/>
      <c r="Y441" s="221"/>
      <c r="Z441" s="221"/>
    </row>
    <row r="442" customFormat="false" ht="13.5" hidden="false" customHeight="true" outlineLevel="0" collapsed="false">
      <c r="A442" s="221"/>
      <c r="B442" s="221"/>
      <c r="C442" s="221"/>
      <c r="D442" s="221"/>
      <c r="E442" s="221"/>
      <c r="F442" s="221"/>
      <c r="G442" s="221"/>
      <c r="H442" s="221"/>
      <c r="I442" s="221"/>
      <c r="J442" s="221"/>
      <c r="K442" s="221"/>
      <c r="L442" s="221"/>
      <c r="M442" s="221"/>
      <c r="N442" s="221"/>
      <c r="O442" s="221"/>
      <c r="P442" s="221"/>
      <c r="Q442" s="221"/>
      <c r="R442" s="221"/>
      <c r="S442" s="221"/>
      <c r="T442" s="221"/>
      <c r="U442" s="221"/>
      <c r="V442" s="221"/>
      <c r="W442" s="221"/>
      <c r="X442" s="221"/>
      <c r="Y442" s="221"/>
      <c r="Z442" s="221"/>
    </row>
    <row r="443" customFormat="false" ht="13.5" hidden="false" customHeight="true" outlineLevel="0" collapsed="false">
      <c r="A443" s="221"/>
      <c r="B443" s="221"/>
      <c r="C443" s="221"/>
      <c r="D443" s="221"/>
      <c r="E443" s="221"/>
      <c r="F443" s="221"/>
      <c r="G443" s="221"/>
      <c r="H443" s="221"/>
      <c r="I443" s="221"/>
      <c r="J443" s="221"/>
      <c r="K443" s="221"/>
      <c r="L443" s="221"/>
      <c r="M443" s="221"/>
      <c r="N443" s="221"/>
      <c r="O443" s="221"/>
      <c r="P443" s="221"/>
      <c r="Q443" s="221"/>
      <c r="R443" s="221"/>
      <c r="S443" s="221"/>
      <c r="T443" s="221"/>
      <c r="U443" s="221"/>
      <c r="V443" s="221"/>
      <c r="W443" s="221"/>
      <c r="X443" s="221"/>
      <c r="Y443" s="221"/>
      <c r="Z443" s="221"/>
    </row>
    <row r="444" customFormat="false" ht="13.5" hidden="false" customHeight="true" outlineLevel="0" collapsed="false">
      <c r="A444" s="221"/>
      <c r="B444" s="221"/>
      <c r="C444" s="221"/>
      <c r="D444" s="221"/>
      <c r="E444" s="221"/>
      <c r="F444" s="221"/>
      <c r="G444" s="221"/>
      <c r="H444" s="221"/>
      <c r="I444" s="221"/>
      <c r="J444" s="221"/>
      <c r="K444" s="221"/>
      <c r="L444" s="221"/>
      <c r="M444" s="221"/>
      <c r="N444" s="221"/>
      <c r="O444" s="221"/>
      <c r="P444" s="221"/>
      <c r="Q444" s="221"/>
      <c r="R444" s="221"/>
      <c r="S444" s="221"/>
      <c r="T444" s="221"/>
      <c r="U444" s="221"/>
      <c r="V444" s="221"/>
      <c r="W444" s="221"/>
      <c r="X444" s="221"/>
      <c r="Y444" s="221"/>
      <c r="Z444" s="221"/>
    </row>
    <row r="445" customFormat="false" ht="13.5" hidden="false" customHeight="true" outlineLevel="0" collapsed="false">
      <c r="A445" s="221"/>
      <c r="B445" s="221"/>
      <c r="C445" s="221"/>
      <c r="D445" s="221"/>
      <c r="E445" s="221"/>
      <c r="F445" s="221"/>
      <c r="G445" s="221"/>
      <c r="H445" s="221"/>
      <c r="I445" s="221"/>
      <c r="J445" s="221"/>
      <c r="K445" s="221"/>
      <c r="L445" s="221"/>
      <c r="M445" s="221"/>
      <c r="N445" s="221"/>
      <c r="O445" s="221"/>
      <c r="P445" s="221"/>
      <c r="Q445" s="221"/>
      <c r="R445" s="221"/>
      <c r="S445" s="221"/>
      <c r="T445" s="221"/>
      <c r="U445" s="221"/>
      <c r="V445" s="221"/>
      <c r="W445" s="221"/>
      <c r="X445" s="221"/>
      <c r="Y445" s="221"/>
      <c r="Z445" s="221"/>
    </row>
    <row r="446" customFormat="false" ht="13.5" hidden="false" customHeight="true" outlineLevel="0" collapsed="false">
      <c r="A446" s="221"/>
      <c r="B446" s="221"/>
      <c r="C446" s="221"/>
      <c r="D446" s="221"/>
      <c r="E446" s="221"/>
      <c r="F446" s="221"/>
      <c r="G446" s="221"/>
      <c r="H446" s="221"/>
      <c r="I446" s="221"/>
      <c r="J446" s="221"/>
      <c r="K446" s="221"/>
      <c r="L446" s="221"/>
      <c r="M446" s="221"/>
      <c r="N446" s="221"/>
      <c r="O446" s="221"/>
      <c r="P446" s="221"/>
      <c r="Q446" s="221"/>
      <c r="R446" s="221"/>
      <c r="S446" s="221"/>
      <c r="T446" s="221"/>
      <c r="U446" s="221"/>
      <c r="V446" s="221"/>
      <c r="W446" s="221"/>
      <c r="X446" s="221"/>
      <c r="Y446" s="221"/>
      <c r="Z446" s="221"/>
    </row>
    <row r="447" customFormat="false" ht="13.5" hidden="false" customHeight="true" outlineLevel="0" collapsed="false">
      <c r="A447" s="221"/>
      <c r="B447" s="221"/>
      <c r="C447" s="221"/>
      <c r="D447" s="221"/>
      <c r="E447" s="221"/>
      <c r="F447" s="221"/>
      <c r="G447" s="221"/>
      <c r="H447" s="221"/>
      <c r="I447" s="221"/>
      <c r="J447" s="221"/>
      <c r="K447" s="221"/>
      <c r="L447" s="221"/>
      <c r="M447" s="221"/>
      <c r="N447" s="221"/>
      <c r="O447" s="221"/>
      <c r="P447" s="221"/>
      <c r="Q447" s="221"/>
      <c r="R447" s="221"/>
      <c r="S447" s="221"/>
      <c r="T447" s="221"/>
      <c r="U447" s="221"/>
      <c r="V447" s="221"/>
      <c r="W447" s="221"/>
      <c r="X447" s="221"/>
      <c r="Y447" s="221"/>
      <c r="Z447" s="221"/>
    </row>
    <row r="448" customFormat="false" ht="13.5" hidden="false" customHeight="true" outlineLevel="0" collapsed="false">
      <c r="A448" s="221"/>
      <c r="B448" s="221"/>
      <c r="C448" s="221"/>
      <c r="D448" s="221"/>
      <c r="E448" s="221"/>
      <c r="F448" s="221"/>
      <c r="G448" s="221"/>
      <c r="H448" s="221"/>
      <c r="I448" s="221"/>
      <c r="J448" s="221"/>
      <c r="K448" s="221"/>
      <c r="L448" s="221"/>
      <c r="M448" s="221"/>
      <c r="N448" s="221"/>
      <c r="O448" s="221"/>
      <c r="P448" s="221"/>
      <c r="Q448" s="221"/>
      <c r="R448" s="221"/>
      <c r="S448" s="221"/>
      <c r="T448" s="221"/>
      <c r="U448" s="221"/>
      <c r="V448" s="221"/>
      <c r="W448" s="221"/>
      <c r="X448" s="221"/>
      <c r="Y448" s="221"/>
      <c r="Z448" s="221"/>
    </row>
    <row r="449" customFormat="false" ht="13.5" hidden="false" customHeight="true" outlineLevel="0" collapsed="false">
      <c r="A449" s="221"/>
      <c r="B449" s="221"/>
      <c r="C449" s="221"/>
      <c r="D449" s="221"/>
      <c r="E449" s="221"/>
      <c r="F449" s="221"/>
      <c r="G449" s="221"/>
      <c r="H449" s="221"/>
      <c r="I449" s="221"/>
      <c r="J449" s="221"/>
      <c r="K449" s="221"/>
      <c r="L449" s="221"/>
      <c r="M449" s="221"/>
      <c r="N449" s="221"/>
      <c r="O449" s="221"/>
      <c r="P449" s="221"/>
      <c r="Q449" s="221"/>
      <c r="R449" s="221"/>
      <c r="S449" s="221"/>
      <c r="T449" s="221"/>
      <c r="U449" s="221"/>
      <c r="V449" s="221"/>
      <c r="W449" s="221"/>
      <c r="X449" s="221"/>
      <c r="Y449" s="221"/>
      <c r="Z449" s="221"/>
    </row>
    <row r="450" customFormat="false" ht="13.5" hidden="false" customHeight="true" outlineLevel="0" collapsed="false">
      <c r="A450" s="221"/>
      <c r="B450" s="221"/>
      <c r="C450" s="221"/>
      <c r="D450" s="221"/>
      <c r="E450" s="221"/>
      <c r="F450" s="221"/>
      <c r="G450" s="221"/>
      <c r="H450" s="221"/>
      <c r="I450" s="221"/>
      <c r="J450" s="221"/>
      <c r="K450" s="221"/>
      <c r="L450" s="221"/>
      <c r="M450" s="221"/>
      <c r="N450" s="221"/>
      <c r="O450" s="221"/>
      <c r="P450" s="221"/>
      <c r="Q450" s="221"/>
      <c r="R450" s="221"/>
      <c r="S450" s="221"/>
      <c r="T450" s="221"/>
      <c r="U450" s="221"/>
      <c r="V450" s="221"/>
      <c r="W450" s="221"/>
      <c r="X450" s="221"/>
      <c r="Y450" s="221"/>
      <c r="Z450" s="221"/>
    </row>
    <row r="451" customFormat="false" ht="13.5" hidden="false" customHeight="true" outlineLevel="0" collapsed="false">
      <c r="A451" s="221"/>
      <c r="B451" s="221"/>
      <c r="C451" s="221"/>
      <c r="D451" s="221"/>
      <c r="E451" s="221"/>
      <c r="F451" s="221"/>
      <c r="G451" s="221"/>
      <c r="H451" s="221"/>
      <c r="I451" s="221"/>
      <c r="J451" s="221"/>
      <c r="K451" s="221"/>
      <c r="L451" s="221"/>
      <c r="M451" s="221"/>
      <c r="N451" s="221"/>
      <c r="O451" s="221"/>
      <c r="P451" s="221"/>
      <c r="Q451" s="221"/>
      <c r="R451" s="221"/>
      <c r="S451" s="221"/>
      <c r="T451" s="221"/>
      <c r="U451" s="221"/>
      <c r="V451" s="221"/>
      <c r="W451" s="221"/>
      <c r="X451" s="221"/>
      <c r="Y451" s="221"/>
      <c r="Z451" s="221"/>
    </row>
    <row r="452" customFormat="false" ht="13.5" hidden="false" customHeight="true" outlineLevel="0" collapsed="false">
      <c r="A452" s="221"/>
      <c r="B452" s="221"/>
      <c r="C452" s="221"/>
      <c r="D452" s="221"/>
      <c r="E452" s="221"/>
      <c r="F452" s="221"/>
      <c r="G452" s="221"/>
      <c r="H452" s="221"/>
      <c r="I452" s="221"/>
      <c r="J452" s="221"/>
      <c r="K452" s="221"/>
      <c r="L452" s="221"/>
      <c r="M452" s="221"/>
      <c r="N452" s="221"/>
      <c r="O452" s="221"/>
      <c r="P452" s="221"/>
      <c r="Q452" s="221"/>
      <c r="R452" s="221"/>
      <c r="S452" s="221"/>
      <c r="T452" s="221"/>
      <c r="U452" s="221"/>
      <c r="V452" s="221"/>
      <c r="W452" s="221"/>
      <c r="X452" s="221"/>
      <c r="Y452" s="221"/>
      <c r="Z452" s="221"/>
    </row>
    <row r="453" customFormat="false" ht="13.5" hidden="false" customHeight="true" outlineLevel="0" collapsed="false">
      <c r="A453" s="221"/>
      <c r="B453" s="221"/>
      <c r="C453" s="221"/>
      <c r="D453" s="221"/>
      <c r="E453" s="221"/>
      <c r="F453" s="221"/>
      <c r="G453" s="221"/>
      <c r="H453" s="221"/>
      <c r="I453" s="221"/>
      <c r="J453" s="221"/>
      <c r="K453" s="221"/>
      <c r="L453" s="221"/>
      <c r="M453" s="221"/>
      <c r="N453" s="221"/>
      <c r="O453" s="221"/>
      <c r="P453" s="221"/>
      <c r="Q453" s="221"/>
      <c r="R453" s="221"/>
      <c r="S453" s="221"/>
      <c r="T453" s="221"/>
      <c r="U453" s="221"/>
      <c r="V453" s="221"/>
      <c r="W453" s="221"/>
      <c r="X453" s="221"/>
      <c r="Y453" s="221"/>
      <c r="Z453" s="221"/>
    </row>
    <row r="454" customFormat="false" ht="13.5" hidden="false" customHeight="true" outlineLevel="0" collapsed="false">
      <c r="A454" s="221"/>
      <c r="B454" s="221"/>
      <c r="C454" s="221"/>
      <c r="D454" s="221"/>
      <c r="E454" s="221"/>
      <c r="F454" s="221"/>
      <c r="G454" s="221"/>
      <c r="H454" s="221"/>
      <c r="I454" s="221"/>
      <c r="J454" s="221"/>
      <c r="K454" s="221"/>
      <c r="L454" s="221"/>
      <c r="M454" s="221"/>
      <c r="N454" s="221"/>
      <c r="O454" s="221"/>
      <c r="P454" s="221"/>
      <c r="Q454" s="221"/>
      <c r="R454" s="221"/>
      <c r="S454" s="221"/>
      <c r="T454" s="221"/>
      <c r="U454" s="221"/>
      <c r="V454" s="221"/>
      <c r="W454" s="221"/>
      <c r="X454" s="221"/>
      <c r="Y454" s="221"/>
      <c r="Z454" s="221"/>
    </row>
    <row r="455" customFormat="false" ht="13.5" hidden="false" customHeight="true" outlineLevel="0" collapsed="false">
      <c r="A455" s="221"/>
      <c r="B455" s="221"/>
      <c r="C455" s="221"/>
      <c r="D455" s="221"/>
      <c r="E455" s="221"/>
      <c r="F455" s="221"/>
      <c r="G455" s="221"/>
      <c r="H455" s="221"/>
      <c r="I455" s="221"/>
      <c r="J455" s="221"/>
      <c r="K455" s="221"/>
      <c r="L455" s="221"/>
      <c r="M455" s="221"/>
      <c r="N455" s="221"/>
      <c r="O455" s="221"/>
      <c r="P455" s="221"/>
      <c r="Q455" s="221"/>
      <c r="R455" s="221"/>
      <c r="S455" s="221"/>
      <c r="T455" s="221"/>
      <c r="U455" s="221"/>
      <c r="V455" s="221"/>
      <c r="W455" s="221"/>
      <c r="X455" s="221"/>
      <c r="Y455" s="221"/>
      <c r="Z455" s="221"/>
    </row>
    <row r="456" customFormat="false" ht="13.5" hidden="false" customHeight="true" outlineLevel="0" collapsed="false">
      <c r="A456" s="221"/>
      <c r="B456" s="221"/>
      <c r="C456" s="221"/>
      <c r="D456" s="221"/>
      <c r="E456" s="221"/>
      <c r="F456" s="221"/>
      <c r="G456" s="221"/>
      <c r="H456" s="221"/>
      <c r="I456" s="221"/>
      <c r="J456" s="221"/>
      <c r="K456" s="221"/>
      <c r="L456" s="221"/>
      <c r="M456" s="221"/>
      <c r="N456" s="221"/>
      <c r="O456" s="221"/>
      <c r="P456" s="221"/>
      <c r="Q456" s="221"/>
      <c r="R456" s="221"/>
      <c r="S456" s="221"/>
      <c r="T456" s="221"/>
      <c r="U456" s="221"/>
      <c r="V456" s="221"/>
      <c r="W456" s="221"/>
      <c r="X456" s="221"/>
      <c r="Y456" s="221"/>
      <c r="Z456" s="221"/>
    </row>
    <row r="457" customFormat="false" ht="13.5" hidden="false" customHeight="true" outlineLevel="0" collapsed="false">
      <c r="A457" s="221"/>
      <c r="B457" s="221"/>
      <c r="C457" s="221"/>
      <c r="D457" s="221"/>
      <c r="E457" s="221"/>
      <c r="F457" s="221"/>
      <c r="G457" s="221"/>
      <c r="H457" s="221"/>
      <c r="I457" s="221"/>
      <c r="J457" s="221"/>
      <c r="K457" s="221"/>
      <c r="L457" s="221"/>
      <c r="M457" s="221"/>
      <c r="N457" s="221"/>
      <c r="O457" s="221"/>
      <c r="P457" s="221"/>
      <c r="Q457" s="221"/>
      <c r="R457" s="221"/>
      <c r="S457" s="221"/>
      <c r="T457" s="221"/>
      <c r="U457" s="221"/>
      <c r="V457" s="221"/>
      <c r="W457" s="221"/>
      <c r="X457" s="221"/>
      <c r="Y457" s="221"/>
      <c r="Z457" s="221"/>
    </row>
    <row r="458" customFormat="false" ht="13.5" hidden="false" customHeight="true" outlineLevel="0" collapsed="false">
      <c r="A458" s="221"/>
      <c r="B458" s="221"/>
      <c r="C458" s="221"/>
      <c r="D458" s="221"/>
      <c r="E458" s="221"/>
      <c r="F458" s="221"/>
      <c r="G458" s="221"/>
      <c r="H458" s="221"/>
      <c r="I458" s="221"/>
      <c r="J458" s="221"/>
      <c r="K458" s="221"/>
      <c r="L458" s="221"/>
      <c r="M458" s="221"/>
      <c r="N458" s="221"/>
      <c r="O458" s="221"/>
      <c r="P458" s="221"/>
      <c r="Q458" s="221"/>
      <c r="R458" s="221"/>
      <c r="S458" s="221"/>
      <c r="T458" s="221"/>
      <c r="U458" s="221"/>
      <c r="V458" s="221"/>
      <c r="W458" s="221"/>
      <c r="X458" s="221"/>
      <c r="Y458" s="221"/>
      <c r="Z458" s="221"/>
    </row>
    <row r="459" customFormat="false" ht="13.5" hidden="false" customHeight="true" outlineLevel="0" collapsed="false">
      <c r="A459" s="221"/>
      <c r="B459" s="221"/>
      <c r="C459" s="221"/>
      <c r="D459" s="221"/>
      <c r="E459" s="221"/>
      <c r="F459" s="221"/>
      <c r="G459" s="221"/>
      <c r="H459" s="221"/>
      <c r="I459" s="221"/>
      <c r="J459" s="221"/>
      <c r="K459" s="221"/>
      <c r="L459" s="221"/>
      <c r="M459" s="221"/>
      <c r="N459" s="221"/>
      <c r="O459" s="221"/>
      <c r="P459" s="221"/>
      <c r="Q459" s="221"/>
      <c r="R459" s="221"/>
      <c r="S459" s="221"/>
      <c r="T459" s="221"/>
      <c r="U459" s="221"/>
      <c r="V459" s="221"/>
      <c r="W459" s="221"/>
      <c r="X459" s="221"/>
      <c r="Y459" s="221"/>
      <c r="Z459" s="221"/>
    </row>
    <row r="460" customFormat="false" ht="13.5" hidden="false" customHeight="true" outlineLevel="0" collapsed="false">
      <c r="A460" s="221"/>
      <c r="B460" s="221"/>
      <c r="C460" s="221"/>
      <c r="D460" s="221"/>
      <c r="E460" s="221"/>
      <c r="F460" s="221"/>
      <c r="G460" s="221"/>
      <c r="H460" s="221"/>
      <c r="I460" s="221"/>
      <c r="J460" s="221"/>
      <c r="K460" s="221"/>
      <c r="L460" s="221"/>
      <c r="M460" s="221"/>
      <c r="N460" s="221"/>
      <c r="O460" s="221"/>
      <c r="P460" s="221"/>
      <c r="Q460" s="221"/>
      <c r="R460" s="221"/>
      <c r="S460" s="221"/>
      <c r="T460" s="221"/>
      <c r="U460" s="221"/>
      <c r="V460" s="221"/>
      <c r="W460" s="221"/>
      <c r="X460" s="221"/>
      <c r="Y460" s="221"/>
      <c r="Z460" s="221"/>
    </row>
    <row r="461" customFormat="false" ht="13.5" hidden="false" customHeight="true" outlineLevel="0" collapsed="false">
      <c r="A461" s="221"/>
      <c r="B461" s="221"/>
      <c r="C461" s="221"/>
      <c r="D461" s="221"/>
      <c r="E461" s="221"/>
      <c r="F461" s="221"/>
      <c r="G461" s="221"/>
      <c r="H461" s="221"/>
      <c r="I461" s="221"/>
      <c r="J461" s="221"/>
      <c r="K461" s="221"/>
      <c r="L461" s="221"/>
      <c r="M461" s="221"/>
      <c r="N461" s="221"/>
      <c r="O461" s="221"/>
      <c r="P461" s="221"/>
      <c r="Q461" s="221"/>
      <c r="R461" s="221"/>
      <c r="S461" s="221"/>
      <c r="T461" s="221"/>
      <c r="U461" s="221"/>
      <c r="V461" s="221"/>
      <c r="W461" s="221"/>
      <c r="X461" s="221"/>
      <c r="Y461" s="221"/>
      <c r="Z461" s="221"/>
    </row>
    <row r="462" customFormat="false" ht="13.5" hidden="false" customHeight="true" outlineLevel="0" collapsed="false">
      <c r="A462" s="221"/>
      <c r="B462" s="221"/>
      <c r="C462" s="221"/>
      <c r="D462" s="221"/>
      <c r="E462" s="221"/>
      <c r="F462" s="221"/>
      <c r="G462" s="221"/>
      <c r="H462" s="221"/>
      <c r="I462" s="221"/>
      <c r="J462" s="221"/>
      <c r="K462" s="221"/>
      <c r="L462" s="221"/>
      <c r="M462" s="221"/>
      <c r="N462" s="221"/>
      <c r="O462" s="221"/>
      <c r="P462" s="221"/>
      <c r="Q462" s="221"/>
      <c r="R462" s="221"/>
      <c r="S462" s="221"/>
      <c r="T462" s="221"/>
      <c r="U462" s="221"/>
      <c r="V462" s="221"/>
      <c r="W462" s="221"/>
      <c r="X462" s="221"/>
      <c r="Y462" s="221"/>
      <c r="Z462" s="221"/>
    </row>
    <row r="463" customFormat="false" ht="13.5" hidden="false" customHeight="true" outlineLevel="0" collapsed="false">
      <c r="A463" s="221"/>
      <c r="B463" s="221"/>
      <c r="C463" s="221"/>
      <c r="D463" s="221"/>
      <c r="E463" s="221"/>
      <c r="F463" s="221"/>
      <c r="G463" s="221"/>
      <c r="H463" s="221"/>
      <c r="I463" s="221"/>
      <c r="J463" s="221"/>
      <c r="K463" s="221"/>
      <c r="L463" s="221"/>
      <c r="M463" s="221"/>
      <c r="N463" s="221"/>
      <c r="O463" s="221"/>
      <c r="P463" s="221"/>
      <c r="Q463" s="221"/>
      <c r="R463" s="221"/>
      <c r="S463" s="221"/>
      <c r="T463" s="221"/>
      <c r="U463" s="221"/>
      <c r="V463" s="221"/>
      <c r="W463" s="221"/>
      <c r="X463" s="221"/>
      <c r="Y463" s="221"/>
      <c r="Z463" s="221"/>
    </row>
    <row r="464" customFormat="false" ht="13.5" hidden="false" customHeight="true" outlineLevel="0" collapsed="false">
      <c r="A464" s="221"/>
      <c r="B464" s="221"/>
      <c r="C464" s="221"/>
      <c r="D464" s="221"/>
      <c r="E464" s="221"/>
      <c r="F464" s="221"/>
      <c r="G464" s="221"/>
      <c r="H464" s="221"/>
      <c r="I464" s="221"/>
      <c r="J464" s="221"/>
      <c r="K464" s="221"/>
      <c r="L464" s="221"/>
      <c r="M464" s="221"/>
      <c r="N464" s="221"/>
      <c r="O464" s="221"/>
      <c r="P464" s="221"/>
      <c r="Q464" s="221"/>
      <c r="R464" s="221"/>
      <c r="S464" s="221"/>
      <c r="T464" s="221"/>
      <c r="U464" s="221"/>
      <c r="V464" s="221"/>
      <c r="W464" s="221"/>
      <c r="X464" s="221"/>
      <c r="Y464" s="221"/>
      <c r="Z464" s="221"/>
    </row>
    <row r="465" customFormat="false" ht="13.5" hidden="false" customHeight="true" outlineLevel="0" collapsed="false">
      <c r="A465" s="221"/>
      <c r="B465" s="221"/>
      <c r="C465" s="221"/>
      <c r="D465" s="221"/>
      <c r="E465" s="221"/>
      <c r="F465" s="221"/>
      <c r="G465" s="221"/>
      <c r="H465" s="221"/>
      <c r="I465" s="221"/>
      <c r="J465" s="221"/>
      <c r="K465" s="221"/>
      <c r="L465" s="221"/>
      <c r="M465" s="221"/>
      <c r="N465" s="221"/>
      <c r="O465" s="221"/>
      <c r="P465" s="221"/>
      <c r="Q465" s="221"/>
      <c r="R465" s="221"/>
      <c r="S465" s="221"/>
      <c r="T465" s="221"/>
      <c r="U465" s="221"/>
      <c r="V465" s="221"/>
      <c r="W465" s="221"/>
      <c r="X465" s="221"/>
      <c r="Y465" s="221"/>
      <c r="Z465" s="221"/>
    </row>
    <row r="466" customFormat="false" ht="13.5" hidden="false" customHeight="true" outlineLevel="0" collapsed="false">
      <c r="A466" s="221"/>
      <c r="B466" s="221"/>
      <c r="C466" s="221"/>
      <c r="D466" s="221"/>
      <c r="E466" s="221"/>
      <c r="F466" s="221"/>
      <c r="G466" s="221"/>
      <c r="H466" s="221"/>
      <c r="I466" s="221"/>
      <c r="J466" s="221"/>
      <c r="K466" s="221"/>
      <c r="L466" s="221"/>
      <c r="M466" s="221"/>
      <c r="N466" s="221"/>
      <c r="O466" s="221"/>
      <c r="P466" s="221"/>
      <c r="Q466" s="221"/>
      <c r="R466" s="221"/>
      <c r="S466" s="221"/>
      <c r="T466" s="221"/>
      <c r="U466" s="221"/>
      <c r="V466" s="221"/>
      <c r="W466" s="221"/>
      <c r="X466" s="221"/>
      <c r="Y466" s="221"/>
      <c r="Z466" s="221"/>
    </row>
    <row r="467" customFormat="false" ht="13.5" hidden="false" customHeight="true" outlineLevel="0" collapsed="false">
      <c r="A467" s="221"/>
      <c r="B467" s="221"/>
      <c r="C467" s="221"/>
      <c r="D467" s="221"/>
      <c r="E467" s="221"/>
      <c r="F467" s="221"/>
      <c r="G467" s="221"/>
      <c r="H467" s="221"/>
      <c r="I467" s="221"/>
      <c r="J467" s="221"/>
      <c r="K467" s="221"/>
      <c r="L467" s="221"/>
      <c r="M467" s="221"/>
      <c r="N467" s="221"/>
      <c r="O467" s="221"/>
      <c r="P467" s="221"/>
      <c r="Q467" s="221"/>
      <c r="R467" s="221"/>
      <c r="S467" s="221"/>
      <c r="T467" s="221"/>
      <c r="U467" s="221"/>
      <c r="V467" s="221"/>
      <c r="W467" s="221"/>
      <c r="X467" s="221"/>
      <c r="Y467" s="221"/>
      <c r="Z467" s="221"/>
    </row>
    <row r="468" customFormat="false" ht="13.5" hidden="false" customHeight="true" outlineLevel="0" collapsed="false">
      <c r="A468" s="221"/>
      <c r="B468" s="221"/>
      <c r="C468" s="221"/>
      <c r="D468" s="221"/>
      <c r="E468" s="221"/>
      <c r="F468" s="221"/>
      <c r="G468" s="221"/>
      <c r="H468" s="221"/>
      <c r="I468" s="221"/>
      <c r="J468" s="221"/>
      <c r="K468" s="221"/>
      <c r="L468" s="221"/>
      <c r="M468" s="221"/>
      <c r="N468" s="221"/>
      <c r="O468" s="221"/>
      <c r="P468" s="221"/>
      <c r="Q468" s="221"/>
      <c r="R468" s="221"/>
      <c r="S468" s="221"/>
      <c r="T468" s="221"/>
      <c r="U468" s="221"/>
      <c r="V468" s="221"/>
      <c r="W468" s="221"/>
      <c r="X468" s="221"/>
      <c r="Y468" s="221"/>
      <c r="Z468" s="221"/>
    </row>
    <row r="469" customFormat="false" ht="13.5" hidden="false" customHeight="true" outlineLevel="0" collapsed="false">
      <c r="A469" s="221"/>
      <c r="B469" s="221"/>
      <c r="C469" s="221"/>
      <c r="D469" s="221"/>
      <c r="E469" s="221"/>
      <c r="F469" s="221"/>
      <c r="G469" s="221"/>
      <c r="H469" s="221"/>
      <c r="I469" s="221"/>
      <c r="J469" s="221"/>
      <c r="K469" s="221"/>
      <c r="L469" s="221"/>
      <c r="M469" s="221"/>
      <c r="N469" s="221"/>
      <c r="O469" s="221"/>
      <c r="P469" s="221"/>
      <c r="Q469" s="221"/>
      <c r="R469" s="221"/>
      <c r="S469" s="221"/>
      <c r="T469" s="221"/>
      <c r="U469" s="221"/>
      <c r="V469" s="221"/>
      <c r="W469" s="221"/>
      <c r="X469" s="221"/>
      <c r="Y469" s="221"/>
      <c r="Z469" s="221"/>
    </row>
    <row r="470" customFormat="false" ht="13.5" hidden="false" customHeight="true" outlineLevel="0" collapsed="false">
      <c r="A470" s="221"/>
      <c r="B470" s="221"/>
      <c r="C470" s="221"/>
      <c r="D470" s="221"/>
      <c r="E470" s="221"/>
      <c r="F470" s="221"/>
      <c r="G470" s="221"/>
      <c r="H470" s="221"/>
      <c r="I470" s="221"/>
      <c r="J470" s="221"/>
      <c r="K470" s="221"/>
      <c r="L470" s="221"/>
      <c r="M470" s="221"/>
      <c r="N470" s="221"/>
      <c r="O470" s="221"/>
      <c r="P470" s="221"/>
      <c r="Q470" s="221"/>
      <c r="R470" s="221"/>
      <c r="S470" s="221"/>
      <c r="T470" s="221"/>
      <c r="U470" s="221"/>
      <c r="V470" s="221"/>
      <c r="W470" s="221"/>
      <c r="X470" s="221"/>
      <c r="Y470" s="221"/>
      <c r="Z470" s="221"/>
    </row>
    <row r="471" customFormat="false" ht="13.5" hidden="false" customHeight="true" outlineLevel="0" collapsed="false">
      <c r="A471" s="221"/>
      <c r="B471" s="221"/>
      <c r="C471" s="221"/>
      <c r="D471" s="221"/>
      <c r="E471" s="221"/>
      <c r="F471" s="221"/>
      <c r="G471" s="221"/>
      <c r="H471" s="221"/>
      <c r="I471" s="221"/>
      <c r="J471" s="221"/>
      <c r="K471" s="221"/>
      <c r="L471" s="221"/>
      <c r="M471" s="221"/>
      <c r="N471" s="221"/>
      <c r="O471" s="221"/>
      <c r="P471" s="221"/>
      <c r="Q471" s="221"/>
      <c r="R471" s="221"/>
      <c r="S471" s="221"/>
      <c r="T471" s="221"/>
      <c r="U471" s="221"/>
      <c r="V471" s="221"/>
      <c r="W471" s="221"/>
      <c r="X471" s="221"/>
      <c r="Y471" s="221"/>
      <c r="Z471" s="221"/>
    </row>
    <row r="472" customFormat="false" ht="13.5" hidden="false" customHeight="true" outlineLevel="0" collapsed="false">
      <c r="A472" s="221"/>
      <c r="B472" s="221"/>
      <c r="C472" s="221"/>
      <c r="D472" s="221"/>
      <c r="E472" s="221"/>
      <c r="F472" s="221"/>
      <c r="G472" s="221"/>
      <c r="H472" s="221"/>
      <c r="I472" s="221"/>
      <c r="J472" s="221"/>
      <c r="K472" s="221"/>
      <c r="L472" s="221"/>
      <c r="M472" s="221"/>
      <c r="N472" s="221"/>
      <c r="O472" s="221"/>
      <c r="P472" s="221"/>
      <c r="Q472" s="221"/>
      <c r="R472" s="221"/>
      <c r="S472" s="221"/>
      <c r="T472" s="221"/>
      <c r="U472" s="221"/>
      <c r="V472" s="221"/>
      <c r="W472" s="221"/>
      <c r="X472" s="221"/>
      <c r="Y472" s="221"/>
      <c r="Z472" s="221"/>
    </row>
    <row r="473" customFormat="false" ht="13.5" hidden="false" customHeight="true" outlineLevel="0" collapsed="false">
      <c r="A473" s="221"/>
      <c r="B473" s="221"/>
      <c r="C473" s="221"/>
      <c r="D473" s="221"/>
      <c r="E473" s="221"/>
      <c r="F473" s="221"/>
      <c r="G473" s="221"/>
      <c r="H473" s="221"/>
      <c r="I473" s="221"/>
      <c r="J473" s="221"/>
      <c r="K473" s="221"/>
      <c r="L473" s="221"/>
      <c r="M473" s="221"/>
      <c r="N473" s="221"/>
      <c r="O473" s="221"/>
      <c r="P473" s="221"/>
      <c r="Q473" s="221"/>
      <c r="R473" s="221"/>
      <c r="S473" s="221"/>
      <c r="T473" s="221"/>
      <c r="U473" s="221"/>
      <c r="V473" s="221"/>
      <c r="W473" s="221"/>
      <c r="X473" s="221"/>
      <c r="Y473" s="221"/>
      <c r="Z473" s="221"/>
    </row>
    <row r="474" customFormat="false" ht="13.5" hidden="false" customHeight="true" outlineLevel="0" collapsed="false">
      <c r="A474" s="221"/>
      <c r="B474" s="221"/>
      <c r="C474" s="221"/>
      <c r="D474" s="221"/>
      <c r="E474" s="221"/>
      <c r="F474" s="221"/>
      <c r="G474" s="221"/>
      <c r="H474" s="221"/>
      <c r="I474" s="221"/>
      <c r="J474" s="221"/>
      <c r="K474" s="221"/>
      <c r="L474" s="221"/>
      <c r="M474" s="221"/>
      <c r="N474" s="221"/>
      <c r="O474" s="221"/>
      <c r="P474" s="221"/>
      <c r="Q474" s="221"/>
      <c r="R474" s="221"/>
      <c r="S474" s="221"/>
      <c r="T474" s="221"/>
      <c r="U474" s="221"/>
      <c r="V474" s="221"/>
      <c r="W474" s="221"/>
      <c r="X474" s="221"/>
      <c r="Y474" s="221"/>
      <c r="Z474" s="221"/>
    </row>
    <row r="475" customFormat="false" ht="13.5" hidden="false" customHeight="true" outlineLevel="0" collapsed="false">
      <c r="A475" s="221"/>
      <c r="B475" s="221"/>
      <c r="C475" s="221"/>
      <c r="D475" s="221"/>
      <c r="E475" s="221"/>
      <c r="F475" s="221"/>
      <c r="G475" s="221"/>
      <c r="H475" s="221"/>
      <c r="I475" s="221"/>
      <c r="J475" s="221"/>
      <c r="K475" s="221"/>
      <c r="L475" s="221"/>
      <c r="M475" s="221"/>
      <c r="N475" s="221"/>
      <c r="O475" s="221"/>
      <c r="P475" s="221"/>
      <c r="Q475" s="221"/>
      <c r="R475" s="221"/>
      <c r="S475" s="221"/>
      <c r="T475" s="221"/>
      <c r="U475" s="221"/>
      <c r="V475" s="221"/>
      <c r="W475" s="221"/>
      <c r="X475" s="221"/>
      <c r="Y475" s="221"/>
      <c r="Z475" s="221"/>
    </row>
    <row r="476" customFormat="false" ht="13.5" hidden="false" customHeight="true" outlineLevel="0" collapsed="false">
      <c r="A476" s="221"/>
      <c r="B476" s="221"/>
      <c r="C476" s="221"/>
      <c r="D476" s="221"/>
      <c r="E476" s="221"/>
      <c r="F476" s="221"/>
      <c r="G476" s="221"/>
      <c r="H476" s="221"/>
      <c r="I476" s="221"/>
      <c r="J476" s="221"/>
      <c r="K476" s="221"/>
      <c r="L476" s="221"/>
      <c r="M476" s="221"/>
      <c r="N476" s="221"/>
      <c r="O476" s="221"/>
      <c r="P476" s="221"/>
      <c r="Q476" s="221"/>
      <c r="R476" s="221"/>
      <c r="S476" s="221"/>
      <c r="T476" s="221"/>
      <c r="U476" s="221"/>
      <c r="V476" s="221"/>
      <c r="W476" s="221"/>
      <c r="X476" s="221"/>
      <c r="Y476" s="221"/>
      <c r="Z476" s="221"/>
    </row>
    <row r="477" customFormat="false" ht="13.5" hidden="false" customHeight="true" outlineLevel="0" collapsed="false">
      <c r="A477" s="221"/>
      <c r="B477" s="221"/>
      <c r="C477" s="221"/>
      <c r="D477" s="221"/>
      <c r="E477" s="221"/>
      <c r="F477" s="221"/>
      <c r="G477" s="221"/>
      <c r="H477" s="221"/>
      <c r="I477" s="221"/>
      <c r="J477" s="221"/>
      <c r="K477" s="221"/>
      <c r="L477" s="221"/>
      <c r="M477" s="221"/>
      <c r="N477" s="221"/>
      <c r="O477" s="221"/>
      <c r="P477" s="221"/>
      <c r="Q477" s="221"/>
      <c r="R477" s="221"/>
      <c r="S477" s="221"/>
      <c r="T477" s="221"/>
      <c r="U477" s="221"/>
      <c r="V477" s="221"/>
      <c r="W477" s="221"/>
      <c r="X477" s="221"/>
      <c r="Y477" s="221"/>
      <c r="Z477" s="221"/>
    </row>
    <row r="478" customFormat="false" ht="13.5" hidden="false" customHeight="true" outlineLevel="0" collapsed="false">
      <c r="A478" s="221"/>
      <c r="B478" s="221"/>
      <c r="C478" s="221"/>
      <c r="D478" s="221"/>
      <c r="E478" s="221"/>
      <c r="F478" s="221"/>
      <c r="G478" s="221"/>
      <c r="H478" s="221"/>
      <c r="I478" s="221"/>
      <c r="J478" s="221"/>
      <c r="K478" s="221"/>
      <c r="L478" s="221"/>
      <c r="M478" s="221"/>
      <c r="N478" s="221"/>
      <c r="O478" s="221"/>
      <c r="P478" s="221"/>
      <c r="Q478" s="221"/>
      <c r="R478" s="221"/>
      <c r="S478" s="221"/>
      <c r="T478" s="221"/>
      <c r="U478" s="221"/>
      <c r="V478" s="221"/>
      <c r="W478" s="221"/>
      <c r="X478" s="221"/>
      <c r="Y478" s="221"/>
      <c r="Z478" s="221"/>
    </row>
    <row r="479" customFormat="false" ht="13.5" hidden="false" customHeight="true" outlineLevel="0" collapsed="false">
      <c r="A479" s="221"/>
      <c r="B479" s="221"/>
      <c r="C479" s="221"/>
      <c r="D479" s="221"/>
      <c r="E479" s="221"/>
      <c r="F479" s="221"/>
      <c r="G479" s="221"/>
      <c r="H479" s="221"/>
      <c r="I479" s="221"/>
      <c r="J479" s="221"/>
      <c r="K479" s="221"/>
      <c r="L479" s="221"/>
      <c r="M479" s="221"/>
      <c r="N479" s="221"/>
      <c r="O479" s="221"/>
      <c r="P479" s="221"/>
      <c r="Q479" s="221"/>
      <c r="R479" s="221"/>
      <c r="S479" s="221"/>
      <c r="T479" s="221"/>
      <c r="U479" s="221"/>
      <c r="V479" s="221"/>
      <c r="W479" s="221"/>
      <c r="X479" s="221"/>
      <c r="Y479" s="221"/>
      <c r="Z479" s="221"/>
    </row>
    <row r="480" customFormat="false" ht="13.5" hidden="false" customHeight="true" outlineLevel="0" collapsed="false">
      <c r="A480" s="221"/>
      <c r="B480" s="221"/>
      <c r="C480" s="221"/>
      <c r="D480" s="221"/>
      <c r="E480" s="221"/>
      <c r="F480" s="221"/>
      <c r="G480" s="221"/>
      <c r="H480" s="221"/>
      <c r="I480" s="221"/>
      <c r="J480" s="221"/>
      <c r="K480" s="221"/>
      <c r="L480" s="221"/>
      <c r="M480" s="221"/>
      <c r="N480" s="221"/>
      <c r="O480" s="221"/>
      <c r="P480" s="221"/>
      <c r="Q480" s="221"/>
      <c r="R480" s="221"/>
      <c r="S480" s="221"/>
      <c r="T480" s="221"/>
      <c r="U480" s="221"/>
      <c r="V480" s="221"/>
      <c r="W480" s="221"/>
      <c r="X480" s="221"/>
      <c r="Y480" s="221"/>
      <c r="Z480" s="221"/>
    </row>
    <row r="481" customFormat="false" ht="13.5" hidden="false" customHeight="true" outlineLevel="0" collapsed="false">
      <c r="A481" s="221"/>
      <c r="B481" s="221"/>
      <c r="C481" s="221"/>
      <c r="D481" s="221"/>
      <c r="E481" s="221"/>
      <c r="F481" s="221"/>
      <c r="G481" s="221"/>
      <c r="H481" s="221"/>
      <c r="I481" s="221"/>
      <c r="J481" s="221"/>
      <c r="K481" s="221"/>
      <c r="L481" s="221"/>
      <c r="M481" s="221"/>
      <c r="N481" s="221"/>
      <c r="O481" s="221"/>
      <c r="P481" s="221"/>
      <c r="Q481" s="221"/>
      <c r="R481" s="221"/>
      <c r="S481" s="221"/>
      <c r="T481" s="221"/>
      <c r="U481" s="221"/>
      <c r="V481" s="221"/>
      <c r="W481" s="221"/>
      <c r="X481" s="221"/>
      <c r="Y481" s="221"/>
      <c r="Z481" s="221"/>
    </row>
    <row r="482" customFormat="false" ht="13.5" hidden="false" customHeight="true" outlineLevel="0" collapsed="false">
      <c r="A482" s="221"/>
      <c r="B482" s="221"/>
      <c r="C482" s="221"/>
      <c r="D482" s="221"/>
      <c r="E482" s="221"/>
      <c r="F482" s="221"/>
      <c r="G482" s="221"/>
      <c r="H482" s="221"/>
      <c r="I482" s="221"/>
      <c r="J482" s="221"/>
      <c r="K482" s="221"/>
      <c r="L482" s="221"/>
      <c r="M482" s="221"/>
      <c r="N482" s="221"/>
      <c r="O482" s="221"/>
      <c r="P482" s="221"/>
      <c r="Q482" s="221"/>
      <c r="R482" s="221"/>
      <c r="S482" s="221"/>
      <c r="T482" s="221"/>
      <c r="U482" s="221"/>
      <c r="V482" s="221"/>
      <c r="W482" s="221"/>
      <c r="X482" s="221"/>
      <c r="Y482" s="221"/>
      <c r="Z482" s="221"/>
    </row>
    <row r="483" customFormat="false" ht="13.5" hidden="false" customHeight="true" outlineLevel="0" collapsed="false">
      <c r="A483" s="221"/>
      <c r="B483" s="221"/>
      <c r="C483" s="221"/>
      <c r="D483" s="221"/>
      <c r="E483" s="221"/>
      <c r="F483" s="221"/>
      <c r="G483" s="221"/>
      <c r="H483" s="221"/>
      <c r="I483" s="221"/>
      <c r="J483" s="221"/>
      <c r="K483" s="221"/>
      <c r="L483" s="221"/>
      <c r="M483" s="221"/>
      <c r="N483" s="221"/>
      <c r="O483" s="221"/>
      <c r="P483" s="221"/>
      <c r="Q483" s="221"/>
      <c r="R483" s="221"/>
      <c r="S483" s="221"/>
      <c r="T483" s="221"/>
      <c r="U483" s="221"/>
      <c r="V483" s="221"/>
      <c r="W483" s="221"/>
      <c r="X483" s="221"/>
      <c r="Y483" s="221"/>
      <c r="Z483" s="221"/>
    </row>
    <row r="484" customFormat="false" ht="13.5" hidden="false" customHeight="true" outlineLevel="0" collapsed="false">
      <c r="A484" s="221"/>
      <c r="B484" s="221"/>
      <c r="C484" s="221"/>
      <c r="D484" s="221"/>
      <c r="E484" s="221"/>
      <c r="F484" s="221"/>
      <c r="G484" s="221"/>
      <c r="H484" s="221"/>
      <c r="I484" s="221"/>
      <c r="J484" s="221"/>
      <c r="K484" s="221"/>
      <c r="L484" s="221"/>
      <c r="M484" s="221"/>
      <c r="N484" s="221"/>
      <c r="O484" s="221"/>
      <c r="P484" s="221"/>
      <c r="Q484" s="221"/>
      <c r="R484" s="221"/>
      <c r="S484" s="221"/>
      <c r="T484" s="221"/>
      <c r="U484" s="221"/>
      <c r="V484" s="221"/>
      <c r="W484" s="221"/>
      <c r="X484" s="221"/>
      <c r="Y484" s="221"/>
      <c r="Z484" s="221"/>
    </row>
    <row r="485" customFormat="false" ht="13.5" hidden="false" customHeight="true" outlineLevel="0" collapsed="false">
      <c r="A485" s="221"/>
      <c r="B485" s="221"/>
      <c r="C485" s="221"/>
      <c r="D485" s="221"/>
      <c r="E485" s="221"/>
      <c r="F485" s="221"/>
      <c r="G485" s="221"/>
      <c r="H485" s="221"/>
      <c r="I485" s="221"/>
      <c r="J485" s="221"/>
      <c r="K485" s="221"/>
      <c r="L485" s="221"/>
      <c r="M485" s="221"/>
      <c r="N485" s="221"/>
      <c r="O485" s="221"/>
      <c r="P485" s="221"/>
      <c r="Q485" s="221"/>
      <c r="R485" s="221"/>
      <c r="S485" s="221"/>
      <c r="T485" s="221"/>
      <c r="U485" s="221"/>
      <c r="V485" s="221"/>
      <c r="W485" s="221"/>
      <c r="X485" s="221"/>
      <c r="Y485" s="221"/>
      <c r="Z485" s="221"/>
    </row>
    <row r="486" customFormat="false" ht="13.5" hidden="false" customHeight="true" outlineLevel="0" collapsed="false">
      <c r="A486" s="221"/>
      <c r="B486" s="221"/>
      <c r="C486" s="221"/>
      <c r="D486" s="221"/>
      <c r="E486" s="221"/>
      <c r="F486" s="221"/>
      <c r="G486" s="221"/>
      <c r="H486" s="221"/>
      <c r="I486" s="221"/>
      <c r="J486" s="221"/>
      <c r="K486" s="221"/>
      <c r="L486" s="221"/>
      <c r="M486" s="221"/>
      <c r="N486" s="221"/>
      <c r="O486" s="221"/>
      <c r="P486" s="221"/>
      <c r="Q486" s="221"/>
      <c r="R486" s="221"/>
      <c r="S486" s="221"/>
      <c r="T486" s="221"/>
      <c r="U486" s="221"/>
      <c r="V486" s="221"/>
      <c r="W486" s="221"/>
      <c r="X486" s="221"/>
      <c r="Y486" s="221"/>
      <c r="Z486" s="221"/>
    </row>
    <row r="487" customFormat="false" ht="13.5" hidden="false" customHeight="true" outlineLevel="0" collapsed="false">
      <c r="A487" s="221"/>
      <c r="B487" s="221"/>
      <c r="C487" s="221"/>
      <c r="D487" s="221"/>
      <c r="E487" s="221"/>
      <c r="F487" s="221"/>
      <c r="G487" s="221"/>
      <c r="H487" s="221"/>
      <c r="I487" s="221"/>
      <c r="J487" s="221"/>
      <c r="K487" s="221"/>
      <c r="L487" s="221"/>
      <c r="M487" s="221"/>
      <c r="N487" s="221"/>
      <c r="O487" s="221"/>
      <c r="P487" s="221"/>
      <c r="Q487" s="221"/>
      <c r="R487" s="221"/>
      <c r="S487" s="221"/>
      <c r="T487" s="221"/>
      <c r="U487" s="221"/>
      <c r="V487" s="221"/>
      <c r="W487" s="221"/>
      <c r="X487" s="221"/>
      <c r="Y487" s="221"/>
      <c r="Z487" s="221"/>
    </row>
    <row r="488" customFormat="false" ht="13.5" hidden="false" customHeight="true" outlineLevel="0" collapsed="false">
      <c r="A488" s="221"/>
      <c r="B488" s="221"/>
      <c r="C488" s="221"/>
      <c r="D488" s="221"/>
      <c r="E488" s="221"/>
      <c r="F488" s="221"/>
      <c r="G488" s="221"/>
      <c r="H488" s="221"/>
      <c r="I488" s="221"/>
      <c r="J488" s="221"/>
      <c r="K488" s="221"/>
      <c r="L488" s="221"/>
      <c r="M488" s="221"/>
      <c r="N488" s="221"/>
      <c r="O488" s="221"/>
      <c r="P488" s="221"/>
      <c r="Q488" s="221"/>
      <c r="R488" s="221"/>
      <c r="S488" s="221"/>
      <c r="T488" s="221"/>
      <c r="U488" s="221"/>
      <c r="V488" s="221"/>
      <c r="W488" s="221"/>
      <c r="X488" s="221"/>
      <c r="Y488" s="221"/>
      <c r="Z488" s="221"/>
    </row>
    <row r="489" customFormat="false" ht="13.5" hidden="false" customHeight="true" outlineLevel="0" collapsed="false">
      <c r="A489" s="221"/>
      <c r="B489" s="221"/>
      <c r="C489" s="221"/>
      <c r="D489" s="221"/>
      <c r="E489" s="221"/>
      <c r="F489" s="221"/>
      <c r="G489" s="221"/>
      <c r="H489" s="221"/>
      <c r="I489" s="221"/>
      <c r="J489" s="221"/>
      <c r="K489" s="221"/>
      <c r="L489" s="221"/>
      <c r="M489" s="221"/>
      <c r="N489" s="221"/>
      <c r="O489" s="221"/>
      <c r="P489" s="221"/>
      <c r="Q489" s="221"/>
      <c r="R489" s="221"/>
      <c r="S489" s="221"/>
      <c r="T489" s="221"/>
      <c r="U489" s="221"/>
      <c r="V489" s="221"/>
      <c r="W489" s="221"/>
      <c r="X489" s="221"/>
      <c r="Y489" s="221"/>
      <c r="Z489" s="221"/>
    </row>
    <row r="490" customFormat="false" ht="13.5" hidden="false" customHeight="true" outlineLevel="0" collapsed="false">
      <c r="A490" s="221"/>
      <c r="B490" s="221"/>
      <c r="C490" s="221"/>
      <c r="D490" s="221"/>
      <c r="E490" s="221"/>
      <c r="F490" s="221"/>
      <c r="G490" s="221"/>
      <c r="H490" s="221"/>
      <c r="I490" s="221"/>
      <c r="J490" s="221"/>
      <c r="K490" s="221"/>
      <c r="L490" s="221"/>
      <c r="M490" s="221"/>
      <c r="N490" s="221"/>
      <c r="O490" s="221"/>
      <c r="P490" s="221"/>
      <c r="Q490" s="221"/>
      <c r="R490" s="221"/>
      <c r="S490" s="221"/>
      <c r="T490" s="221"/>
      <c r="U490" s="221"/>
      <c r="V490" s="221"/>
      <c r="W490" s="221"/>
      <c r="X490" s="221"/>
      <c r="Y490" s="221"/>
      <c r="Z490" s="221"/>
    </row>
    <row r="491" customFormat="false" ht="13.5" hidden="false" customHeight="true" outlineLevel="0" collapsed="false">
      <c r="A491" s="221"/>
      <c r="B491" s="221"/>
      <c r="C491" s="221"/>
      <c r="D491" s="221"/>
      <c r="E491" s="221"/>
      <c r="F491" s="221"/>
      <c r="G491" s="221"/>
      <c r="H491" s="221"/>
      <c r="I491" s="221"/>
      <c r="J491" s="221"/>
      <c r="K491" s="221"/>
      <c r="L491" s="221"/>
      <c r="M491" s="221"/>
      <c r="N491" s="221"/>
      <c r="O491" s="221"/>
      <c r="P491" s="221"/>
      <c r="Q491" s="221"/>
      <c r="R491" s="221"/>
      <c r="S491" s="221"/>
      <c r="T491" s="221"/>
      <c r="U491" s="221"/>
      <c r="V491" s="221"/>
      <c r="W491" s="221"/>
      <c r="X491" s="221"/>
      <c r="Y491" s="221"/>
      <c r="Z491" s="221"/>
    </row>
    <row r="492" customFormat="false" ht="13.5" hidden="false" customHeight="true" outlineLevel="0" collapsed="false">
      <c r="A492" s="221"/>
      <c r="B492" s="221"/>
      <c r="C492" s="221"/>
      <c r="D492" s="221"/>
      <c r="E492" s="221"/>
      <c r="F492" s="221"/>
      <c r="G492" s="221"/>
      <c r="H492" s="221"/>
      <c r="I492" s="221"/>
      <c r="J492" s="221"/>
      <c r="K492" s="221"/>
      <c r="L492" s="221"/>
      <c r="M492" s="221"/>
      <c r="N492" s="221"/>
      <c r="O492" s="221"/>
      <c r="P492" s="221"/>
      <c r="Q492" s="221"/>
      <c r="R492" s="221"/>
      <c r="S492" s="221"/>
      <c r="T492" s="221"/>
      <c r="U492" s="221"/>
      <c r="V492" s="221"/>
      <c r="W492" s="221"/>
      <c r="X492" s="221"/>
      <c r="Y492" s="221"/>
      <c r="Z492" s="221"/>
    </row>
    <row r="493" customFormat="false" ht="13.5" hidden="false" customHeight="true" outlineLevel="0" collapsed="false">
      <c r="A493" s="221"/>
      <c r="B493" s="221"/>
      <c r="C493" s="221"/>
      <c r="D493" s="221"/>
      <c r="E493" s="221"/>
      <c r="F493" s="221"/>
      <c r="G493" s="221"/>
      <c r="H493" s="221"/>
      <c r="I493" s="221"/>
      <c r="J493" s="221"/>
      <c r="K493" s="221"/>
      <c r="L493" s="221"/>
      <c r="M493" s="221"/>
      <c r="N493" s="221"/>
      <c r="O493" s="221"/>
      <c r="P493" s="221"/>
      <c r="Q493" s="221"/>
      <c r="R493" s="221"/>
      <c r="S493" s="221"/>
      <c r="T493" s="221"/>
      <c r="U493" s="221"/>
      <c r="V493" s="221"/>
      <c r="W493" s="221"/>
      <c r="X493" s="221"/>
      <c r="Y493" s="221"/>
      <c r="Z493" s="221"/>
    </row>
    <row r="494" customFormat="false" ht="13.5" hidden="false" customHeight="true" outlineLevel="0" collapsed="false">
      <c r="A494" s="221"/>
      <c r="B494" s="221"/>
      <c r="C494" s="221"/>
      <c r="D494" s="221"/>
      <c r="E494" s="221"/>
      <c r="F494" s="221"/>
      <c r="G494" s="221"/>
      <c r="H494" s="221"/>
      <c r="I494" s="221"/>
      <c r="J494" s="221"/>
      <c r="K494" s="221"/>
      <c r="L494" s="221"/>
      <c r="M494" s="221"/>
      <c r="N494" s="221"/>
      <c r="O494" s="221"/>
      <c r="P494" s="221"/>
      <c r="Q494" s="221"/>
      <c r="R494" s="221"/>
      <c r="S494" s="221"/>
      <c r="T494" s="221"/>
      <c r="U494" s="221"/>
      <c r="V494" s="221"/>
      <c r="W494" s="221"/>
      <c r="X494" s="221"/>
      <c r="Y494" s="221"/>
      <c r="Z494" s="221"/>
    </row>
    <row r="495" customFormat="false" ht="13.5" hidden="false" customHeight="true" outlineLevel="0" collapsed="false">
      <c r="A495" s="221"/>
      <c r="B495" s="221"/>
      <c r="C495" s="221"/>
      <c r="D495" s="221"/>
      <c r="E495" s="221"/>
      <c r="F495" s="221"/>
      <c r="G495" s="221"/>
      <c r="H495" s="221"/>
      <c r="I495" s="221"/>
      <c r="J495" s="221"/>
      <c r="K495" s="221"/>
      <c r="L495" s="221"/>
      <c r="M495" s="221"/>
      <c r="N495" s="221"/>
      <c r="O495" s="221"/>
      <c r="P495" s="221"/>
      <c r="Q495" s="221"/>
      <c r="R495" s="221"/>
      <c r="S495" s="221"/>
      <c r="T495" s="221"/>
      <c r="U495" s="221"/>
      <c r="V495" s="221"/>
      <c r="W495" s="221"/>
      <c r="X495" s="221"/>
      <c r="Y495" s="221"/>
      <c r="Z495" s="221"/>
    </row>
    <row r="496" customFormat="false" ht="13.5" hidden="false" customHeight="true" outlineLevel="0" collapsed="false">
      <c r="A496" s="221"/>
      <c r="B496" s="221"/>
      <c r="C496" s="221"/>
      <c r="D496" s="221"/>
      <c r="E496" s="221"/>
      <c r="F496" s="221"/>
      <c r="G496" s="221"/>
      <c r="H496" s="221"/>
      <c r="I496" s="221"/>
      <c r="J496" s="221"/>
      <c r="K496" s="221"/>
      <c r="L496" s="221"/>
      <c r="M496" s="221"/>
      <c r="N496" s="221"/>
      <c r="O496" s="221"/>
      <c r="P496" s="221"/>
      <c r="Q496" s="221"/>
      <c r="R496" s="221"/>
      <c r="S496" s="221"/>
      <c r="T496" s="221"/>
      <c r="U496" s="221"/>
      <c r="V496" s="221"/>
      <c r="W496" s="221"/>
      <c r="X496" s="221"/>
      <c r="Y496" s="221"/>
      <c r="Z496" s="221"/>
    </row>
    <row r="497" customFormat="false" ht="13.5" hidden="false" customHeight="true" outlineLevel="0" collapsed="false">
      <c r="A497" s="221"/>
      <c r="B497" s="221"/>
      <c r="C497" s="221"/>
      <c r="D497" s="221"/>
      <c r="E497" s="221"/>
      <c r="F497" s="221"/>
      <c r="G497" s="221"/>
      <c r="H497" s="221"/>
      <c r="I497" s="221"/>
      <c r="J497" s="221"/>
      <c r="K497" s="221"/>
      <c r="L497" s="221"/>
      <c r="M497" s="221"/>
      <c r="N497" s="221"/>
      <c r="O497" s="221"/>
      <c r="P497" s="221"/>
      <c r="Q497" s="221"/>
      <c r="R497" s="221"/>
      <c r="S497" s="221"/>
      <c r="T497" s="221"/>
      <c r="U497" s="221"/>
      <c r="V497" s="221"/>
      <c r="W497" s="221"/>
      <c r="X497" s="221"/>
      <c r="Y497" s="221"/>
      <c r="Z497" s="221"/>
    </row>
    <row r="498" customFormat="false" ht="13.5" hidden="false" customHeight="true" outlineLevel="0" collapsed="false">
      <c r="A498" s="221"/>
      <c r="B498" s="221"/>
      <c r="C498" s="221"/>
      <c r="D498" s="221"/>
      <c r="E498" s="221"/>
      <c r="F498" s="221"/>
      <c r="G498" s="221"/>
      <c r="H498" s="221"/>
      <c r="I498" s="221"/>
      <c r="J498" s="221"/>
      <c r="K498" s="221"/>
      <c r="L498" s="221"/>
      <c r="M498" s="221"/>
      <c r="N498" s="221"/>
      <c r="O498" s="221"/>
      <c r="P498" s="221"/>
      <c r="Q498" s="221"/>
      <c r="R498" s="221"/>
      <c r="S498" s="221"/>
      <c r="T498" s="221"/>
      <c r="U498" s="221"/>
      <c r="V498" s="221"/>
      <c r="W498" s="221"/>
      <c r="X498" s="221"/>
      <c r="Y498" s="221"/>
      <c r="Z498" s="221"/>
    </row>
    <row r="499" customFormat="false" ht="13.5" hidden="false" customHeight="true" outlineLevel="0" collapsed="false">
      <c r="A499" s="221"/>
      <c r="B499" s="221"/>
      <c r="C499" s="221"/>
      <c r="D499" s="221"/>
      <c r="E499" s="221"/>
      <c r="F499" s="221"/>
      <c r="G499" s="221"/>
      <c r="H499" s="221"/>
      <c r="I499" s="221"/>
      <c r="J499" s="221"/>
      <c r="K499" s="221"/>
      <c r="L499" s="221"/>
      <c r="M499" s="221"/>
      <c r="N499" s="221"/>
      <c r="O499" s="221"/>
      <c r="P499" s="221"/>
      <c r="Q499" s="221"/>
      <c r="R499" s="221"/>
      <c r="S499" s="221"/>
      <c r="T499" s="221"/>
      <c r="U499" s="221"/>
      <c r="V499" s="221"/>
      <c r="W499" s="221"/>
      <c r="X499" s="221"/>
      <c r="Y499" s="221"/>
      <c r="Z499" s="221"/>
    </row>
    <row r="500" customFormat="false" ht="13.5" hidden="false" customHeight="true" outlineLevel="0" collapsed="false">
      <c r="A500" s="221"/>
      <c r="B500" s="221"/>
      <c r="C500" s="221"/>
      <c r="D500" s="221"/>
      <c r="E500" s="221"/>
      <c r="F500" s="221"/>
      <c r="G500" s="221"/>
      <c r="H500" s="221"/>
      <c r="I500" s="221"/>
      <c r="J500" s="221"/>
      <c r="K500" s="221"/>
      <c r="L500" s="221"/>
      <c r="M500" s="221"/>
      <c r="N500" s="221"/>
      <c r="O500" s="221"/>
      <c r="P500" s="221"/>
      <c r="Q500" s="221"/>
      <c r="R500" s="221"/>
      <c r="S500" s="221"/>
      <c r="T500" s="221"/>
      <c r="U500" s="221"/>
      <c r="V500" s="221"/>
      <c r="W500" s="221"/>
      <c r="X500" s="221"/>
      <c r="Y500" s="221"/>
      <c r="Z500" s="221"/>
    </row>
    <row r="501" customFormat="false" ht="13.5" hidden="false" customHeight="true" outlineLevel="0" collapsed="false">
      <c r="A501" s="221"/>
      <c r="B501" s="221"/>
      <c r="C501" s="221"/>
      <c r="D501" s="221"/>
      <c r="E501" s="221"/>
      <c r="F501" s="221"/>
      <c r="G501" s="221"/>
      <c r="H501" s="221"/>
      <c r="I501" s="221"/>
      <c r="J501" s="221"/>
      <c r="K501" s="221"/>
      <c r="L501" s="221"/>
      <c r="M501" s="221"/>
      <c r="N501" s="221"/>
      <c r="O501" s="221"/>
      <c r="P501" s="221"/>
      <c r="Q501" s="221"/>
      <c r="R501" s="221"/>
      <c r="S501" s="221"/>
      <c r="T501" s="221"/>
      <c r="U501" s="221"/>
      <c r="V501" s="221"/>
      <c r="W501" s="221"/>
      <c r="X501" s="221"/>
      <c r="Y501" s="221"/>
      <c r="Z501" s="221"/>
    </row>
    <row r="502" customFormat="false" ht="13.5" hidden="false" customHeight="true" outlineLevel="0" collapsed="false">
      <c r="A502" s="221"/>
      <c r="B502" s="221"/>
      <c r="C502" s="221"/>
      <c r="D502" s="221"/>
      <c r="E502" s="221"/>
      <c r="F502" s="221"/>
      <c r="G502" s="221"/>
      <c r="H502" s="221"/>
      <c r="I502" s="221"/>
      <c r="J502" s="221"/>
      <c r="K502" s="221"/>
      <c r="L502" s="221"/>
      <c r="M502" s="221"/>
      <c r="N502" s="221"/>
      <c r="O502" s="221"/>
      <c r="P502" s="221"/>
      <c r="Q502" s="221"/>
      <c r="R502" s="221"/>
      <c r="S502" s="221"/>
      <c r="T502" s="221"/>
      <c r="U502" s="221"/>
      <c r="V502" s="221"/>
      <c r="W502" s="221"/>
      <c r="X502" s="221"/>
      <c r="Y502" s="221"/>
      <c r="Z502" s="221"/>
    </row>
    <row r="503" customFormat="false" ht="13.5" hidden="false" customHeight="true" outlineLevel="0" collapsed="false">
      <c r="A503" s="221"/>
      <c r="B503" s="221"/>
      <c r="C503" s="221"/>
      <c r="D503" s="221"/>
      <c r="E503" s="221"/>
      <c r="F503" s="221"/>
      <c r="G503" s="221"/>
      <c r="H503" s="221"/>
      <c r="I503" s="221"/>
      <c r="J503" s="221"/>
      <c r="K503" s="221"/>
      <c r="L503" s="221"/>
      <c r="M503" s="221"/>
      <c r="N503" s="221"/>
      <c r="O503" s="221"/>
      <c r="P503" s="221"/>
      <c r="Q503" s="221"/>
      <c r="R503" s="221"/>
      <c r="S503" s="221"/>
      <c r="T503" s="221"/>
      <c r="U503" s="221"/>
      <c r="V503" s="221"/>
      <c r="W503" s="221"/>
      <c r="X503" s="221"/>
      <c r="Y503" s="221"/>
      <c r="Z503" s="221"/>
    </row>
    <row r="504" customFormat="false" ht="13.5" hidden="false" customHeight="true" outlineLevel="0" collapsed="false">
      <c r="A504" s="221"/>
      <c r="B504" s="221"/>
      <c r="C504" s="221"/>
      <c r="D504" s="221"/>
      <c r="E504" s="221"/>
      <c r="F504" s="221"/>
      <c r="G504" s="221"/>
      <c r="H504" s="221"/>
      <c r="I504" s="221"/>
      <c r="J504" s="221"/>
      <c r="K504" s="221"/>
      <c r="L504" s="221"/>
      <c r="M504" s="221"/>
      <c r="N504" s="221"/>
      <c r="O504" s="221"/>
      <c r="P504" s="221"/>
      <c r="Q504" s="221"/>
      <c r="R504" s="221"/>
      <c r="S504" s="221"/>
      <c r="T504" s="221"/>
      <c r="U504" s="221"/>
      <c r="V504" s="221"/>
      <c r="W504" s="221"/>
      <c r="X504" s="221"/>
      <c r="Y504" s="221"/>
      <c r="Z504" s="221"/>
    </row>
    <row r="505" customFormat="false" ht="13.5" hidden="false" customHeight="true" outlineLevel="0" collapsed="false">
      <c r="A505" s="221"/>
      <c r="B505" s="221"/>
      <c r="C505" s="221"/>
      <c r="D505" s="221"/>
      <c r="E505" s="221"/>
      <c r="F505" s="221"/>
      <c r="G505" s="221"/>
      <c r="H505" s="221"/>
      <c r="I505" s="221"/>
      <c r="J505" s="221"/>
      <c r="K505" s="221"/>
      <c r="L505" s="221"/>
      <c r="M505" s="221"/>
      <c r="N505" s="221"/>
      <c r="O505" s="221"/>
      <c r="P505" s="221"/>
      <c r="Q505" s="221"/>
      <c r="R505" s="221"/>
      <c r="S505" s="221"/>
      <c r="T505" s="221"/>
      <c r="U505" s="221"/>
      <c r="V505" s="221"/>
      <c r="W505" s="221"/>
      <c r="X505" s="221"/>
      <c r="Y505" s="221"/>
      <c r="Z505" s="221"/>
    </row>
    <row r="506" customFormat="false" ht="13.5" hidden="false" customHeight="true" outlineLevel="0" collapsed="false">
      <c r="A506" s="221"/>
      <c r="B506" s="221"/>
      <c r="C506" s="221"/>
      <c r="D506" s="221"/>
      <c r="E506" s="221"/>
      <c r="F506" s="221"/>
      <c r="G506" s="221"/>
      <c r="H506" s="221"/>
      <c r="I506" s="221"/>
      <c r="J506" s="221"/>
      <c r="K506" s="221"/>
      <c r="L506" s="221"/>
      <c r="M506" s="221"/>
      <c r="N506" s="221"/>
      <c r="O506" s="221"/>
      <c r="P506" s="221"/>
      <c r="Q506" s="221"/>
      <c r="R506" s="221"/>
      <c r="S506" s="221"/>
      <c r="T506" s="221"/>
      <c r="U506" s="221"/>
      <c r="V506" s="221"/>
      <c r="W506" s="221"/>
      <c r="X506" s="221"/>
      <c r="Y506" s="221"/>
      <c r="Z506" s="221"/>
    </row>
    <row r="507" customFormat="false" ht="13.5" hidden="false" customHeight="true" outlineLevel="0" collapsed="false">
      <c r="A507" s="221"/>
      <c r="B507" s="221"/>
      <c r="C507" s="221"/>
      <c r="D507" s="221"/>
      <c r="E507" s="221"/>
      <c r="F507" s="221"/>
      <c r="G507" s="221"/>
      <c r="H507" s="221"/>
      <c r="I507" s="221"/>
      <c r="J507" s="221"/>
      <c r="K507" s="221"/>
      <c r="L507" s="221"/>
      <c r="M507" s="221"/>
      <c r="N507" s="221"/>
      <c r="O507" s="221"/>
      <c r="P507" s="221"/>
      <c r="Q507" s="221"/>
      <c r="R507" s="221"/>
      <c r="S507" s="221"/>
      <c r="T507" s="221"/>
      <c r="U507" s="221"/>
      <c r="V507" s="221"/>
      <c r="W507" s="221"/>
      <c r="X507" s="221"/>
      <c r="Y507" s="221"/>
      <c r="Z507" s="221"/>
    </row>
    <row r="508" customFormat="false" ht="13.5" hidden="false" customHeight="true" outlineLevel="0" collapsed="false">
      <c r="A508" s="221"/>
      <c r="B508" s="221"/>
      <c r="C508" s="221"/>
      <c r="D508" s="221"/>
      <c r="E508" s="221"/>
      <c r="F508" s="221"/>
      <c r="G508" s="221"/>
      <c r="H508" s="221"/>
      <c r="I508" s="221"/>
      <c r="J508" s="221"/>
      <c r="K508" s="221"/>
      <c r="L508" s="221"/>
      <c r="M508" s="221"/>
      <c r="N508" s="221"/>
      <c r="O508" s="221"/>
      <c r="P508" s="221"/>
      <c r="Q508" s="221"/>
      <c r="R508" s="221"/>
      <c r="S508" s="221"/>
      <c r="T508" s="221"/>
      <c r="U508" s="221"/>
      <c r="V508" s="221"/>
      <c r="W508" s="221"/>
      <c r="X508" s="221"/>
      <c r="Y508" s="221"/>
      <c r="Z508" s="221"/>
    </row>
    <row r="509" customFormat="false" ht="13.5" hidden="false" customHeight="true" outlineLevel="0" collapsed="false">
      <c r="A509" s="221"/>
      <c r="B509" s="221"/>
      <c r="C509" s="221"/>
      <c r="D509" s="221"/>
      <c r="E509" s="221"/>
      <c r="F509" s="221"/>
      <c r="G509" s="221"/>
      <c r="H509" s="221"/>
      <c r="I509" s="221"/>
      <c r="J509" s="221"/>
      <c r="K509" s="221"/>
      <c r="L509" s="221"/>
      <c r="M509" s="221"/>
      <c r="N509" s="221"/>
      <c r="O509" s="221"/>
      <c r="P509" s="221"/>
      <c r="Q509" s="221"/>
      <c r="R509" s="221"/>
      <c r="S509" s="221"/>
      <c r="T509" s="221"/>
      <c r="U509" s="221"/>
      <c r="V509" s="221"/>
      <c r="W509" s="221"/>
      <c r="X509" s="221"/>
      <c r="Y509" s="221"/>
      <c r="Z509" s="221"/>
    </row>
    <row r="510" customFormat="false" ht="13.5" hidden="false" customHeight="true" outlineLevel="0" collapsed="false">
      <c r="A510" s="221"/>
      <c r="B510" s="221"/>
      <c r="C510" s="221"/>
      <c r="D510" s="221"/>
      <c r="E510" s="221"/>
      <c r="F510" s="221"/>
      <c r="G510" s="221"/>
      <c r="H510" s="221"/>
      <c r="I510" s="221"/>
      <c r="J510" s="221"/>
      <c r="K510" s="221"/>
      <c r="L510" s="221"/>
      <c r="M510" s="221"/>
      <c r="N510" s="221"/>
      <c r="O510" s="221"/>
      <c r="P510" s="221"/>
      <c r="Q510" s="221"/>
      <c r="R510" s="221"/>
      <c r="S510" s="221"/>
      <c r="T510" s="221"/>
      <c r="U510" s="221"/>
      <c r="V510" s="221"/>
      <c r="W510" s="221"/>
      <c r="X510" s="221"/>
      <c r="Y510" s="221"/>
      <c r="Z510" s="221"/>
    </row>
    <row r="511" customFormat="false" ht="13.5" hidden="false" customHeight="true" outlineLevel="0" collapsed="false">
      <c r="A511" s="221"/>
      <c r="B511" s="221"/>
      <c r="C511" s="221"/>
      <c r="D511" s="221"/>
      <c r="E511" s="221"/>
      <c r="F511" s="221"/>
      <c r="G511" s="221"/>
      <c r="H511" s="221"/>
      <c r="I511" s="221"/>
      <c r="J511" s="221"/>
      <c r="K511" s="221"/>
      <c r="L511" s="221"/>
      <c r="M511" s="221"/>
      <c r="N511" s="221"/>
      <c r="O511" s="221"/>
      <c r="P511" s="221"/>
      <c r="Q511" s="221"/>
      <c r="R511" s="221"/>
      <c r="S511" s="221"/>
      <c r="T511" s="221"/>
      <c r="U511" s="221"/>
      <c r="V511" s="221"/>
      <c r="W511" s="221"/>
      <c r="X511" s="221"/>
      <c r="Y511" s="221"/>
      <c r="Z511" s="221"/>
    </row>
    <row r="512" customFormat="false" ht="13.5" hidden="false" customHeight="true" outlineLevel="0" collapsed="false">
      <c r="A512" s="221"/>
      <c r="B512" s="221"/>
      <c r="C512" s="221"/>
      <c r="D512" s="221"/>
      <c r="E512" s="221"/>
      <c r="F512" s="221"/>
      <c r="G512" s="221"/>
      <c r="H512" s="221"/>
      <c r="I512" s="221"/>
      <c r="J512" s="221"/>
      <c r="K512" s="221"/>
      <c r="L512" s="221"/>
      <c r="M512" s="221"/>
      <c r="N512" s="221"/>
      <c r="O512" s="221"/>
      <c r="P512" s="221"/>
      <c r="Q512" s="221"/>
      <c r="R512" s="221"/>
      <c r="S512" s="221"/>
      <c r="T512" s="221"/>
      <c r="U512" s="221"/>
      <c r="V512" s="221"/>
      <c r="W512" s="221"/>
      <c r="X512" s="221"/>
      <c r="Y512" s="221"/>
      <c r="Z512" s="221"/>
    </row>
    <row r="513" customFormat="false" ht="13.5" hidden="false" customHeight="true" outlineLevel="0" collapsed="false">
      <c r="A513" s="221"/>
      <c r="B513" s="221"/>
      <c r="C513" s="221"/>
      <c r="D513" s="221"/>
      <c r="E513" s="221"/>
      <c r="F513" s="221"/>
      <c r="G513" s="221"/>
      <c r="H513" s="221"/>
      <c r="I513" s="221"/>
      <c r="J513" s="221"/>
      <c r="K513" s="221"/>
      <c r="L513" s="221"/>
      <c r="M513" s="221"/>
      <c r="N513" s="221"/>
      <c r="O513" s="221"/>
      <c r="P513" s="221"/>
      <c r="Q513" s="221"/>
      <c r="R513" s="221"/>
      <c r="S513" s="221"/>
      <c r="T513" s="221"/>
      <c r="U513" s="221"/>
      <c r="V513" s="221"/>
      <c r="W513" s="221"/>
      <c r="X513" s="221"/>
      <c r="Y513" s="221"/>
      <c r="Z513" s="221"/>
    </row>
    <row r="514" customFormat="false" ht="13.5" hidden="false" customHeight="true" outlineLevel="0" collapsed="false">
      <c r="A514" s="221"/>
      <c r="B514" s="221"/>
      <c r="C514" s="221"/>
      <c r="D514" s="221"/>
      <c r="E514" s="221"/>
      <c r="F514" s="221"/>
      <c r="G514" s="221"/>
      <c r="H514" s="221"/>
      <c r="I514" s="221"/>
      <c r="J514" s="221"/>
      <c r="K514" s="221"/>
      <c r="L514" s="221"/>
      <c r="M514" s="221"/>
      <c r="N514" s="221"/>
      <c r="O514" s="221"/>
      <c r="P514" s="221"/>
      <c r="Q514" s="221"/>
      <c r="R514" s="221"/>
      <c r="S514" s="221"/>
      <c r="T514" s="221"/>
      <c r="U514" s="221"/>
      <c r="V514" s="221"/>
      <c r="W514" s="221"/>
      <c r="X514" s="221"/>
      <c r="Y514" s="221"/>
      <c r="Z514" s="221"/>
    </row>
    <row r="515" customFormat="false" ht="13.5" hidden="false" customHeight="true" outlineLevel="0" collapsed="false">
      <c r="A515" s="221"/>
      <c r="B515" s="221"/>
      <c r="C515" s="221"/>
      <c r="D515" s="221"/>
      <c r="E515" s="221"/>
      <c r="F515" s="221"/>
      <c r="G515" s="221"/>
      <c r="H515" s="221"/>
      <c r="I515" s="221"/>
      <c r="J515" s="221"/>
      <c r="K515" s="221"/>
      <c r="L515" s="221"/>
      <c r="M515" s="221"/>
      <c r="N515" s="221"/>
      <c r="O515" s="221"/>
      <c r="P515" s="221"/>
      <c r="Q515" s="221"/>
      <c r="R515" s="221"/>
      <c r="S515" s="221"/>
      <c r="T515" s="221"/>
      <c r="U515" s="221"/>
      <c r="V515" s="221"/>
      <c r="W515" s="221"/>
      <c r="X515" s="221"/>
      <c r="Y515" s="221"/>
      <c r="Z515" s="221"/>
    </row>
    <row r="516" customFormat="false" ht="13.5" hidden="false" customHeight="true" outlineLevel="0" collapsed="false">
      <c r="A516" s="221"/>
      <c r="B516" s="221"/>
      <c r="C516" s="221"/>
      <c r="D516" s="221"/>
      <c r="E516" s="221"/>
      <c r="F516" s="221"/>
      <c r="G516" s="221"/>
      <c r="H516" s="221"/>
      <c r="I516" s="221"/>
      <c r="J516" s="221"/>
      <c r="K516" s="221"/>
      <c r="L516" s="221"/>
      <c r="M516" s="221"/>
      <c r="N516" s="221"/>
      <c r="O516" s="221"/>
      <c r="P516" s="221"/>
      <c r="Q516" s="221"/>
      <c r="R516" s="221"/>
      <c r="S516" s="221"/>
      <c r="T516" s="221"/>
      <c r="U516" s="221"/>
      <c r="V516" s="221"/>
      <c r="W516" s="221"/>
      <c r="X516" s="221"/>
      <c r="Y516" s="221"/>
      <c r="Z516" s="221"/>
    </row>
    <row r="517" customFormat="false" ht="13.5" hidden="false" customHeight="true" outlineLevel="0" collapsed="false">
      <c r="A517" s="221"/>
      <c r="B517" s="221"/>
      <c r="C517" s="221"/>
      <c r="D517" s="221"/>
      <c r="E517" s="221"/>
      <c r="F517" s="221"/>
      <c r="G517" s="221"/>
      <c r="H517" s="221"/>
      <c r="I517" s="221"/>
      <c r="J517" s="221"/>
      <c r="K517" s="221"/>
      <c r="L517" s="221"/>
      <c r="M517" s="221"/>
      <c r="N517" s="221"/>
      <c r="O517" s="221"/>
      <c r="P517" s="221"/>
      <c r="Q517" s="221"/>
      <c r="R517" s="221"/>
      <c r="S517" s="221"/>
      <c r="T517" s="221"/>
      <c r="U517" s="221"/>
      <c r="V517" s="221"/>
      <c r="W517" s="221"/>
      <c r="X517" s="221"/>
      <c r="Y517" s="221"/>
      <c r="Z517" s="221"/>
    </row>
    <row r="518" customFormat="false" ht="13.5" hidden="false" customHeight="true" outlineLevel="0" collapsed="false">
      <c r="A518" s="221"/>
      <c r="B518" s="221"/>
      <c r="C518" s="221"/>
      <c r="D518" s="221"/>
      <c r="E518" s="221"/>
      <c r="F518" s="221"/>
      <c r="G518" s="221"/>
      <c r="H518" s="221"/>
      <c r="I518" s="221"/>
      <c r="J518" s="221"/>
      <c r="K518" s="221"/>
      <c r="L518" s="221"/>
      <c r="M518" s="221"/>
      <c r="N518" s="221"/>
      <c r="O518" s="221"/>
      <c r="P518" s="221"/>
      <c r="Q518" s="221"/>
      <c r="R518" s="221"/>
      <c r="S518" s="221"/>
      <c r="T518" s="221"/>
      <c r="U518" s="221"/>
      <c r="V518" s="221"/>
      <c r="W518" s="221"/>
      <c r="X518" s="221"/>
      <c r="Y518" s="221"/>
      <c r="Z518" s="221"/>
    </row>
    <row r="519" customFormat="false" ht="13.5" hidden="false" customHeight="true" outlineLevel="0" collapsed="false">
      <c r="A519" s="221"/>
      <c r="B519" s="221"/>
      <c r="C519" s="221"/>
      <c r="D519" s="221"/>
      <c r="E519" s="221"/>
      <c r="F519" s="221"/>
      <c r="G519" s="221"/>
      <c r="H519" s="221"/>
      <c r="I519" s="221"/>
      <c r="J519" s="221"/>
      <c r="K519" s="221"/>
      <c r="L519" s="221"/>
      <c r="M519" s="221"/>
      <c r="N519" s="221"/>
      <c r="O519" s="221"/>
      <c r="P519" s="221"/>
      <c r="Q519" s="221"/>
      <c r="R519" s="221"/>
      <c r="S519" s="221"/>
      <c r="T519" s="221"/>
      <c r="U519" s="221"/>
      <c r="V519" s="221"/>
      <c r="W519" s="221"/>
      <c r="X519" s="221"/>
      <c r="Y519" s="221"/>
      <c r="Z519" s="221"/>
    </row>
    <row r="520" customFormat="false" ht="13.5" hidden="false" customHeight="true" outlineLevel="0" collapsed="false">
      <c r="A520" s="221"/>
      <c r="B520" s="221"/>
      <c r="C520" s="221"/>
      <c r="D520" s="221"/>
      <c r="E520" s="221"/>
      <c r="F520" s="221"/>
      <c r="G520" s="221"/>
      <c r="H520" s="221"/>
      <c r="I520" s="221"/>
      <c r="J520" s="221"/>
      <c r="K520" s="221"/>
      <c r="L520" s="221"/>
      <c r="M520" s="221"/>
      <c r="N520" s="221"/>
      <c r="O520" s="221"/>
      <c r="P520" s="221"/>
      <c r="Q520" s="221"/>
      <c r="R520" s="221"/>
      <c r="S520" s="221"/>
      <c r="T520" s="221"/>
      <c r="U520" s="221"/>
      <c r="V520" s="221"/>
      <c r="W520" s="221"/>
      <c r="X520" s="221"/>
      <c r="Y520" s="221"/>
      <c r="Z520" s="221"/>
    </row>
    <row r="521" customFormat="false" ht="13.5" hidden="false" customHeight="true" outlineLevel="0" collapsed="false">
      <c r="A521" s="221"/>
      <c r="B521" s="221"/>
      <c r="C521" s="221"/>
      <c r="D521" s="221"/>
      <c r="E521" s="221"/>
      <c r="F521" s="221"/>
      <c r="G521" s="221"/>
      <c r="H521" s="221"/>
      <c r="I521" s="221"/>
      <c r="J521" s="221"/>
      <c r="K521" s="221"/>
      <c r="L521" s="221"/>
      <c r="M521" s="221"/>
      <c r="N521" s="221"/>
      <c r="O521" s="221"/>
      <c r="P521" s="221"/>
      <c r="Q521" s="221"/>
      <c r="R521" s="221"/>
      <c r="S521" s="221"/>
      <c r="T521" s="221"/>
      <c r="U521" s="221"/>
      <c r="V521" s="221"/>
      <c r="W521" s="221"/>
      <c r="X521" s="221"/>
      <c r="Y521" s="221"/>
      <c r="Z521" s="221"/>
    </row>
    <row r="522" customFormat="false" ht="13.5" hidden="false" customHeight="true" outlineLevel="0" collapsed="false">
      <c r="A522" s="221"/>
      <c r="B522" s="221"/>
      <c r="C522" s="221"/>
      <c r="D522" s="221"/>
      <c r="E522" s="221"/>
      <c r="F522" s="221"/>
      <c r="G522" s="221"/>
      <c r="H522" s="221"/>
      <c r="I522" s="221"/>
      <c r="J522" s="221"/>
      <c r="K522" s="221"/>
      <c r="L522" s="221"/>
      <c r="M522" s="221"/>
      <c r="N522" s="221"/>
      <c r="O522" s="221"/>
      <c r="P522" s="221"/>
      <c r="Q522" s="221"/>
      <c r="R522" s="221"/>
      <c r="S522" s="221"/>
      <c r="T522" s="221"/>
      <c r="U522" s="221"/>
      <c r="V522" s="221"/>
      <c r="W522" s="221"/>
      <c r="X522" s="221"/>
      <c r="Y522" s="221"/>
      <c r="Z522" s="221"/>
    </row>
    <row r="523" customFormat="false" ht="13.5" hidden="false" customHeight="true" outlineLevel="0" collapsed="false">
      <c r="A523" s="221"/>
      <c r="B523" s="221"/>
      <c r="C523" s="221"/>
      <c r="D523" s="221"/>
      <c r="E523" s="221"/>
      <c r="F523" s="221"/>
      <c r="G523" s="221"/>
      <c r="H523" s="221"/>
      <c r="I523" s="221"/>
      <c r="J523" s="221"/>
      <c r="K523" s="221"/>
      <c r="L523" s="221"/>
      <c r="M523" s="221"/>
      <c r="N523" s="221"/>
      <c r="O523" s="221"/>
      <c r="P523" s="221"/>
      <c r="Q523" s="221"/>
      <c r="R523" s="221"/>
      <c r="S523" s="221"/>
      <c r="T523" s="221"/>
      <c r="U523" s="221"/>
      <c r="V523" s="221"/>
      <c r="W523" s="221"/>
      <c r="X523" s="221"/>
      <c r="Y523" s="221"/>
      <c r="Z523" s="221"/>
    </row>
    <row r="524" customFormat="false" ht="13.5" hidden="false" customHeight="true" outlineLevel="0" collapsed="false">
      <c r="A524" s="221"/>
      <c r="B524" s="221"/>
      <c r="C524" s="221"/>
      <c r="D524" s="221"/>
      <c r="E524" s="221"/>
      <c r="F524" s="221"/>
      <c r="G524" s="221"/>
      <c r="H524" s="221"/>
      <c r="I524" s="221"/>
      <c r="J524" s="221"/>
      <c r="K524" s="221"/>
      <c r="L524" s="221"/>
      <c r="M524" s="221"/>
      <c r="N524" s="221"/>
      <c r="O524" s="221"/>
      <c r="P524" s="221"/>
      <c r="Q524" s="221"/>
      <c r="R524" s="221"/>
      <c r="S524" s="221"/>
      <c r="T524" s="221"/>
      <c r="U524" s="221"/>
      <c r="V524" s="221"/>
      <c r="W524" s="221"/>
      <c r="X524" s="221"/>
      <c r="Y524" s="221"/>
      <c r="Z524" s="221"/>
    </row>
    <row r="525" customFormat="false" ht="13.5" hidden="false" customHeight="true" outlineLevel="0" collapsed="false">
      <c r="A525" s="221"/>
      <c r="B525" s="221"/>
      <c r="C525" s="221"/>
      <c r="D525" s="221"/>
      <c r="E525" s="221"/>
      <c r="F525" s="221"/>
      <c r="G525" s="221"/>
      <c r="H525" s="221"/>
      <c r="I525" s="221"/>
      <c r="J525" s="221"/>
      <c r="K525" s="221"/>
      <c r="L525" s="221"/>
      <c r="M525" s="221"/>
      <c r="N525" s="221"/>
      <c r="O525" s="221"/>
      <c r="P525" s="221"/>
      <c r="Q525" s="221"/>
      <c r="R525" s="221"/>
      <c r="S525" s="221"/>
      <c r="T525" s="221"/>
      <c r="U525" s="221"/>
      <c r="V525" s="221"/>
      <c r="W525" s="221"/>
      <c r="X525" s="221"/>
      <c r="Y525" s="221"/>
      <c r="Z525" s="221"/>
    </row>
    <row r="526" customFormat="false" ht="13.5" hidden="false" customHeight="true" outlineLevel="0" collapsed="false">
      <c r="A526" s="221"/>
      <c r="B526" s="221"/>
      <c r="C526" s="221"/>
      <c r="D526" s="221"/>
      <c r="E526" s="221"/>
      <c r="F526" s="221"/>
      <c r="G526" s="221"/>
      <c r="H526" s="221"/>
      <c r="I526" s="221"/>
      <c r="J526" s="221"/>
      <c r="K526" s="221"/>
      <c r="L526" s="221"/>
      <c r="M526" s="221"/>
      <c r="N526" s="221"/>
      <c r="O526" s="221"/>
      <c r="P526" s="221"/>
      <c r="Q526" s="221"/>
      <c r="R526" s="221"/>
      <c r="S526" s="221"/>
      <c r="T526" s="221"/>
      <c r="U526" s="221"/>
      <c r="V526" s="221"/>
      <c r="W526" s="221"/>
      <c r="X526" s="221"/>
      <c r="Y526" s="221"/>
      <c r="Z526" s="221"/>
    </row>
    <row r="527" customFormat="false" ht="13.5" hidden="false" customHeight="true" outlineLevel="0" collapsed="false">
      <c r="A527" s="221"/>
      <c r="B527" s="221"/>
      <c r="C527" s="221"/>
      <c r="D527" s="221"/>
      <c r="E527" s="221"/>
      <c r="F527" s="221"/>
      <c r="G527" s="221"/>
      <c r="H527" s="221"/>
      <c r="I527" s="221"/>
      <c r="J527" s="221"/>
      <c r="K527" s="221"/>
      <c r="L527" s="221"/>
      <c r="M527" s="221"/>
      <c r="N527" s="221"/>
      <c r="O527" s="221"/>
      <c r="P527" s="221"/>
      <c r="Q527" s="221"/>
      <c r="R527" s="221"/>
      <c r="S527" s="221"/>
      <c r="T527" s="221"/>
      <c r="U527" s="221"/>
      <c r="V527" s="221"/>
      <c r="W527" s="221"/>
      <c r="X527" s="221"/>
      <c r="Y527" s="221"/>
      <c r="Z527" s="221"/>
    </row>
    <row r="528" customFormat="false" ht="13.5" hidden="false" customHeight="true" outlineLevel="0" collapsed="false">
      <c r="A528" s="221"/>
      <c r="B528" s="221"/>
      <c r="C528" s="221"/>
      <c r="D528" s="221"/>
      <c r="E528" s="221"/>
      <c r="F528" s="221"/>
      <c r="G528" s="221"/>
      <c r="H528" s="221"/>
      <c r="I528" s="221"/>
      <c r="J528" s="221"/>
      <c r="K528" s="221"/>
      <c r="L528" s="221"/>
      <c r="M528" s="221"/>
      <c r="N528" s="221"/>
      <c r="O528" s="221"/>
      <c r="P528" s="221"/>
      <c r="Q528" s="221"/>
      <c r="R528" s="221"/>
      <c r="S528" s="221"/>
      <c r="T528" s="221"/>
      <c r="U528" s="221"/>
      <c r="V528" s="221"/>
      <c r="W528" s="221"/>
      <c r="X528" s="221"/>
      <c r="Y528" s="221"/>
      <c r="Z528" s="221"/>
    </row>
    <row r="529" customFormat="false" ht="13.5" hidden="false" customHeight="true" outlineLevel="0" collapsed="false">
      <c r="A529" s="221"/>
      <c r="B529" s="221"/>
      <c r="C529" s="221"/>
      <c r="D529" s="221"/>
      <c r="E529" s="221"/>
      <c r="F529" s="221"/>
      <c r="G529" s="221"/>
      <c r="H529" s="221"/>
      <c r="I529" s="221"/>
      <c r="J529" s="221"/>
      <c r="K529" s="221"/>
      <c r="L529" s="221"/>
      <c r="M529" s="221"/>
      <c r="N529" s="221"/>
      <c r="O529" s="221"/>
      <c r="P529" s="221"/>
      <c r="Q529" s="221"/>
      <c r="R529" s="221"/>
      <c r="S529" s="221"/>
      <c r="T529" s="221"/>
      <c r="U529" s="221"/>
      <c r="V529" s="221"/>
      <c r="W529" s="221"/>
      <c r="X529" s="221"/>
      <c r="Y529" s="221"/>
      <c r="Z529" s="221"/>
    </row>
    <row r="530" customFormat="false" ht="13.5" hidden="false" customHeight="true" outlineLevel="0" collapsed="false">
      <c r="A530" s="221"/>
      <c r="B530" s="221"/>
      <c r="C530" s="221"/>
      <c r="D530" s="221"/>
      <c r="E530" s="221"/>
      <c r="F530" s="221"/>
      <c r="G530" s="221"/>
      <c r="H530" s="221"/>
      <c r="I530" s="221"/>
      <c r="J530" s="221"/>
      <c r="K530" s="221"/>
      <c r="L530" s="221"/>
      <c r="M530" s="221"/>
      <c r="N530" s="221"/>
      <c r="O530" s="221"/>
      <c r="P530" s="221"/>
      <c r="Q530" s="221"/>
      <c r="R530" s="221"/>
      <c r="S530" s="221"/>
      <c r="T530" s="221"/>
      <c r="U530" s="221"/>
      <c r="V530" s="221"/>
      <c r="W530" s="221"/>
      <c r="X530" s="221"/>
      <c r="Y530" s="221"/>
      <c r="Z530" s="221"/>
    </row>
    <row r="531" customFormat="false" ht="13.5" hidden="false" customHeight="true" outlineLevel="0" collapsed="false">
      <c r="A531" s="221"/>
      <c r="B531" s="221"/>
      <c r="C531" s="221"/>
      <c r="D531" s="221"/>
      <c r="E531" s="221"/>
      <c r="F531" s="221"/>
      <c r="G531" s="221"/>
      <c r="H531" s="221"/>
      <c r="I531" s="221"/>
      <c r="J531" s="221"/>
      <c r="K531" s="221"/>
      <c r="L531" s="221"/>
      <c r="M531" s="221"/>
      <c r="N531" s="221"/>
      <c r="O531" s="221"/>
      <c r="P531" s="221"/>
      <c r="Q531" s="221"/>
      <c r="R531" s="221"/>
      <c r="S531" s="221"/>
      <c r="T531" s="221"/>
      <c r="U531" s="221"/>
      <c r="V531" s="221"/>
      <c r="W531" s="221"/>
      <c r="X531" s="221"/>
      <c r="Y531" s="221"/>
      <c r="Z531" s="221"/>
    </row>
    <row r="532" customFormat="false" ht="13.5" hidden="false" customHeight="true" outlineLevel="0" collapsed="false">
      <c r="A532" s="221"/>
      <c r="B532" s="221"/>
      <c r="C532" s="221"/>
      <c r="D532" s="221"/>
      <c r="E532" s="221"/>
      <c r="F532" s="221"/>
      <c r="G532" s="221"/>
      <c r="H532" s="221"/>
      <c r="I532" s="221"/>
      <c r="J532" s="221"/>
      <c r="K532" s="221"/>
      <c r="L532" s="221"/>
      <c r="M532" s="221"/>
      <c r="N532" s="221"/>
      <c r="O532" s="221"/>
      <c r="P532" s="221"/>
      <c r="Q532" s="221"/>
      <c r="R532" s="221"/>
      <c r="S532" s="221"/>
      <c r="T532" s="221"/>
      <c r="U532" s="221"/>
      <c r="V532" s="221"/>
      <c r="W532" s="221"/>
      <c r="X532" s="221"/>
      <c r="Y532" s="221"/>
      <c r="Z532" s="221"/>
    </row>
    <row r="533" customFormat="false" ht="13.5" hidden="false" customHeight="true" outlineLevel="0" collapsed="false">
      <c r="A533" s="221"/>
      <c r="B533" s="221"/>
      <c r="C533" s="221"/>
      <c r="D533" s="221"/>
      <c r="E533" s="221"/>
      <c r="F533" s="221"/>
      <c r="G533" s="221"/>
      <c r="H533" s="221"/>
      <c r="I533" s="221"/>
      <c r="J533" s="221"/>
      <c r="K533" s="221"/>
      <c r="L533" s="221"/>
      <c r="M533" s="221"/>
      <c r="N533" s="221"/>
      <c r="O533" s="221"/>
      <c r="P533" s="221"/>
      <c r="Q533" s="221"/>
      <c r="R533" s="221"/>
      <c r="S533" s="221"/>
      <c r="T533" s="221"/>
      <c r="U533" s="221"/>
      <c r="V533" s="221"/>
      <c r="W533" s="221"/>
      <c r="X533" s="221"/>
      <c r="Y533" s="221"/>
      <c r="Z533" s="221"/>
    </row>
    <row r="534" customFormat="false" ht="13.5" hidden="false" customHeight="true" outlineLevel="0" collapsed="false">
      <c r="A534" s="221"/>
      <c r="B534" s="221"/>
      <c r="C534" s="221"/>
      <c r="D534" s="221"/>
      <c r="E534" s="221"/>
      <c r="F534" s="221"/>
      <c r="G534" s="221"/>
      <c r="H534" s="221"/>
      <c r="I534" s="221"/>
      <c r="J534" s="221"/>
      <c r="K534" s="221"/>
      <c r="L534" s="221"/>
      <c r="M534" s="221"/>
      <c r="N534" s="221"/>
      <c r="O534" s="221"/>
      <c r="P534" s="221"/>
      <c r="Q534" s="221"/>
      <c r="R534" s="221"/>
      <c r="S534" s="221"/>
      <c r="T534" s="221"/>
      <c r="U534" s="221"/>
      <c r="V534" s="221"/>
      <c r="W534" s="221"/>
      <c r="X534" s="221"/>
      <c r="Y534" s="221"/>
      <c r="Z534" s="221"/>
    </row>
    <row r="535" customFormat="false" ht="13.5" hidden="false" customHeight="true" outlineLevel="0" collapsed="false">
      <c r="A535" s="221"/>
      <c r="B535" s="221"/>
      <c r="C535" s="221"/>
      <c r="D535" s="221"/>
      <c r="E535" s="221"/>
      <c r="F535" s="221"/>
      <c r="G535" s="221"/>
      <c r="H535" s="221"/>
      <c r="I535" s="221"/>
      <c r="J535" s="221"/>
      <c r="K535" s="221"/>
      <c r="L535" s="221"/>
      <c r="M535" s="221"/>
      <c r="N535" s="221"/>
      <c r="O535" s="221"/>
      <c r="P535" s="221"/>
      <c r="Q535" s="221"/>
      <c r="R535" s="221"/>
      <c r="S535" s="221"/>
      <c r="T535" s="221"/>
      <c r="U535" s="221"/>
      <c r="V535" s="221"/>
      <c r="W535" s="221"/>
      <c r="X535" s="221"/>
      <c r="Y535" s="221"/>
      <c r="Z535" s="221"/>
    </row>
    <row r="536" customFormat="false" ht="13.5" hidden="false" customHeight="true" outlineLevel="0" collapsed="false">
      <c r="A536" s="221"/>
      <c r="B536" s="221"/>
      <c r="C536" s="221"/>
      <c r="D536" s="221"/>
      <c r="E536" s="221"/>
      <c r="F536" s="221"/>
      <c r="G536" s="221"/>
      <c r="H536" s="221"/>
      <c r="I536" s="221"/>
      <c r="J536" s="221"/>
      <c r="K536" s="221"/>
      <c r="L536" s="221"/>
      <c r="M536" s="221"/>
      <c r="N536" s="221"/>
      <c r="O536" s="221"/>
      <c r="P536" s="221"/>
      <c r="Q536" s="221"/>
      <c r="R536" s="221"/>
      <c r="S536" s="221"/>
      <c r="T536" s="221"/>
      <c r="U536" s="221"/>
      <c r="V536" s="221"/>
      <c r="W536" s="221"/>
      <c r="X536" s="221"/>
      <c r="Y536" s="221"/>
      <c r="Z536" s="221"/>
    </row>
    <row r="537" customFormat="false" ht="13.5" hidden="false" customHeight="true" outlineLevel="0" collapsed="false">
      <c r="A537" s="221"/>
      <c r="B537" s="221"/>
      <c r="C537" s="221"/>
      <c r="D537" s="221"/>
      <c r="E537" s="221"/>
      <c r="F537" s="221"/>
      <c r="G537" s="221"/>
      <c r="H537" s="221"/>
      <c r="I537" s="221"/>
      <c r="J537" s="221"/>
      <c r="K537" s="221"/>
      <c r="L537" s="221"/>
      <c r="M537" s="221"/>
      <c r="N537" s="221"/>
      <c r="O537" s="221"/>
      <c r="P537" s="221"/>
      <c r="Q537" s="221"/>
      <c r="R537" s="221"/>
      <c r="S537" s="221"/>
      <c r="T537" s="221"/>
      <c r="U537" s="221"/>
      <c r="V537" s="221"/>
      <c r="W537" s="221"/>
      <c r="X537" s="221"/>
      <c r="Y537" s="221"/>
      <c r="Z537" s="221"/>
    </row>
    <row r="538" customFormat="false" ht="13.5" hidden="false" customHeight="true" outlineLevel="0" collapsed="false">
      <c r="A538" s="221"/>
      <c r="B538" s="221"/>
      <c r="C538" s="221"/>
      <c r="D538" s="221"/>
      <c r="E538" s="221"/>
      <c r="F538" s="221"/>
      <c r="G538" s="221"/>
      <c r="H538" s="221"/>
      <c r="I538" s="221"/>
      <c r="J538" s="221"/>
      <c r="K538" s="221"/>
      <c r="L538" s="221"/>
      <c r="M538" s="221"/>
      <c r="N538" s="221"/>
      <c r="O538" s="221"/>
      <c r="P538" s="221"/>
      <c r="Q538" s="221"/>
      <c r="R538" s="221"/>
      <c r="S538" s="221"/>
      <c r="T538" s="221"/>
      <c r="U538" s="221"/>
      <c r="V538" s="221"/>
      <c r="W538" s="221"/>
      <c r="X538" s="221"/>
      <c r="Y538" s="221"/>
      <c r="Z538" s="221"/>
    </row>
    <row r="539" customFormat="false" ht="13.5" hidden="false" customHeight="true" outlineLevel="0" collapsed="false">
      <c r="A539" s="221"/>
      <c r="B539" s="221"/>
      <c r="C539" s="221"/>
      <c r="D539" s="221"/>
      <c r="E539" s="221"/>
      <c r="F539" s="221"/>
      <c r="G539" s="221"/>
      <c r="H539" s="221"/>
      <c r="I539" s="221"/>
      <c r="J539" s="221"/>
      <c r="K539" s="221"/>
      <c r="L539" s="221"/>
      <c r="M539" s="221"/>
      <c r="N539" s="221"/>
      <c r="O539" s="221"/>
      <c r="P539" s="221"/>
      <c r="Q539" s="221"/>
      <c r="R539" s="221"/>
      <c r="S539" s="221"/>
      <c r="T539" s="221"/>
      <c r="U539" s="221"/>
      <c r="V539" s="221"/>
      <c r="W539" s="221"/>
      <c r="X539" s="221"/>
      <c r="Y539" s="221"/>
      <c r="Z539" s="221"/>
    </row>
    <row r="540" customFormat="false" ht="13.5" hidden="false" customHeight="true" outlineLevel="0" collapsed="false">
      <c r="A540" s="221"/>
      <c r="B540" s="221"/>
      <c r="C540" s="221"/>
      <c r="D540" s="221"/>
      <c r="E540" s="221"/>
      <c r="F540" s="221"/>
      <c r="G540" s="221"/>
      <c r="H540" s="221"/>
      <c r="I540" s="221"/>
      <c r="J540" s="221"/>
      <c r="K540" s="221"/>
      <c r="L540" s="221"/>
      <c r="M540" s="221"/>
      <c r="N540" s="221"/>
      <c r="O540" s="221"/>
      <c r="P540" s="221"/>
      <c r="Q540" s="221"/>
      <c r="R540" s="221"/>
      <c r="S540" s="221"/>
      <c r="T540" s="221"/>
      <c r="U540" s="221"/>
      <c r="V540" s="221"/>
      <c r="W540" s="221"/>
      <c r="X540" s="221"/>
      <c r="Y540" s="221"/>
      <c r="Z540" s="221"/>
    </row>
    <row r="541" customFormat="false" ht="13.5" hidden="false" customHeight="true" outlineLevel="0" collapsed="false">
      <c r="A541" s="221"/>
      <c r="B541" s="221"/>
      <c r="C541" s="221"/>
      <c r="D541" s="221"/>
      <c r="E541" s="221"/>
      <c r="F541" s="221"/>
      <c r="G541" s="221"/>
      <c r="H541" s="221"/>
      <c r="I541" s="221"/>
      <c r="J541" s="221"/>
      <c r="K541" s="221"/>
      <c r="L541" s="221"/>
      <c r="M541" s="221"/>
      <c r="N541" s="221"/>
      <c r="O541" s="221"/>
      <c r="P541" s="221"/>
      <c r="Q541" s="221"/>
      <c r="R541" s="221"/>
      <c r="S541" s="221"/>
      <c r="T541" s="221"/>
      <c r="U541" s="221"/>
      <c r="V541" s="221"/>
      <c r="W541" s="221"/>
      <c r="X541" s="221"/>
      <c r="Y541" s="221"/>
      <c r="Z541" s="221"/>
    </row>
    <row r="542" customFormat="false" ht="13.5" hidden="false" customHeight="true" outlineLevel="0" collapsed="false">
      <c r="A542" s="221"/>
      <c r="B542" s="221"/>
      <c r="C542" s="221"/>
      <c r="D542" s="221"/>
      <c r="E542" s="221"/>
      <c r="F542" s="221"/>
      <c r="G542" s="221"/>
      <c r="H542" s="221"/>
      <c r="I542" s="221"/>
      <c r="J542" s="221"/>
      <c r="K542" s="221"/>
      <c r="L542" s="221"/>
      <c r="M542" s="221"/>
      <c r="N542" s="221"/>
      <c r="O542" s="221"/>
      <c r="P542" s="221"/>
      <c r="Q542" s="221"/>
      <c r="R542" s="221"/>
      <c r="S542" s="221"/>
      <c r="T542" s="221"/>
      <c r="U542" s="221"/>
      <c r="V542" s="221"/>
      <c r="W542" s="221"/>
      <c r="X542" s="221"/>
      <c r="Y542" s="221"/>
      <c r="Z542" s="221"/>
    </row>
    <row r="543" customFormat="false" ht="13.5" hidden="false" customHeight="true" outlineLevel="0" collapsed="false">
      <c r="A543" s="221"/>
      <c r="B543" s="221"/>
      <c r="C543" s="221"/>
      <c r="D543" s="221"/>
      <c r="E543" s="221"/>
      <c r="F543" s="221"/>
      <c r="G543" s="221"/>
      <c r="H543" s="221"/>
      <c r="I543" s="221"/>
      <c r="J543" s="221"/>
      <c r="K543" s="221"/>
      <c r="L543" s="221"/>
      <c r="M543" s="221"/>
      <c r="N543" s="221"/>
      <c r="O543" s="221"/>
      <c r="P543" s="221"/>
      <c r="Q543" s="221"/>
      <c r="R543" s="221"/>
      <c r="S543" s="221"/>
      <c r="T543" s="221"/>
      <c r="U543" s="221"/>
      <c r="V543" s="221"/>
      <c r="W543" s="221"/>
      <c r="X543" s="221"/>
      <c r="Y543" s="221"/>
      <c r="Z543" s="221"/>
    </row>
    <row r="544" customFormat="false" ht="13.5" hidden="false" customHeight="true" outlineLevel="0" collapsed="false">
      <c r="A544" s="221"/>
      <c r="B544" s="221"/>
      <c r="C544" s="221"/>
      <c r="D544" s="221"/>
      <c r="E544" s="221"/>
      <c r="F544" s="221"/>
      <c r="G544" s="221"/>
      <c r="H544" s="221"/>
      <c r="I544" s="221"/>
      <c r="J544" s="221"/>
      <c r="K544" s="221"/>
      <c r="L544" s="221"/>
      <c r="M544" s="221"/>
      <c r="N544" s="221"/>
      <c r="O544" s="221"/>
      <c r="P544" s="221"/>
      <c r="Q544" s="221"/>
      <c r="R544" s="221"/>
      <c r="S544" s="221"/>
      <c r="T544" s="221"/>
      <c r="U544" s="221"/>
      <c r="V544" s="221"/>
      <c r="W544" s="221"/>
      <c r="X544" s="221"/>
      <c r="Y544" s="221"/>
      <c r="Z544" s="221"/>
    </row>
    <row r="545" customFormat="false" ht="13.5" hidden="false" customHeight="true" outlineLevel="0" collapsed="false">
      <c r="A545" s="221"/>
      <c r="B545" s="221"/>
      <c r="C545" s="221"/>
      <c r="D545" s="221"/>
      <c r="E545" s="221"/>
      <c r="F545" s="221"/>
      <c r="G545" s="221"/>
      <c r="H545" s="221"/>
      <c r="I545" s="221"/>
      <c r="J545" s="221"/>
      <c r="K545" s="221"/>
      <c r="L545" s="221"/>
      <c r="M545" s="221"/>
      <c r="N545" s="221"/>
      <c r="O545" s="221"/>
      <c r="P545" s="221"/>
      <c r="Q545" s="221"/>
      <c r="R545" s="221"/>
      <c r="S545" s="221"/>
      <c r="T545" s="221"/>
      <c r="U545" s="221"/>
      <c r="V545" s="221"/>
      <c r="W545" s="221"/>
      <c r="X545" s="221"/>
      <c r="Y545" s="221"/>
      <c r="Z545" s="221"/>
    </row>
    <row r="546" customFormat="false" ht="13.5" hidden="false" customHeight="true" outlineLevel="0" collapsed="false">
      <c r="A546" s="221"/>
      <c r="B546" s="221"/>
      <c r="C546" s="221"/>
      <c r="D546" s="221"/>
      <c r="E546" s="221"/>
      <c r="F546" s="221"/>
      <c r="G546" s="221"/>
      <c r="H546" s="221"/>
      <c r="I546" s="221"/>
      <c r="J546" s="221"/>
      <c r="K546" s="221"/>
      <c r="L546" s="221"/>
      <c r="M546" s="221"/>
      <c r="N546" s="221"/>
      <c r="O546" s="221"/>
      <c r="P546" s="221"/>
      <c r="Q546" s="221"/>
      <c r="R546" s="221"/>
      <c r="S546" s="221"/>
      <c r="T546" s="221"/>
      <c r="U546" s="221"/>
      <c r="V546" s="221"/>
      <c r="W546" s="221"/>
      <c r="X546" s="221"/>
      <c r="Y546" s="221"/>
      <c r="Z546" s="221"/>
    </row>
    <row r="547" customFormat="false" ht="13.5" hidden="false" customHeight="true" outlineLevel="0" collapsed="false">
      <c r="A547" s="221"/>
      <c r="B547" s="221"/>
      <c r="C547" s="221"/>
      <c r="D547" s="221"/>
      <c r="E547" s="221"/>
      <c r="F547" s="221"/>
      <c r="G547" s="221"/>
      <c r="H547" s="221"/>
      <c r="I547" s="221"/>
      <c r="J547" s="221"/>
      <c r="K547" s="221"/>
      <c r="L547" s="221"/>
      <c r="M547" s="221"/>
      <c r="N547" s="221"/>
      <c r="O547" s="221"/>
      <c r="P547" s="221"/>
      <c r="Q547" s="221"/>
      <c r="R547" s="221"/>
      <c r="S547" s="221"/>
      <c r="T547" s="221"/>
      <c r="U547" s="221"/>
      <c r="V547" s="221"/>
      <c r="W547" s="221"/>
      <c r="X547" s="221"/>
      <c r="Y547" s="221"/>
      <c r="Z547" s="221"/>
    </row>
    <row r="548" customFormat="false" ht="13.5" hidden="false" customHeight="true" outlineLevel="0" collapsed="false">
      <c r="A548" s="221"/>
      <c r="B548" s="221"/>
      <c r="C548" s="221"/>
      <c r="D548" s="221"/>
      <c r="E548" s="221"/>
      <c r="F548" s="221"/>
      <c r="G548" s="221"/>
      <c r="H548" s="221"/>
      <c r="I548" s="221"/>
      <c r="J548" s="221"/>
      <c r="K548" s="221"/>
      <c r="L548" s="221"/>
      <c r="M548" s="221"/>
      <c r="N548" s="221"/>
      <c r="O548" s="221"/>
      <c r="P548" s="221"/>
      <c r="Q548" s="221"/>
      <c r="R548" s="221"/>
      <c r="S548" s="221"/>
      <c r="T548" s="221"/>
      <c r="U548" s="221"/>
      <c r="V548" s="221"/>
      <c r="W548" s="221"/>
      <c r="X548" s="221"/>
      <c r="Y548" s="221"/>
      <c r="Z548" s="221"/>
    </row>
    <row r="549" customFormat="false" ht="13.5" hidden="false" customHeight="true" outlineLevel="0" collapsed="false">
      <c r="A549" s="221"/>
      <c r="B549" s="221"/>
      <c r="C549" s="221"/>
      <c r="D549" s="221"/>
      <c r="E549" s="221"/>
      <c r="F549" s="221"/>
      <c r="G549" s="221"/>
      <c r="H549" s="221"/>
      <c r="I549" s="221"/>
      <c r="J549" s="221"/>
      <c r="K549" s="221"/>
      <c r="L549" s="221"/>
      <c r="M549" s="221"/>
      <c r="N549" s="221"/>
      <c r="O549" s="221"/>
      <c r="P549" s="221"/>
      <c r="Q549" s="221"/>
      <c r="R549" s="221"/>
      <c r="S549" s="221"/>
      <c r="T549" s="221"/>
      <c r="U549" s="221"/>
      <c r="V549" s="221"/>
      <c r="W549" s="221"/>
      <c r="X549" s="221"/>
      <c r="Y549" s="221"/>
      <c r="Z549" s="221"/>
    </row>
    <row r="550" customFormat="false" ht="13.5" hidden="false" customHeight="true" outlineLevel="0" collapsed="false">
      <c r="A550" s="221"/>
      <c r="B550" s="221"/>
      <c r="C550" s="221"/>
      <c r="D550" s="221"/>
      <c r="E550" s="221"/>
      <c r="F550" s="221"/>
      <c r="G550" s="221"/>
      <c r="H550" s="221"/>
      <c r="I550" s="221"/>
      <c r="J550" s="221"/>
      <c r="K550" s="221"/>
      <c r="L550" s="221"/>
      <c r="M550" s="221"/>
      <c r="N550" s="221"/>
      <c r="O550" s="221"/>
      <c r="P550" s="221"/>
      <c r="Q550" s="221"/>
      <c r="R550" s="221"/>
      <c r="S550" s="221"/>
      <c r="T550" s="221"/>
      <c r="U550" s="221"/>
      <c r="V550" s="221"/>
      <c r="W550" s="221"/>
      <c r="X550" s="221"/>
      <c r="Y550" s="221"/>
      <c r="Z550" s="221"/>
    </row>
    <row r="551" customFormat="false" ht="13.5" hidden="false" customHeight="true" outlineLevel="0" collapsed="false">
      <c r="A551" s="221"/>
      <c r="B551" s="221"/>
      <c r="C551" s="221"/>
      <c r="D551" s="221"/>
      <c r="E551" s="221"/>
      <c r="F551" s="221"/>
      <c r="G551" s="221"/>
      <c r="H551" s="221"/>
      <c r="I551" s="221"/>
      <c r="J551" s="221"/>
      <c r="K551" s="221"/>
      <c r="L551" s="221"/>
      <c r="M551" s="221"/>
      <c r="N551" s="221"/>
      <c r="O551" s="221"/>
      <c r="P551" s="221"/>
      <c r="Q551" s="221"/>
      <c r="R551" s="221"/>
      <c r="S551" s="221"/>
      <c r="T551" s="221"/>
      <c r="U551" s="221"/>
      <c r="V551" s="221"/>
      <c r="W551" s="221"/>
      <c r="X551" s="221"/>
      <c r="Y551" s="221"/>
      <c r="Z551" s="221"/>
    </row>
    <row r="552" customFormat="false" ht="13.5" hidden="false" customHeight="true" outlineLevel="0" collapsed="false">
      <c r="A552" s="221"/>
      <c r="B552" s="221"/>
      <c r="C552" s="221"/>
      <c r="D552" s="221"/>
      <c r="E552" s="221"/>
      <c r="F552" s="221"/>
      <c r="G552" s="221"/>
      <c r="H552" s="221"/>
      <c r="I552" s="221"/>
      <c r="J552" s="221"/>
      <c r="K552" s="221"/>
      <c r="L552" s="221"/>
      <c r="M552" s="221"/>
      <c r="N552" s="221"/>
      <c r="O552" s="221"/>
      <c r="P552" s="221"/>
      <c r="Q552" s="221"/>
      <c r="R552" s="221"/>
      <c r="S552" s="221"/>
      <c r="T552" s="221"/>
      <c r="U552" s="221"/>
      <c r="V552" s="221"/>
      <c r="W552" s="221"/>
      <c r="X552" s="221"/>
      <c r="Y552" s="221"/>
      <c r="Z552" s="221"/>
    </row>
    <row r="553" customFormat="false" ht="13.5" hidden="false" customHeight="true" outlineLevel="0" collapsed="false">
      <c r="A553" s="221"/>
      <c r="B553" s="221"/>
      <c r="C553" s="221"/>
      <c r="D553" s="221"/>
      <c r="E553" s="221"/>
      <c r="F553" s="221"/>
      <c r="G553" s="221"/>
      <c r="H553" s="221"/>
      <c r="I553" s="221"/>
      <c r="J553" s="221"/>
      <c r="K553" s="221"/>
      <c r="L553" s="221"/>
      <c r="M553" s="221"/>
      <c r="N553" s="221"/>
      <c r="O553" s="221"/>
      <c r="P553" s="221"/>
      <c r="Q553" s="221"/>
      <c r="R553" s="221"/>
      <c r="S553" s="221"/>
      <c r="T553" s="221"/>
      <c r="U553" s="221"/>
      <c r="V553" s="221"/>
      <c r="W553" s="221"/>
      <c r="X553" s="221"/>
      <c r="Y553" s="221"/>
      <c r="Z553" s="221"/>
    </row>
    <row r="554" customFormat="false" ht="13.5" hidden="false" customHeight="true" outlineLevel="0" collapsed="false">
      <c r="A554" s="221"/>
      <c r="B554" s="221"/>
      <c r="C554" s="221"/>
      <c r="D554" s="221"/>
      <c r="E554" s="221"/>
      <c r="F554" s="221"/>
      <c r="G554" s="221"/>
      <c r="H554" s="221"/>
      <c r="I554" s="221"/>
      <c r="J554" s="221"/>
      <c r="K554" s="221"/>
      <c r="L554" s="221"/>
      <c r="M554" s="221"/>
      <c r="N554" s="221"/>
      <c r="O554" s="221"/>
      <c r="P554" s="221"/>
      <c r="Q554" s="221"/>
      <c r="R554" s="221"/>
      <c r="S554" s="221"/>
      <c r="T554" s="221"/>
      <c r="U554" s="221"/>
      <c r="V554" s="221"/>
      <c r="W554" s="221"/>
      <c r="X554" s="221"/>
      <c r="Y554" s="221"/>
      <c r="Z554" s="221"/>
    </row>
    <row r="555" customFormat="false" ht="13.5" hidden="false" customHeight="true" outlineLevel="0" collapsed="false">
      <c r="A555" s="221"/>
      <c r="B555" s="221"/>
      <c r="C555" s="221"/>
      <c r="D555" s="221"/>
      <c r="E555" s="221"/>
      <c r="F555" s="221"/>
      <c r="G555" s="221"/>
      <c r="H555" s="221"/>
      <c r="I555" s="221"/>
      <c r="J555" s="221"/>
      <c r="K555" s="221"/>
      <c r="L555" s="221"/>
      <c r="M555" s="221"/>
      <c r="N555" s="221"/>
      <c r="O555" s="221"/>
      <c r="P555" s="221"/>
      <c r="Q555" s="221"/>
      <c r="R555" s="221"/>
      <c r="S555" s="221"/>
      <c r="T555" s="221"/>
      <c r="U555" s="221"/>
      <c r="V555" s="221"/>
      <c r="W555" s="221"/>
      <c r="X555" s="221"/>
      <c r="Y555" s="221"/>
      <c r="Z555" s="221"/>
    </row>
    <row r="556" customFormat="false" ht="13.5" hidden="false" customHeight="true" outlineLevel="0" collapsed="false">
      <c r="A556" s="221"/>
      <c r="B556" s="221"/>
      <c r="C556" s="221"/>
      <c r="D556" s="221"/>
      <c r="E556" s="221"/>
      <c r="F556" s="221"/>
      <c r="G556" s="221"/>
      <c r="H556" s="221"/>
      <c r="I556" s="221"/>
      <c r="J556" s="221"/>
      <c r="K556" s="221"/>
      <c r="L556" s="221"/>
      <c r="M556" s="221"/>
      <c r="N556" s="221"/>
      <c r="O556" s="221"/>
      <c r="P556" s="221"/>
      <c r="Q556" s="221"/>
      <c r="R556" s="221"/>
      <c r="S556" s="221"/>
      <c r="T556" s="221"/>
      <c r="U556" s="221"/>
      <c r="V556" s="221"/>
      <c r="W556" s="221"/>
      <c r="X556" s="221"/>
      <c r="Y556" s="221"/>
      <c r="Z556" s="221"/>
    </row>
    <row r="557" customFormat="false" ht="13.5" hidden="false" customHeight="true" outlineLevel="0" collapsed="false">
      <c r="A557" s="221"/>
      <c r="B557" s="221"/>
      <c r="C557" s="221"/>
      <c r="D557" s="221"/>
      <c r="E557" s="221"/>
      <c r="F557" s="221"/>
      <c r="G557" s="221"/>
      <c r="H557" s="221"/>
      <c r="I557" s="221"/>
      <c r="J557" s="221"/>
      <c r="K557" s="221"/>
      <c r="L557" s="221"/>
      <c r="M557" s="221"/>
      <c r="N557" s="221"/>
      <c r="O557" s="221"/>
      <c r="P557" s="221"/>
      <c r="Q557" s="221"/>
      <c r="R557" s="221"/>
      <c r="S557" s="221"/>
      <c r="T557" s="221"/>
      <c r="U557" s="221"/>
      <c r="V557" s="221"/>
      <c r="W557" s="221"/>
      <c r="X557" s="221"/>
      <c r="Y557" s="221"/>
      <c r="Z557" s="221"/>
    </row>
    <row r="558" customFormat="false" ht="13.5" hidden="false" customHeight="true" outlineLevel="0" collapsed="false">
      <c r="A558" s="221"/>
      <c r="B558" s="221"/>
      <c r="C558" s="221"/>
      <c r="D558" s="221"/>
      <c r="E558" s="221"/>
      <c r="F558" s="221"/>
      <c r="G558" s="221"/>
      <c r="H558" s="221"/>
      <c r="I558" s="221"/>
      <c r="J558" s="221"/>
      <c r="K558" s="221"/>
      <c r="L558" s="221"/>
      <c r="M558" s="221"/>
      <c r="N558" s="221"/>
      <c r="O558" s="221"/>
      <c r="P558" s="221"/>
      <c r="Q558" s="221"/>
      <c r="R558" s="221"/>
      <c r="S558" s="221"/>
      <c r="T558" s="221"/>
      <c r="U558" s="221"/>
      <c r="V558" s="221"/>
      <c r="W558" s="221"/>
      <c r="X558" s="221"/>
      <c r="Y558" s="221"/>
      <c r="Z558" s="221"/>
    </row>
    <row r="559" customFormat="false" ht="13.5" hidden="false" customHeight="true" outlineLevel="0" collapsed="false">
      <c r="A559" s="221"/>
      <c r="B559" s="221"/>
      <c r="C559" s="221"/>
      <c r="D559" s="221"/>
      <c r="E559" s="221"/>
      <c r="F559" s="221"/>
      <c r="G559" s="221"/>
      <c r="H559" s="221"/>
      <c r="I559" s="221"/>
      <c r="J559" s="221"/>
      <c r="K559" s="221"/>
      <c r="L559" s="221"/>
      <c r="M559" s="221"/>
      <c r="N559" s="221"/>
      <c r="O559" s="221"/>
      <c r="P559" s="221"/>
      <c r="Q559" s="221"/>
      <c r="R559" s="221"/>
      <c r="S559" s="221"/>
      <c r="T559" s="221"/>
      <c r="U559" s="221"/>
      <c r="V559" s="221"/>
      <c r="W559" s="221"/>
      <c r="X559" s="221"/>
      <c r="Y559" s="221"/>
      <c r="Z559" s="221"/>
    </row>
    <row r="560" customFormat="false" ht="13.5" hidden="false" customHeight="true" outlineLevel="0" collapsed="false">
      <c r="A560" s="221"/>
      <c r="B560" s="221"/>
      <c r="C560" s="221"/>
      <c r="D560" s="221"/>
      <c r="E560" s="221"/>
      <c r="F560" s="221"/>
      <c r="G560" s="221"/>
      <c r="H560" s="221"/>
      <c r="I560" s="221"/>
      <c r="J560" s="221"/>
      <c r="K560" s="221"/>
      <c r="L560" s="221"/>
      <c r="M560" s="221"/>
      <c r="N560" s="221"/>
      <c r="O560" s="221"/>
      <c r="P560" s="221"/>
      <c r="Q560" s="221"/>
      <c r="R560" s="221"/>
      <c r="S560" s="221"/>
      <c r="T560" s="221"/>
      <c r="U560" s="221"/>
      <c r="V560" s="221"/>
      <c r="W560" s="221"/>
      <c r="X560" s="221"/>
      <c r="Y560" s="221"/>
      <c r="Z560" s="221"/>
    </row>
    <row r="561" customFormat="false" ht="13.5" hidden="false" customHeight="true" outlineLevel="0" collapsed="false">
      <c r="A561" s="221"/>
      <c r="B561" s="221"/>
      <c r="C561" s="221"/>
      <c r="D561" s="221"/>
      <c r="E561" s="221"/>
      <c r="F561" s="221"/>
      <c r="G561" s="221"/>
      <c r="H561" s="221"/>
      <c r="I561" s="221"/>
      <c r="J561" s="221"/>
      <c r="K561" s="221"/>
      <c r="L561" s="221"/>
      <c r="M561" s="221"/>
      <c r="N561" s="221"/>
      <c r="O561" s="221"/>
      <c r="P561" s="221"/>
      <c r="Q561" s="221"/>
      <c r="R561" s="221"/>
      <c r="S561" s="221"/>
      <c r="T561" s="221"/>
      <c r="U561" s="221"/>
      <c r="V561" s="221"/>
      <c r="W561" s="221"/>
      <c r="X561" s="221"/>
      <c r="Y561" s="221"/>
      <c r="Z561" s="221"/>
    </row>
    <row r="562" customFormat="false" ht="13.5" hidden="false" customHeight="true" outlineLevel="0" collapsed="false">
      <c r="A562" s="221"/>
      <c r="B562" s="221"/>
      <c r="C562" s="221"/>
      <c r="D562" s="221"/>
      <c r="E562" s="221"/>
      <c r="F562" s="221"/>
      <c r="G562" s="221"/>
      <c r="H562" s="221"/>
      <c r="I562" s="221"/>
      <c r="J562" s="221"/>
      <c r="K562" s="221"/>
      <c r="L562" s="221"/>
      <c r="M562" s="221"/>
      <c r="N562" s="221"/>
      <c r="O562" s="221"/>
      <c r="P562" s="221"/>
      <c r="Q562" s="221"/>
      <c r="R562" s="221"/>
      <c r="S562" s="221"/>
      <c r="T562" s="221"/>
      <c r="U562" s="221"/>
      <c r="V562" s="221"/>
      <c r="W562" s="221"/>
      <c r="X562" s="221"/>
      <c r="Y562" s="221"/>
      <c r="Z562" s="221"/>
    </row>
    <row r="563" customFormat="false" ht="13.5" hidden="false" customHeight="true" outlineLevel="0" collapsed="false">
      <c r="A563" s="221"/>
      <c r="B563" s="221"/>
      <c r="C563" s="221"/>
      <c r="D563" s="221"/>
      <c r="E563" s="221"/>
      <c r="F563" s="221"/>
      <c r="G563" s="221"/>
      <c r="H563" s="221"/>
      <c r="I563" s="221"/>
      <c r="J563" s="221"/>
      <c r="K563" s="221"/>
      <c r="L563" s="221"/>
      <c r="M563" s="221"/>
      <c r="N563" s="221"/>
      <c r="O563" s="221"/>
      <c r="P563" s="221"/>
      <c r="Q563" s="221"/>
      <c r="R563" s="221"/>
      <c r="S563" s="221"/>
      <c r="T563" s="221"/>
      <c r="U563" s="221"/>
      <c r="V563" s="221"/>
      <c r="W563" s="221"/>
      <c r="X563" s="221"/>
      <c r="Y563" s="221"/>
      <c r="Z563" s="221"/>
    </row>
    <row r="564" customFormat="false" ht="13.5" hidden="false" customHeight="true" outlineLevel="0" collapsed="false">
      <c r="A564" s="221"/>
      <c r="B564" s="221"/>
      <c r="C564" s="221"/>
      <c r="D564" s="221"/>
      <c r="E564" s="221"/>
      <c r="F564" s="221"/>
      <c r="G564" s="221"/>
      <c r="H564" s="221"/>
      <c r="I564" s="221"/>
      <c r="J564" s="221"/>
      <c r="K564" s="221"/>
      <c r="L564" s="221"/>
      <c r="M564" s="221"/>
      <c r="N564" s="221"/>
      <c r="O564" s="221"/>
      <c r="P564" s="221"/>
      <c r="Q564" s="221"/>
      <c r="R564" s="221"/>
      <c r="S564" s="221"/>
      <c r="T564" s="221"/>
      <c r="U564" s="221"/>
      <c r="V564" s="221"/>
      <c r="W564" s="221"/>
      <c r="X564" s="221"/>
      <c r="Y564" s="221"/>
      <c r="Z564" s="221"/>
    </row>
    <row r="565" customFormat="false" ht="13.5" hidden="false" customHeight="true" outlineLevel="0" collapsed="false">
      <c r="A565" s="221"/>
      <c r="B565" s="221"/>
      <c r="C565" s="221"/>
      <c r="D565" s="221"/>
      <c r="E565" s="221"/>
      <c r="F565" s="221"/>
      <c r="G565" s="221"/>
      <c r="H565" s="221"/>
      <c r="I565" s="221"/>
      <c r="J565" s="221"/>
      <c r="K565" s="221"/>
      <c r="L565" s="221"/>
      <c r="M565" s="221"/>
      <c r="N565" s="221"/>
      <c r="O565" s="221"/>
      <c r="P565" s="221"/>
      <c r="Q565" s="221"/>
      <c r="R565" s="221"/>
      <c r="S565" s="221"/>
      <c r="T565" s="221"/>
      <c r="U565" s="221"/>
      <c r="V565" s="221"/>
      <c r="W565" s="221"/>
      <c r="X565" s="221"/>
      <c r="Y565" s="221"/>
      <c r="Z565" s="221"/>
    </row>
    <row r="566" customFormat="false" ht="13.5" hidden="false" customHeight="true" outlineLevel="0" collapsed="false">
      <c r="A566" s="221"/>
      <c r="B566" s="221"/>
      <c r="C566" s="221"/>
      <c r="D566" s="221"/>
      <c r="E566" s="221"/>
      <c r="F566" s="221"/>
      <c r="G566" s="221"/>
      <c r="H566" s="221"/>
      <c r="I566" s="221"/>
      <c r="J566" s="221"/>
      <c r="K566" s="221"/>
      <c r="L566" s="221"/>
      <c r="M566" s="221"/>
      <c r="N566" s="221"/>
      <c r="O566" s="221"/>
      <c r="P566" s="221"/>
      <c r="Q566" s="221"/>
      <c r="R566" s="221"/>
      <c r="S566" s="221"/>
      <c r="T566" s="221"/>
      <c r="U566" s="221"/>
      <c r="V566" s="221"/>
      <c r="W566" s="221"/>
      <c r="X566" s="221"/>
      <c r="Y566" s="221"/>
      <c r="Z566" s="221"/>
    </row>
    <row r="567" customFormat="false" ht="13.5" hidden="false" customHeight="true" outlineLevel="0" collapsed="false">
      <c r="A567" s="221"/>
      <c r="B567" s="221"/>
      <c r="C567" s="221"/>
      <c r="D567" s="221"/>
      <c r="E567" s="221"/>
      <c r="F567" s="221"/>
      <c r="G567" s="221"/>
      <c r="H567" s="221"/>
      <c r="I567" s="221"/>
      <c r="J567" s="221"/>
      <c r="K567" s="221"/>
      <c r="L567" s="221"/>
      <c r="M567" s="221"/>
      <c r="N567" s="221"/>
      <c r="O567" s="221"/>
      <c r="P567" s="221"/>
      <c r="Q567" s="221"/>
      <c r="R567" s="221"/>
      <c r="S567" s="221"/>
      <c r="T567" s="221"/>
      <c r="U567" s="221"/>
      <c r="V567" s="221"/>
      <c r="W567" s="221"/>
      <c r="X567" s="221"/>
      <c r="Y567" s="221"/>
      <c r="Z567" s="221"/>
    </row>
    <row r="568" customFormat="false" ht="13.5" hidden="false" customHeight="true" outlineLevel="0" collapsed="false">
      <c r="A568" s="221"/>
      <c r="B568" s="221"/>
      <c r="C568" s="221"/>
      <c r="D568" s="221"/>
      <c r="E568" s="221"/>
      <c r="F568" s="221"/>
      <c r="G568" s="221"/>
      <c r="H568" s="221"/>
      <c r="I568" s="221"/>
      <c r="J568" s="221"/>
      <c r="K568" s="221"/>
      <c r="L568" s="221"/>
      <c r="M568" s="221"/>
      <c r="N568" s="221"/>
      <c r="O568" s="221"/>
      <c r="P568" s="221"/>
      <c r="Q568" s="221"/>
      <c r="R568" s="221"/>
      <c r="S568" s="221"/>
      <c r="T568" s="221"/>
      <c r="U568" s="221"/>
      <c r="V568" s="221"/>
      <c r="W568" s="221"/>
      <c r="X568" s="221"/>
      <c r="Y568" s="221"/>
      <c r="Z568" s="221"/>
    </row>
    <row r="569" customFormat="false" ht="13.5" hidden="false" customHeight="true" outlineLevel="0" collapsed="false">
      <c r="A569" s="221"/>
      <c r="B569" s="221"/>
      <c r="C569" s="221"/>
      <c r="D569" s="221"/>
      <c r="E569" s="221"/>
      <c r="F569" s="221"/>
      <c r="G569" s="221"/>
      <c r="H569" s="221"/>
      <c r="I569" s="221"/>
      <c r="J569" s="221"/>
      <c r="K569" s="221"/>
      <c r="L569" s="221"/>
      <c r="M569" s="221"/>
      <c r="N569" s="221"/>
      <c r="O569" s="221"/>
      <c r="P569" s="221"/>
      <c r="Q569" s="221"/>
      <c r="R569" s="221"/>
      <c r="S569" s="221"/>
      <c r="T569" s="221"/>
      <c r="U569" s="221"/>
      <c r="V569" s="221"/>
      <c r="W569" s="221"/>
      <c r="X569" s="221"/>
      <c r="Y569" s="221"/>
      <c r="Z569" s="221"/>
    </row>
    <row r="570" customFormat="false" ht="13.5" hidden="false" customHeight="true" outlineLevel="0" collapsed="false">
      <c r="A570" s="221"/>
      <c r="B570" s="221"/>
      <c r="C570" s="221"/>
      <c r="D570" s="221"/>
      <c r="E570" s="221"/>
      <c r="F570" s="221"/>
      <c r="G570" s="221"/>
      <c r="H570" s="221"/>
      <c r="I570" s="221"/>
      <c r="J570" s="221"/>
      <c r="K570" s="221"/>
      <c r="L570" s="221"/>
      <c r="M570" s="221"/>
      <c r="N570" s="221"/>
      <c r="O570" s="221"/>
      <c r="P570" s="221"/>
      <c r="Q570" s="221"/>
      <c r="R570" s="221"/>
      <c r="S570" s="221"/>
      <c r="T570" s="221"/>
      <c r="U570" s="221"/>
      <c r="V570" s="221"/>
      <c r="W570" s="221"/>
      <c r="X570" s="221"/>
      <c r="Y570" s="221"/>
      <c r="Z570" s="221"/>
    </row>
    <row r="571" customFormat="false" ht="13.5" hidden="false" customHeight="true" outlineLevel="0" collapsed="false">
      <c r="A571" s="221"/>
      <c r="B571" s="221"/>
      <c r="C571" s="221"/>
      <c r="D571" s="221"/>
      <c r="E571" s="221"/>
      <c r="F571" s="221"/>
      <c r="G571" s="221"/>
      <c r="H571" s="221"/>
      <c r="I571" s="221"/>
      <c r="J571" s="221"/>
      <c r="K571" s="221"/>
      <c r="L571" s="221"/>
      <c r="M571" s="221"/>
      <c r="N571" s="221"/>
      <c r="O571" s="221"/>
      <c r="P571" s="221"/>
      <c r="Q571" s="221"/>
      <c r="R571" s="221"/>
      <c r="S571" s="221"/>
      <c r="T571" s="221"/>
      <c r="U571" s="221"/>
      <c r="V571" s="221"/>
      <c r="W571" s="221"/>
      <c r="X571" s="221"/>
      <c r="Y571" s="221"/>
      <c r="Z571" s="221"/>
    </row>
    <row r="572" customFormat="false" ht="13.5" hidden="false" customHeight="true" outlineLevel="0" collapsed="false">
      <c r="A572" s="221"/>
      <c r="B572" s="221"/>
      <c r="C572" s="221"/>
      <c r="D572" s="221"/>
      <c r="E572" s="221"/>
      <c r="F572" s="221"/>
      <c r="G572" s="221"/>
      <c r="H572" s="221"/>
      <c r="I572" s="221"/>
      <c r="J572" s="221"/>
      <c r="K572" s="221"/>
      <c r="L572" s="221"/>
      <c r="M572" s="221"/>
      <c r="N572" s="221"/>
      <c r="O572" s="221"/>
      <c r="P572" s="221"/>
      <c r="Q572" s="221"/>
      <c r="R572" s="221"/>
      <c r="S572" s="221"/>
      <c r="T572" s="221"/>
      <c r="U572" s="221"/>
      <c r="V572" s="221"/>
      <c r="W572" s="221"/>
      <c r="X572" s="221"/>
      <c r="Y572" s="221"/>
      <c r="Z572" s="221"/>
    </row>
    <row r="573" customFormat="false" ht="13.5" hidden="false" customHeight="true" outlineLevel="0" collapsed="false">
      <c r="A573" s="221"/>
      <c r="B573" s="221"/>
      <c r="C573" s="221"/>
      <c r="D573" s="221"/>
      <c r="E573" s="221"/>
      <c r="F573" s="221"/>
      <c r="G573" s="221"/>
      <c r="H573" s="221"/>
      <c r="I573" s="221"/>
      <c r="J573" s="221"/>
      <c r="K573" s="221"/>
      <c r="L573" s="221"/>
      <c r="M573" s="221"/>
      <c r="N573" s="221"/>
      <c r="O573" s="221"/>
      <c r="P573" s="221"/>
      <c r="Q573" s="221"/>
      <c r="R573" s="221"/>
      <c r="S573" s="221"/>
      <c r="T573" s="221"/>
      <c r="U573" s="221"/>
      <c r="V573" s="221"/>
      <c r="W573" s="221"/>
      <c r="X573" s="221"/>
      <c r="Y573" s="221"/>
      <c r="Z573" s="221"/>
    </row>
    <row r="574" customFormat="false" ht="13.5" hidden="false" customHeight="true" outlineLevel="0" collapsed="false">
      <c r="A574" s="221"/>
      <c r="B574" s="221"/>
      <c r="C574" s="221"/>
      <c r="D574" s="221"/>
      <c r="E574" s="221"/>
      <c r="F574" s="221"/>
      <c r="G574" s="221"/>
      <c r="H574" s="221"/>
      <c r="I574" s="221"/>
      <c r="J574" s="221"/>
      <c r="K574" s="221"/>
      <c r="L574" s="221"/>
      <c r="M574" s="221"/>
      <c r="N574" s="221"/>
      <c r="O574" s="221"/>
      <c r="P574" s="221"/>
      <c r="Q574" s="221"/>
      <c r="R574" s="221"/>
      <c r="S574" s="221"/>
      <c r="T574" s="221"/>
      <c r="U574" s="221"/>
      <c r="V574" s="221"/>
      <c r="W574" s="221"/>
      <c r="X574" s="221"/>
      <c r="Y574" s="221"/>
      <c r="Z574" s="221"/>
    </row>
    <row r="575" customFormat="false" ht="13.5" hidden="false" customHeight="true" outlineLevel="0" collapsed="false">
      <c r="A575" s="221"/>
      <c r="B575" s="221"/>
      <c r="C575" s="221"/>
      <c r="D575" s="221"/>
      <c r="E575" s="221"/>
      <c r="F575" s="221"/>
      <c r="G575" s="221"/>
      <c r="H575" s="221"/>
      <c r="I575" s="221"/>
      <c r="J575" s="221"/>
      <c r="K575" s="221"/>
      <c r="L575" s="221"/>
      <c r="M575" s="221"/>
      <c r="N575" s="221"/>
      <c r="O575" s="221"/>
      <c r="P575" s="221"/>
      <c r="Q575" s="221"/>
      <c r="R575" s="221"/>
      <c r="S575" s="221"/>
      <c r="T575" s="221"/>
      <c r="U575" s="221"/>
      <c r="V575" s="221"/>
      <c r="W575" s="221"/>
      <c r="X575" s="221"/>
      <c r="Y575" s="221"/>
      <c r="Z575" s="221"/>
    </row>
    <row r="576" customFormat="false" ht="13.5" hidden="false" customHeight="true" outlineLevel="0" collapsed="false">
      <c r="A576" s="221"/>
      <c r="B576" s="221"/>
      <c r="C576" s="221"/>
      <c r="D576" s="221"/>
      <c r="E576" s="221"/>
      <c r="F576" s="221"/>
      <c r="G576" s="221"/>
      <c r="H576" s="221"/>
      <c r="I576" s="221"/>
      <c r="J576" s="221"/>
      <c r="K576" s="221"/>
      <c r="L576" s="221"/>
      <c r="M576" s="221"/>
      <c r="N576" s="221"/>
      <c r="O576" s="221"/>
      <c r="P576" s="221"/>
      <c r="Q576" s="221"/>
      <c r="R576" s="221"/>
      <c r="S576" s="221"/>
      <c r="T576" s="221"/>
      <c r="U576" s="221"/>
      <c r="V576" s="221"/>
      <c r="W576" s="221"/>
      <c r="X576" s="221"/>
      <c r="Y576" s="221"/>
      <c r="Z576" s="221"/>
    </row>
    <row r="577" customFormat="false" ht="13.5" hidden="false" customHeight="true" outlineLevel="0" collapsed="false">
      <c r="A577" s="221"/>
      <c r="B577" s="221"/>
      <c r="C577" s="221"/>
      <c r="D577" s="221"/>
      <c r="E577" s="221"/>
      <c r="F577" s="221"/>
      <c r="G577" s="221"/>
      <c r="H577" s="221"/>
      <c r="I577" s="221"/>
      <c r="J577" s="221"/>
      <c r="K577" s="221"/>
      <c r="L577" s="221"/>
      <c r="M577" s="221"/>
      <c r="N577" s="221"/>
      <c r="O577" s="221"/>
      <c r="P577" s="221"/>
      <c r="Q577" s="221"/>
      <c r="R577" s="221"/>
      <c r="S577" s="221"/>
      <c r="T577" s="221"/>
      <c r="U577" s="221"/>
      <c r="V577" s="221"/>
      <c r="W577" s="221"/>
      <c r="X577" s="221"/>
      <c r="Y577" s="221"/>
      <c r="Z577" s="221"/>
    </row>
    <row r="578" customFormat="false" ht="13.5" hidden="false" customHeight="true" outlineLevel="0" collapsed="false">
      <c r="A578" s="221"/>
      <c r="B578" s="221"/>
      <c r="C578" s="221"/>
      <c r="D578" s="221"/>
      <c r="E578" s="221"/>
      <c r="F578" s="221"/>
      <c r="G578" s="221"/>
      <c r="H578" s="221"/>
      <c r="I578" s="221"/>
      <c r="J578" s="221"/>
      <c r="K578" s="221"/>
      <c r="L578" s="221"/>
      <c r="M578" s="221"/>
      <c r="N578" s="221"/>
      <c r="O578" s="221"/>
      <c r="P578" s="221"/>
      <c r="Q578" s="221"/>
      <c r="R578" s="221"/>
      <c r="S578" s="221"/>
      <c r="T578" s="221"/>
      <c r="U578" s="221"/>
      <c r="V578" s="221"/>
      <c r="W578" s="221"/>
      <c r="X578" s="221"/>
      <c r="Y578" s="221"/>
      <c r="Z578" s="221"/>
    </row>
    <row r="579" customFormat="false" ht="13.5" hidden="false" customHeight="true" outlineLevel="0" collapsed="false">
      <c r="A579" s="221"/>
      <c r="B579" s="221"/>
      <c r="C579" s="221"/>
      <c r="D579" s="221"/>
      <c r="E579" s="221"/>
      <c r="F579" s="221"/>
      <c r="G579" s="221"/>
      <c r="H579" s="221"/>
      <c r="I579" s="221"/>
      <c r="J579" s="221"/>
      <c r="K579" s="221"/>
      <c r="L579" s="221"/>
      <c r="M579" s="221"/>
      <c r="N579" s="221"/>
      <c r="O579" s="221"/>
      <c r="P579" s="221"/>
      <c r="Q579" s="221"/>
      <c r="R579" s="221"/>
      <c r="S579" s="221"/>
      <c r="T579" s="221"/>
      <c r="U579" s="221"/>
      <c r="V579" s="221"/>
      <c r="W579" s="221"/>
      <c r="X579" s="221"/>
      <c r="Y579" s="221"/>
      <c r="Z579" s="221"/>
    </row>
    <row r="580" customFormat="false" ht="13.5" hidden="false" customHeight="true" outlineLevel="0" collapsed="false">
      <c r="A580" s="221"/>
      <c r="B580" s="221"/>
      <c r="C580" s="221"/>
      <c r="D580" s="221"/>
      <c r="E580" s="221"/>
      <c r="F580" s="221"/>
      <c r="G580" s="221"/>
      <c r="H580" s="221"/>
      <c r="I580" s="221"/>
      <c r="J580" s="221"/>
      <c r="K580" s="221"/>
      <c r="L580" s="221"/>
      <c r="M580" s="221"/>
      <c r="N580" s="221"/>
      <c r="O580" s="221"/>
      <c r="P580" s="221"/>
      <c r="Q580" s="221"/>
      <c r="R580" s="221"/>
      <c r="S580" s="221"/>
      <c r="T580" s="221"/>
      <c r="U580" s="221"/>
      <c r="V580" s="221"/>
      <c r="W580" s="221"/>
      <c r="X580" s="221"/>
      <c r="Y580" s="221"/>
      <c r="Z580" s="221"/>
    </row>
    <row r="581" customFormat="false" ht="13.5" hidden="false" customHeight="true" outlineLevel="0" collapsed="false">
      <c r="A581" s="221"/>
      <c r="B581" s="221"/>
      <c r="C581" s="221"/>
      <c r="D581" s="221"/>
      <c r="E581" s="221"/>
      <c r="F581" s="221"/>
      <c r="G581" s="221"/>
      <c r="H581" s="221"/>
      <c r="I581" s="221"/>
      <c r="J581" s="221"/>
      <c r="K581" s="221"/>
      <c r="L581" s="221"/>
      <c r="M581" s="221"/>
      <c r="N581" s="221"/>
      <c r="O581" s="221"/>
      <c r="P581" s="221"/>
      <c r="Q581" s="221"/>
      <c r="R581" s="221"/>
      <c r="S581" s="221"/>
      <c r="T581" s="221"/>
      <c r="U581" s="221"/>
      <c r="V581" s="221"/>
      <c r="W581" s="221"/>
      <c r="X581" s="221"/>
      <c r="Y581" s="221"/>
      <c r="Z581" s="221"/>
    </row>
    <row r="582" customFormat="false" ht="13.5" hidden="false" customHeight="true" outlineLevel="0" collapsed="false">
      <c r="A582" s="221"/>
      <c r="B582" s="221"/>
      <c r="C582" s="221"/>
      <c r="D582" s="221"/>
      <c r="E582" s="221"/>
      <c r="F582" s="221"/>
      <c r="G582" s="221"/>
      <c r="H582" s="221"/>
      <c r="I582" s="221"/>
      <c r="J582" s="221"/>
      <c r="K582" s="221"/>
      <c r="L582" s="221"/>
      <c r="M582" s="221"/>
      <c r="N582" s="221"/>
      <c r="O582" s="221"/>
      <c r="P582" s="221"/>
      <c r="Q582" s="221"/>
      <c r="R582" s="221"/>
      <c r="S582" s="221"/>
      <c r="T582" s="221"/>
      <c r="U582" s="221"/>
      <c r="V582" s="221"/>
      <c r="W582" s="221"/>
      <c r="X582" s="221"/>
      <c r="Y582" s="221"/>
      <c r="Z582" s="221"/>
    </row>
    <row r="583" customFormat="false" ht="13.5" hidden="false" customHeight="true" outlineLevel="0" collapsed="false">
      <c r="A583" s="221"/>
      <c r="B583" s="221"/>
      <c r="C583" s="221"/>
      <c r="D583" s="221"/>
      <c r="E583" s="221"/>
      <c r="F583" s="221"/>
      <c r="G583" s="221"/>
      <c r="H583" s="221"/>
      <c r="I583" s="221"/>
      <c r="J583" s="221"/>
      <c r="K583" s="221"/>
      <c r="L583" s="221"/>
      <c r="M583" s="221"/>
      <c r="N583" s="221"/>
      <c r="O583" s="221"/>
      <c r="P583" s="221"/>
      <c r="Q583" s="221"/>
      <c r="R583" s="221"/>
      <c r="S583" s="221"/>
      <c r="T583" s="221"/>
      <c r="U583" s="221"/>
      <c r="V583" s="221"/>
      <c r="W583" s="221"/>
      <c r="X583" s="221"/>
      <c r="Y583" s="221"/>
      <c r="Z583" s="221"/>
    </row>
    <row r="584" customFormat="false" ht="13.5" hidden="false" customHeight="true" outlineLevel="0" collapsed="false">
      <c r="A584" s="221"/>
      <c r="B584" s="221"/>
      <c r="C584" s="221"/>
      <c r="D584" s="221"/>
      <c r="E584" s="221"/>
      <c r="F584" s="221"/>
      <c r="G584" s="221"/>
      <c r="H584" s="221"/>
      <c r="I584" s="221"/>
      <c r="J584" s="221"/>
      <c r="K584" s="221"/>
      <c r="L584" s="221"/>
      <c r="M584" s="221"/>
      <c r="N584" s="221"/>
      <c r="O584" s="221"/>
      <c r="P584" s="221"/>
      <c r="Q584" s="221"/>
      <c r="R584" s="221"/>
      <c r="S584" s="221"/>
      <c r="T584" s="221"/>
      <c r="U584" s="221"/>
      <c r="V584" s="221"/>
      <c r="W584" s="221"/>
      <c r="X584" s="221"/>
      <c r="Y584" s="221"/>
      <c r="Z584" s="221"/>
    </row>
    <row r="585" customFormat="false" ht="13.5" hidden="false" customHeight="true" outlineLevel="0" collapsed="false">
      <c r="A585" s="221"/>
      <c r="B585" s="221"/>
      <c r="C585" s="221"/>
      <c r="D585" s="221"/>
      <c r="E585" s="221"/>
      <c r="F585" s="221"/>
      <c r="G585" s="221"/>
      <c r="H585" s="221"/>
      <c r="I585" s="221"/>
      <c r="J585" s="221"/>
      <c r="K585" s="221"/>
      <c r="L585" s="221"/>
      <c r="M585" s="221"/>
      <c r="N585" s="221"/>
      <c r="O585" s="221"/>
      <c r="P585" s="221"/>
      <c r="Q585" s="221"/>
      <c r="R585" s="221"/>
      <c r="S585" s="221"/>
      <c r="T585" s="221"/>
      <c r="U585" s="221"/>
      <c r="V585" s="221"/>
      <c r="W585" s="221"/>
      <c r="X585" s="221"/>
      <c r="Y585" s="221"/>
      <c r="Z585" s="221"/>
    </row>
    <row r="586" customFormat="false" ht="13.5" hidden="false" customHeight="true" outlineLevel="0" collapsed="false">
      <c r="A586" s="221"/>
      <c r="B586" s="221"/>
      <c r="C586" s="221"/>
      <c r="D586" s="221"/>
      <c r="E586" s="221"/>
      <c r="F586" s="221"/>
      <c r="G586" s="221"/>
      <c r="H586" s="221"/>
      <c r="I586" s="221"/>
      <c r="J586" s="221"/>
      <c r="K586" s="221"/>
      <c r="L586" s="221"/>
      <c r="M586" s="221"/>
      <c r="N586" s="221"/>
      <c r="O586" s="221"/>
      <c r="P586" s="221"/>
      <c r="Q586" s="221"/>
      <c r="R586" s="221"/>
      <c r="S586" s="221"/>
      <c r="T586" s="221"/>
      <c r="U586" s="221"/>
      <c r="V586" s="221"/>
      <c r="W586" s="221"/>
      <c r="X586" s="221"/>
      <c r="Y586" s="221"/>
      <c r="Z586" s="221"/>
    </row>
    <row r="587" customFormat="false" ht="13.5" hidden="false" customHeight="true" outlineLevel="0" collapsed="false">
      <c r="A587" s="221"/>
      <c r="B587" s="221"/>
      <c r="C587" s="221"/>
      <c r="D587" s="221"/>
      <c r="E587" s="221"/>
      <c r="F587" s="221"/>
      <c r="G587" s="221"/>
      <c r="H587" s="221"/>
      <c r="I587" s="221"/>
      <c r="J587" s="221"/>
      <c r="K587" s="221"/>
      <c r="L587" s="221"/>
      <c r="M587" s="221"/>
      <c r="N587" s="221"/>
      <c r="O587" s="221"/>
      <c r="P587" s="221"/>
      <c r="Q587" s="221"/>
      <c r="R587" s="221"/>
      <c r="S587" s="221"/>
      <c r="T587" s="221"/>
      <c r="U587" s="221"/>
      <c r="V587" s="221"/>
      <c r="W587" s="221"/>
      <c r="X587" s="221"/>
      <c r="Y587" s="221"/>
      <c r="Z587" s="221"/>
    </row>
    <row r="588" customFormat="false" ht="13.5" hidden="false" customHeight="true" outlineLevel="0" collapsed="false">
      <c r="A588" s="221"/>
      <c r="B588" s="221"/>
      <c r="C588" s="221"/>
      <c r="D588" s="221"/>
      <c r="E588" s="221"/>
      <c r="F588" s="221"/>
      <c r="G588" s="221"/>
      <c r="H588" s="221"/>
      <c r="I588" s="221"/>
      <c r="J588" s="221"/>
      <c r="K588" s="221"/>
      <c r="L588" s="221"/>
      <c r="M588" s="221"/>
      <c r="N588" s="221"/>
      <c r="O588" s="221"/>
      <c r="P588" s="221"/>
      <c r="Q588" s="221"/>
      <c r="R588" s="221"/>
      <c r="S588" s="221"/>
      <c r="T588" s="221"/>
      <c r="U588" s="221"/>
      <c r="V588" s="221"/>
      <c r="W588" s="221"/>
      <c r="X588" s="221"/>
      <c r="Y588" s="221"/>
      <c r="Z588" s="221"/>
    </row>
    <row r="589" customFormat="false" ht="13.5" hidden="false" customHeight="true" outlineLevel="0" collapsed="false">
      <c r="A589" s="221"/>
      <c r="B589" s="221"/>
      <c r="C589" s="221"/>
      <c r="D589" s="221"/>
      <c r="E589" s="221"/>
      <c r="F589" s="221"/>
      <c r="G589" s="221"/>
      <c r="H589" s="221"/>
      <c r="I589" s="221"/>
      <c r="J589" s="221"/>
      <c r="K589" s="221"/>
      <c r="L589" s="221"/>
      <c r="M589" s="221"/>
      <c r="N589" s="221"/>
      <c r="O589" s="221"/>
      <c r="P589" s="221"/>
      <c r="Q589" s="221"/>
      <c r="R589" s="221"/>
      <c r="S589" s="221"/>
      <c r="T589" s="221"/>
      <c r="U589" s="221"/>
      <c r="V589" s="221"/>
      <c r="W589" s="221"/>
      <c r="X589" s="221"/>
      <c r="Y589" s="221"/>
      <c r="Z589" s="221"/>
    </row>
    <row r="590" customFormat="false" ht="13.5" hidden="false" customHeight="true" outlineLevel="0" collapsed="false">
      <c r="A590" s="221"/>
      <c r="B590" s="221"/>
      <c r="C590" s="221"/>
      <c r="D590" s="221"/>
      <c r="E590" s="221"/>
      <c r="F590" s="221"/>
      <c r="G590" s="221"/>
      <c r="H590" s="221"/>
      <c r="I590" s="221"/>
      <c r="J590" s="221"/>
      <c r="K590" s="221"/>
      <c r="L590" s="221"/>
      <c r="M590" s="221"/>
      <c r="N590" s="221"/>
      <c r="O590" s="221"/>
      <c r="P590" s="221"/>
      <c r="Q590" s="221"/>
      <c r="R590" s="221"/>
      <c r="S590" s="221"/>
      <c r="T590" s="221"/>
      <c r="U590" s="221"/>
      <c r="V590" s="221"/>
      <c r="W590" s="221"/>
      <c r="X590" s="221"/>
      <c r="Y590" s="221"/>
      <c r="Z590" s="221"/>
    </row>
    <row r="591" customFormat="false" ht="13.5" hidden="false" customHeight="true" outlineLevel="0" collapsed="false">
      <c r="A591" s="221"/>
      <c r="B591" s="221"/>
      <c r="C591" s="221"/>
      <c r="D591" s="221"/>
      <c r="E591" s="221"/>
      <c r="F591" s="221"/>
      <c r="G591" s="221"/>
      <c r="H591" s="221"/>
      <c r="I591" s="221"/>
      <c r="J591" s="221"/>
      <c r="K591" s="221"/>
      <c r="L591" s="221"/>
      <c r="M591" s="221"/>
      <c r="N591" s="221"/>
      <c r="O591" s="221"/>
      <c r="P591" s="221"/>
      <c r="Q591" s="221"/>
      <c r="R591" s="221"/>
      <c r="S591" s="221"/>
      <c r="T591" s="221"/>
      <c r="U591" s="221"/>
      <c r="V591" s="221"/>
      <c r="W591" s="221"/>
      <c r="X591" s="221"/>
      <c r="Y591" s="221"/>
      <c r="Z591" s="221"/>
    </row>
    <row r="592" customFormat="false" ht="13.5" hidden="false" customHeight="true" outlineLevel="0" collapsed="false">
      <c r="A592" s="221"/>
      <c r="B592" s="221"/>
      <c r="C592" s="221"/>
      <c r="D592" s="221"/>
      <c r="E592" s="221"/>
      <c r="F592" s="221"/>
      <c r="G592" s="221"/>
      <c r="H592" s="221"/>
      <c r="I592" s="221"/>
      <c r="J592" s="221"/>
      <c r="K592" s="221"/>
      <c r="L592" s="221"/>
      <c r="M592" s="221"/>
      <c r="N592" s="221"/>
      <c r="O592" s="221"/>
      <c r="P592" s="221"/>
      <c r="Q592" s="221"/>
      <c r="R592" s="221"/>
      <c r="S592" s="221"/>
      <c r="T592" s="221"/>
      <c r="U592" s="221"/>
      <c r="V592" s="221"/>
      <c r="W592" s="221"/>
      <c r="X592" s="221"/>
      <c r="Y592" s="221"/>
      <c r="Z592" s="221"/>
    </row>
    <row r="593" customFormat="false" ht="13.5" hidden="false" customHeight="true" outlineLevel="0" collapsed="false">
      <c r="A593" s="221"/>
      <c r="B593" s="221"/>
      <c r="C593" s="221"/>
      <c r="D593" s="221"/>
      <c r="E593" s="221"/>
      <c r="F593" s="221"/>
      <c r="G593" s="221"/>
      <c r="H593" s="221"/>
      <c r="I593" s="221"/>
      <c r="J593" s="221"/>
      <c r="K593" s="221"/>
      <c r="L593" s="221"/>
      <c r="M593" s="221"/>
      <c r="N593" s="221"/>
      <c r="O593" s="221"/>
      <c r="P593" s="221"/>
      <c r="Q593" s="221"/>
      <c r="R593" s="221"/>
      <c r="S593" s="221"/>
      <c r="T593" s="221"/>
      <c r="U593" s="221"/>
      <c r="V593" s="221"/>
      <c r="W593" s="221"/>
      <c r="X593" s="221"/>
      <c r="Y593" s="221"/>
      <c r="Z593" s="221"/>
    </row>
    <row r="594" customFormat="false" ht="13.5" hidden="false" customHeight="true" outlineLevel="0" collapsed="false">
      <c r="A594" s="221"/>
      <c r="B594" s="221"/>
      <c r="C594" s="221"/>
      <c r="D594" s="221"/>
      <c r="E594" s="221"/>
      <c r="F594" s="221"/>
      <c r="G594" s="221"/>
      <c r="H594" s="221"/>
      <c r="I594" s="221"/>
      <c r="J594" s="221"/>
      <c r="K594" s="221"/>
      <c r="L594" s="221"/>
      <c r="M594" s="221"/>
      <c r="N594" s="221"/>
      <c r="O594" s="221"/>
      <c r="P594" s="221"/>
      <c r="Q594" s="221"/>
      <c r="R594" s="221"/>
      <c r="S594" s="221"/>
      <c r="T594" s="221"/>
      <c r="U594" s="221"/>
      <c r="V594" s="221"/>
      <c r="W594" s="221"/>
      <c r="X594" s="221"/>
      <c r="Y594" s="221"/>
      <c r="Z594" s="221"/>
    </row>
    <row r="595" customFormat="false" ht="13.5" hidden="false" customHeight="true" outlineLevel="0" collapsed="false">
      <c r="A595" s="221"/>
      <c r="B595" s="221"/>
      <c r="C595" s="221"/>
      <c r="D595" s="221"/>
      <c r="E595" s="221"/>
      <c r="F595" s="221"/>
      <c r="G595" s="221"/>
      <c r="H595" s="221"/>
      <c r="I595" s="221"/>
      <c r="J595" s="221"/>
      <c r="K595" s="221"/>
      <c r="L595" s="221"/>
      <c r="M595" s="221"/>
      <c r="N595" s="221"/>
      <c r="O595" s="221"/>
      <c r="P595" s="221"/>
      <c r="Q595" s="221"/>
      <c r="R595" s="221"/>
      <c r="S595" s="221"/>
      <c r="T595" s="221"/>
      <c r="U595" s="221"/>
      <c r="V595" s="221"/>
      <c r="W595" s="221"/>
      <c r="X595" s="221"/>
      <c r="Y595" s="221"/>
      <c r="Z595" s="221"/>
    </row>
    <row r="596" customFormat="false" ht="13.5" hidden="false" customHeight="true" outlineLevel="0" collapsed="false">
      <c r="A596" s="221"/>
      <c r="B596" s="221"/>
      <c r="C596" s="221"/>
      <c r="D596" s="221"/>
      <c r="E596" s="221"/>
      <c r="F596" s="221"/>
      <c r="G596" s="221"/>
      <c r="H596" s="221"/>
      <c r="I596" s="221"/>
      <c r="J596" s="221"/>
      <c r="K596" s="221"/>
      <c r="L596" s="221"/>
      <c r="M596" s="221"/>
      <c r="N596" s="221"/>
      <c r="O596" s="221"/>
      <c r="P596" s="221"/>
      <c r="Q596" s="221"/>
      <c r="R596" s="221"/>
      <c r="S596" s="221"/>
      <c r="T596" s="221"/>
      <c r="U596" s="221"/>
      <c r="V596" s="221"/>
      <c r="W596" s="221"/>
      <c r="X596" s="221"/>
      <c r="Y596" s="221"/>
      <c r="Z596" s="221"/>
    </row>
    <row r="597" customFormat="false" ht="13.5" hidden="false" customHeight="true" outlineLevel="0" collapsed="false">
      <c r="A597" s="221"/>
      <c r="B597" s="221"/>
      <c r="C597" s="221"/>
      <c r="D597" s="221"/>
      <c r="E597" s="221"/>
      <c r="F597" s="221"/>
      <c r="G597" s="221"/>
      <c r="H597" s="221"/>
      <c r="I597" s="221"/>
      <c r="J597" s="221"/>
      <c r="K597" s="221"/>
      <c r="L597" s="221"/>
      <c r="M597" s="221"/>
      <c r="N597" s="221"/>
      <c r="O597" s="221"/>
      <c r="P597" s="221"/>
      <c r="Q597" s="221"/>
      <c r="R597" s="221"/>
      <c r="S597" s="221"/>
      <c r="T597" s="221"/>
      <c r="U597" s="221"/>
      <c r="V597" s="221"/>
      <c r="W597" s="221"/>
      <c r="X597" s="221"/>
      <c r="Y597" s="221"/>
      <c r="Z597" s="221"/>
    </row>
    <row r="598" customFormat="false" ht="13.5" hidden="false" customHeight="true" outlineLevel="0" collapsed="false">
      <c r="A598" s="221"/>
      <c r="B598" s="221"/>
      <c r="C598" s="221"/>
      <c r="D598" s="221"/>
      <c r="E598" s="221"/>
      <c r="F598" s="221"/>
      <c r="G598" s="221"/>
      <c r="H598" s="221"/>
      <c r="I598" s="221"/>
      <c r="J598" s="221"/>
      <c r="K598" s="221"/>
      <c r="L598" s="221"/>
      <c r="M598" s="221"/>
      <c r="N598" s="221"/>
      <c r="O598" s="221"/>
      <c r="P598" s="221"/>
      <c r="Q598" s="221"/>
      <c r="R598" s="221"/>
      <c r="S598" s="221"/>
      <c r="T598" s="221"/>
      <c r="U598" s="221"/>
      <c r="V598" s="221"/>
      <c r="W598" s="221"/>
      <c r="X598" s="221"/>
      <c r="Y598" s="221"/>
      <c r="Z598" s="221"/>
    </row>
    <row r="599" customFormat="false" ht="13.5" hidden="false" customHeight="true" outlineLevel="0" collapsed="false">
      <c r="A599" s="221"/>
      <c r="B599" s="221"/>
      <c r="C599" s="221"/>
      <c r="D599" s="221"/>
      <c r="E599" s="221"/>
      <c r="F599" s="221"/>
      <c r="G599" s="221"/>
      <c r="H599" s="221"/>
      <c r="I599" s="221"/>
      <c r="J599" s="221"/>
      <c r="K599" s="221"/>
      <c r="L599" s="221"/>
      <c r="M599" s="221"/>
      <c r="N599" s="221"/>
      <c r="O599" s="221"/>
      <c r="P599" s="221"/>
      <c r="Q599" s="221"/>
      <c r="R599" s="221"/>
      <c r="S599" s="221"/>
      <c r="T599" s="221"/>
      <c r="U599" s="221"/>
      <c r="V599" s="221"/>
      <c r="W599" s="221"/>
      <c r="X599" s="221"/>
      <c r="Y599" s="221"/>
      <c r="Z599" s="221"/>
    </row>
    <row r="600" customFormat="false" ht="13.5" hidden="false" customHeight="true" outlineLevel="0" collapsed="false">
      <c r="A600" s="221"/>
      <c r="B600" s="221"/>
      <c r="C600" s="221"/>
      <c r="D600" s="221"/>
      <c r="E600" s="221"/>
      <c r="F600" s="221"/>
      <c r="G600" s="221"/>
      <c r="H600" s="221"/>
      <c r="I600" s="221"/>
      <c r="J600" s="221"/>
      <c r="K600" s="221"/>
      <c r="L600" s="221"/>
      <c r="M600" s="221"/>
      <c r="N600" s="221"/>
      <c r="O600" s="221"/>
      <c r="P600" s="221"/>
      <c r="Q600" s="221"/>
      <c r="R600" s="221"/>
      <c r="S600" s="221"/>
      <c r="T600" s="221"/>
      <c r="U600" s="221"/>
      <c r="V600" s="221"/>
      <c r="W600" s="221"/>
      <c r="X600" s="221"/>
      <c r="Y600" s="221"/>
      <c r="Z600" s="221"/>
    </row>
    <row r="601" customFormat="false" ht="13.5" hidden="false" customHeight="true" outlineLevel="0" collapsed="false">
      <c r="A601" s="221"/>
      <c r="B601" s="221"/>
      <c r="C601" s="221"/>
      <c r="D601" s="221"/>
      <c r="E601" s="221"/>
      <c r="F601" s="221"/>
      <c r="G601" s="221"/>
      <c r="H601" s="221"/>
      <c r="I601" s="221"/>
      <c r="J601" s="221"/>
      <c r="K601" s="221"/>
      <c r="L601" s="221"/>
      <c r="M601" s="221"/>
      <c r="N601" s="221"/>
      <c r="O601" s="221"/>
      <c r="P601" s="221"/>
      <c r="Q601" s="221"/>
      <c r="R601" s="221"/>
      <c r="S601" s="221"/>
      <c r="T601" s="221"/>
      <c r="U601" s="221"/>
      <c r="V601" s="221"/>
      <c r="W601" s="221"/>
      <c r="X601" s="221"/>
      <c r="Y601" s="221"/>
      <c r="Z601" s="221"/>
    </row>
    <row r="602" customFormat="false" ht="13.5" hidden="false" customHeight="true" outlineLevel="0" collapsed="false">
      <c r="A602" s="221"/>
      <c r="B602" s="221"/>
      <c r="C602" s="221"/>
      <c r="D602" s="221"/>
      <c r="E602" s="221"/>
      <c r="F602" s="221"/>
      <c r="G602" s="221"/>
      <c r="H602" s="221"/>
      <c r="I602" s="221"/>
      <c r="J602" s="221"/>
      <c r="K602" s="221"/>
      <c r="L602" s="221"/>
      <c r="M602" s="221"/>
      <c r="N602" s="221"/>
      <c r="O602" s="221"/>
      <c r="P602" s="221"/>
      <c r="Q602" s="221"/>
      <c r="R602" s="221"/>
      <c r="S602" s="221"/>
      <c r="T602" s="221"/>
      <c r="U602" s="221"/>
      <c r="V602" s="221"/>
      <c r="W602" s="221"/>
      <c r="X602" s="221"/>
      <c r="Y602" s="221"/>
      <c r="Z602" s="221"/>
    </row>
    <row r="603" customFormat="false" ht="13.5" hidden="false" customHeight="true" outlineLevel="0" collapsed="false">
      <c r="A603" s="221"/>
      <c r="B603" s="221"/>
      <c r="C603" s="221"/>
      <c r="D603" s="221"/>
      <c r="E603" s="221"/>
      <c r="F603" s="221"/>
      <c r="G603" s="221"/>
      <c r="H603" s="221"/>
      <c r="I603" s="221"/>
      <c r="J603" s="221"/>
      <c r="K603" s="221"/>
      <c r="L603" s="221"/>
      <c r="M603" s="221"/>
      <c r="N603" s="221"/>
      <c r="O603" s="221"/>
      <c r="P603" s="221"/>
      <c r="Q603" s="221"/>
      <c r="R603" s="221"/>
      <c r="S603" s="221"/>
      <c r="T603" s="221"/>
      <c r="U603" s="221"/>
      <c r="V603" s="221"/>
      <c r="W603" s="221"/>
      <c r="X603" s="221"/>
      <c r="Y603" s="221"/>
      <c r="Z603" s="221"/>
    </row>
    <row r="604" customFormat="false" ht="13.5" hidden="false" customHeight="true" outlineLevel="0" collapsed="false">
      <c r="A604" s="221"/>
      <c r="B604" s="221"/>
      <c r="C604" s="221"/>
      <c r="D604" s="221"/>
      <c r="E604" s="221"/>
      <c r="F604" s="221"/>
      <c r="G604" s="221"/>
      <c r="H604" s="221"/>
      <c r="I604" s="221"/>
      <c r="J604" s="221"/>
      <c r="K604" s="221"/>
      <c r="L604" s="221"/>
      <c r="M604" s="221"/>
      <c r="N604" s="221"/>
      <c r="O604" s="221"/>
      <c r="P604" s="221"/>
      <c r="Q604" s="221"/>
      <c r="R604" s="221"/>
      <c r="S604" s="221"/>
      <c r="T604" s="221"/>
      <c r="U604" s="221"/>
      <c r="V604" s="221"/>
      <c r="W604" s="221"/>
      <c r="X604" s="221"/>
      <c r="Y604" s="221"/>
      <c r="Z604" s="221"/>
    </row>
    <row r="605" customFormat="false" ht="13.5" hidden="false" customHeight="true" outlineLevel="0" collapsed="false">
      <c r="A605" s="221"/>
      <c r="B605" s="221"/>
      <c r="C605" s="221"/>
      <c r="D605" s="221"/>
      <c r="E605" s="221"/>
      <c r="F605" s="221"/>
      <c r="G605" s="221"/>
      <c r="H605" s="221"/>
      <c r="I605" s="221"/>
      <c r="J605" s="221"/>
      <c r="K605" s="221"/>
      <c r="L605" s="221"/>
      <c r="M605" s="221"/>
      <c r="N605" s="221"/>
      <c r="O605" s="221"/>
      <c r="P605" s="221"/>
      <c r="Q605" s="221"/>
      <c r="R605" s="221"/>
      <c r="S605" s="221"/>
      <c r="T605" s="221"/>
      <c r="U605" s="221"/>
      <c r="V605" s="221"/>
      <c r="W605" s="221"/>
      <c r="X605" s="221"/>
      <c r="Y605" s="221"/>
      <c r="Z605" s="221"/>
    </row>
    <row r="606" customFormat="false" ht="13.5" hidden="false" customHeight="true" outlineLevel="0" collapsed="false">
      <c r="A606" s="221"/>
      <c r="B606" s="221"/>
      <c r="C606" s="221"/>
      <c r="D606" s="221"/>
      <c r="E606" s="221"/>
      <c r="F606" s="221"/>
      <c r="G606" s="221"/>
      <c r="H606" s="221"/>
      <c r="I606" s="221"/>
      <c r="J606" s="221"/>
      <c r="K606" s="221"/>
      <c r="L606" s="221"/>
      <c r="M606" s="221"/>
      <c r="N606" s="221"/>
      <c r="O606" s="221"/>
      <c r="P606" s="221"/>
      <c r="Q606" s="221"/>
      <c r="R606" s="221"/>
      <c r="S606" s="221"/>
      <c r="T606" s="221"/>
      <c r="U606" s="221"/>
      <c r="V606" s="221"/>
      <c r="W606" s="221"/>
      <c r="X606" s="221"/>
      <c r="Y606" s="221"/>
      <c r="Z606" s="221"/>
    </row>
    <row r="607" customFormat="false" ht="13.5" hidden="false" customHeight="true" outlineLevel="0" collapsed="false">
      <c r="A607" s="221"/>
      <c r="B607" s="221"/>
      <c r="C607" s="221"/>
      <c r="D607" s="221"/>
      <c r="E607" s="221"/>
      <c r="F607" s="221"/>
      <c r="G607" s="221"/>
      <c r="H607" s="221"/>
      <c r="I607" s="221"/>
      <c r="J607" s="221"/>
      <c r="K607" s="221"/>
      <c r="L607" s="221"/>
      <c r="M607" s="221"/>
      <c r="N607" s="221"/>
      <c r="O607" s="221"/>
      <c r="P607" s="221"/>
      <c r="Q607" s="221"/>
      <c r="R607" s="221"/>
      <c r="S607" s="221"/>
      <c r="T607" s="221"/>
      <c r="U607" s="221"/>
      <c r="V607" s="221"/>
      <c r="W607" s="221"/>
      <c r="X607" s="221"/>
      <c r="Y607" s="221"/>
      <c r="Z607" s="221"/>
    </row>
    <row r="608" customFormat="false" ht="13.5" hidden="false" customHeight="true" outlineLevel="0" collapsed="false">
      <c r="A608" s="221"/>
      <c r="B608" s="221"/>
      <c r="C608" s="221"/>
      <c r="D608" s="221"/>
      <c r="E608" s="221"/>
      <c r="F608" s="221"/>
      <c r="G608" s="221"/>
      <c r="H608" s="221"/>
      <c r="I608" s="221"/>
      <c r="J608" s="221"/>
      <c r="K608" s="221"/>
      <c r="L608" s="221"/>
      <c r="M608" s="221"/>
      <c r="N608" s="221"/>
      <c r="O608" s="221"/>
      <c r="P608" s="221"/>
      <c r="Q608" s="221"/>
      <c r="R608" s="221"/>
      <c r="S608" s="221"/>
      <c r="T608" s="221"/>
      <c r="U608" s="221"/>
      <c r="V608" s="221"/>
      <c r="W608" s="221"/>
      <c r="X608" s="221"/>
      <c r="Y608" s="221"/>
      <c r="Z608" s="221"/>
    </row>
    <row r="609" customFormat="false" ht="13.5" hidden="false" customHeight="true" outlineLevel="0" collapsed="false">
      <c r="A609" s="221"/>
      <c r="B609" s="221"/>
      <c r="C609" s="221"/>
      <c r="D609" s="221"/>
      <c r="E609" s="221"/>
      <c r="F609" s="221"/>
      <c r="G609" s="221"/>
      <c r="H609" s="221"/>
      <c r="I609" s="221"/>
      <c r="J609" s="221"/>
      <c r="K609" s="221"/>
      <c r="L609" s="221"/>
      <c r="M609" s="221"/>
      <c r="N609" s="221"/>
      <c r="O609" s="221"/>
      <c r="P609" s="221"/>
      <c r="Q609" s="221"/>
      <c r="R609" s="221"/>
      <c r="S609" s="221"/>
      <c r="T609" s="221"/>
      <c r="U609" s="221"/>
      <c r="V609" s="221"/>
      <c r="W609" s="221"/>
      <c r="X609" s="221"/>
      <c r="Y609" s="221"/>
      <c r="Z609" s="221"/>
    </row>
    <row r="610" customFormat="false" ht="13.5" hidden="false" customHeight="true" outlineLevel="0" collapsed="false">
      <c r="A610" s="221"/>
      <c r="B610" s="221"/>
      <c r="C610" s="221"/>
      <c r="D610" s="221"/>
      <c r="E610" s="221"/>
      <c r="F610" s="221"/>
      <c r="G610" s="221"/>
      <c r="H610" s="221"/>
      <c r="I610" s="221"/>
      <c r="J610" s="221"/>
      <c r="K610" s="221"/>
      <c r="L610" s="221"/>
      <c r="M610" s="221"/>
      <c r="N610" s="221"/>
      <c r="O610" s="221"/>
      <c r="P610" s="221"/>
      <c r="Q610" s="221"/>
      <c r="R610" s="221"/>
      <c r="S610" s="221"/>
      <c r="T610" s="221"/>
      <c r="U610" s="221"/>
      <c r="V610" s="221"/>
      <c r="W610" s="221"/>
      <c r="X610" s="221"/>
      <c r="Y610" s="221"/>
      <c r="Z610" s="221"/>
    </row>
    <row r="611" customFormat="false" ht="13.5" hidden="false" customHeight="true" outlineLevel="0" collapsed="false">
      <c r="A611" s="221"/>
      <c r="B611" s="221"/>
      <c r="C611" s="221"/>
      <c r="D611" s="221"/>
      <c r="E611" s="221"/>
      <c r="F611" s="221"/>
      <c r="G611" s="221"/>
      <c r="H611" s="221"/>
      <c r="I611" s="221"/>
      <c r="J611" s="221"/>
      <c r="K611" s="221"/>
      <c r="L611" s="221"/>
      <c r="M611" s="221"/>
      <c r="N611" s="221"/>
      <c r="O611" s="221"/>
      <c r="P611" s="221"/>
      <c r="Q611" s="221"/>
      <c r="R611" s="221"/>
      <c r="S611" s="221"/>
      <c r="T611" s="221"/>
      <c r="U611" s="221"/>
      <c r="V611" s="221"/>
      <c r="W611" s="221"/>
      <c r="X611" s="221"/>
      <c r="Y611" s="221"/>
      <c r="Z611" s="221"/>
    </row>
    <row r="612" customFormat="false" ht="13.5" hidden="false" customHeight="true" outlineLevel="0" collapsed="false">
      <c r="A612" s="221"/>
      <c r="B612" s="221"/>
      <c r="C612" s="221"/>
      <c r="D612" s="221"/>
      <c r="E612" s="221"/>
      <c r="F612" s="221"/>
      <c r="G612" s="221"/>
      <c r="H612" s="221"/>
      <c r="I612" s="221"/>
      <c r="J612" s="221"/>
      <c r="K612" s="221"/>
      <c r="L612" s="221"/>
      <c r="M612" s="221"/>
      <c r="N612" s="221"/>
      <c r="O612" s="221"/>
      <c r="P612" s="221"/>
      <c r="Q612" s="221"/>
      <c r="R612" s="221"/>
      <c r="S612" s="221"/>
      <c r="T612" s="221"/>
      <c r="U612" s="221"/>
      <c r="V612" s="221"/>
      <c r="W612" s="221"/>
      <c r="X612" s="221"/>
      <c r="Y612" s="221"/>
      <c r="Z612" s="221"/>
    </row>
    <row r="613" customFormat="false" ht="13.5" hidden="false" customHeight="true" outlineLevel="0" collapsed="false">
      <c r="A613" s="221"/>
      <c r="B613" s="221"/>
      <c r="C613" s="221"/>
      <c r="D613" s="221"/>
      <c r="E613" s="221"/>
      <c r="F613" s="221"/>
      <c r="G613" s="221"/>
      <c r="H613" s="221"/>
      <c r="I613" s="221"/>
      <c r="J613" s="221"/>
      <c r="K613" s="221"/>
      <c r="L613" s="221"/>
      <c r="M613" s="221"/>
      <c r="N613" s="221"/>
      <c r="O613" s="221"/>
      <c r="P613" s="221"/>
      <c r="Q613" s="221"/>
      <c r="R613" s="221"/>
      <c r="S613" s="221"/>
      <c r="T613" s="221"/>
      <c r="U613" s="221"/>
      <c r="V613" s="221"/>
      <c r="W613" s="221"/>
      <c r="X613" s="221"/>
      <c r="Y613" s="221"/>
      <c r="Z613" s="221"/>
    </row>
    <row r="614" customFormat="false" ht="13.5" hidden="false" customHeight="true" outlineLevel="0" collapsed="false">
      <c r="A614" s="221"/>
      <c r="B614" s="221"/>
      <c r="C614" s="221"/>
      <c r="D614" s="221"/>
      <c r="E614" s="221"/>
      <c r="F614" s="221"/>
      <c r="G614" s="221"/>
      <c r="H614" s="221"/>
      <c r="I614" s="221"/>
      <c r="J614" s="221"/>
      <c r="K614" s="221"/>
      <c r="L614" s="221"/>
      <c r="M614" s="221"/>
      <c r="N614" s="221"/>
      <c r="O614" s="221"/>
      <c r="P614" s="221"/>
      <c r="Q614" s="221"/>
      <c r="R614" s="221"/>
      <c r="S614" s="221"/>
      <c r="T614" s="221"/>
      <c r="U614" s="221"/>
      <c r="V614" s="221"/>
      <c r="W614" s="221"/>
      <c r="X614" s="221"/>
      <c r="Y614" s="221"/>
      <c r="Z614" s="221"/>
    </row>
    <row r="615" customFormat="false" ht="13.5" hidden="false" customHeight="true" outlineLevel="0" collapsed="false">
      <c r="A615" s="221"/>
      <c r="B615" s="221"/>
      <c r="C615" s="221"/>
      <c r="D615" s="221"/>
      <c r="E615" s="221"/>
      <c r="F615" s="221"/>
      <c r="G615" s="221"/>
      <c r="H615" s="221"/>
      <c r="I615" s="221"/>
      <c r="J615" s="221"/>
      <c r="K615" s="221"/>
      <c r="L615" s="221"/>
      <c r="M615" s="221"/>
      <c r="N615" s="221"/>
      <c r="O615" s="221"/>
      <c r="P615" s="221"/>
      <c r="Q615" s="221"/>
      <c r="R615" s="221"/>
      <c r="S615" s="221"/>
      <c r="T615" s="221"/>
      <c r="U615" s="221"/>
      <c r="V615" s="221"/>
      <c r="W615" s="221"/>
      <c r="X615" s="221"/>
      <c r="Y615" s="221"/>
      <c r="Z615" s="221"/>
    </row>
    <row r="616" customFormat="false" ht="13.5" hidden="false" customHeight="true" outlineLevel="0" collapsed="false">
      <c r="A616" s="221"/>
      <c r="B616" s="221"/>
      <c r="C616" s="221"/>
      <c r="D616" s="221"/>
      <c r="E616" s="221"/>
      <c r="F616" s="221"/>
      <c r="G616" s="221"/>
      <c r="H616" s="221"/>
      <c r="I616" s="221"/>
      <c r="J616" s="221"/>
      <c r="K616" s="221"/>
      <c r="L616" s="221"/>
      <c r="M616" s="221"/>
      <c r="N616" s="221"/>
      <c r="O616" s="221"/>
      <c r="P616" s="221"/>
      <c r="Q616" s="221"/>
      <c r="R616" s="221"/>
      <c r="S616" s="221"/>
      <c r="T616" s="221"/>
      <c r="U616" s="221"/>
      <c r="V616" s="221"/>
      <c r="W616" s="221"/>
      <c r="X616" s="221"/>
      <c r="Y616" s="221"/>
      <c r="Z616" s="221"/>
    </row>
    <row r="617" customFormat="false" ht="13.5" hidden="false" customHeight="true" outlineLevel="0" collapsed="false">
      <c r="A617" s="221"/>
      <c r="B617" s="221"/>
      <c r="C617" s="221"/>
      <c r="D617" s="221"/>
      <c r="E617" s="221"/>
      <c r="F617" s="221"/>
      <c r="G617" s="221"/>
      <c r="H617" s="221"/>
      <c r="I617" s="221"/>
      <c r="J617" s="221"/>
      <c r="K617" s="221"/>
      <c r="L617" s="221"/>
      <c r="M617" s="221"/>
      <c r="N617" s="221"/>
      <c r="O617" s="221"/>
      <c r="P617" s="221"/>
      <c r="Q617" s="221"/>
      <c r="R617" s="221"/>
      <c r="S617" s="221"/>
      <c r="T617" s="221"/>
      <c r="U617" s="221"/>
      <c r="V617" s="221"/>
      <c r="W617" s="221"/>
      <c r="X617" s="221"/>
      <c r="Y617" s="221"/>
      <c r="Z617" s="221"/>
    </row>
    <row r="618" customFormat="false" ht="13.5" hidden="false" customHeight="true" outlineLevel="0" collapsed="false">
      <c r="A618" s="221"/>
      <c r="B618" s="221"/>
      <c r="C618" s="221"/>
      <c r="D618" s="221"/>
      <c r="E618" s="221"/>
      <c r="F618" s="221"/>
      <c r="G618" s="221"/>
      <c r="H618" s="221"/>
      <c r="I618" s="221"/>
      <c r="J618" s="221"/>
      <c r="K618" s="221"/>
      <c r="L618" s="221"/>
      <c r="M618" s="221"/>
      <c r="N618" s="221"/>
      <c r="O618" s="221"/>
      <c r="P618" s="221"/>
      <c r="Q618" s="221"/>
      <c r="R618" s="221"/>
      <c r="S618" s="221"/>
      <c r="T618" s="221"/>
      <c r="U618" s="221"/>
      <c r="V618" s="221"/>
      <c r="W618" s="221"/>
      <c r="X618" s="221"/>
      <c r="Y618" s="221"/>
      <c r="Z618" s="221"/>
    </row>
    <row r="619" customFormat="false" ht="13.5" hidden="false" customHeight="true" outlineLevel="0" collapsed="false">
      <c r="A619" s="221"/>
      <c r="B619" s="221"/>
      <c r="C619" s="221"/>
      <c r="D619" s="221"/>
      <c r="E619" s="221"/>
      <c r="F619" s="221"/>
      <c r="G619" s="221"/>
      <c r="H619" s="221"/>
      <c r="I619" s="221"/>
      <c r="J619" s="221"/>
      <c r="K619" s="221"/>
      <c r="L619" s="221"/>
      <c r="M619" s="221"/>
      <c r="N619" s="221"/>
      <c r="O619" s="221"/>
      <c r="P619" s="221"/>
      <c r="Q619" s="221"/>
      <c r="R619" s="221"/>
      <c r="S619" s="221"/>
      <c r="T619" s="221"/>
      <c r="U619" s="221"/>
      <c r="V619" s="221"/>
      <c r="W619" s="221"/>
      <c r="X619" s="221"/>
      <c r="Y619" s="221"/>
      <c r="Z619" s="221"/>
    </row>
    <row r="620" customFormat="false" ht="13.5" hidden="false" customHeight="true" outlineLevel="0" collapsed="false">
      <c r="A620" s="221"/>
      <c r="B620" s="221"/>
      <c r="C620" s="221"/>
      <c r="D620" s="221"/>
      <c r="E620" s="221"/>
      <c r="F620" s="221"/>
      <c r="G620" s="221"/>
      <c r="H620" s="221"/>
      <c r="I620" s="221"/>
      <c r="J620" s="221"/>
      <c r="K620" s="221"/>
      <c r="L620" s="221"/>
      <c r="M620" s="221"/>
      <c r="N620" s="221"/>
      <c r="O620" s="221"/>
      <c r="P620" s="221"/>
      <c r="Q620" s="221"/>
      <c r="R620" s="221"/>
      <c r="S620" s="221"/>
      <c r="T620" s="221"/>
      <c r="U620" s="221"/>
      <c r="V620" s="221"/>
      <c r="W620" s="221"/>
      <c r="X620" s="221"/>
      <c r="Y620" s="221"/>
      <c r="Z620" s="221"/>
    </row>
    <row r="621" customFormat="false" ht="13.5" hidden="false" customHeight="true" outlineLevel="0" collapsed="false">
      <c r="A621" s="221"/>
      <c r="B621" s="221"/>
      <c r="C621" s="221"/>
      <c r="D621" s="221"/>
      <c r="E621" s="221"/>
      <c r="F621" s="221"/>
      <c r="G621" s="221"/>
      <c r="H621" s="221"/>
      <c r="I621" s="221"/>
      <c r="J621" s="221"/>
      <c r="K621" s="221"/>
      <c r="L621" s="221"/>
      <c r="M621" s="221"/>
      <c r="N621" s="221"/>
      <c r="O621" s="221"/>
      <c r="P621" s="221"/>
      <c r="Q621" s="221"/>
      <c r="R621" s="221"/>
      <c r="S621" s="221"/>
      <c r="T621" s="221"/>
      <c r="U621" s="221"/>
      <c r="V621" s="221"/>
      <c r="W621" s="221"/>
      <c r="X621" s="221"/>
      <c r="Y621" s="221"/>
      <c r="Z621" s="221"/>
    </row>
    <row r="622" customFormat="false" ht="13.5" hidden="false" customHeight="true" outlineLevel="0" collapsed="false">
      <c r="A622" s="221"/>
      <c r="B622" s="221"/>
      <c r="C622" s="221"/>
      <c r="D622" s="221"/>
      <c r="E622" s="221"/>
      <c r="F622" s="221"/>
      <c r="G622" s="221"/>
      <c r="H622" s="221"/>
      <c r="I622" s="221"/>
      <c r="J622" s="221"/>
      <c r="K622" s="221"/>
      <c r="L622" s="221"/>
      <c r="M622" s="221"/>
      <c r="N622" s="221"/>
      <c r="O622" s="221"/>
      <c r="P622" s="221"/>
      <c r="Q622" s="221"/>
      <c r="R622" s="221"/>
      <c r="S622" s="221"/>
      <c r="T622" s="221"/>
      <c r="U622" s="221"/>
      <c r="V622" s="221"/>
      <c r="W622" s="221"/>
      <c r="X622" s="221"/>
      <c r="Y622" s="221"/>
      <c r="Z622" s="221"/>
    </row>
    <row r="623" customFormat="false" ht="13.5" hidden="false" customHeight="true" outlineLevel="0" collapsed="false">
      <c r="A623" s="221"/>
      <c r="B623" s="221"/>
      <c r="C623" s="221"/>
      <c r="D623" s="221"/>
      <c r="E623" s="221"/>
      <c r="F623" s="221"/>
      <c r="G623" s="221"/>
      <c r="H623" s="221"/>
      <c r="I623" s="221"/>
      <c r="J623" s="221"/>
      <c r="K623" s="221"/>
      <c r="L623" s="221"/>
      <c r="M623" s="221"/>
      <c r="N623" s="221"/>
      <c r="O623" s="221"/>
      <c r="P623" s="221"/>
      <c r="Q623" s="221"/>
      <c r="R623" s="221"/>
      <c r="S623" s="221"/>
      <c r="T623" s="221"/>
      <c r="U623" s="221"/>
      <c r="V623" s="221"/>
      <c r="W623" s="221"/>
      <c r="X623" s="221"/>
      <c r="Y623" s="221"/>
      <c r="Z623" s="221"/>
    </row>
    <row r="624" customFormat="false" ht="13.5" hidden="false" customHeight="true" outlineLevel="0" collapsed="false">
      <c r="A624" s="221"/>
      <c r="B624" s="221"/>
      <c r="C624" s="221"/>
      <c r="D624" s="221"/>
      <c r="E624" s="221"/>
      <c r="F624" s="221"/>
      <c r="G624" s="221"/>
      <c r="H624" s="221"/>
      <c r="I624" s="221"/>
      <c r="J624" s="221"/>
      <c r="K624" s="221"/>
      <c r="L624" s="221"/>
      <c r="M624" s="221"/>
      <c r="N624" s="221"/>
      <c r="O624" s="221"/>
      <c r="P624" s="221"/>
      <c r="Q624" s="221"/>
      <c r="R624" s="221"/>
      <c r="S624" s="221"/>
      <c r="T624" s="221"/>
      <c r="U624" s="221"/>
      <c r="V624" s="221"/>
      <c r="W624" s="221"/>
      <c r="X624" s="221"/>
      <c r="Y624" s="221"/>
      <c r="Z624" s="221"/>
    </row>
    <row r="625" customFormat="false" ht="13.5" hidden="false" customHeight="true" outlineLevel="0" collapsed="false">
      <c r="A625" s="221"/>
      <c r="B625" s="221"/>
      <c r="C625" s="221"/>
      <c r="D625" s="221"/>
      <c r="E625" s="221"/>
      <c r="F625" s="221"/>
      <c r="G625" s="221"/>
      <c r="H625" s="221"/>
      <c r="I625" s="221"/>
      <c r="J625" s="221"/>
      <c r="K625" s="221"/>
      <c r="L625" s="221"/>
      <c r="M625" s="221"/>
      <c r="N625" s="221"/>
      <c r="O625" s="221"/>
      <c r="P625" s="221"/>
      <c r="Q625" s="221"/>
      <c r="R625" s="221"/>
      <c r="S625" s="221"/>
      <c r="T625" s="221"/>
      <c r="U625" s="221"/>
      <c r="V625" s="221"/>
      <c r="W625" s="221"/>
      <c r="X625" s="221"/>
      <c r="Y625" s="221"/>
      <c r="Z625" s="221"/>
    </row>
    <row r="626" customFormat="false" ht="13.5" hidden="false" customHeight="true" outlineLevel="0" collapsed="false">
      <c r="A626" s="221"/>
      <c r="B626" s="221"/>
      <c r="C626" s="221"/>
      <c r="D626" s="221"/>
      <c r="E626" s="221"/>
      <c r="F626" s="221"/>
      <c r="G626" s="221"/>
      <c r="H626" s="221"/>
      <c r="I626" s="221"/>
      <c r="J626" s="221"/>
      <c r="K626" s="221"/>
      <c r="L626" s="221"/>
      <c r="M626" s="221"/>
      <c r="N626" s="221"/>
      <c r="O626" s="221"/>
      <c r="P626" s="221"/>
      <c r="Q626" s="221"/>
      <c r="R626" s="221"/>
      <c r="S626" s="221"/>
      <c r="T626" s="221"/>
      <c r="U626" s="221"/>
      <c r="V626" s="221"/>
      <c r="W626" s="221"/>
      <c r="X626" s="221"/>
      <c r="Y626" s="221"/>
      <c r="Z626" s="221"/>
    </row>
    <row r="627" customFormat="false" ht="13.5" hidden="false" customHeight="true" outlineLevel="0" collapsed="false">
      <c r="A627" s="221"/>
      <c r="B627" s="221"/>
      <c r="C627" s="221"/>
      <c r="D627" s="221"/>
      <c r="E627" s="221"/>
      <c r="F627" s="221"/>
      <c r="G627" s="221"/>
      <c r="H627" s="221"/>
      <c r="I627" s="221"/>
      <c r="J627" s="221"/>
      <c r="K627" s="221"/>
      <c r="L627" s="221"/>
      <c r="M627" s="221"/>
      <c r="N627" s="221"/>
      <c r="O627" s="221"/>
      <c r="P627" s="221"/>
      <c r="Q627" s="221"/>
      <c r="R627" s="221"/>
      <c r="S627" s="221"/>
      <c r="T627" s="221"/>
      <c r="U627" s="221"/>
      <c r="V627" s="221"/>
      <c r="W627" s="221"/>
      <c r="X627" s="221"/>
      <c r="Y627" s="221"/>
      <c r="Z627" s="221"/>
    </row>
    <row r="628" customFormat="false" ht="13.5" hidden="false" customHeight="true" outlineLevel="0" collapsed="false">
      <c r="A628" s="221"/>
      <c r="B628" s="221"/>
      <c r="C628" s="221"/>
      <c r="D628" s="221"/>
      <c r="E628" s="221"/>
      <c r="F628" s="221"/>
      <c r="G628" s="221"/>
      <c r="H628" s="221"/>
      <c r="I628" s="221"/>
      <c r="J628" s="221"/>
      <c r="K628" s="221"/>
      <c r="L628" s="221"/>
      <c r="M628" s="221"/>
      <c r="N628" s="221"/>
      <c r="O628" s="221"/>
      <c r="P628" s="221"/>
      <c r="Q628" s="221"/>
      <c r="R628" s="221"/>
      <c r="S628" s="221"/>
      <c r="T628" s="221"/>
      <c r="U628" s="221"/>
      <c r="V628" s="221"/>
      <c r="W628" s="221"/>
      <c r="X628" s="221"/>
      <c r="Y628" s="221"/>
      <c r="Z628" s="221"/>
    </row>
    <row r="629" customFormat="false" ht="13.5" hidden="false" customHeight="true" outlineLevel="0" collapsed="false">
      <c r="A629" s="221"/>
      <c r="B629" s="221"/>
      <c r="C629" s="221"/>
      <c r="D629" s="221"/>
      <c r="E629" s="221"/>
      <c r="F629" s="221"/>
      <c r="G629" s="221"/>
      <c r="H629" s="221"/>
      <c r="I629" s="221"/>
      <c r="J629" s="221"/>
      <c r="K629" s="221"/>
      <c r="L629" s="221"/>
      <c r="M629" s="221"/>
      <c r="N629" s="221"/>
      <c r="O629" s="221"/>
      <c r="P629" s="221"/>
      <c r="Q629" s="221"/>
      <c r="R629" s="221"/>
      <c r="S629" s="221"/>
      <c r="T629" s="221"/>
      <c r="U629" s="221"/>
      <c r="V629" s="221"/>
      <c r="W629" s="221"/>
      <c r="X629" s="221"/>
      <c r="Y629" s="221"/>
      <c r="Z629" s="221"/>
    </row>
    <row r="630" customFormat="false" ht="13.5" hidden="false" customHeight="true" outlineLevel="0" collapsed="false">
      <c r="A630" s="221"/>
      <c r="B630" s="221"/>
      <c r="C630" s="221"/>
      <c r="D630" s="221"/>
      <c r="E630" s="221"/>
      <c r="F630" s="221"/>
      <c r="G630" s="221"/>
      <c r="H630" s="221"/>
      <c r="I630" s="221"/>
      <c r="J630" s="221"/>
      <c r="K630" s="221"/>
      <c r="L630" s="221"/>
      <c r="M630" s="221"/>
      <c r="N630" s="221"/>
      <c r="O630" s="221"/>
      <c r="P630" s="221"/>
      <c r="Q630" s="221"/>
      <c r="R630" s="221"/>
      <c r="S630" s="221"/>
      <c r="T630" s="221"/>
      <c r="U630" s="221"/>
      <c r="V630" s="221"/>
      <c r="W630" s="221"/>
      <c r="X630" s="221"/>
      <c r="Y630" s="221"/>
      <c r="Z630" s="221"/>
    </row>
    <row r="631" customFormat="false" ht="13.5" hidden="false" customHeight="true" outlineLevel="0" collapsed="false">
      <c r="A631" s="221"/>
      <c r="B631" s="221"/>
      <c r="C631" s="221"/>
      <c r="D631" s="221"/>
      <c r="E631" s="221"/>
      <c r="F631" s="221"/>
      <c r="G631" s="221"/>
      <c r="H631" s="221"/>
      <c r="I631" s="221"/>
      <c r="J631" s="221"/>
      <c r="K631" s="221"/>
      <c r="L631" s="221"/>
      <c r="M631" s="221"/>
      <c r="N631" s="221"/>
      <c r="O631" s="221"/>
      <c r="P631" s="221"/>
      <c r="Q631" s="221"/>
      <c r="R631" s="221"/>
      <c r="S631" s="221"/>
      <c r="T631" s="221"/>
      <c r="U631" s="221"/>
      <c r="V631" s="221"/>
      <c r="W631" s="221"/>
      <c r="X631" s="221"/>
      <c r="Y631" s="221"/>
      <c r="Z631" s="221"/>
    </row>
    <row r="632" customFormat="false" ht="13.5" hidden="false" customHeight="true" outlineLevel="0" collapsed="false">
      <c r="A632" s="221"/>
      <c r="B632" s="221"/>
      <c r="C632" s="221"/>
      <c r="D632" s="221"/>
      <c r="E632" s="221"/>
      <c r="F632" s="221"/>
      <c r="G632" s="221"/>
      <c r="H632" s="221"/>
      <c r="I632" s="221"/>
      <c r="J632" s="221"/>
      <c r="K632" s="221"/>
      <c r="L632" s="221"/>
      <c r="M632" s="221"/>
      <c r="N632" s="221"/>
      <c r="O632" s="221"/>
      <c r="P632" s="221"/>
      <c r="Q632" s="221"/>
      <c r="R632" s="221"/>
      <c r="S632" s="221"/>
      <c r="T632" s="221"/>
      <c r="U632" s="221"/>
      <c r="V632" s="221"/>
      <c r="W632" s="221"/>
      <c r="X632" s="221"/>
      <c r="Y632" s="221"/>
      <c r="Z632" s="221"/>
    </row>
    <row r="633" customFormat="false" ht="13.5" hidden="false" customHeight="true" outlineLevel="0" collapsed="false">
      <c r="A633" s="221"/>
      <c r="B633" s="221"/>
      <c r="C633" s="221"/>
      <c r="D633" s="221"/>
      <c r="E633" s="221"/>
      <c r="F633" s="221"/>
      <c r="G633" s="221"/>
      <c r="H633" s="221"/>
      <c r="I633" s="221"/>
      <c r="J633" s="221"/>
      <c r="K633" s="221"/>
      <c r="L633" s="221"/>
      <c r="M633" s="221"/>
      <c r="N633" s="221"/>
      <c r="O633" s="221"/>
      <c r="P633" s="221"/>
      <c r="Q633" s="221"/>
      <c r="R633" s="221"/>
      <c r="S633" s="221"/>
      <c r="T633" s="221"/>
      <c r="U633" s="221"/>
      <c r="V633" s="221"/>
      <c r="W633" s="221"/>
      <c r="X633" s="221"/>
      <c r="Y633" s="221"/>
      <c r="Z633" s="221"/>
    </row>
    <row r="634" customFormat="false" ht="13.5" hidden="false" customHeight="true" outlineLevel="0" collapsed="false">
      <c r="A634" s="221"/>
      <c r="B634" s="221"/>
      <c r="C634" s="221"/>
      <c r="D634" s="221"/>
      <c r="E634" s="221"/>
      <c r="F634" s="221"/>
      <c r="G634" s="221"/>
      <c r="H634" s="221"/>
      <c r="I634" s="221"/>
      <c r="J634" s="221"/>
      <c r="K634" s="221"/>
      <c r="L634" s="221"/>
      <c r="M634" s="221"/>
      <c r="N634" s="221"/>
      <c r="O634" s="221"/>
      <c r="P634" s="221"/>
      <c r="Q634" s="221"/>
      <c r="R634" s="221"/>
      <c r="S634" s="221"/>
      <c r="T634" s="221"/>
      <c r="U634" s="221"/>
      <c r="V634" s="221"/>
      <c r="W634" s="221"/>
      <c r="X634" s="221"/>
      <c r="Y634" s="221"/>
      <c r="Z634" s="221"/>
    </row>
    <row r="635" customFormat="false" ht="13.5" hidden="false" customHeight="true" outlineLevel="0" collapsed="false">
      <c r="A635" s="221"/>
      <c r="B635" s="221"/>
      <c r="C635" s="221"/>
      <c r="D635" s="221"/>
      <c r="E635" s="221"/>
      <c r="F635" s="221"/>
      <c r="G635" s="221"/>
      <c r="H635" s="221"/>
      <c r="I635" s="221"/>
      <c r="J635" s="221"/>
      <c r="K635" s="221"/>
      <c r="L635" s="221"/>
      <c r="M635" s="221"/>
      <c r="N635" s="221"/>
      <c r="O635" s="221"/>
      <c r="P635" s="221"/>
      <c r="Q635" s="221"/>
      <c r="R635" s="221"/>
      <c r="S635" s="221"/>
      <c r="T635" s="221"/>
      <c r="U635" s="221"/>
      <c r="V635" s="221"/>
      <c r="W635" s="221"/>
      <c r="X635" s="221"/>
      <c r="Y635" s="221"/>
      <c r="Z635" s="221"/>
    </row>
    <row r="636" customFormat="false" ht="13.5" hidden="false" customHeight="true" outlineLevel="0" collapsed="false">
      <c r="A636" s="221"/>
      <c r="B636" s="221"/>
      <c r="C636" s="221"/>
      <c r="D636" s="221"/>
      <c r="E636" s="221"/>
      <c r="F636" s="221"/>
      <c r="G636" s="221"/>
      <c r="H636" s="221"/>
      <c r="I636" s="221"/>
      <c r="J636" s="221"/>
      <c r="K636" s="221"/>
      <c r="L636" s="221"/>
      <c r="M636" s="221"/>
      <c r="N636" s="221"/>
      <c r="O636" s="221"/>
      <c r="P636" s="221"/>
      <c r="Q636" s="221"/>
      <c r="R636" s="221"/>
      <c r="S636" s="221"/>
      <c r="T636" s="221"/>
      <c r="U636" s="221"/>
      <c r="V636" s="221"/>
      <c r="W636" s="221"/>
      <c r="X636" s="221"/>
      <c r="Y636" s="221"/>
      <c r="Z636" s="221"/>
    </row>
    <row r="637" customFormat="false" ht="13.5" hidden="false" customHeight="true" outlineLevel="0" collapsed="false">
      <c r="A637" s="221"/>
      <c r="B637" s="221"/>
      <c r="C637" s="221"/>
      <c r="D637" s="221"/>
      <c r="E637" s="221"/>
      <c r="F637" s="221"/>
      <c r="G637" s="221"/>
      <c r="H637" s="221"/>
      <c r="I637" s="221"/>
      <c r="J637" s="221"/>
      <c r="K637" s="221"/>
      <c r="L637" s="221"/>
      <c r="M637" s="221"/>
      <c r="N637" s="221"/>
      <c r="O637" s="221"/>
      <c r="P637" s="221"/>
      <c r="Q637" s="221"/>
      <c r="R637" s="221"/>
      <c r="S637" s="221"/>
      <c r="T637" s="221"/>
      <c r="U637" s="221"/>
      <c r="V637" s="221"/>
      <c r="W637" s="221"/>
      <c r="X637" s="221"/>
      <c r="Y637" s="221"/>
      <c r="Z637" s="221"/>
    </row>
    <row r="638" customFormat="false" ht="13.5" hidden="false" customHeight="true" outlineLevel="0" collapsed="false">
      <c r="A638" s="221"/>
      <c r="B638" s="221"/>
      <c r="C638" s="221"/>
      <c r="D638" s="221"/>
      <c r="E638" s="221"/>
      <c r="F638" s="221"/>
      <c r="G638" s="221"/>
      <c r="H638" s="221"/>
      <c r="I638" s="221"/>
      <c r="J638" s="221"/>
      <c r="K638" s="221"/>
      <c r="L638" s="221"/>
      <c r="M638" s="221"/>
      <c r="N638" s="221"/>
      <c r="O638" s="221"/>
      <c r="P638" s="221"/>
      <c r="Q638" s="221"/>
      <c r="R638" s="221"/>
      <c r="S638" s="221"/>
      <c r="T638" s="221"/>
      <c r="U638" s="221"/>
      <c r="V638" s="221"/>
      <c r="W638" s="221"/>
      <c r="X638" s="221"/>
      <c r="Y638" s="221"/>
      <c r="Z638" s="221"/>
    </row>
    <row r="639" customFormat="false" ht="13.5" hidden="false" customHeight="true" outlineLevel="0" collapsed="false">
      <c r="A639" s="221"/>
      <c r="B639" s="221"/>
      <c r="C639" s="221"/>
      <c r="D639" s="221"/>
      <c r="E639" s="221"/>
      <c r="F639" s="221"/>
      <c r="G639" s="221"/>
      <c r="H639" s="221"/>
      <c r="I639" s="221"/>
      <c r="J639" s="221"/>
      <c r="K639" s="221"/>
      <c r="L639" s="221"/>
      <c r="M639" s="221"/>
      <c r="N639" s="221"/>
      <c r="O639" s="221"/>
      <c r="P639" s="221"/>
      <c r="Q639" s="221"/>
      <c r="R639" s="221"/>
      <c r="S639" s="221"/>
      <c r="T639" s="221"/>
      <c r="U639" s="221"/>
      <c r="V639" s="221"/>
      <c r="W639" s="221"/>
      <c r="X639" s="221"/>
      <c r="Y639" s="221"/>
      <c r="Z639" s="221"/>
    </row>
    <row r="640" customFormat="false" ht="13.5" hidden="false" customHeight="true" outlineLevel="0" collapsed="false">
      <c r="A640" s="221"/>
      <c r="B640" s="221"/>
      <c r="C640" s="221"/>
      <c r="D640" s="221"/>
      <c r="E640" s="221"/>
      <c r="F640" s="221"/>
      <c r="G640" s="221"/>
      <c r="H640" s="221"/>
      <c r="I640" s="221"/>
      <c r="J640" s="221"/>
      <c r="K640" s="221"/>
      <c r="L640" s="221"/>
      <c r="M640" s="221"/>
      <c r="N640" s="221"/>
      <c r="O640" s="221"/>
      <c r="P640" s="221"/>
      <c r="Q640" s="221"/>
      <c r="R640" s="221"/>
      <c r="S640" s="221"/>
      <c r="T640" s="221"/>
      <c r="U640" s="221"/>
      <c r="V640" s="221"/>
      <c r="W640" s="221"/>
      <c r="X640" s="221"/>
      <c r="Y640" s="221"/>
      <c r="Z640" s="221"/>
    </row>
    <row r="641" customFormat="false" ht="13.5" hidden="false" customHeight="true" outlineLevel="0" collapsed="false">
      <c r="A641" s="221"/>
      <c r="B641" s="221"/>
      <c r="C641" s="221"/>
      <c r="D641" s="221"/>
      <c r="E641" s="221"/>
      <c r="F641" s="221"/>
      <c r="G641" s="221"/>
      <c r="H641" s="221"/>
      <c r="I641" s="221"/>
      <c r="J641" s="221"/>
      <c r="K641" s="221"/>
      <c r="L641" s="221"/>
      <c r="M641" s="221"/>
      <c r="N641" s="221"/>
      <c r="O641" s="221"/>
      <c r="P641" s="221"/>
      <c r="Q641" s="221"/>
      <c r="R641" s="221"/>
      <c r="S641" s="221"/>
      <c r="T641" s="221"/>
      <c r="U641" s="221"/>
      <c r="V641" s="221"/>
      <c r="W641" s="221"/>
      <c r="X641" s="221"/>
      <c r="Y641" s="221"/>
      <c r="Z641" s="221"/>
    </row>
    <row r="642" customFormat="false" ht="13.5" hidden="false" customHeight="true" outlineLevel="0" collapsed="false">
      <c r="A642" s="221"/>
      <c r="B642" s="221"/>
      <c r="C642" s="221"/>
      <c r="D642" s="221"/>
      <c r="E642" s="221"/>
      <c r="F642" s="221"/>
      <c r="G642" s="221"/>
      <c r="H642" s="221"/>
      <c r="I642" s="221"/>
      <c r="J642" s="221"/>
      <c r="K642" s="221"/>
      <c r="L642" s="221"/>
      <c r="M642" s="221"/>
      <c r="N642" s="221"/>
      <c r="O642" s="221"/>
      <c r="P642" s="221"/>
      <c r="Q642" s="221"/>
      <c r="R642" s="221"/>
      <c r="S642" s="221"/>
      <c r="T642" s="221"/>
      <c r="U642" s="221"/>
      <c r="V642" s="221"/>
      <c r="W642" s="221"/>
      <c r="X642" s="221"/>
      <c r="Y642" s="221"/>
      <c r="Z642" s="221"/>
    </row>
    <row r="643" customFormat="false" ht="13.5" hidden="false" customHeight="true" outlineLevel="0" collapsed="false">
      <c r="A643" s="221"/>
      <c r="B643" s="221"/>
      <c r="C643" s="221"/>
      <c r="D643" s="221"/>
      <c r="E643" s="221"/>
      <c r="F643" s="221"/>
      <c r="G643" s="221"/>
      <c r="H643" s="221"/>
      <c r="I643" s="221"/>
      <c r="J643" s="221"/>
      <c r="K643" s="221"/>
      <c r="L643" s="221"/>
      <c r="M643" s="221"/>
      <c r="N643" s="221"/>
      <c r="O643" s="221"/>
      <c r="P643" s="221"/>
      <c r="Q643" s="221"/>
      <c r="R643" s="221"/>
      <c r="S643" s="221"/>
      <c r="T643" s="221"/>
      <c r="U643" s="221"/>
      <c r="V643" s="221"/>
      <c r="W643" s="221"/>
      <c r="X643" s="221"/>
      <c r="Y643" s="221"/>
      <c r="Z643" s="221"/>
    </row>
    <row r="644" customFormat="false" ht="13.5" hidden="false" customHeight="true" outlineLevel="0" collapsed="false">
      <c r="A644" s="221"/>
      <c r="B644" s="221"/>
      <c r="C644" s="221"/>
      <c r="D644" s="221"/>
      <c r="E644" s="221"/>
      <c r="F644" s="221"/>
      <c r="G644" s="221"/>
      <c r="H644" s="221"/>
      <c r="I644" s="221"/>
      <c r="J644" s="221"/>
      <c r="K644" s="221"/>
      <c r="L644" s="221"/>
      <c r="M644" s="221"/>
      <c r="N644" s="221"/>
      <c r="O644" s="221"/>
      <c r="P644" s="221"/>
      <c r="Q644" s="221"/>
      <c r="R644" s="221"/>
      <c r="S644" s="221"/>
      <c r="T644" s="221"/>
      <c r="U644" s="221"/>
      <c r="V644" s="221"/>
      <c r="W644" s="221"/>
      <c r="X644" s="221"/>
      <c r="Y644" s="221"/>
      <c r="Z644" s="221"/>
    </row>
    <row r="645" customFormat="false" ht="13.5" hidden="false" customHeight="true" outlineLevel="0" collapsed="false">
      <c r="A645" s="221"/>
      <c r="B645" s="221"/>
      <c r="C645" s="221"/>
      <c r="D645" s="221"/>
      <c r="E645" s="221"/>
      <c r="F645" s="221"/>
      <c r="G645" s="221"/>
      <c r="H645" s="221"/>
      <c r="I645" s="221"/>
      <c r="J645" s="221"/>
      <c r="K645" s="221"/>
      <c r="L645" s="221"/>
      <c r="M645" s="221"/>
      <c r="N645" s="221"/>
      <c r="O645" s="221"/>
      <c r="P645" s="221"/>
      <c r="Q645" s="221"/>
      <c r="R645" s="221"/>
      <c r="S645" s="221"/>
      <c r="T645" s="221"/>
      <c r="U645" s="221"/>
      <c r="V645" s="221"/>
      <c r="W645" s="221"/>
      <c r="X645" s="221"/>
      <c r="Y645" s="221"/>
      <c r="Z645" s="221"/>
    </row>
    <row r="646" customFormat="false" ht="13.5" hidden="false" customHeight="true" outlineLevel="0" collapsed="false">
      <c r="A646" s="221"/>
      <c r="B646" s="221"/>
      <c r="C646" s="221"/>
      <c r="D646" s="221"/>
      <c r="E646" s="221"/>
      <c r="F646" s="221"/>
      <c r="G646" s="221"/>
      <c r="H646" s="221"/>
      <c r="I646" s="221"/>
      <c r="J646" s="221"/>
      <c r="K646" s="221"/>
      <c r="L646" s="221"/>
      <c r="M646" s="221"/>
      <c r="N646" s="221"/>
      <c r="O646" s="221"/>
      <c r="P646" s="221"/>
      <c r="Q646" s="221"/>
      <c r="R646" s="221"/>
      <c r="S646" s="221"/>
      <c r="T646" s="221"/>
      <c r="U646" s="221"/>
      <c r="V646" s="221"/>
      <c r="W646" s="221"/>
      <c r="X646" s="221"/>
      <c r="Y646" s="221"/>
      <c r="Z646" s="221"/>
    </row>
    <row r="647" customFormat="false" ht="13.5" hidden="false" customHeight="true" outlineLevel="0" collapsed="false">
      <c r="A647" s="221"/>
      <c r="B647" s="221"/>
      <c r="C647" s="221"/>
      <c r="D647" s="221"/>
      <c r="E647" s="221"/>
      <c r="F647" s="221"/>
      <c r="G647" s="221"/>
      <c r="H647" s="221"/>
      <c r="I647" s="221"/>
      <c r="J647" s="221"/>
      <c r="K647" s="221"/>
      <c r="L647" s="221"/>
      <c r="M647" s="221"/>
      <c r="N647" s="221"/>
      <c r="O647" s="221"/>
      <c r="P647" s="221"/>
      <c r="Q647" s="221"/>
      <c r="R647" s="221"/>
      <c r="S647" s="221"/>
      <c r="T647" s="221"/>
      <c r="U647" s="221"/>
      <c r="V647" s="221"/>
      <c r="W647" s="221"/>
      <c r="X647" s="221"/>
      <c r="Y647" s="221"/>
      <c r="Z647" s="221"/>
    </row>
    <row r="648" customFormat="false" ht="13.5" hidden="false" customHeight="true" outlineLevel="0" collapsed="false">
      <c r="A648" s="221"/>
      <c r="B648" s="221"/>
      <c r="C648" s="221"/>
      <c r="D648" s="221"/>
      <c r="E648" s="221"/>
      <c r="F648" s="221"/>
      <c r="G648" s="221"/>
      <c r="H648" s="221"/>
      <c r="I648" s="221"/>
      <c r="J648" s="221"/>
      <c r="K648" s="221"/>
      <c r="L648" s="221"/>
      <c r="M648" s="221"/>
      <c r="N648" s="221"/>
      <c r="O648" s="221"/>
      <c r="P648" s="221"/>
      <c r="Q648" s="221"/>
      <c r="R648" s="221"/>
      <c r="S648" s="221"/>
      <c r="T648" s="221"/>
      <c r="U648" s="221"/>
      <c r="V648" s="221"/>
      <c r="W648" s="221"/>
      <c r="X648" s="221"/>
      <c r="Y648" s="221"/>
      <c r="Z648" s="221"/>
    </row>
    <row r="649" customFormat="false" ht="13.5" hidden="false" customHeight="true" outlineLevel="0" collapsed="false">
      <c r="A649" s="221"/>
      <c r="B649" s="221"/>
      <c r="C649" s="221"/>
      <c r="D649" s="221"/>
      <c r="E649" s="221"/>
      <c r="F649" s="221"/>
      <c r="G649" s="221"/>
      <c r="H649" s="221"/>
      <c r="I649" s="221"/>
      <c r="J649" s="221"/>
      <c r="K649" s="221"/>
      <c r="L649" s="221"/>
      <c r="M649" s="221"/>
      <c r="N649" s="221"/>
      <c r="O649" s="221"/>
      <c r="P649" s="221"/>
      <c r="Q649" s="221"/>
      <c r="R649" s="221"/>
      <c r="S649" s="221"/>
      <c r="T649" s="221"/>
      <c r="U649" s="221"/>
      <c r="V649" s="221"/>
      <c r="W649" s="221"/>
      <c r="X649" s="221"/>
      <c r="Y649" s="221"/>
      <c r="Z649" s="221"/>
    </row>
    <row r="650" customFormat="false" ht="13.5" hidden="false" customHeight="true" outlineLevel="0" collapsed="false">
      <c r="A650" s="221"/>
      <c r="B650" s="221"/>
      <c r="C650" s="221"/>
      <c r="D650" s="221"/>
      <c r="E650" s="221"/>
      <c r="F650" s="221"/>
      <c r="G650" s="221"/>
      <c r="H650" s="221"/>
      <c r="I650" s="221"/>
      <c r="J650" s="221"/>
      <c r="K650" s="221"/>
      <c r="L650" s="221"/>
      <c r="M650" s="221"/>
      <c r="N650" s="221"/>
      <c r="O650" s="221"/>
      <c r="P650" s="221"/>
      <c r="Q650" s="221"/>
      <c r="R650" s="221"/>
      <c r="S650" s="221"/>
      <c r="T650" s="221"/>
      <c r="U650" s="221"/>
      <c r="V650" s="221"/>
      <c r="W650" s="221"/>
      <c r="X650" s="221"/>
      <c r="Y650" s="221"/>
      <c r="Z650" s="221"/>
    </row>
    <row r="651" customFormat="false" ht="13.5" hidden="false" customHeight="true" outlineLevel="0" collapsed="false">
      <c r="A651" s="221"/>
      <c r="B651" s="221"/>
      <c r="C651" s="221"/>
      <c r="D651" s="221"/>
      <c r="E651" s="221"/>
      <c r="F651" s="221"/>
      <c r="G651" s="221"/>
      <c r="H651" s="221"/>
      <c r="I651" s="221"/>
      <c r="J651" s="221"/>
      <c r="K651" s="221"/>
      <c r="L651" s="221"/>
      <c r="M651" s="221"/>
      <c r="N651" s="221"/>
      <c r="O651" s="221"/>
      <c r="P651" s="221"/>
      <c r="Q651" s="221"/>
      <c r="R651" s="221"/>
      <c r="S651" s="221"/>
      <c r="T651" s="221"/>
      <c r="U651" s="221"/>
      <c r="V651" s="221"/>
      <c r="W651" s="221"/>
      <c r="X651" s="221"/>
      <c r="Y651" s="221"/>
      <c r="Z651" s="221"/>
    </row>
    <row r="652" customFormat="false" ht="13.5" hidden="false" customHeight="true" outlineLevel="0" collapsed="false">
      <c r="A652" s="221"/>
      <c r="B652" s="221"/>
      <c r="C652" s="221"/>
      <c r="D652" s="221"/>
      <c r="E652" s="221"/>
      <c r="F652" s="221"/>
      <c r="G652" s="221"/>
      <c r="H652" s="221"/>
      <c r="I652" s="221"/>
      <c r="J652" s="221"/>
      <c r="K652" s="221"/>
      <c r="L652" s="221"/>
      <c r="M652" s="221"/>
      <c r="N652" s="221"/>
      <c r="O652" s="221"/>
      <c r="P652" s="221"/>
      <c r="Q652" s="221"/>
      <c r="R652" s="221"/>
      <c r="S652" s="221"/>
      <c r="T652" s="221"/>
      <c r="U652" s="221"/>
      <c r="V652" s="221"/>
      <c r="W652" s="221"/>
      <c r="X652" s="221"/>
      <c r="Y652" s="221"/>
      <c r="Z652" s="221"/>
    </row>
    <row r="653" customFormat="false" ht="13.5" hidden="false" customHeight="true" outlineLevel="0" collapsed="false">
      <c r="A653" s="221"/>
      <c r="B653" s="221"/>
      <c r="C653" s="221"/>
      <c r="D653" s="221"/>
      <c r="E653" s="221"/>
      <c r="F653" s="221"/>
      <c r="G653" s="221"/>
      <c r="H653" s="221"/>
      <c r="I653" s="221"/>
      <c r="J653" s="221"/>
      <c r="K653" s="221"/>
      <c r="L653" s="221"/>
      <c r="M653" s="221"/>
      <c r="N653" s="221"/>
      <c r="O653" s="221"/>
      <c r="P653" s="221"/>
      <c r="Q653" s="221"/>
      <c r="R653" s="221"/>
      <c r="S653" s="221"/>
      <c r="T653" s="221"/>
      <c r="U653" s="221"/>
      <c r="V653" s="221"/>
      <c r="W653" s="221"/>
      <c r="X653" s="221"/>
      <c r="Y653" s="221"/>
      <c r="Z653" s="221"/>
    </row>
    <row r="654" customFormat="false" ht="13.5" hidden="false" customHeight="true" outlineLevel="0" collapsed="false">
      <c r="A654" s="221"/>
      <c r="B654" s="221"/>
      <c r="C654" s="221"/>
      <c r="D654" s="221"/>
      <c r="E654" s="221"/>
      <c r="F654" s="221"/>
      <c r="G654" s="221"/>
      <c r="H654" s="221"/>
      <c r="I654" s="221"/>
      <c r="J654" s="221"/>
      <c r="K654" s="221"/>
      <c r="L654" s="221"/>
      <c r="M654" s="221"/>
      <c r="N654" s="221"/>
      <c r="O654" s="221"/>
      <c r="P654" s="221"/>
      <c r="Q654" s="221"/>
      <c r="R654" s="221"/>
      <c r="S654" s="221"/>
      <c r="T654" s="221"/>
      <c r="U654" s="221"/>
      <c r="V654" s="221"/>
      <c r="W654" s="221"/>
      <c r="X654" s="221"/>
      <c r="Y654" s="221"/>
      <c r="Z654" s="221"/>
    </row>
    <row r="655" customFormat="false" ht="13.5" hidden="false" customHeight="true" outlineLevel="0" collapsed="false">
      <c r="A655" s="221"/>
      <c r="B655" s="221"/>
      <c r="C655" s="221"/>
      <c r="D655" s="221"/>
      <c r="E655" s="221"/>
      <c r="F655" s="221"/>
      <c r="G655" s="221"/>
      <c r="H655" s="221"/>
      <c r="I655" s="221"/>
      <c r="J655" s="221"/>
      <c r="K655" s="221"/>
      <c r="L655" s="221"/>
      <c r="M655" s="221"/>
      <c r="N655" s="221"/>
      <c r="O655" s="221"/>
      <c r="P655" s="221"/>
      <c r="Q655" s="221"/>
      <c r="R655" s="221"/>
      <c r="S655" s="221"/>
      <c r="T655" s="221"/>
      <c r="U655" s="221"/>
      <c r="V655" s="221"/>
      <c r="W655" s="221"/>
      <c r="X655" s="221"/>
      <c r="Y655" s="221"/>
      <c r="Z655" s="221"/>
    </row>
    <row r="656" customFormat="false" ht="13.5" hidden="false" customHeight="true" outlineLevel="0" collapsed="false">
      <c r="A656" s="221"/>
      <c r="B656" s="221"/>
      <c r="C656" s="221"/>
      <c r="D656" s="221"/>
      <c r="E656" s="221"/>
      <c r="F656" s="221"/>
      <c r="G656" s="221"/>
      <c r="H656" s="221"/>
      <c r="I656" s="221"/>
      <c r="J656" s="221"/>
      <c r="K656" s="221"/>
      <c r="L656" s="221"/>
      <c r="M656" s="221"/>
      <c r="N656" s="221"/>
      <c r="O656" s="221"/>
      <c r="P656" s="221"/>
      <c r="Q656" s="221"/>
      <c r="R656" s="221"/>
      <c r="S656" s="221"/>
      <c r="T656" s="221"/>
      <c r="U656" s="221"/>
      <c r="V656" s="221"/>
      <c r="W656" s="221"/>
      <c r="X656" s="221"/>
      <c r="Y656" s="221"/>
      <c r="Z656" s="221"/>
    </row>
    <row r="657" customFormat="false" ht="13.5" hidden="false" customHeight="true" outlineLevel="0" collapsed="false">
      <c r="A657" s="221"/>
      <c r="B657" s="221"/>
      <c r="C657" s="221"/>
      <c r="D657" s="221"/>
      <c r="E657" s="221"/>
      <c r="F657" s="221"/>
      <c r="G657" s="221"/>
      <c r="H657" s="221"/>
      <c r="I657" s="221"/>
      <c r="J657" s="221"/>
      <c r="K657" s="221"/>
      <c r="L657" s="221"/>
      <c r="M657" s="221"/>
      <c r="N657" s="221"/>
      <c r="O657" s="221"/>
      <c r="P657" s="221"/>
      <c r="Q657" s="221"/>
      <c r="R657" s="221"/>
      <c r="S657" s="221"/>
      <c r="T657" s="221"/>
      <c r="U657" s="221"/>
      <c r="V657" s="221"/>
      <c r="W657" s="221"/>
      <c r="X657" s="221"/>
      <c r="Y657" s="221"/>
      <c r="Z657" s="221"/>
    </row>
    <row r="658" customFormat="false" ht="13.5" hidden="false" customHeight="true" outlineLevel="0" collapsed="false">
      <c r="A658" s="221"/>
      <c r="B658" s="221"/>
      <c r="C658" s="221"/>
      <c r="D658" s="221"/>
      <c r="E658" s="221"/>
      <c r="F658" s="221"/>
      <c r="G658" s="221"/>
      <c r="H658" s="221"/>
      <c r="I658" s="221"/>
      <c r="J658" s="221"/>
      <c r="K658" s="221"/>
      <c r="L658" s="221"/>
      <c r="M658" s="221"/>
      <c r="N658" s="221"/>
      <c r="O658" s="221"/>
      <c r="P658" s="221"/>
      <c r="Q658" s="221"/>
      <c r="R658" s="221"/>
      <c r="S658" s="221"/>
      <c r="T658" s="221"/>
      <c r="U658" s="221"/>
      <c r="V658" s="221"/>
      <c r="W658" s="221"/>
      <c r="X658" s="221"/>
      <c r="Y658" s="221"/>
      <c r="Z658" s="221"/>
    </row>
    <row r="659" customFormat="false" ht="13.5" hidden="false" customHeight="true" outlineLevel="0" collapsed="false">
      <c r="A659" s="221"/>
      <c r="B659" s="221"/>
      <c r="C659" s="221"/>
      <c r="D659" s="221"/>
      <c r="E659" s="221"/>
      <c r="F659" s="221"/>
      <c r="G659" s="221"/>
      <c r="H659" s="221"/>
      <c r="I659" s="221"/>
      <c r="J659" s="221"/>
      <c r="K659" s="221"/>
      <c r="L659" s="221"/>
      <c r="M659" s="221"/>
      <c r="N659" s="221"/>
      <c r="O659" s="221"/>
      <c r="P659" s="221"/>
      <c r="Q659" s="221"/>
      <c r="R659" s="221"/>
      <c r="S659" s="221"/>
      <c r="T659" s="221"/>
      <c r="U659" s="221"/>
      <c r="V659" s="221"/>
      <c r="W659" s="221"/>
      <c r="X659" s="221"/>
      <c r="Y659" s="221"/>
      <c r="Z659" s="221"/>
    </row>
    <row r="660" customFormat="false" ht="13.5" hidden="false" customHeight="true" outlineLevel="0" collapsed="false">
      <c r="A660" s="221"/>
      <c r="B660" s="221"/>
      <c r="C660" s="221"/>
      <c r="D660" s="221"/>
      <c r="E660" s="221"/>
      <c r="F660" s="221"/>
      <c r="G660" s="221"/>
      <c r="H660" s="221"/>
      <c r="I660" s="221"/>
      <c r="J660" s="221"/>
      <c r="K660" s="221"/>
      <c r="L660" s="221"/>
      <c r="M660" s="221"/>
      <c r="N660" s="221"/>
      <c r="O660" s="221"/>
      <c r="P660" s="221"/>
      <c r="Q660" s="221"/>
      <c r="R660" s="221"/>
      <c r="S660" s="221"/>
      <c r="T660" s="221"/>
      <c r="U660" s="221"/>
      <c r="V660" s="221"/>
      <c r="W660" s="221"/>
      <c r="X660" s="221"/>
      <c r="Y660" s="221"/>
      <c r="Z660" s="221"/>
    </row>
    <row r="661" customFormat="false" ht="13.5" hidden="false" customHeight="true" outlineLevel="0" collapsed="false">
      <c r="A661" s="221"/>
      <c r="B661" s="221"/>
      <c r="C661" s="221"/>
      <c r="D661" s="221"/>
      <c r="E661" s="221"/>
      <c r="F661" s="221"/>
      <c r="G661" s="221"/>
      <c r="H661" s="221"/>
      <c r="I661" s="221"/>
      <c r="J661" s="221"/>
      <c r="K661" s="221"/>
      <c r="L661" s="221"/>
      <c r="M661" s="221"/>
      <c r="N661" s="221"/>
      <c r="O661" s="221"/>
      <c r="P661" s="221"/>
      <c r="Q661" s="221"/>
      <c r="R661" s="221"/>
      <c r="S661" s="221"/>
      <c r="T661" s="221"/>
      <c r="U661" s="221"/>
      <c r="V661" s="221"/>
      <c r="W661" s="221"/>
      <c r="X661" s="221"/>
      <c r="Y661" s="221"/>
      <c r="Z661" s="221"/>
    </row>
    <row r="662" customFormat="false" ht="13.5" hidden="false" customHeight="true" outlineLevel="0" collapsed="false">
      <c r="A662" s="221"/>
      <c r="B662" s="221"/>
      <c r="C662" s="221"/>
      <c r="D662" s="221"/>
      <c r="E662" s="221"/>
      <c r="F662" s="221"/>
      <c r="G662" s="221"/>
      <c r="H662" s="221"/>
      <c r="I662" s="221"/>
      <c r="J662" s="221"/>
      <c r="K662" s="221"/>
      <c r="L662" s="221"/>
      <c r="M662" s="221"/>
      <c r="N662" s="221"/>
      <c r="O662" s="221"/>
      <c r="P662" s="221"/>
      <c r="Q662" s="221"/>
      <c r="R662" s="221"/>
      <c r="S662" s="221"/>
      <c r="T662" s="221"/>
      <c r="U662" s="221"/>
      <c r="V662" s="221"/>
      <c r="W662" s="221"/>
      <c r="X662" s="221"/>
      <c r="Y662" s="221"/>
      <c r="Z662" s="221"/>
    </row>
    <row r="663" customFormat="false" ht="13.5" hidden="false" customHeight="true" outlineLevel="0" collapsed="false">
      <c r="A663" s="221"/>
      <c r="B663" s="221"/>
      <c r="C663" s="221"/>
      <c r="D663" s="221"/>
      <c r="E663" s="221"/>
      <c r="F663" s="221"/>
      <c r="G663" s="221"/>
      <c r="H663" s="221"/>
      <c r="I663" s="221"/>
      <c r="J663" s="221"/>
      <c r="K663" s="221"/>
      <c r="L663" s="221"/>
      <c r="M663" s="221"/>
      <c r="N663" s="221"/>
      <c r="O663" s="221"/>
      <c r="P663" s="221"/>
      <c r="Q663" s="221"/>
      <c r="R663" s="221"/>
      <c r="S663" s="221"/>
      <c r="T663" s="221"/>
      <c r="U663" s="221"/>
      <c r="V663" s="221"/>
      <c r="W663" s="221"/>
      <c r="X663" s="221"/>
      <c r="Y663" s="221"/>
      <c r="Z663" s="221"/>
    </row>
    <row r="664" customFormat="false" ht="13.5" hidden="false" customHeight="true" outlineLevel="0" collapsed="false">
      <c r="A664" s="221"/>
      <c r="B664" s="221"/>
      <c r="C664" s="221"/>
      <c r="D664" s="221"/>
      <c r="E664" s="221"/>
      <c r="F664" s="221"/>
      <c r="G664" s="221"/>
      <c r="H664" s="221"/>
      <c r="I664" s="221"/>
      <c r="J664" s="221"/>
      <c r="K664" s="221"/>
      <c r="L664" s="221"/>
      <c r="M664" s="221"/>
      <c r="N664" s="221"/>
      <c r="O664" s="221"/>
      <c r="P664" s="221"/>
      <c r="Q664" s="221"/>
      <c r="R664" s="221"/>
      <c r="S664" s="221"/>
      <c r="T664" s="221"/>
      <c r="U664" s="221"/>
      <c r="V664" s="221"/>
      <c r="W664" s="221"/>
      <c r="X664" s="221"/>
      <c r="Y664" s="221"/>
      <c r="Z664" s="221"/>
    </row>
    <row r="665" customFormat="false" ht="13.5" hidden="false" customHeight="true" outlineLevel="0" collapsed="false">
      <c r="A665" s="221"/>
      <c r="B665" s="221"/>
      <c r="C665" s="221"/>
      <c r="D665" s="221"/>
      <c r="E665" s="221"/>
      <c r="F665" s="221"/>
      <c r="G665" s="221"/>
      <c r="H665" s="221"/>
      <c r="I665" s="221"/>
      <c r="J665" s="221"/>
      <c r="K665" s="221"/>
      <c r="L665" s="221"/>
      <c r="M665" s="221"/>
      <c r="N665" s="221"/>
      <c r="O665" s="221"/>
      <c r="P665" s="221"/>
      <c r="Q665" s="221"/>
      <c r="R665" s="221"/>
      <c r="S665" s="221"/>
      <c r="T665" s="221"/>
      <c r="U665" s="221"/>
      <c r="V665" s="221"/>
      <c r="W665" s="221"/>
      <c r="X665" s="221"/>
      <c r="Y665" s="221"/>
      <c r="Z665" s="221"/>
    </row>
    <row r="666" customFormat="false" ht="13.5" hidden="false" customHeight="true" outlineLevel="0" collapsed="false">
      <c r="A666" s="221"/>
      <c r="B666" s="221"/>
      <c r="C666" s="221"/>
      <c r="D666" s="221"/>
      <c r="E666" s="221"/>
      <c r="F666" s="221"/>
      <c r="G666" s="221"/>
      <c r="H666" s="221"/>
      <c r="I666" s="221"/>
      <c r="J666" s="221"/>
      <c r="K666" s="221"/>
      <c r="L666" s="221"/>
      <c r="M666" s="221"/>
      <c r="N666" s="221"/>
      <c r="O666" s="221"/>
      <c r="P666" s="221"/>
      <c r="Q666" s="221"/>
      <c r="R666" s="221"/>
      <c r="S666" s="221"/>
      <c r="T666" s="221"/>
      <c r="U666" s="221"/>
      <c r="V666" s="221"/>
      <c r="W666" s="221"/>
      <c r="X666" s="221"/>
      <c r="Y666" s="221"/>
      <c r="Z666" s="221"/>
    </row>
    <row r="667" customFormat="false" ht="13.5" hidden="false" customHeight="true" outlineLevel="0" collapsed="false">
      <c r="A667" s="221"/>
      <c r="B667" s="221"/>
      <c r="C667" s="221"/>
      <c r="D667" s="221"/>
      <c r="E667" s="221"/>
      <c r="F667" s="221"/>
      <c r="G667" s="221"/>
      <c r="H667" s="221"/>
      <c r="I667" s="221"/>
      <c r="J667" s="221"/>
      <c r="K667" s="221"/>
      <c r="L667" s="221"/>
      <c r="M667" s="221"/>
      <c r="N667" s="221"/>
      <c r="O667" s="221"/>
      <c r="P667" s="221"/>
      <c r="Q667" s="221"/>
      <c r="R667" s="221"/>
      <c r="S667" s="221"/>
      <c r="T667" s="221"/>
      <c r="U667" s="221"/>
      <c r="V667" s="221"/>
      <c r="W667" s="221"/>
      <c r="X667" s="221"/>
      <c r="Y667" s="221"/>
      <c r="Z667" s="221"/>
    </row>
    <row r="668" customFormat="false" ht="13.5" hidden="false" customHeight="true" outlineLevel="0" collapsed="false">
      <c r="A668" s="221"/>
      <c r="B668" s="221"/>
      <c r="C668" s="221"/>
      <c r="D668" s="221"/>
      <c r="E668" s="221"/>
      <c r="F668" s="221"/>
      <c r="G668" s="221"/>
      <c r="H668" s="221"/>
      <c r="I668" s="221"/>
      <c r="J668" s="221"/>
      <c r="K668" s="221"/>
      <c r="L668" s="221"/>
      <c r="M668" s="221"/>
      <c r="N668" s="221"/>
      <c r="O668" s="221"/>
      <c r="P668" s="221"/>
      <c r="Q668" s="221"/>
      <c r="R668" s="221"/>
      <c r="S668" s="221"/>
      <c r="T668" s="221"/>
      <c r="U668" s="221"/>
      <c r="V668" s="221"/>
      <c r="W668" s="221"/>
      <c r="X668" s="221"/>
      <c r="Y668" s="221"/>
      <c r="Z668" s="221"/>
    </row>
    <row r="669" customFormat="false" ht="13.5" hidden="false" customHeight="true" outlineLevel="0" collapsed="false">
      <c r="A669" s="221"/>
      <c r="B669" s="221"/>
      <c r="C669" s="221"/>
      <c r="D669" s="221"/>
      <c r="E669" s="221"/>
      <c r="F669" s="221"/>
      <c r="G669" s="221"/>
      <c r="H669" s="221"/>
      <c r="I669" s="221"/>
      <c r="J669" s="221"/>
      <c r="K669" s="221"/>
      <c r="L669" s="221"/>
      <c r="M669" s="221"/>
      <c r="N669" s="221"/>
      <c r="O669" s="221"/>
      <c r="P669" s="221"/>
      <c r="Q669" s="221"/>
      <c r="R669" s="221"/>
      <c r="S669" s="221"/>
      <c r="T669" s="221"/>
      <c r="U669" s="221"/>
      <c r="V669" s="221"/>
      <c r="W669" s="221"/>
      <c r="X669" s="221"/>
      <c r="Y669" s="221"/>
      <c r="Z669" s="221"/>
    </row>
    <row r="670" customFormat="false" ht="13.5" hidden="false" customHeight="true" outlineLevel="0" collapsed="false">
      <c r="A670" s="221"/>
      <c r="B670" s="221"/>
      <c r="C670" s="221"/>
      <c r="D670" s="221"/>
      <c r="E670" s="221"/>
      <c r="F670" s="221"/>
      <c r="G670" s="221"/>
      <c r="H670" s="221"/>
      <c r="I670" s="221"/>
      <c r="J670" s="221"/>
      <c r="K670" s="221"/>
      <c r="L670" s="221"/>
      <c r="M670" s="221"/>
      <c r="N670" s="221"/>
      <c r="O670" s="221"/>
      <c r="P670" s="221"/>
      <c r="Q670" s="221"/>
      <c r="R670" s="221"/>
      <c r="S670" s="221"/>
      <c r="T670" s="221"/>
      <c r="U670" s="221"/>
      <c r="V670" s="221"/>
      <c r="W670" s="221"/>
      <c r="X670" s="221"/>
      <c r="Y670" s="221"/>
      <c r="Z670" s="221"/>
    </row>
    <row r="671" customFormat="false" ht="13.5" hidden="false" customHeight="true" outlineLevel="0" collapsed="false">
      <c r="A671" s="221"/>
      <c r="B671" s="221"/>
      <c r="C671" s="221"/>
      <c r="D671" s="221"/>
      <c r="E671" s="221"/>
      <c r="F671" s="221"/>
      <c r="G671" s="221"/>
      <c r="H671" s="221"/>
      <c r="I671" s="221"/>
      <c r="J671" s="221"/>
      <c r="K671" s="221"/>
      <c r="L671" s="221"/>
      <c r="M671" s="221"/>
      <c r="N671" s="221"/>
      <c r="O671" s="221"/>
      <c r="P671" s="221"/>
      <c r="Q671" s="221"/>
      <c r="R671" s="221"/>
      <c r="S671" s="221"/>
      <c r="T671" s="221"/>
      <c r="U671" s="221"/>
      <c r="V671" s="221"/>
      <c r="W671" s="221"/>
      <c r="X671" s="221"/>
      <c r="Y671" s="221"/>
      <c r="Z671" s="221"/>
    </row>
    <row r="672" customFormat="false" ht="13.5" hidden="false" customHeight="true" outlineLevel="0" collapsed="false">
      <c r="A672" s="221"/>
      <c r="B672" s="221"/>
      <c r="C672" s="221"/>
      <c r="D672" s="221"/>
      <c r="E672" s="221"/>
      <c r="F672" s="221"/>
      <c r="G672" s="221"/>
      <c r="H672" s="221"/>
      <c r="I672" s="221"/>
      <c r="J672" s="221"/>
      <c r="K672" s="221"/>
      <c r="L672" s="221"/>
      <c r="M672" s="221"/>
      <c r="N672" s="221"/>
      <c r="O672" s="221"/>
      <c r="P672" s="221"/>
      <c r="Q672" s="221"/>
      <c r="R672" s="221"/>
      <c r="S672" s="221"/>
      <c r="T672" s="221"/>
      <c r="U672" s="221"/>
      <c r="V672" s="221"/>
      <c r="W672" s="221"/>
      <c r="X672" s="221"/>
      <c r="Y672" s="221"/>
      <c r="Z672" s="221"/>
    </row>
    <row r="673" customFormat="false" ht="13.5" hidden="false" customHeight="true" outlineLevel="0" collapsed="false">
      <c r="A673" s="221"/>
      <c r="B673" s="221"/>
      <c r="C673" s="221"/>
      <c r="D673" s="221"/>
      <c r="E673" s="221"/>
      <c r="F673" s="221"/>
      <c r="G673" s="221"/>
      <c r="H673" s="221"/>
      <c r="I673" s="221"/>
      <c r="J673" s="221"/>
      <c r="K673" s="221"/>
      <c r="L673" s="221"/>
      <c r="M673" s="221"/>
      <c r="N673" s="221"/>
      <c r="O673" s="221"/>
      <c r="P673" s="221"/>
      <c r="Q673" s="221"/>
      <c r="R673" s="221"/>
      <c r="S673" s="221"/>
      <c r="T673" s="221"/>
      <c r="U673" s="221"/>
      <c r="V673" s="221"/>
      <c r="W673" s="221"/>
      <c r="X673" s="221"/>
      <c r="Y673" s="221"/>
      <c r="Z673" s="221"/>
    </row>
    <row r="674" customFormat="false" ht="13.5" hidden="false" customHeight="true" outlineLevel="0" collapsed="false">
      <c r="A674" s="221"/>
      <c r="B674" s="221"/>
      <c r="C674" s="221"/>
      <c r="D674" s="221"/>
      <c r="E674" s="221"/>
      <c r="F674" s="221"/>
      <c r="G674" s="221"/>
      <c r="H674" s="221"/>
      <c r="I674" s="221"/>
      <c r="J674" s="221"/>
      <c r="K674" s="221"/>
      <c r="L674" s="221"/>
      <c r="M674" s="221"/>
      <c r="N674" s="221"/>
      <c r="O674" s="221"/>
      <c r="P674" s="221"/>
      <c r="Q674" s="221"/>
      <c r="R674" s="221"/>
      <c r="S674" s="221"/>
      <c r="T674" s="221"/>
      <c r="U674" s="221"/>
      <c r="V674" s="221"/>
      <c r="W674" s="221"/>
      <c r="X674" s="221"/>
      <c r="Y674" s="221"/>
      <c r="Z674" s="221"/>
    </row>
    <row r="675" customFormat="false" ht="13.5" hidden="false" customHeight="true" outlineLevel="0" collapsed="false">
      <c r="A675" s="221"/>
      <c r="B675" s="221"/>
      <c r="C675" s="221"/>
      <c r="D675" s="221"/>
      <c r="E675" s="221"/>
      <c r="F675" s="221"/>
      <c r="G675" s="221"/>
      <c r="H675" s="221"/>
      <c r="I675" s="221"/>
      <c r="J675" s="221"/>
      <c r="K675" s="221"/>
      <c r="L675" s="221"/>
      <c r="M675" s="221"/>
      <c r="N675" s="221"/>
      <c r="O675" s="221"/>
      <c r="P675" s="221"/>
      <c r="Q675" s="221"/>
      <c r="R675" s="221"/>
      <c r="S675" s="221"/>
      <c r="T675" s="221"/>
      <c r="U675" s="221"/>
      <c r="V675" s="221"/>
      <c r="W675" s="221"/>
      <c r="X675" s="221"/>
      <c r="Y675" s="221"/>
      <c r="Z675" s="221"/>
    </row>
    <row r="676" customFormat="false" ht="13.5" hidden="false" customHeight="true" outlineLevel="0" collapsed="false">
      <c r="A676" s="221"/>
      <c r="B676" s="221"/>
      <c r="C676" s="221"/>
      <c r="D676" s="221"/>
      <c r="E676" s="221"/>
      <c r="F676" s="221"/>
      <c r="G676" s="221"/>
      <c r="H676" s="221"/>
      <c r="I676" s="221"/>
      <c r="J676" s="221"/>
      <c r="K676" s="221"/>
      <c r="L676" s="221"/>
      <c r="M676" s="221"/>
      <c r="N676" s="221"/>
      <c r="O676" s="221"/>
      <c r="P676" s="221"/>
      <c r="Q676" s="221"/>
      <c r="R676" s="221"/>
      <c r="S676" s="221"/>
      <c r="T676" s="221"/>
      <c r="U676" s="221"/>
      <c r="V676" s="221"/>
      <c r="W676" s="221"/>
      <c r="X676" s="221"/>
      <c r="Y676" s="221"/>
      <c r="Z676" s="221"/>
    </row>
    <row r="677" customFormat="false" ht="13.5" hidden="false" customHeight="true" outlineLevel="0" collapsed="false">
      <c r="A677" s="221"/>
      <c r="B677" s="221"/>
      <c r="C677" s="221"/>
      <c r="D677" s="221"/>
      <c r="E677" s="221"/>
      <c r="F677" s="221"/>
      <c r="G677" s="221"/>
      <c r="H677" s="221"/>
      <c r="I677" s="221"/>
      <c r="J677" s="221"/>
      <c r="K677" s="221"/>
      <c r="L677" s="221"/>
      <c r="M677" s="221"/>
      <c r="N677" s="221"/>
      <c r="O677" s="221"/>
      <c r="P677" s="221"/>
      <c r="Q677" s="221"/>
      <c r="R677" s="221"/>
      <c r="S677" s="221"/>
      <c r="T677" s="221"/>
      <c r="U677" s="221"/>
      <c r="V677" s="221"/>
      <c r="W677" s="221"/>
      <c r="X677" s="221"/>
      <c r="Y677" s="221"/>
      <c r="Z677" s="221"/>
    </row>
    <row r="678" customFormat="false" ht="13.5" hidden="false" customHeight="true" outlineLevel="0" collapsed="false">
      <c r="A678" s="221"/>
      <c r="B678" s="221"/>
      <c r="C678" s="221"/>
      <c r="D678" s="221"/>
      <c r="E678" s="221"/>
      <c r="F678" s="221"/>
      <c r="G678" s="221"/>
      <c r="H678" s="221"/>
      <c r="I678" s="221"/>
      <c r="J678" s="221"/>
      <c r="K678" s="221"/>
      <c r="L678" s="221"/>
      <c r="M678" s="221"/>
      <c r="N678" s="221"/>
      <c r="O678" s="221"/>
      <c r="P678" s="221"/>
      <c r="Q678" s="221"/>
      <c r="R678" s="221"/>
      <c r="S678" s="221"/>
      <c r="T678" s="221"/>
      <c r="U678" s="221"/>
      <c r="V678" s="221"/>
      <c r="W678" s="221"/>
      <c r="X678" s="221"/>
      <c r="Y678" s="221"/>
      <c r="Z678" s="221"/>
    </row>
    <row r="679" customFormat="false" ht="13.5" hidden="false" customHeight="true" outlineLevel="0" collapsed="false">
      <c r="A679" s="221"/>
      <c r="B679" s="221"/>
      <c r="C679" s="221"/>
      <c r="D679" s="221"/>
      <c r="E679" s="221"/>
      <c r="F679" s="221"/>
      <c r="G679" s="221"/>
      <c r="H679" s="221"/>
      <c r="I679" s="221"/>
      <c r="J679" s="221"/>
      <c r="K679" s="221"/>
      <c r="L679" s="221"/>
      <c r="M679" s="221"/>
      <c r="N679" s="221"/>
      <c r="O679" s="221"/>
      <c r="P679" s="221"/>
      <c r="Q679" s="221"/>
      <c r="R679" s="221"/>
      <c r="S679" s="221"/>
      <c r="T679" s="221"/>
      <c r="U679" s="221"/>
      <c r="V679" s="221"/>
      <c r="W679" s="221"/>
      <c r="X679" s="221"/>
      <c r="Y679" s="221"/>
      <c r="Z679" s="221"/>
    </row>
    <row r="680" customFormat="false" ht="13.5" hidden="false" customHeight="true" outlineLevel="0" collapsed="false">
      <c r="A680" s="221"/>
      <c r="B680" s="221"/>
      <c r="C680" s="221"/>
      <c r="D680" s="221"/>
      <c r="E680" s="221"/>
      <c r="F680" s="221"/>
      <c r="G680" s="221"/>
      <c r="H680" s="221"/>
      <c r="I680" s="221"/>
      <c r="J680" s="221"/>
      <c r="K680" s="221"/>
      <c r="L680" s="221"/>
      <c r="M680" s="221"/>
      <c r="N680" s="221"/>
      <c r="O680" s="221"/>
      <c r="P680" s="221"/>
      <c r="Q680" s="221"/>
      <c r="R680" s="221"/>
      <c r="S680" s="221"/>
      <c r="T680" s="221"/>
      <c r="U680" s="221"/>
      <c r="V680" s="221"/>
      <c r="W680" s="221"/>
      <c r="X680" s="221"/>
      <c r="Y680" s="221"/>
      <c r="Z680" s="221"/>
    </row>
    <row r="681" customFormat="false" ht="13.5" hidden="false" customHeight="true" outlineLevel="0" collapsed="false">
      <c r="A681" s="221"/>
      <c r="B681" s="221"/>
      <c r="C681" s="221"/>
      <c r="D681" s="221"/>
      <c r="E681" s="221"/>
      <c r="F681" s="221"/>
      <c r="G681" s="221"/>
      <c r="H681" s="221"/>
      <c r="I681" s="221"/>
      <c r="J681" s="221"/>
      <c r="K681" s="221"/>
      <c r="L681" s="221"/>
      <c r="M681" s="221"/>
      <c r="N681" s="221"/>
      <c r="O681" s="221"/>
      <c r="P681" s="221"/>
      <c r="Q681" s="221"/>
      <c r="R681" s="221"/>
      <c r="S681" s="221"/>
      <c r="T681" s="221"/>
      <c r="U681" s="221"/>
      <c r="V681" s="221"/>
      <c r="W681" s="221"/>
      <c r="X681" s="221"/>
      <c r="Y681" s="221"/>
      <c r="Z681" s="221"/>
    </row>
    <row r="682" customFormat="false" ht="13.5" hidden="false" customHeight="true" outlineLevel="0" collapsed="false">
      <c r="A682" s="221"/>
      <c r="B682" s="221"/>
      <c r="C682" s="221"/>
      <c r="D682" s="221"/>
      <c r="E682" s="221"/>
      <c r="F682" s="221"/>
      <c r="G682" s="221"/>
      <c r="H682" s="221"/>
      <c r="I682" s="221"/>
      <c r="J682" s="221"/>
      <c r="K682" s="221"/>
      <c r="L682" s="221"/>
      <c r="M682" s="221"/>
      <c r="N682" s="221"/>
      <c r="O682" s="221"/>
      <c r="P682" s="221"/>
      <c r="Q682" s="221"/>
      <c r="R682" s="221"/>
      <c r="S682" s="221"/>
      <c r="T682" s="221"/>
      <c r="U682" s="221"/>
      <c r="V682" s="221"/>
      <c r="W682" s="221"/>
      <c r="X682" s="221"/>
      <c r="Y682" s="221"/>
      <c r="Z682" s="221"/>
    </row>
    <row r="683" customFormat="false" ht="13.5" hidden="false" customHeight="true" outlineLevel="0" collapsed="false">
      <c r="A683" s="221"/>
      <c r="B683" s="221"/>
      <c r="C683" s="221"/>
      <c r="D683" s="221"/>
      <c r="E683" s="221"/>
      <c r="F683" s="221"/>
      <c r="G683" s="221"/>
      <c r="H683" s="221"/>
      <c r="I683" s="221"/>
      <c r="J683" s="221"/>
      <c r="K683" s="221"/>
      <c r="L683" s="221"/>
      <c r="M683" s="221"/>
      <c r="N683" s="221"/>
      <c r="O683" s="221"/>
      <c r="P683" s="221"/>
      <c r="Q683" s="221"/>
      <c r="R683" s="221"/>
      <c r="S683" s="221"/>
      <c r="T683" s="221"/>
      <c r="U683" s="221"/>
      <c r="V683" s="221"/>
      <c r="W683" s="221"/>
      <c r="X683" s="221"/>
      <c r="Y683" s="221"/>
      <c r="Z683" s="221"/>
    </row>
    <row r="684" customFormat="false" ht="13.5" hidden="false" customHeight="true" outlineLevel="0" collapsed="false">
      <c r="A684" s="221"/>
      <c r="B684" s="221"/>
      <c r="C684" s="221"/>
      <c r="D684" s="221"/>
      <c r="E684" s="221"/>
      <c r="F684" s="221"/>
      <c r="G684" s="221"/>
      <c r="H684" s="221"/>
      <c r="I684" s="221"/>
      <c r="J684" s="221"/>
      <c r="K684" s="221"/>
      <c r="L684" s="221"/>
      <c r="M684" s="221"/>
      <c r="N684" s="221"/>
      <c r="O684" s="221"/>
      <c r="P684" s="221"/>
      <c r="Q684" s="221"/>
      <c r="R684" s="221"/>
      <c r="S684" s="221"/>
      <c r="T684" s="221"/>
      <c r="U684" s="221"/>
      <c r="V684" s="221"/>
      <c r="W684" s="221"/>
      <c r="X684" s="221"/>
      <c r="Y684" s="221"/>
      <c r="Z684" s="221"/>
    </row>
    <row r="685" customFormat="false" ht="13.5" hidden="false" customHeight="true" outlineLevel="0" collapsed="false">
      <c r="A685" s="221"/>
      <c r="B685" s="221"/>
      <c r="C685" s="221"/>
      <c r="D685" s="221"/>
      <c r="E685" s="221"/>
      <c r="F685" s="221"/>
      <c r="G685" s="221"/>
      <c r="H685" s="221"/>
      <c r="I685" s="221"/>
      <c r="J685" s="221"/>
      <c r="K685" s="221"/>
      <c r="L685" s="221"/>
      <c r="M685" s="221"/>
      <c r="N685" s="221"/>
      <c r="O685" s="221"/>
      <c r="P685" s="221"/>
      <c r="Q685" s="221"/>
      <c r="R685" s="221"/>
      <c r="S685" s="221"/>
      <c r="T685" s="221"/>
      <c r="U685" s="221"/>
      <c r="V685" s="221"/>
      <c r="W685" s="221"/>
      <c r="X685" s="221"/>
      <c r="Y685" s="221"/>
      <c r="Z685" s="221"/>
    </row>
    <row r="686" customFormat="false" ht="13.5" hidden="false" customHeight="true" outlineLevel="0" collapsed="false">
      <c r="A686" s="221"/>
      <c r="B686" s="221"/>
      <c r="C686" s="221"/>
      <c r="D686" s="221"/>
      <c r="E686" s="221"/>
      <c r="F686" s="221"/>
      <c r="G686" s="221"/>
      <c r="H686" s="221"/>
      <c r="I686" s="221"/>
      <c r="J686" s="221"/>
      <c r="K686" s="221"/>
      <c r="L686" s="221"/>
      <c r="M686" s="221"/>
      <c r="N686" s="221"/>
      <c r="O686" s="221"/>
      <c r="P686" s="221"/>
      <c r="Q686" s="221"/>
      <c r="R686" s="221"/>
      <c r="S686" s="221"/>
      <c r="T686" s="221"/>
      <c r="U686" s="221"/>
      <c r="V686" s="221"/>
      <c r="W686" s="221"/>
      <c r="X686" s="221"/>
      <c r="Y686" s="221"/>
      <c r="Z686" s="221"/>
    </row>
    <row r="687" customFormat="false" ht="13.5" hidden="false" customHeight="true" outlineLevel="0" collapsed="false">
      <c r="A687" s="221"/>
      <c r="B687" s="221"/>
      <c r="C687" s="221"/>
      <c r="D687" s="221"/>
      <c r="E687" s="221"/>
      <c r="F687" s="221"/>
      <c r="G687" s="221"/>
      <c r="H687" s="221"/>
      <c r="I687" s="221"/>
      <c r="J687" s="221"/>
      <c r="K687" s="221"/>
      <c r="L687" s="221"/>
      <c r="M687" s="221"/>
      <c r="N687" s="221"/>
      <c r="O687" s="221"/>
      <c r="P687" s="221"/>
      <c r="Q687" s="221"/>
      <c r="R687" s="221"/>
      <c r="S687" s="221"/>
      <c r="T687" s="221"/>
      <c r="U687" s="221"/>
      <c r="V687" s="221"/>
      <c r="W687" s="221"/>
      <c r="X687" s="221"/>
      <c r="Y687" s="221"/>
      <c r="Z687" s="221"/>
    </row>
    <row r="688" customFormat="false" ht="13.5" hidden="false" customHeight="true" outlineLevel="0" collapsed="false">
      <c r="A688" s="221"/>
      <c r="B688" s="221"/>
      <c r="C688" s="221"/>
      <c r="D688" s="221"/>
      <c r="E688" s="221"/>
      <c r="F688" s="221"/>
      <c r="G688" s="221"/>
      <c r="H688" s="221"/>
      <c r="I688" s="221"/>
      <c r="J688" s="221"/>
      <c r="K688" s="221"/>
      <c r="L688" s="221"/>
      <c r="M688" s="221"/>
      <c r="N688" s="221"/>
      <c r="O688" s="221"/>
      <c r="P688" s="221"/>
      <c r="Q688" s="221"/>
      <c r="R688" s="221"/>
      <c r="S688" s="221"/>
      <c r="T688" s="221"/>
      <c r="U688" s="221"/>
      <c r="V688" s="221"/>
      <c r="W688" s="221"/>
      <c r="X688" s="221"/>
      <c r="Y688" s="221"/>
      <c r="Z688" s="221"/>
    </row>
    <row r="689" customFormat="false" ht="13.5" hidden="false" customHeight="true" outlineLevel="0" collapsed="false">
      <c r="A689" s="221"/>
      <c r="B689" s="221"/>
      <c r="C689" s="221"/>
      <c r="D689" s="221"/>
      <c r="E689" s="221"/>
      <c r="F689" s="221"/>
      <c r="G689" s="221"/>
      <c r="H689" s="221"/>
      <c r="I689" s="221"/>
      <c r="J689" s="221"/>
      <c r="K689" s="221"/>
      <c r="L689" s="221"/>
      <c r="M689" s="221"/>
      <c r="N689" s="221"/>
      <c r="O689" s="221"/>
      <c r="P689" s="221"/>
      <c r="Q689" s="221"/>
      <c r="R689" s="221"/>
      <c r="S689" s="221"/>
      <c r="T689" s="221"/>
      <c r="U689" s="221"/>
      <c r="V689" s="221"/>
      <c r="W689" s="221"/>
      <c r="X689" s="221"/>
      <c r="Y689" s="221"/>
      <c r="Z689" s="221"/>
    </row>
    <row r="690" customFormat="false" ht="13.5" hidden="false" customHeight="true" outlineLevel="0" collapsed="false">
      <c r="A690" s="221"/>
      <c r="B690" s="221"/>
      <c r="C690" s="221"/>
      <c r="D690" s="221"/>
      <c r="E690" s="221"/>
      <c r="F690" s="221"/>
      <c r="G690" s="221"/>
      <c r="H690" s="221"/>
      <c r="I690" s="221"/>
      <c r="J690" s="221"/>
      <c r="K690" s="221"/>
      <c r="L690" s="221"/>
      <c r="M690" s="221"/>
      <c r="N690" s="221"/>
      <c r="O690" s="221"/>
      <c r="P690" s="221"/>
      <c r="Q690" s="221"/>
      <c r="R690" s="221"/>
      <c r="S690" s="221"/>
      <c r="T690" s="221"/>
      <c r="U690" s="221"/>
      <c r="V690" s="221"/>
      <c r="W690" s="221"/>
      <c r="X690" s="221"/>
      <c r="Y690" s="221"/>
      <c r="Z690" s="221"/>
    </row>
    <row r="691" customFormat="false" ht="13.5" hidden="false" customHeight="true" outlineLevel="0" collapsed="false">
      <c r="A691" s="221"/>
      <c r="B691" s="221"/>
      <c r="C691" s="221"/>
      <c r="D691" s="221"/>
      <c r="E691" s="221"/>
      <c r="F691" s="221"/>
      <c r="G691" s="221"/>
      <c r="H691" s="221"/>
      <c r="I691" s="221"/>
      <c r="J691" s="221"/>
      <c r="K691" s="221"/>
      <c r="L691" s="221"/>
      <c r="M691" s="221"/>
      <c r="N691" s="221"/>
      <c r="O691" s="221"/>
      <c r="P691" s="221"/>
      <c r="Q691" s="221"/>
      <c r="R691" s="221"/>
      <c r="S691" s="221"/>
      <c r="T691" s="221"/>
      <c r="U691" s="221"/>
      <c r="V691" s="221"/>
      <c r="W691" s="221"/>
      <c r="X691" s="221"/>
      <c r="Y691" s="221"/>
      <c r="Z691" s="221"/>
    </row>
    <row r="692" customFormat="false" ht="13.5" hidden="false" customHeight="true" outlineLevel="0" collapsed="false">
      <c r="A692" s="221"/>
      <c r="B692" s="221"/>
      <c r="C692" s="221"/>
      <c r="D692" s="221"/>
      <c r="E692" s="221"/>
      <c r="F692" s="221"/>
      <c r="G692" s="221"/>
      <c r="H692" s="221"/>
      <c r="I692" s="221"/>
      <c r="J692" s="221"/>
      <c r="K692" s="221"/>
      <c r="L692" s="221"/>
      <c r="M692" s="221"/>
      <c r="N692" s="221"/>
      <c r="O692" s="221"/>
      <c r="P692" s="221"/>
      <c r="Q692" s="221"/>
      <c r="R692" s="221"/>
      <c r="S692" s="221"/>
      <c r="T692" s="221"/>
      <c r="U692" s="221"/>
      <c r="V692" s="221"/>
      <c r="W692" s="221"/>
      <c r="X692" s="221"/>
      <c r="Y692" s="221"/>
      <c r="Z692" s="221"/>
    </row>
    <row r="693" customFormat="false" ht="13.5" hidden="false" customHeight="true" outlineLevel="0" collapsed="false">
      <c r="A693" s="221"/>
      <c r="B693" s="221"/>
      <c r="C693" s="221"/>
      <c r="D693" s="221"/>
      <c r="E693" s="221"/>
      <c r="F693" s="221"/>
      <c r="G693" s="221"/>
      <c r="H693" s="221"/>
      <c r="I693" s="221"/>
      <c r="J693" s="221"/>
      <c r="K693" s="221"/>
      <c r="L693" s="221"/>
      <c r="M693" s="221"/>
      <c r="N693" s="221"/>
      <c r="O693" s="221"/>
      <c r="P693" s="221"/>
      <c r="Q693" s="221"/>
      <c r="R693" s="221"/>
      <c r="S693" s="221"/>
      <c r="T693" s="221"/>
      <c r="U693" s="221"/>
      <c r="V693" s="221"/>
      <c r="W693" s="221"/>
      <c r="X693" s="221"/>
      <c r="Y693" s="221"/>
      <c r="Z693" s="221"/>
    </row>
    <row r="694" customFormat="false" ht="13.5" hidden="false" customHeight="true" outlineLevel="0" collapsed="false">
      <c r="A694" s="221"/>
      <c r="B694" s="221"/>
      <c r="C694" s="221"/>
      <c r="D694" s="221"/>
      <c r="E694" s="221"/>
      <c r="F694" s="221"/>
      <c r="G694" s="221"/>
      <c r="H694" s="221"/>
      <c r="I694" s="221"/>
      <c r="J694" s="221"/>
      <c r="K694" s="221"/>
      <c r="L694" s="221"/>
      <c r="M694" s="221"/>
      <c r="N694" s="221"/>
      <c r="O694" s="221"/>
      <c r="P694" s="221"/>
      <c r="Q694" s="221"/>
      <c r="R694" s="221"/>
      <c r="S694" s="221"/>
      <c r="T694" s="221"/>
      <c r="U694" s="221"/>
      <c r="V694" s="221"/>
      <c r="W694" s="221"/>
      <c r="X694" s="221"/>
      <c r="Y694" s="221"/>
      <c r="Z694" s="221"/>
    </row>
    <row r="695" customFormat="false" ht="13.5" hidden="false" customHeight="true" outlineLevel="0" collapsed="false">
      <c r="A695" s="221"/>
      <c r="B695" s="221"/>
      <c r="C695" s="221"/>
      <c r="D695" s="221"/>
      <c r="E695" s="221"/>
      <c r="F695" s="221"/>
      <c r="G695" s="221"/>
      <c r="H695" s="221"/>
      <c r="I695" s="221"/>
      <c r="J695" s="221"/>
      <c r="K695" s="221"/>
      <c r="L695" s="221"/>
      <c r="M695" s="221"/>
      <c r="N695" s="221"/>
      <c r="O695" s="221"/>
      <c r="P695" s="221"/>
      <c r="Q695" s="221"/>
      <c r="R695" s="221"/>
      <c r="S695" s="221"/>
      <c r="T695" s="221"/>
      <c r="U695" s="221"/>
      <c r="V695" s="221"/>
      <c r="W695" s="221"/>
      <c r="X695" s="221"/>
      <c r="Y695" s="221"/>
      <c r="Z695" s="221"/>
    </row>
    <row r="696" customFormat="false" ht="13.5" hidden="false" customHeight="true" outlineLevel="0" collapsed="false">
      <c r="A696" s="221"/>
      <c r="B696" s="221"/>
      <c r="C696" s="221"/>
      <c r="D696" s="221"/>
      <c r="E696" s="221"/>
      <c r="F696" s="221"/>
      <c r="G696" s="221"/>
      <c r="H696" s="221"/>
      <c r="I696" s="221"/>
      <c r="J696" s="221"/>
      <c r="K696" s="221"/>
      <c r="L696" s="221"/>
      <c r="M696" s="221"/>
      <c r="N696" s="221"/>
      <c r="O696" s="221"/>
      <c r="P696" s="221"/>
      <c r="Q696" s="221"/>
      <c r="R696" s="221"/>
      <c r="S696" s="221"/>
      <c r="T696" s="221"/>
      <c r="U696" s="221"/>
      <c r="V696" s="221"/>
      <c r="W696" s="221"/>
      <c r="X696" s="221"/>
      <c r="Y696" s="221"/>
      <c r="Z696" s="221"/>
    </row>
    <row r="697" customFormat="false" ht="13.5" hidden="false" customHeight="true" outlineLevel="0" collapsed="false">
      <c r="A697" s="221"/>
      <c r="B697" s="221"/>
      <c r="C697" s="221"/>
      <c r="D697" s="221"/>
      <c r="E697" s="221"/>
      <c r="F697" s="221"/>
      <c r="G697" s="221"/>
      <c r="H697" s="221"/>
      <c r="I697" s="221"/>
      <c r="J697" s="221"/>
      <c r="K697" s="221"/>
      <c r="L697" s="221"/>
      <c r="M697" s="221"/>
      <c r="N697" s="221"/>
      <c r="O697" s="221"/>
      <c r="P697" s="221"/>
      <c r="Q697" s="221"/>
      <c r="R697" s="221"/>
      <c r="S697" s="221"/>
      <c r="T697" s="221"/>
      <c r="U697" s="221"/>
      <c r="V697" s="221"/>
      <c r="W697" s="221"/>
      <c r="X697" s="221"/>
      <c r="Y697" s="221"/>
      <c r="Z697" s="221"/>
    </row>
    <row r="698" customFormat="false" ht="13.5" hidden="false" customHeight="true" outlineLevel="0" collapsed="false">
      <c r="A698" s="221"/>
      <c r="B698" s="221"/>
      <c r="C698" s="221"/>
      <c r="D698" s="221"/>
      <c r="E698" s="221"/>
      <c r="F698" s="221"/>
      <c r="G698" s="221"/>
      <c r="H698" s="221"/>
      <c r="I698" s="221"/>
      <c r="J698" s="221"/>
      <c r="K698" s="221"/>
      <c r="L698" s="221"/>
      <c r="M698" s="221"/>
      <c r="N698" s="221"/>
      <c r="O698" s="221"/>
      <c r="P698" s="221"/>
      <c r="Q698" s="221"/>
      <c r="R698" s="221"/>
      <c r="S698" s="221"/>
      <c r="T698" s="221"/>
      <c r="U698" s="221"/>
      <c r="V698" s="221"/>
      <c r="W698" s="221"/>
      <c r="X698" s="221"/>
      <c r="Y698" s="221"/>
      <c r="Z698" s="221"/>
    </row>
    <row r="699" customFormat="false" ht="13.5" hidden="false" customHeight="true" outlineLevel="0" collapsed="false">
      <c r="A699" s="221"/>
      <c r="B699" s="221"/>
      <c r="C699" s="221"/>
      <c r="D699" s="221"/>
      <c r="E699" s="221"/>
      <c r="F699" s="221"/>
      <c r="G699" s="221"/>
      <c r="H699" s="221"/>
      <c r="I699" s="221"/>
      <c r="J699" s="221"/>
      <c r="K699" s="221"/>
      <c r="L699" s="221"/>
      <c r="M699" s="221"/>
      <c r="N699" s="221"/>
      <c r="O699" s="221"/>
      <c r="P699" s="221"/>
      <c r="Q699" s="221"/>
      <c r="R699" s="221"/>
      <c r="S699" s="221"/>
      <c r="T699" s="221"/>
      <c r="U699" s="221"/>
      <c r="V699" s="221"/>
      <c r="W699" s="221"/>
      <c r="X699" s="221"/>
      <c r="Y699" s="221"/>
      <c r="Z699" s="221"/>
    </row>
    <row r="700" customFormat="false" ht="13.5" hidden="false" customHeight="true" outlineLevel="0" collapsed="false">
      <c r="A700" s="221"/>
      <c r="B700" s="221"/>
      <c r="C700" s="221"/>
      <c r="D700" s="221"/>
      <c r="E700" s="221"/>
      <c r="F700" s="221"/>
      <c r="G700" s="221"/>
      <c r="H700" s="221"/>
      <c r="I700" s="221"/>
      <c r="J700" s="221"/>
      <c r="K700" s="221"/>
      <c r="L700" s="221"/>
      <c r="M700" s="221"/>
      <c r="N700" s="221"/>
      <c r="O700" s="221"/>
      <c r="P700" s="221"/>
      <c r="Q700" s="221"/>
      <c r="R700" s="221"/>
      <c r="S700" s="221"/>
      <c r="T700" s="221"/>
      <c r="U700" s="221"/>
      <c r="V700" s="221"/>
      <c r="W700" s="221"/>
      <c r="X700" s="221"/>
      <c r="Y700" s="221"/>
      <c r="Z700" s="221"/>
    </row>
    <row r="701" customFormat="false" ht="13.5" hidden="false" customHeight="true" outlineLevel="0" collapsed="false">
      <c r="A701" s="221"/>
      <c r="B701" s="221"/>
      <c r="C701" s="221"/>
      <c r="D701" s="221"/>
      <c r="E701" s="221"/>
      <c r="F701" s="221"/>
      <c r="G701" s="221"/>
      <c r="H701" s="221"/>
      <c r="I701" s="221"/>
      <c r="J701" s="221"/>
      <c r="K701" s="221"/>
      <c r="L701" s="221"/>
      <c r="M701" s="221"/>
      <c r="N701" s="221"/>
      <c r="O701" s="221"/>
      <c r="P701" s="221"/>
      <c r="Q701" s="221"/>
      <c r="R701" s="221"/>
      <c r="S701" s="221"/>
      <c r="T701" s="221"/>
      <c r="U701" s="221"/>
      <c r="V701" s="221"/>
      <c r="W701" s="221"/>
      <c r="X701" s="221"/>
      <c r="Y701" s="221"/>
      <c r="Z701" s="221"/>
    </row>
    <row r="702" customFormat="false" ht="13.5" hidden="false" customHeight="true" outlineLevel="0" collapsed="false">
      <c r="A702" s="221"/>
      <c r="B702" s="221"/>
      <c r="C702" s="221"/>
      <c r="D702" s="221"/>
      <c r="E702" s="221"/>
      <c r="F702" s="221"/>
      <c r="G702" s="221"/>
      <c r="H702" s="221"/>
      <c r="I702" s="221"/>
      <c r="J702" s="221"/>
      <c r="K702" s="221"/>
      <c r="L702" s="221"/>
      <c r="M702" s="221"/>
      <c r="N702" s="221"/>
      <c r="O702" s="221"/>
      <c r="P702" s="221"/>
      <c r="Q702" s="221"/>
      <c r="R702" s="221"/>
      <c r="S702" s="221"/>
      <c r="T702" s="221"/>
      <c r="U702" s="221"/>
      <c r="V702" s="221"/>
      <c r="W702" s="221"/>
      <c r="X702" s="221"/>
      <c r="Y702" s="221"/>
      <c r="Z702" s="221"/>
    </row>
    <row r="703" customFormat="false" ht="13.5" hidden="false" customHeight="true" outlineLevel="0" collapsed="false">
      <c r="A703" s="221"/>
      <c r="B703" s="221"/>
      <c r="C703" s="221"/>
      <c r="D703" s="221"/>
      <c r="E703" s="221"/>
      <c r="F703" s="221"/>
      <c r="G703" s="221"/>
      <c r="H703" s="221"/>
      <c r="I703" s="221"/>
      <c r="J703" s="221"/>
      <c r="K703" s="221"/>
      <c r="L703" s="221"/>
      <c r="M703" s="221"/>
      <c r="N703" s="221"/>
      <c r="O703" s="221"/>
      <c r="P703" s="221"/>
      <c r="Q703" s="221"/>
      <c r="R703" s="221"/>
      <c r="S703" s="221"/>
      <c r="T703" s="221"/>
      <c r="U703" s="221"/>
      <c r="V703" s="221"/>
      <c r="W703" s="221"/>
      <c r="X703" s="221"/>
      <c r="Y703" s="221"/>
      <c r="Z703" s="221"/>
    </row>
    <row r="704" customFormat="false" ht="13.5" hidden="false" customHeight="true" outlineLevel="0" collapsed="false">
      <c r="A704" s="221"/>
      <c r="B704" s="221"/>
      <c r="C704" s="221"/>
      <c r="D704" s="221"/>
      <c r="E704" s="221"/>
      <c r="F704" s="221"/>
      <c r="G704" s="221"/>
      <c r="H704" s="221"/>
      <c r="I704" s="221"/>
      <c r="J704" s="221"/>
      <c r="K704" s="221"/>
      <c r="L704" s="221"/>
      <c r="M704" s="221"/>
      <c r="N704" s="221"/>
      <c r="O704" s="221"/>
      <c r="P704" s="221"/>
      <c r="Q704" s="221"/>
      <c r="R704" s="221"/>
      <c r="S704" s="221"/>
      <c r="T704" s="221"/>
      <c r="U704" s="221"/>
      <c r="V704" s="221"/>
      <c r="W704" s="221"/>
      <c r="X704" s="221"/>
      <c r="Y704" s="221"/>
      <c r="Z704" s="221"/>
    </row>
    <row r="705" customFormat="false" ht="13.5" hidden="false" customHeight="true" outlineLevel="0" collapsed="false">
      <c r="A705" s="221"/>
      <c r="B705" s="221"/>
      <c r="C705" s="221"/>
      <c r="D705" s="221"/>
      <c r="E705" s="221"/>
      <c r="F705" s="221"/>
      <c r="G705" s="221"/>
      <c r="H705" s="221"/>
      <c r="I705" s="221"/>
      <c r="J705" s="221"/>
      <c r="K705" s="221"/>
      <c r="L705" s="221"/>
      <c r="M705" s="221"/>
      <c r="N705" s="221"/>
      <c r="O705" s="221"/>
      <c r="P705" s="221"/>
      <c r="Q705" s="221"/>
      <c r="R705" s="221"/>
      <c r="S705" s="221"/>
      <c r="T705" s="221"/>
      <c r="U705" s="221"/>
      <c r="V705" s="221"/>
      <c r="W705" s="221"/>
      <c r="X705" s="221"/>
      <c r="Y705" s="221"/>
      <c r="Z705" s="221"/>
    </row>
    <row r="706" customFormat="false" ht="13.5" hidden="false" customHeight="true" outlineLevel="0" collapsed="false">
      <c r="A706" s="221"/>
      <c r="B706" s="221"/>
      <c r="C706" s="221"/>
      <c r="D706" s="221"/>
      <c r="E706" s="221"/>
      <c r="F706" s="221"/>
      <c r="G706" s="221"/>
      <c r="H706" s="221"/>
      <c r="I706" s="221"/>
      <c r="J706" s="221"/>
      <c r="K706" s="221"/>
      <c r="L706" s="221"/>
      <c r="M706" s="221"/>
      <c r="N706" s="221"/>
      <c r="O706" s="221"/>
      <c r="P706" s="221"/>
      <c r="Q706" s="221"/>
      <c r="R706" s="221"/>
      <c r="S706" s="221"/>
      <c r="T706" s="221"/>
      <c r="U706" s="221"/>
      <c r="V706" s="221"/>
      <c r="W706" s="221"/>
      <c r="X706" s="221"/>
      <c r="Y706" s="221"/>
      <c r="Z706" s="221"/>
    </row>
    <row r="707" customFormat="false" ht="13.5" hidden="false" customHeight="true" outlineLevel="0" collapsed="false">
      <c r="A707" s="221"/>
      <c r="B707" s="221"/>
      <c r="C707" s="221"/>
      <c r="D707" s="221"/>
      <c r="E707" s="221"/>
      <c r="F707" s="221"/>
      <c r="G707" s="221"/>
      <c r="H707" s="221"/>
      <c r="I707" s="221"/>
      <c r="J707" s="221"/>
      <c r="K707" s="221"/>
      <c r="L707" s="221"/>
      <c r="M707" s="221"/>
      <c r="N707" s="221"/>
      <c r="O707" s="221"/>
      <c r="P707" s="221"/>
      <c r="Q707" s="221"/>
      <c r="R707" s="221"/>
      <c r="S707" s="221"/>
      <c r="T707" s="221"/>
      <c r="U707" s="221"/>
      <c r="V707" s="221"/>
      <c r="W707" s="221"/>
      <c r="X707" s="221"/>
      <c r="Y707" s="221"/>
      <c r="Z707" s="221"/>
    </row>
    <row r="708" customFormat="false" ht="13.5" hidden="false" customHeight="true" outlineLevel="0" collapsed="false">
      <c r="A708" s="221"/>
      <c r="B708" s="221"/>
      <c r="C708" s="221"/>
      <c r="D708" s="221"/>
      <c r="E708" s="221"/>
      <c r="F708" s="221"/>
      <c r="G708" s="221"/>
      <c r="H708" s="221"/>
      <c r="I708" s="221"/>
      <c r="J708" s="221"/>
      <c r="K708" s="221"/>
      <c r="L708" s="221"/>
      <c r="M708" s="221"/>
      <c r="N708" s="221"/>
      <c r="O708" s="221"/>
      <c r="P708" s="221"/>
      <c r="Q708" s="221"/>
      <c r="R708" s="221"/>
      <c r="S708" s="221"/>
      <c r="T708" s="221"/>
      <c r="U708" s="221"/>
      <c r="V708" s="221"/>
      <c r="W708" s="221"/>
      <c r="X708" s="221"/>
      <c r="Y708" s="221"/>
      <c r="Z708" s="221"/>
    </row>
    <row r="709" customFormat="false" ht="13.5" hidden="false" customHeight="true" outlineLevel="0" collapsed="false">
      <c r="A709" s="221"/>
      <c r="B709" s="221"/>
      <c r="C709" s="221"/>
      <c r="D709" s="221"/>
      <c r="E709" s="221"/>
      <c r="F709" s="221"/>
      <c r="G709" s="221"/>
      <c r="H709" s="221"/>
      <c r="I709" s="221"/>
      <c r="J709" s="221"/>
      <c r="K709" s="221"/>
      <c r="L709" s="221"/>
      <c r="M709" s="221"/>
      <c r="N709" s="221"/>
      <c r="O709" s="221"/>
      <c r="P709" s="221"/>
      <c r="Q709" s="221"/>
      <c r="R709" s="221"/>
      <c r="S709" s="221"/>
      <c r="T709" s="221"/>
      <c r="U709" s="221"/>
      <c r="V709" s="221"/>
      <c r="W709" s="221"/>
      <c r="X709" s="221"/>
      <c r="Y709" s="221"/>
      <c r="Z709" s="221"/>
    </row>
    <row r="710" customFormat="false" ht="13.5" hidden="false" customHeight="true" outlineLevel="0" collapsed="false">
      <c r="A710" s="221"/>
      <c r="B710" s="221"/>
      <c r="C710" s="221"/>
      <c r="D710" s="221"/>
      <c r="E710" s="221"/>
      <c r="F710" s="221"/>
      <c r="G710" s="221"/>
      <c r="H710" s="221"/>
      <c r="I710" s="221"/>
      <c r="J710" s="221"/>
      <c r="K710" s="221"/>
      <c r="L710" s="221"/>
      <c r="M710" s="221"/>
      <c r="N710" s="221"/>
      <c r="O710" s="221"/>
      <c r="P710" s="221"/>
      <c r="Q710" s="221"/>
      <c r="R710" s="221"/>
      <c r="S710" s="221"/>
      <c r="T710" s="221"/>
      <c r="U710" s="221"/>
      <c r="V710" s="221"/>
      <c r="W710" s="221"/>
      <c r="X710" s="221"/>
      <c r="Y710" s="221"/>
      <c r="Z710" s="221"/>
    </row>
    <row r="711" customFormat="false" ht="13.5" hidden="false" customHeight="true" outlineLevel="0" collapsed="false">
      <c r="A711" s="221"/>
      <c r="B711" s="221"/>
      <c r="C711" s="221"/>
      <c r="D711" s="221"/>
      <c r="E711" s="221"/>
      <c r="F711" s="221"/>
      <c r="G711" s="221"/>
      <c r="H711" s="221"/>
      <c r="I711" s="221"/>
      <c r="J711" s="221"/>
      <c r="K711" s="221"/>
      <c r="L711" s="221"/>
      <c r="M711" s="221"/>
      <c r="N711" s="221"/>
      <c r="O711" s="221"/>
      <c r="P711" s="221"/>
      <c r="Q711" s="221"/>
      <c r="R711" s="221"/>
      <c r="S711" s="221"/>
      <c r="T711" s="221"/>
      <c r="U711" s="221"/>
      <c r="V711" s="221"/>
      <c r="W711" s="221"/>
      <c r="X711" s="221"/>
      <c r="Y711" s="221"/>
      <c r="Z711" s="221"/>
    </row>
    <row r="712" customFormat="false" ht="13.5" hidden="false" customHeight="true" outlineLevel="0" collapsed="false">
      <c r="A712" s="221"/>
      <c r="B712" s="221"/>
      <c r="C712" s="221"/>
      <c r="D712" s="221"/>
      <c r="E712" s="221"/>
      <c r="F712" s="221"/>
      <c r="G712" s="221"/>
      <c r="H712" s="221"/>
      <c r="I712" s="221"/>
      <c r="J712" s="221"/>
      <c r="K712" s="221"/>
      <c r="L712" s="221"/>
      <c r="M712" s="221"/>
      <c r="N712" s="221"/>
      <c r="O712" s="221"/>
      <c r="P712" s="221"/>
      <c r="Q712" s="221"/>
      <c r="R712" s="221"/>
      <c r="S712" s="221"/>
      <c r="T712" s="221"/>
      <c r="U712" s="221"/>
      <c r="V712" s="221"/>
      <c r="W712" s="221"/>
      <c r="X712" s="221"/>
      <c r="Y712" s="221"/>
      <c r="Z712" s="221"/>
    </row>
    <row r="713" customFormat="false" ht="13.5" hidden="false" customHeight="true" outlineLevel="0" collapsed="false">
      <c r="A713" s="221"/>
      <c r="B713" s="221"/>
      <c r="C713" s="221"/>
      <c r="D713" s="221"/>
      <c r="E713" s="221"/>
      <c r="F713" s="221"/>
      <c r="G713" s="221"/>
      <c r="H713" s="221"/>
      <c r="I713" s="221"/>
      <c r="J713" s="221"/>
      <c r="K713" s="221"/>
      <c r="L713" s="221"/>
      <c r="M713" s="221"/>
      <c r="N713" s="221"/>
      <c r="O713" s="221"/>
      <c r="P713" s="221"/>
      <c r="Q713" s="221"/>
      <c r="R713" s="221"/>
      <c r="S713" s="221"/>
      <c r="T713" s="221"/>
      <c r="U713" s="221"/>
      <c r="V713" s="221"/>
      <c r="W713" s="221"/>
      <c r="X713" s="221"/>
      <c r="Y713" s="221"/>
      <c r="Z713" s="221"/>
    </row>
    <row r="714" customFormat="false" ht="13.5" hidden="false" customHeight="true" outlineLevel="0" collapsed="false">
      <c r="A714" s="221"/>
      <c r="B714" s="221"/>
      <c r="C714" s="221"/>
      <c r="D714" s="221"/>
      <c r="E714" s="221"/>
      <c r="F714" s="221"/>
      <c r="G714" s="221"/>
      <c r="H714" s="221"/>
      <c r="I714" s="221"/>
      <c r="J714" s="221"/>
      <c r="K714" s="221"/>
      <c r="L714" s="221"/>
      <c r="M714" s="221"/>
      <c r="N714" s="221"/>
      <c r="O714" s="221"/>
      <c r="P714" s="221"/>
      <c r="Q714" s="221"/>
      <c r="R714" s="221"/>
      <c r="S714" s="221"/>
      <c r="T714" s="221"/>
      <c r="U714" s="221"/>
      <c r="V714" s="221"/>
      <c r="W714" s="221"/>
      <c r="X714" s="221"/>
      <c r="Y714" s="221"/>
      <c r="Z714" s="221"/>
    </row>
    <row r="715" customFormat="false" ht="13.5" hidden="false" customHeight="true" outlineLevel="0" collapsed="false">
      <c r="A715" s="221"/>
      <c r="B715" s="221"/>
      <c r="C715" s="221"/>
      <c r="D715" s="221"/>
      <c r="E715" s="221"/>
      <c r="F715" s="221"/>
      <c r="G715" s="221"/>
      <c r="H715" s="221"/>
      <c r="I715" s="221"/>
      <c r="J715" s="221"/>
      <c r="K715" s="221"/>
      <c r="L715" s="221"/>
      <c r="M715" s="221"/>
      <c r="N715" s="221"/>
      <c r="O715" s="221"/>
      <c r="P715" s="221"/>
      <c r="Q715" s="221"/>
      <c r="R715" s="221"/>
      <c r="S715" s="221"/>
      <c r="T715" s="221"/>
      <c r="U715" s="221"/>
      <c r="V715" s="221"/>
      <c r="W715" s="221"/>
      <c r="X715" s="221"/>
      <c r="Y715" s="221"/>
      <c r="Z715" s="221"/>
    </row>
    <row r="716" customFormat="false" ht="13.5" hidden="false" customHeight="true" outlineLevel="0" collapsed="false">
      <c r="A716" s="221"/>
      <c r="B716" s="221"/>
      <c r="C716" s="221"/>
      <c r="D716" s="221"/>
      <c r="E716" s="221"/>
      <c r="F716" s="221"/>
      <c r="G716" s="221"/>
      <c r="H716" s="221"/>
      <c r="I716" s="221"/>
      <c r="J716" s="221"/>
      <c r="K716" s="221"/>
      <c r="L716" s="221"/>
      <c r="M716" s="221"/>
      <c r="N716" s="221"/>
      <c r="O716" s="221"/>
      <c r="P716" s="221"/>
      <c r="Q716" s="221"/>
      <c r="R716" s="221"/>
      <c r="S716" s="221"/>
      <c r="T716" s="221"/>
      <c r="U716" s="221"/>
      <c r="V716" s="221"/>
      <c r="W716" s="221"/>
      <c r="X716" s="221"/>
      <c r="Y716" s="221"/>
      <c r="Z716" s="221"/>
    </row>
    <row r="717" customFormat="false" ht="13.5" hidden="false" customHeight="true" outlineLevel="0" collapsed="false">
      <c r="A717" s="221"/>
      <c r="B717" s="221"/>
      <c r="C717" s="221"/>
      <c r="D717" s="221"/>
      <c r="E717" s="221"/>
      <c r="F717" s="221"/>
      <c r="G717" s="221"/>
      <c r="H717" s="221"/>
      <c r="I717" s="221"/>
      <c r="J717" s="221"/>
      <c r="K717" s="221"/>
      <c r="L717" s="221"/>
      <c r="M717" s="221"/>
      <c r="N717" s="221"/>
      <c r="O717" s="221"/>
      <c r="P717" s="221"/>
      <c r="Q717" s="221"/>
      <c r="R717" s="221"/>
      <c r="S717" s="221"/>
      <c r="T717" s="221"/>
      <c r="U717" s="221"/>
      <c r="V717" s="221"/>
      <c r="W717" s="221"/>
      <c r="X717" s="221"/>
      <c r="Y717" s="221"/>
      <c r="Z717" s="221"/>
    </row>
    <row r="718" customFormat="false" ht="13.5" hidden="false" customHeight="true" outlineLevel="0" collapsed="false">
      <c r="A718" s="221"/>
      <c r="B718" s="221"/>
      <c r="C718" s="221"/>
      <c r="D718" s="221"/>
      <c r="E718" s="221"/>
      <c r="F718" s="221"/>
      <c r="G718" s="221"/>
      <c r="H718" s="221"/>
      <c r="I718" s="221"/>
      <c r="J718" s="221"/>
      <c r="K718" s="221"/>
      <c r="L718" s="221"/>
      <c r="M718" s="221"/>
      <c r="N718" s="221"/>
      <c r="O718" s="221"/>
      <c r="P718" s="221"/>
      <c r="Q718" s="221"/>
      <c r="R718" s="221"/>
      <c r="S718" s="221"/>
      <c r="T718" s="221"/>
      <c r="U718" s="221"/>
      <c r="V718" s="221"/>
      <c r="W718" s="221"/>
      <c r="X718" s="221"/>
      <c r="Y718" s="221"/>
      <c r="Z718" s="221"/>
    </row>
    <row r="719" customFormat="false" ht="13.5" hidden="false" customHeight="true" outlineLevel="0" collapsed="false">
      <c r="A719" s="221"/>
      <c r="B719" s="221"/>
      <c r="C719" s="221"/>
      <c r="D719" s="221"/>
      <c r="E719" s="221"/>
      <c r="F719" s="221"/>
      <c r="G719" s="221"/>
      <c r="H719" s="221"/>
      <c r="I719" s="221"/>
      <c r="J719" s="221"/>
      <c r="K719" s="221"/>
      <c r="L719" s="221"/>
      <c r="M719" s="221"/>
      <c r="N719" s="221"/>
      <c r="O719" s="221"/>
      <c r="P719" s="221"/>
      <c r="Q719" s="221"/>
      <c r="R719" s="221"/>
      <c r="S719" s="221"/>
      <c r="T719" s="221"/>
      <c r="U719" s="221"/>
      <c r="V719" s="221"/>
      <c r="W719" s="221"/>
      <c r="X719" s="221"/>
      <c r="Y719" s="221"/>
      <c r="Z719" s="221"/>
    </row>
    <row r="720" customFormat="false" ht="13.5" hidden="false" customHeight="true" outlineLevel="0" collapsed="false">
      <c r="A720" s="221"/>
      <c r="B720" s="221"/>
      <c r="C720" s="221"/>
      <c r="D720" s="221"/>
      <c r="E720" s="221"/>
      <c r="F720" s="221"/>
      <c r="G720" s="221"/>
      <c r="H720" s="221"/>
      <c r="I720" s="221"/>
      <c r="J720" s="221"/>
      <c r="K720" s="221"/>
      <c r="L720" s="221"/>
      <c r="M720" s="221"/>
      <c r="N720" s="221"/>
      <c r="O720" s="221"/>
      <c r="P720" s="221"/>
      <c r="Q720" s="221"/>
      <c r="R720" s="221"/>
      <c r="S720" s="221"/>
      <c r="T720" s="221"/>
      <c r="U720" s="221"/>
      <c r="V720" s="221"/>
      <c r="W720" s="221"/>
      <c r="X720" s="221"/>
      <c r="Y720" s="221"/>
      <c r="Z720" s="221"/>
    </row>
    <row r="721" customFormat="false" ht="13.5" hidden="false" customHeight="true" outlineLevel="0" collapsed="false">
      <c r="A721" s="221"/>
      <c r="B721" s="221"/>
      <c r="C721" s="221"/>
      <c r="D721" s="221"/>
      <c r="E721" s="221"/>
      <c r="F721" s="221"/>
      <c r="G721" s="221"/>
      <c r="H721" s="221"/>
      <c r="I721" s="221"/>
      <c r="J721" s="221"/>
      <c r="K721" s="221"/>
      <c r="L721" s="221"/>
      <c r="M721" s="221"/>
      <c r="N721" s="221"/>
      <c r="O721" s="221"/>
      <c r="P721" s="221"/>
      <c r="Q721" s="221"/>
      <c r="R721" s="221"/>
      <c r="S721" s="221"/>
      <c r="T721" s="221"/>
      <c r="U721" s="221"/>
      <c r="V721" s="221"/>
      <c r="W721" s="221"/>
      <c r="X721" s="221"/>
      <c r="Y721" s="221"/>
      <c r="Z721" s="221"/>
    </row>
    <row r="722" customFormat="false" ht="13.5" hidden="false" customHeight="true" outlineLevel="0" collapsed="false">
      <c r="A722" s="221"/>
      <c r="B722" s="221"/>
      <c r="C722" s="221"/>
      <c r="D722" s="221"/>
      <c r="E722" s="221"/>
      <c r="F722" s="221"/>
      <c r="G722" s="221"/>
      <c r="H722" s="221"/>
      <c r="I722" s="221"/>
      <c r="J722" s="221"/>
      <c r="K722" s="221"/>
      <c r="L722" s="221"/>
      <c r="M722" s="221"/>
      <c r="N722" s="221"/>
      <c r="O722" s="221"/>
      <c r="P722" s="221"/>
      <c r="Q722" s="221"/>
      <c r="R722" s="221"/>
      <c r="S722" s="221"/>
      <c r="T722" s="221"/>
      <c r="U722" s="221"/>
      <c r="V722" s="221"/>
      <c r="W722" s="221"/>
      <c r="X722" s="221"/>
      <c r="Y722" s="221"/>
      <c r="Z722" s="221"/>
    </row>
    <row r="723" customFormat="false" ht="13.5" hidden="false" customHeight="true" outlineLevel="0" collapsed="false">
      <c r="A723" s="221"/>
      <c r="B723" s="221"/>
      <c r="C723" s="221"/>
      <c r="D723" s="221"/>
      <c r="E723" s="221"/>
      <c r="F723" s="221"/>
      <c r="G723" s="221"/>
      <c r="H723" s="221"/>
      <c r="I723" s="221"/>
      <c r="J723" s="221"/>
      <c r="K723" s="221"/>
      <c r="L723" s="221"/>
      <c r="M723" s="221"/>
      <c r="N723" s="221"/>
      <c r="O723" s="221"/>
      <c r="P723" s="221"/>
      <c r="Q723" s="221"/>
      <c r="R723" s="221"/>
      <c r="S723" s="221"/>
      <c r="T723" s="221"/>
      <c r="U723" s="221"/>
      <c r="V723" s="221"/>
      <c r="W723" s="221"/>
      <c r="X723" s="221"/>
      <c r="Y723" s="221"/>
      <c r="Z723" s="221"/>
    </row>
    <row r="724" customFormat="false" ht="13.5" hidden="false" customHeight="true" outlineLevel="0" collapsed="false">
      <c r="A724" s="221"/>
      <c r="B724" s="221"/>
      <c r="C724" s="221"/>
      <c r="D724" s="221"/>
      <c r="E724" s="221"/>
      <c r="F724" s="221"/>
      <c r="G724" s="221"/>
      <c r="H724" s="221"/>
      <c r="I724" s="221"/>
      <c r="J724" s="221"/>
      <c r="K724" s="221"/>
      <c r="L724" s="221"/>
      <c r="M724" s="221"/>
      <c r="N724" s="221"/>
      <c r="O724" s="221"/>
      <c r="P724" s="221"/>
      <c r="Q724" s="221"/>
      <c r="R724" s="221"/>
      <c r="S724" s="221"/>
      <c r="T724" s="221"/>
      <c r="U724" s="221"/>
      <c r="V724" s="221"/>
      <c r="W724" s="221"/>
      <c r="X724" s="221"/>
      <c r="Y724" s="221"/>
      <c r="Z724" s="221"/>
    </row>
    <row r="725" customFormat="false" ht="13.5" hidden="false" customHeight="true" outlineLevel="0" collapsed="false">
      <c r="A725" s="221"/>
      <c r="B725" s="221"/>
      <c r="C725" s="221"/>
      <c r="D725" s="221"/>
      <c r="E725" s="221"/>
      <c r="F725" s="221"/>
      <c r="G725" s="221"/>
      <c r="H725" s="221"/>
      <c r="I725" s="221"/>
      <c r="J725" s="221"/>
      <c r="K725" s="221"/>
      <c r="L725" s="221"/>
      <c r="M725" s="221"/>
      <c r="N725" s="221"/>
      <c r="O725" s="221"/>
      <c r="P725" s="221"/>
      <c r="Q725" s="221"/>
      <c r="R725" s="221"/>
      <c r="S725" s="221"/>
      <c r="T725" s="221"/>
      <c r="U725" s="221"/>
      <c r="V725" s="221"/>
      <c r="W725" s="221"/>
      <c r="X725" s="221"/>
      <c r="Y725" s="221"/>
      <c r="Z725" s="221"/>
    </row>
    <row r="726" customFormat="false" ht="13.5" hidden="false" customHeight="true" outlineLevel="0" collapsed="false">
      <c r="A726" s="221"/>
      <c r="B726" s="221"/>
      <c r="C726" s="221"/>
      <c r="D726" s="221"/>
      <c r="E726" s="221"/>
      <c r="F726" s="221"/>
      <c r="G726" s="221"/>
      <c r="H726" s="221"/>
      <c r="I726" s="221"/>
      <c r="J726" s="221"/>
      <c r="K726" s="221"/>
      <c r="L726" s="221"/>
      <c r="M726" s="221"/>
      <c r="N726" s="221"/>
      <c r="O726" s="221"/>
      <c r="P726" s="221"/>
      <c r="Q726" s="221"/>
      <c r="R726" s="221"/>
      <c r="S726" s="221"/>
      <c r="T726" s="221"/>
      <c r="U726" s="221"/>
      <c r="V726" s="221"/>
      <c r="W726" s="221"/>
      <c r="X726" s="221"/>
      <c r="Y726" s="221"/>
      <c r="Z726" s="221"/>
    </row>
    <row r="727" customFormat="false" ht="13.5" hidden="false" customHeight="true" outlineLevel="0" collapsed="false">
      <c r="A727" s="221"/>
      <c r="B727" s="221"/>
      <c r="C727" s="221"/>
      <c r="D727" s="221"/>
      <c r="E727" s="221"/>
      <c r="F727" s="221"/>
      <c r="G727" s="221"/>
      <c r="H727" s="221"/>
      <c r="I727" s="221"/>
      <c r="J727" s="221"/>
      <c r="K727" s="221"/>
      <c r="L727" s="221"/>
      <c r="M727" s="221"/>
      <c r="N727" s="221"/>
      <c r="O727" s="221"/>
      <c r="P727" s="221"/>
      <c r="Q727" s="221"/>
      <c r="R727" s="221"/>
      <c r="S727" s="221"/>
      <c r="T727" s="221"/>
      <c r="U727" s="221"/>
      <c r="V727" s="221"/>
      <c r="W727" s="221"/>
      <c r="X727" s="221"/>
      <c r="Y727" s="221"/>
      <c r="Z727" s="221"/>
    </row>
    <row r="728" customFormat="false" ht="13.5" hidden="false" customHeight="true" outlineLevel="0" collapsed="false">
      <c r="A728" s="221"/>
      <c r="B728" s="221"/>
      <c r="C728" s="221"/>
      <c r="D728" s="221"/>
      <c r="E728" s="221"/>
      <c r="F728" s="221"/>
      <c r="G728" s="221"/>
      <c r="H728" s="221"/>
      <c r="I728" s="221"/>
      <c r="J728" s="221"/>
      <c r="K728" s="221"/>
      <c r="L728" s="221"/>
      <c r="M728" s="221"/>
      <c r="N728" s="221"/>
      <c r="O728" s="221"/>
      <c r="P728" s="221"/>
      <c r="Q728" s="221"/>
      <c r="R728" s="221"/>
      <c r="S728" s="221"/>
      <c r="T728" s="221"/>
      <c r="U728" s="221"/>
      <c r="V728" s="221"/>
      <c r="W728" s="221"/>
      <c r="X728" s="221"/>
      <c r="Y728" s="221"/>
      <c r="Z728" s="221"/>
    </row>
    <row r="729" customFormat="false" ht="13.5" hidden="false" customHeight="true" outlineLevel="0" collapsed="false">
      <c r="A729" s="221"/>
      <c r="B729" s="221"/>
      <c r="C729" s="221"/>
      <c r="D729" s="221"/>
      <c r="E729" s="221"/>
      <c r="F729" s="221"/>
      <c r="G729" s="221"/>
      <c r="H729" s="221"/>
      <c r="I729" s="221"/>
      <c r="J729" s="221"/>
      <c r="K729" s="221"/>
      <c r="L729" s="221"/>
      <c r="M729" s="221"/>
      <c r="N729" s="221"/>
      <c r="O729" s="221"/>
      <c r="P729" s="221"/>
      <c r="Q729" s="221"/>
      <c r="R729" s="221"/>
      <c r="S729" s="221"/>
      <c r="T729" s="221"/>
      <c r="U729" s="221"/>
      <c r="V729" s="221"/>
      <c r="W729" s="221"/>
      <c r="X729" s="221"/>
      <c r="Y729" s="221"/>
      <c r="Z729" s="221"/>
    </row>
    <row r="730" customFormat="false" ht="13.5" hidden="false" customHeight="true" outlineLevel="0" collapsed="false">
      <c r="A730" s="221"/>
      <c r="B730" s="221"/>
      <c r="C730" s="221"/>
      <c r="D730" s="221"/>
      <c r="E730" s="221"/>
      <c r="F730" s="221"/>
      <c r="G730" s="221"/>
      <c r="H730" s="221"/>
      <c r="I730" s="221"/>
      <c r="J730" s="221"/>
      <c r="K730" s="221"/>
      <c r="L730" s="221"/>
      <c r="M730" s="221"/>
      <c r="N730" s="221"/>
      <c r="O730" s="221"/>
      <c r="P730" s="221"/>
      <c r="Q730" s="221"/>
      <c r="R730" s="221"/>
      <c r="S730" s="221"/>
      <c r="T730" s="221"/>
      <c r="U730" s="221"/>
      <c r="V730" s="221"/>
      <c r="W730" s="221"/>
      <c r="X730" s="221"/>
      <c r="Y730" s="221"/>
      <c r="Z730" s="221"/>
    </row>
    <row r="731" customFormat="false" ht="13.5" hidden="false" customHeight="true" outlineLevel="0" collapsed="false">
      <c r="A731" s="221"/>
      <c r="B731" s="221"/>
      <c r="C731" s="221"/>
      <c r="D731" s="221"/>
      <c r="E731" s="221"/>
      <c r="F731" s="221"/>
      <c r="G731" s="221"/>
      <c r="H731" s="221"/>
      <c r="I731" s="221"/>
      <c r="J731" s="221"/>
      <c r="K731" s="221"/>
      <c r="L731" s="221"/>
      <c r="M731" s="221"/>
      <c r="N731" s="221"/>
      <c r="O731" s="221"/>
      <c r="P731" s="221"/>
      <c r="Q731" s="221"/>
      <c r="R731" s="221"/>
      <c r="S731" s="221"/>
      <c r="T731" s="221"/>
      <c r="U731" s="221"/>
      <c r="V731" s="221"/>
      <c r="W731" s="221"/>
      <c r="X731" s="221"/>
      <c r="Y731" s="221"/>
      <c r="Z731" s="221"/>
    </row>
    <row r="732" customFormat="false" ht="13.5" hidden="false" customHeight="true" outlineLevel="0" collapsed="false">
      <c r="A732" s="221"/>
      <c r="B732" s="221"/>
      <c r="C732" s="221"/>
      <c r="D732" s="221"/>
      <c r="E732" s="221"/>
      <c r="F732" s="221"/>
      <c r="G732" s="221"/>
      <c r="H732" s="221"/>
      <c r="I732" s="221"/>
      <c r="J732" s="221"/>
      <c r="K732" s="221"/>
      <c r="L732" s="221"/>
      <c r="M732" s="221"/>
      <c r="N732" s="221"/>
      <c r="O732" s="221"/>
      <c r="P732" s="221"/>
      <c r="Q732" s="221"/>
      <c r="R732" s="221"/>
      <c r="S732" s="221"/>
      <c r="T732" s="221"/>
      <c r="U732" s="221"/>
      <c r="V732" s="221"/>
      <c r="W732" s="221"/>
      <c r="X732" s="221"/>
      <c r="Y732" s="221"/>
      <c r="Z732" s="221"/>
    </row>
    <row r="733" customFormat="false" ht="13.5" hidden="false" customHeight="true" outlineLevel="0" collapsed="false">
      <c r="A733" s="221"/>
      <c r="B733" s="221"/>
      <c r="C733" s="221"/>
      <c r="D733" s="221"/>
      <c r="E733" s="221"/>
      <c r="F733" s="221"/>
      <c r="G733" s="221"/>
      <c r="H733" s="221"/>
      <c r="I733" s="221"/>
      <c r="J733" s="221"/>
      <c r="K733" s="221"/>
      <c r="L733" s="221"/>
      <c r="M733" s="221"/>
      <c r="N733" s="221"/>
      <c r="O733" s="221"/>
      <c r="P733" s="221"/>
      <c r="Q733" s="221"/>
      <c r="R733" s="221"/>
      <c r="S733" s="221"/>
      <c r="T733" s="221"/>
      <c r="U733" s="221"/>
      <c r="V733" s="221"/>
      <c r="W733" s="221"/>
      <c r="X733" s="221"/>
      <c r="Y733" s="221"/>
      <c r="Z733" s="221"/>
    </row>
    <row r="734" customFormat="false" ht="13.5" hidden="false" customHeight="true" outlineLevel="0" collapsed="false">
      <c r="A734" s="221"/>
      <c r="B734" s="221"/>
      <c r="C734" s="221"/>
      <c r="D734" s="221"/>
      <c r="E734" s="221"/>
      <c r="F734" s="221"/>
      <c r="G734" s="221"/>
      <c r="H734" s="221"/>
      <c r="I734" s="221"/>
      <c r="J734" s="221"/>
      <c r="K734" s="221"/>
      <c r="L734" s="221"/>
      <c r="M734" s="221"/>
      <c r="N734" s="221"/>
      <c r="O734" s="221"/>
      <c r="P734" s="221"/>
      <c r="Q734" s="221"/>
      <c r="R734" s="221"/>
      <c r="S734" s="221"/>
      <c r="T734" s="221"/>
      <c r="U734" s="221"/>
      <c r="V734" s="221"/>
      <c r="W734" s="221"/>
      <c r="X734" s="221"/>
      <c r="Y734" s="221"/>
      <c r="Z734" s="221"/>
    </row>
    <row r="735" customFormat="false" ht="13.5" hidden="false" customHeight="true" outlineLevel="0" collapsed="false">
      <c r="A735" s="221"/>
      <c r="B735" s="221"/>
      <c r="C735" s="221"/>
      <c r="D735" s="221"/>
      <c r="E735" s="221"/>
      <c r="F735" s="221"/>
      <c r="G735" s="221"/>
      <c r="H735" s="221"/>
      <c r="I735" s="221"/>
      <c r="J735" s="221"/>
      <c r="K735" s="221"/>
      <c r="L735" s="221"/>
      <c r="M735" s="221"/>
      <c r="N735" s="221"/>
      <c r="O735" s="221"/>
      <c r="P735" s="221"/>
      <c r="Q735" s="221"/>
      <c r="R735" s="221"/>
      <c r="S735" s="221"/>
      <c r="T735" s="221"/>
      <c r="U735" s="221"/>
      <c r="V735" s="221"/>
      <c r="W735" s="221"/>
      <c r="X735" s="221"/>
      <c r="Y735" s="221"/>
      <c r="Z735" s="221"/>
    </row>
    <row r="736" customFormat="false" ht="13.5" hidden="false" customHeight="true" outlineLevel="0" collapsed="false">
      <c r="A736" s="221"/>
      <c r="B736" s="221"/>
      <c r="C736" s="221"/>
      <c r="D736" s="221"/>
      <c r="E736" s="221"/>
      <c r="F736" s="221"/>
      <c r="G736" s="221"/>
      <c r="H736" s="221"/>
      <c r="I736" s="221"/>
      <c r="J736" s="221"/>
      <c r="K736" s="221"/>
      <c r="L736" s="221"/>
      <c r="M736" s="221"/>
      <c r="N736" s="221"/>
      <c r="O736" s="221"/>
      <c r="P736" s="221"/>
      <c r="Q736" s="221"/>
      <c r="R736" s="221"/>
      <c r="S736" s="221"/>
      <c r="T736" s="221"/>
      <c r="U736" s="221"/>
      <c r="V736" s="221"/>
      <c r="W736" s="221"/>
      <c r="X736" s="221"/>
      <c r="Y736" s="221"/>
      <c r="Z736" s="221"/>
    </row>
    <row r="737" customFormat="false" ht="13.5" hidden="false" customHeight="true" outlineLevel="0" collapsed="false">
      <c r="A737" s="221"/>
      <c r="B737" s="221"/>
      <c r="C737" s="221"/>
      <c r="D737" s="221"/>
      <c r="E737" s="221"/>
      <c r="F737" s="221"/>
      <c r="G737" s="221"/>
      <c r="H737" s="221"/>
      <c r="I737" s="221"/>
      <c r="J737" s="221"/>
      <c r="K737" s="221"/>
      <c r="L737" s="221"/>
      <c r="M737" s="221"/>
      <c r="N737" s="221"/>
      <c r="O737" s="221"/>
      <c r="P737" s="221"/>
      <c r="Q737" s="221"/>
      <c r="R737" s="221"/>
      <c r="S737" s="221"/>
      <c r="T737" s="221"/>
      <c r="U737" s="221"/>
      <c r="V737" s="221"/>
      <c r="W737" s="221"/>
      <c r="X737" s="221"/>
      <c r="Y737" s="221"/>
      <c r="Z737" s="221"/>
    </row>
    <row r="738" customFormat="false" ht="13.5" hidden="false" customHeight="true" outlineLevel="0" collapsed="false">
      <c r="A738" s="221"/>
      <c r="B738" s="221"/>
      <c r="C738" s="221"/>
      <c r="D738" s="221"/>
      <c r="E738" s="221"/>
      <c r="F738" s="221"/>
      <c r="G738" s="221"/>
      <c r="H738" s="221"/>
      <c r="I738" s="221"/>
      <c r="J738" s="221"/>
      <c r="K738" s="221"/>
      <c r="L738" s="221"/>
      <c r="M738" s="221"/>
      <c r="N738" s="221"/>
      <c r="O738" s="221"/>
      <c r="P738" s="221"/>
      <c r="Q738" s="221"/>
      <c r="R738" s="221"/>
      <c r="S738" s="221"/>
      <c r="T738" s="221"/>
      <c r="U738" s="221"/>
      <c r="V738" s="221"/>
      <c r="W738" s="221"/>
      <c r="X738" s="221"/>
      <c r="Y738" s="221"/>
      <c r="Z738" s="221"/>
    </row>
    <row r="739" customFormat="false" ht="13.5" hidden="false" customHeight="true" outlineLevel="0" collapsed="false">
      <c r="A739" s="221"/>
      <c r="B739" s="221"/>
      <c r="C739" s="221"/>
      <c r="D739" s="221"/>
      <c r="E739" s="221"/>
      <c r="F739" s="221"/>
      <c r="G739" s="221"/>
      <c r="H739" s="221"/>
      <c r="I739" s="221"/>
      <c r="J739" s="221"/>
      <c r="K739" s="221"/>
      <c r="L739" s="221"/>
      <c r="M739" s="221"/>
      <c r="N739" s="221"/>
      <c r="O739" s="221"/>
      <c r="P739" s="221"/>
      <c r="Q739" s="221"/>
      <c r="R739" s="221"/>
      <c r="S739" s="221"/>
      <c r="T739" s="221"/>
      <c r="U739" s="221"/>
      <c r="V739" s="221"/>
      <c r="W739" s="221"/>
      <c r="X739" s="221"/>
      <c r="Y739" s="221"/>
      <c r="Z739" s="221"/>
    </row>
    <row r="740" customFormat="false" ht="13.5" hidden="false" customHeight="true" outlineLevel="0" collapsed="false">
      <c r="A740" s="221"/>
      <c r="B740" s="221"/>
      <c r="C740" s="221"/>
      <c r="D740" s="221"/>
      <c r="E740" s="221"/>
      <c r="F740" s="221"/>
      <c r="G740" s="221"/>
      <c r="H740" s="221"/>
      <c r="I740" s="221"/>
      <c r="J740" s="221"/>
      <c r="K740" s="221"/>
      <c r="L740" s="221"/>
      <c r="M740" s="221"/>
      <c r="N740" s="221"/>
      <c r="O740" s="221"/>
      <c r="P740" s="221"/>
      <c r="Q740" s="221"/>
      <c r="R740" s="221"/>
      <c r="S740" s="221"/>
      <c r="T740" s="221"/>
      <c r="U740" s="221"/>
      <c r="V740" s="221"/>
      <c r="W740" s="221"/>
      <c r="X740" s="221"/>
      <c r="Y740" s="221"/>
      <c r="Z740" s="221"/>
    </row>
    <row r="741" customFormat="false" ht="13.5" hidden="false" customHeight="true" outlineLevel="0" collapsed="false">
      <c r="A741" s="221"/>
      <c r="B741" s="221"/>
      <c r="C741" s="221"/>
      <c r="D741" s="221"/>
      <c r="E741" s="221"/>
      <c r="F741" s="221"/>
      <c r="G741" s="221"/>
      <c r="H741" s="221"/>
      <c r="I741" s="221"/>
      <c r="J741" s="221"/>
      <c r="K741" s="221"/>
      <c r="L741" s="221"/>
      <c r="M741" s="221"/>
      <c r="N741" s="221"/>
      <c r="O741" s="221"/>
      <c r="P741" s="221"/>
      <c r="Q741" s="221"/>
      <c r="R741" s="221"/>
      <c r="S741" s="221"/>
      <c r="T741" s="221"/>
      <c r="U741" s="221"/>
      <c r="V741" s="221"/>
      <c r="W741" s="221"/>
      <c r="X741" s="221"/>
      <c r="Y741" s="221"/>
      <c r="Z741" s="221"/>
    </row>
    <row r="742" customFormat="false" ht="13.5" hidden="false" customHeight="true" outlineLevel="0" collapsed="false">
      <c r="A742" s="221"/>
      <c r="B742" s="221"/>
      <c r="C742" s="221"/>
      <c r="D742" s="221"/>
      <c r="E742" s="221"/>
      <c r="F742" s="221"/>
      <c r="G742" s="221"/>
      <c r="H742" s="221"/>
      <c r="I742" s="221"/>
      <c r="J742" s="221"/>
      <c r="K742" s="221"/>
      <c r="L742" s="221"/>
      <c r="M742" s="221"/>
      <c r="N742" s="221"/>
      <c r="O742" s="221"/>
      <c r="P742" s="221"/>
      <c r="Q742" s="221"/>
      <c r="R742" s="221"/>
      <c r="S742" s="221"/>
      <c r="T742" s="221"/>
      <c r="U742" s="221"/>
      <c r="V742" s="221"/>
      <c r="W742" s="221"/>
      <c r="X742" s="221"/>
      <c r="Y742" s="221"/>
      <c r="Z742" s="221"/>
    </row>
    <row r="743" customFormat="false" ht="13.5" hidden="false" customHeight="true" outlineLevel="0" collapsed="false">
      <c r="A743" s="221"/>
      <c r="B743" s="221"/>
      <c r="C743" s="221"/>
      <c r="D743" s="221"/>
      <c r="E743" s="221"/>
      <c r="F743" s="221"/>
      <c r="G743" s="221"/>
      <c r="H743" s="221"/>
      <c r="I743" s="221"/>
      <c r="J743" s="221"/>
      <c r="K743" s="221"/>
      <c r="L743" s="221"/>
      <c r="M743" s="221"/>
      <c r="N743" s="221"/>
      <c r="O743" s="221"/>
      <c r="P743" s="221"/>
      <c r="Q743" s="221"/>
      <c r="R743" s="221"/>
      <c r="S743" s="221"/>
      <c r="T743" s="221"/>
      <c r="U743" s="221"/>
      <c r="V743" s="221"/>
      <c r="W743" s="221"/>
      <c r="X743" s="221"/>
      <c r="Y743" s="221"/>
      <c r="Z743" s="221"/>
    </row>
    <row r="744" customFormat="false" ht="13.5" hidden="false" customHeight="true" outlineLevel="0" collapsed="false">
      <c r="A744" s="221"/>
      <c r="B744" s="221"/>
      <c r="C744" s="221"/>
      <c r="D744" s="221"/>
      <c r="E744" s="221"/>
      <c r="F744" s="221"/>
      <c r="G744" s="221"/>
      <c r="H744" s="221"/>
      <c r="I744" s="221"/>
      <c r="J744" s="221"/>
      <c r="K744" s="221"/>
      <c r="L744" s="221"/>
      <c r="M744" s="221"/>
      <c r="N744" s="221"/>
      <c r="O744" s="221"/>
      <c r="P744" s="221"/>
      <c r="Q744" s="221"/>
      <c r="R744" s="221"/>
      <c r="S744" s="221"/>
      <c r="T744" s="221"/>
      <c r="U744" s="221"/>
      <c r="V744" s="221"/>
      <c r="W744" s="221"/>
      <c r="X744" s="221"/>
      <c r="Y744" s="221"/>
      <c r="Z744" s="221"/>
    </row>
    <row r="745" customFormat="false" ht="13.5" hidden="false" customHeight="true" outlineLevel="0" collapsed="false">
      <c r="A745" s="221"/>
      <c r="B745" s="221"/>
      <c r="C745" s="221"/>
      <c r="D745" s="221"/>
      <c r="E745" s="221"/>
      <c r="F745" s="221"/>
      <c r="G745" s="221"/>
      <c r="H745" s="221"/>
      <c r="I745" s="221"/>
      <c r="J745" s="221"/>
      <c r="K745" s="221"/>
      <c r="L745" s="221"/>
      <c r="M745" s="221"/>
      <c r="N745" s="221"/>
      <c r="O745" s="221"/>
      <c r="P745" s="221"/>
      <c r="Q745" s="221"/>
      <c r="R745" s="221"/>
      <c r="S745" s="221"/>
      <c r="T745" s="221"/>
      <c r="U745" s="221"/>
      <c r="V745" s="221"/>
      <c r="W745" s="221"/>
      <c r="X745" s="221"/>
      <c r="Y745" s="221"/>
      <c r="Z745" s="221"/>
    </row>
    <row r="746" customFormat="false" ht="13.5" hidden="false" customHeight="true" outlineLevel="0" collapsed="false">
      <c r="A746" s="221"/>
      <c r="B746" s="221"/>
      <c r="C746" s="221"/>
      <c r="D746" s="221"/>
      <c r="E746" s="221"/>
      <c r="F746" s="221"/>
      <c r="G746" s="221"/>
      <c r="H746" s="221"/>
      <c r="I746" s="221"/>
      <c r="J746" s="221"/>
      <c r="K746" s="221"/>
      <c r="L746" s="221"/>
      <c r="M746" s="221"/>
      <c r="N746" s="221"/>
      <c r="O746" s="221"/>
      <c r="P746" s="221"/>
      <c r="Q746" s="221"/>
      <c r="R746" s="221"/>
      <c r="S746" s="221"/>
      <c r="T746" s="221"/>
      <c r="U746" s="221"/>
      <c r="V746" s="221"/>
      <c r="W746" s="221"/>
      <c r="X746" s="221"/>
      <c r="Y746" s="221"/>
      <c r="Z746" s="221"/>
    </row>
    <row r="747" customFormat="false" ht="13.5" hidden="false" customHeight="true" outlineLevel="0" collapsed="false">
      <c r="A747" s="221"/>
      <c r="B747" s="221"/>
      <c r="C747" s="221"/>
      <c r="D747" s="221"/>
      <c r="E747" s="221"/>
      <c r="F747" s="221"/>
      <c r="G747" s="221"/>
      <c r="H747" s="221"/>
      <c r="I747" s="221"/>
      <c r="J747" s="221"/>
      <c r="K747" s="221"/>
      <c r="L747" s="221"/>
      <c r="M747" s="221"/>
      <c r="N747" s="221"/>
      <c r="O747" s="221"/>
      <c r="P747" s="221"/>
      <c r="Q747" s="221"/>
      <c r="R747" s="221"/>
      <c r="S747" s="221"/>
      <c r="T747" s="221"/>
      <c r="U747" s="221"/>
      <c r="V747" s="221"/>
      <c r="W747" s="221"/>
      <c r="X747" s="221"/>
      <c r="Y747" s="221"/>
      <c r="Z747" s="221"/>
    </row>
    <row r="748" customFormat="false" ht="13.5" hidden="false" customHeight="true" outlineLevel="0" collapsed="false">
      <c r="A748" s="221"/>
      <c r="B748" s="221"/>
      <c r="C748" s="221"/>
      <c r="D748" s="221"/>
      <c r="E748" s="221"/>
      <c r="F748" s="221"/>
      <c r="G748" s="221"/>
      <c r="H748" s="221"/>
      <c r="I748" s="221"/>
      <c r="J748" s="221"/>
      <c r="K748" s="221"/>
      <c r="L748" s="221"/>
      <c r="M748" s="221"/>
      <c r="N748" s="221"/>
      <c r="O748" s="221"/>
      <c r="P748" s="221"/>
      <c r="Q748" s="221"/>
      <c r="R748" s="221"/>
      <c r="S748" s="221"/>
      <c r="T748" s="221"/>
      <c r="U748" s="221"/>
      <c r="V748" s="221"/>
      <c r="W748" s="221"/>
      <c r="X748" s="221"/>
      <c r="Y748" s="221"/>
      <c r="Z748" s="221"/>
    </row>
    <row r="749" customFormat="false" ht="13.5" hidden="false" customHeight="true" outlineLevel="0" collapsed="false">
      <c r="A749" s="221"/>
      <c r="B749" s="221"/>
      <c r="C749" s="221"/>
      <c r="D749" s="221"/>
      <c r="E749" s="221"/>
      <c r="F749" s="221"/>
      <c r="G749" s="221"/>
      <c r="H749" s="221"/>
      <c r="I749" s="221"/>
      <c r="J749" s="221"/>
      <c r="K749" s="221"/>
      <c r="L749" s="221"/>
      <c r="M749" s="221"/>
      <c r="N749" s="221"/>
      <c r="O749" s="221"/>
      <c r="P749" s="221"/>
      <c r="Q749" s="221"/>
      <c r="R749" s="221"/>
      <c r="S749" s="221"/>
      <c r="T749" s="221"/>
      <c r="U749" s="221"/>
      <c r="V749" s="221"/>
      <c r="W749" s="221"/>
      <c r="X749" s="221"/>
      <c r="Y749" s="221"/>
      <c r="Z749" s="221"/>
    </row>
    <row r="750" customFormat="false" ht="13.5" hidden="false" customHeight="true" outlineLevel="0" collapsed="false">
      <c r="A750" s="221"/>
      <c r="B750" s="221"/>
      <c r="C750" s="221"/>
      <c r="D750" s="221"/>
      <c r="E750" s="221"/>
      <c r="F750" s="221"/>
      <c r="G750" s="221"/>
      <c r="H750" s="221"/>
      <c r="I750" s="221"/>
      <c r="J750" s="221"/>
      <c r="K750" s="221"/>
      <c r="L750" s="221"/>
      <c r="M750" s="221"/>
      <c r="N750" s="221"/>
      <c r="O750" s="221"/>
      <c r="P750" s="221"/>
      <c r="Q750" s="221"/>
      <c r="R750" s="221"/>
      <c r="S750" s="221"/>
      <c r="T750" s="221"/>
      <c r="U750" s="221"/>
      <c r="V750" s="221"/>
      <c r="W750" s="221"/>
      <c r="X750" s="221"/>
      <c r="Y750" s="221"/>
      <c r="Z750" s="221"/>
    </row>
    <row r="751" customFormat="false" ht="13.5" hidden="false" customHeight="true" outlineLevel="0" collapsed="false">
      <c r="A751" s="221"/>
      <c r="B751" s="221"/>
      <c r="C751" s="221"/>
      <c r="D751" s="221"/>
      <c r="E751" s="221"/>
      <c r="F751" s="221"/>
      <c r="G751" s="221"/>
      <c r="H751" s="221"/>
      <c r="I751" s="221"/>
      <c r="J751" s="221"/>
      <c r="K751" s="221"/>
      <c r="L751" s="221"/>
      <c r="M751" s="221"/>
      <c r="N751" s="221"/>
      <c r="O751" s="221"/>
      <c r="P751" s="221"/>
      <c r="Q751" s="221"/>
      <c r="R751" s="221"/>
      <c r="S751" s="221"/>
      <c r="T751" s="221"/>
      <c r="U751" s="221"/>
      <c r="V751" s="221"/>
      <c r="W751" s="221"/>
      <c r="X751" s="221"/>
      <c r="Y751" s="221"/>
      <c r="Z751" s="221"/>
    </row>
    <row r="752" customFormat="false" ht="13.5" hidden="false" customHeight="true" outlineLevel="0" collapsed="false">
      <c r="A752" s="221"/>
      <c r="B752" s="221"/>
      <c r="C752" s="221"/>
      <c r="D752" s="221"/>
      <c r="E752" s="221"/>
      <c r="F752" s="221"/>
      <c r="G752" s="221"/>
      <c r="H752" s="221"/>
      <c r="I752" s="221"/>
      <c r="J752" s="221"/>
      <c r="K752" s="221"/>
      <c r="L752" s="221"/>
      <c r="M752" s="221"/>
      <c r="N752" s="221"/>
      <c r="O752" s="221"/>
      <c r="P752" s="221"/>
      <c r="Q752" s="221"/>
      <c r="R752" s="221"/>
      <c r="S752" s="221"/>
      <c r="T752" s="221"/>
      <c r="U752" s="221"/>
      <c r="V752" s="221"/>
      <c r="W752" s="221"/>
      <c r="X752" s="221"/>
      <c r="Y752" s="221"/>
      <c r="Z752" s="221"/>
    </row>
    <row r="753" customFormat="false" ht="13.5" hidden="false" customHeight="true" outlineLevel="0" collapsed="false">
      <c r="A753" s="221"/>
      <c r="B753" s="221"/>
      <c r="C753" s="221"/>
      <c r="D753" s="221"/>
      <c r="E753" s="221"/>
      <c r="F753" s="221"/>
      <c r="G753" s="221"/>
      <c r="H753" s="221"/>
      <c r="I753" s="221"/>
      <c r="J753" s="221"/>
      <c r="K753" s="221"/>
      <c r="L753" s="221"/>
      <c r="M753" s="221"/>
      <c r="N753" s="221"/>
      <c r="O753" s="221"/>
      <c r="P753" s="221"/>
      <c r="Q753" s="221"/>
      <c r="R753" s="221"/>
      <c r="S753" s="221"/>
      <c r="T753" s="221"/>
      <c r="U753" s="221"/>
      <c r="V753" s="221"/>
      <c r="W753" s="221"/>
      <c r="X753" s="221"/>
      <c r="Y753" s="221"/>
      <c r="Z753" s="221"/>
    </row>
    <row r="754" customFormat="false" ht="13.5" hidden="false" customHeight="true" outlineLevel="0" collapsed="false">
      <c r="A754" s="221"/>
      <c r="B754" s="221"/>
      <c r="C754" s="221"/>
      <c r="D754" s="221"/>
      <c r="E754" s="221"/>
      <c r="F754" s="221"/>
      <c r="G754" s="221"/>
      <c r="H754" s="221"/>
      <c r="I754" s="221"/>
      <c r="J754" s="221"/>
      <c r="K754" s="221"/>
      <c r="L754" s="221"/>
      <c r="M754" s="221"/>
      <c r="N754" s="221"/>
      <c r="O754" s="221"/>
      <c r="P754" s="221"/>
      <c r="Q754" s="221"/>
      <c r="R754" s="221"/>
      <c r="S754" s="221"/>
      <c r="T754" s="221"/>
      <c r="U754" s="221"/>
      <c r="V754" s="221"/>
      <c r="W754" s="221"/>
      <c r="X754" s="221"/>
      <c r="Y754" s="221"/>
      <c r="Z754" s="221"/>
    </row>
    <row r="755" customFormat="false" ht="13.5" hidden="false" customHeight="true" outlineLevel="0" collapsed="false">
      <c r="A755" s="221"/>
      <c r="B755" s="221"/>
      <c r="C755" s="221"/>
      <c r="D755" s="221"/>
      <c r="E755" s="221"/>
      <c r="F755" s="221"/>
      <c r="G755" s="221"/>
      <c r="H755" s="221"/>
      <c r="I755" s="221"/>
      <c r="J755" s="221"/>
      <c r="K755" s="221"/>
      <c r="L755" s="221"/>
      <c r="M755" s="221"/>
      <c r="N755" s="221"/>
      <c r="O755" s="221"/>
      <c r="P755" s="221"/>
      <c r="Q755" s="221"/>
      <c r="R755" s="221"/>
      <c r="S755" s="221"/>
      <c r="T755" s="221"/>
      <c r="U755" s="221"/>
      <c r="V755" s="221"/>
      <c r="W755" s="221"/>
      <c r="X755" s="221"/>
      <c r="Y755" s="221"/>
      <c r="Z755" s="221"/>
    </row>
    <row r="756" customFormat="false" ht="13.5" hidden="false" customHeight="true" outlineLevel="0" collapsed="false">
      <c r="A756" s="221"/>
      <c r="B756" s="221"/>
      <c r="C756" s="221"/>
      <c r="D756" s="221"/>
      <c r="E756" s="221"/>
      <c r="F756" s="221"/>
      <c r="G756" s="221"/>
      <c r="H756" s="221"/>
      <c r="I756" s="221"/>
      <c r="J756" s="221"/>
      <c r="K756" s="221"/>
      <c r="L756" s="221"/>
      <c r="M756" s="221"/>
      <c r="N756" s="221"/>
      <c r="O756" s="221"/>
      <c r="P756" s="221"/>
      <c r="Q756" s="221"/>
      <c r="R756" s="221"/>
      <c r="S756" s="221"/>
      <c r="T756" s="221"/>
      <c r="U756" s="221"/>
      <c r="V756" s="221"/>
      <c r="W756" s="221"/>
      <c r="X756" s="221"/>
      <c r="Y756" s="221"/>
      <c r="Z756" s="221"/>
    </row>
    <row r="757" customFormat="false" ht="13.5" hidden="false" customHeight="true" outlineLevel="0" collapsed="false">
      <c r="A757" s="221"/>
      <c r="B757" s="221"/>
      <c r="C757" s="221"/>
      <c r="D757" s="221"/>
      <c r="E757" s="221"/>
      <c r="F757" s="221"/>
      <c r="G757" s="221"/>
      <c r="H757" s="221"/>
      <c r="I757" s="221"/>
      <c r="J757" s="221"/>
      <c r="K757" s="221"/>
      <c r="L757" s="221"/>
      <c r="M757" s="221"/>
      <c r="N757" s="221"/>
      <c r="O757" s="221"/>
      <c r="P757" s="221"/>
      <c r="Q757" s="221"/>
      <c r="R757" s="221"/>
      <c r="S757" s="221"/>
      <c r="T757" s="221"/>
      <c r="U757" s="221"/>
      <c r="V757" s="221"/>
      <c r="W757" s="221"/>
      <c r="X757" s="221"/>
      <c r="Y757" s="221"/>
      <c r="Z757" s="221"/>
    </row>
    <row r="758" customFormat="false" ht="13.5" hidden="false" customHeight="true" outlineLevel="0" collapsed="false">
      <c r="A758" s="221"/>
      <c r="B758" s="221"/>
      <c r="C758" s="221"/>
      <c r="D758" s="221"/>
      <c r="E758" s="221"/>
      <c r="F758" s="221"/>
      <c r="G758" s="221"/>
      <c r="H758" s="221"/>
      <c r="I758" s="221"/>
      <c r="J758" s="221"/>
      <c r="K758" s="221"/>
      <c r="L758" s="221"/>
      <c r="M758" s="221"/>
      <c r="N758" s="221"/>
      <c r="O758" s="221"/>
      <c r="P758" s="221"/>
      <c r="Q758" s="221"/>
      <c r="R758" s="221"/>
      <c r="S758" s="221"/>
      <c r="T758" s="221"/>
      <c r="U758" s="221"/>
      <c r="V758" s="221"/>
      <c r="W758" s="221"/>
      <c r="X758" s="221"/>
      <c r="Y758" s="221"/>
      <c r="Z758" s="221"/>
    </row>
    <row r="759" customFormat="false" ht="13.5" hidden="false" customHeight="true" outlineLevel="0" collapsed="false">
      <c r="A759" s="221"/>
      <c r="B759" s="221"/>
      <c r="C759" s="221"/>
      <c r="D759" s="221"/>
      <c r="E759" s="221"/>
      <c r="F759" s="221"/>
      <c r="G759" s="221"/>
      <c r="H759" s="221"/>
      <c r="I759" s="221"/>
      <c r="J759" s="221"/>
      <c r="K759" s="221"/>
      <c r="L759" s="221"/>
      <c r="M759" s="221"/>
      <c r="N759" s="221"/>
      <c r="O759" s="221"/>
      <c r="P759" s="221"/>
      <c r="Q759" s="221"/>
      <c r="R759" s="221"/>
      <c r="S759" s="221"/>
      <c r="T759" s="221"/>
      <c r="U759" s="221"/>
      <c r="V759" s="221"/>
      <c r="W759" s="221"/>
      <c r="X759" s="221"/>
      <c r="Y759" s="221"/>
      <c r="Z759" s="221"/>
    </row>
    <row r="760" customFormat="false" ht="13.5" hidden="false" customHeight="true" outlineLevel="0" collapsed="false">
      <c r="A760" s="221"/>
      <c r="B760" s="221"/>
      <c r="C760" s="221"/>
      <c r="D760" s="221"/>
      <c r="E760" s="221"/>
      <c r="F760" s="221"/>
      <c r="G760" s="221"/>
      <c r="H760" s="221"/>
      <c r="I760" s="221"/>
      <c r="J760" s="221"/>
      <c r="K760" s="221"/>
      <c r="L760" s="221"/>
      <c r="M760" s="221"/>
      <c r="N760" s="221"/>
      <c r="O760" s="221"/>
      <c r="P760" s="221"/>
      <c r="Q760" s="221"/>
      <c r="R760" s="221"/>
      <c r="S760" s="221"/>
      <c r="T760" s="221"/>
      <c r="U760" s="221"/>
      <c r="V760" s="221"/>
      <c r="W760" s="221"/>
      <c r="X760" s="221"/>
      <c r="Y760" s="221"/>
      <c r="Z760" s="221"/>
    </row>
    <row r="761" customFormat="false" ht="13.5" hidden="false" customHeight="true" outlineLevel="0" collapsed="false">
      <c r="A761" s="221"/>
      <c r="B761" s="221"/>
      <c r="C761" s="221"/>
      <c r="D761" s="221"/>
      <c r="E761" s="221"/>
      <c r="F761" s="221"/>
      <c r="G761" s="221"/>
      <c r="H761" s="221"/>
      <c r="I761" s="221"/>
      <c r="J761" s="221"/>
      <c r="K761" s="221"/>
      <c r="L761" s="221"/>
      <c r="M761" s="221"/>
      <c r="N761" s="221"/>
      <c r="O761" s="221"/>
      <c r="P761" s="221"/>
      <c r="Q761" s="221"/>
      <c r="R761" s="221"/>
      <c r="S761" s="221"/>
      <c r="T761" s="221"/>
      <c r="U761" s="221"/>
      <c r="V761" s="221"/>
      <c r="W761" s="221"/>
      <c r="X761" s="221"/>
      <c r="Y761" s="221"/>
      <c r="Z761" s="221"/>
    </row>
    <row r="762" customFormat="false" ht="13.5" hidden="false" customHeight="true" outlineLevel="0" collapsed="false">
      <c r="A762" s="221"/>
      <c r="B762" s="221"/>
      <c r="C762" s="221"/>
      <c r="D762" s="221"/>
      <c r="E762" s="221"/>
      <c r="F762" s="221"/>
      <c r="G762" s="221"/>
      <c r="H762" s="221"/>
      <c r="I762" s="221"/>
      <c r="J762" s="221"/>
      <c r="K762" s="221"/>
      <c r="L762" s="221"/>
      <c r="M762" s="221"/>
      <c r="N762" s="221"/>
      <c r="O762" s="221"/>
      <c r="P762" s="221"/>
      <c r="Q762" s="221"/>
      <c r="R762" s="221"/>
      <c r="S762" s="221"/>
      <c r="T762" s="221"/>
      <c r="U762" s="221"/>
      <c r="V762" s="221"/>
      <c r="W762" s="221"/>
      <c r="X762" s="221"/>
      <c r="Y762" s="221"/>
      <c r="Z762" s="221"/>
    </row>
    <row r="763" customFormat="false" ht="13.5" hidden="false" customHeight="true" outlineLevel="0" collapsed="false">
      <c r="A763" s="221"/>
      <c r="B763" s="221"/>
      <c r="C763" s="221"/>
      <c r="D763" s="221"/>
      <c r="E763" s="221"/>
      <c r="F763" s="221"/>
      <c r="G763" s="221"/>
      <c r="H763" s="221"/>
      <c r="I763" s="221"/>
      <c r="J763" s="221"/>
      <c r="K763" s="221"/>
      <c r="L763" s="221"/>
      <c r="M763" s="221"/>
      <c r="N763" s="221"/>
      <c r="O763" s="221"/>
      <c r="P763" s="221"/>
      <c r="Q763" s="221"/>
      <c r="R763" s="221"/>
      <c r="S763" s="221"/>
      <c r="T763" s="221"/>
      <c r="U763" s="221"/>
      <c r="V763" s="221"/>
      <c r="W763" s="221"/>
      <c r="X763" s="221"/>
      <c r="Y763" s="221"/>
      <c r="Z763" s="221"/>
    </row>
    <row r="764" customFormat="false" ht="13.5" hidden="false" customHeight="true" outlineLevel="0" collapsed="false">
      <c r="A764" s="221"/>
      <c r="B764" s="221"/>
      <c r="C764" s="221"/>
      <c r="D764" s="221"/>
      <c r="E764" s="221"/>
      <c r="F764" s="221"/>
      <c r="G764" s="221"/>
      <c r="H764" s="221"/>
      <c r="I764" s="221"/>
      <c r="J764" s="221"/>
      <c r="K764" s="221"/>
      <c r="L764" s="221"/>
      <c r="M764" s="221"/>
      <c r="N764" s="221"/>
      <c r="O764" s="221"/>
      <c r="P764" s="221"/>
      <c r="Q764" s="221"/>
      <c r="R764" s="221"/>
      <c r="S764" s="221"/>
      <c r="T764" s="221"/>
      <c r="U764" s="221"/>
      <c r="V764" s="221"/>
      <c r="W764" s="221"/>
      <c r="X764" s="221"/>
      <c r="Y764" s="221"/>
      <c r="Z764" s="221"/>
    </row>
    <row r="765" customFormat="false" ht="13.5" hidden="false" customHeight="true" outlineLevel="0" collapsed="false">
      <c r="A765" s="221"/>
      <c r="B765" s="221"/>
      <c r="C765" s="221"/>
      <c r="D765" s="221"/>
      <c r="E765" s="221"/>
      <c r="F765" s="221"/>
      <c r="G765" s="221"/>
      <c r="H765" s="221"/>
      <c r="I765" s="221"/>
      <c r="J765" s="221"/>
      <c r="K765" s="221"/>
      <c r="L765" s="221"/>
      <c r="M765" s="221"/>
      <c r="N765" s="221"/>
      <c r="O765" s="221"/>
      <c r="P765" s="221"/>
      <c r="Q765" s="221"/>
      <c r="R765" s="221"/>
      <c r="S765" s="221"/>
      <c r="T765" s="221"/>
      <c r="U765" s="221"/>
      <c r="V765" s="221"/>
      <c r="W765" s="221"/>
      <c r="X765" s="221"/>
      <c r="Y765" s="221"/>
      <c r="Z765" s="221"/>
    </row>
    <row r="766" customFormat="false" ht="13.5" hidden="false" customHeight="true" outlineLevel="0" collapsed="false">
      <c r="A766" s="221"/>
      <c r="B766" s="221"/>
      <c r="C766" s="221"/>
      <c r="D766" s="221"/>
      <c r="E766" s="221"/>
      <c r="F766" s="221"/>
      <c r="G766" s="221"/>
      <c r="H766" s="221"/>
      <c r="I766" s="221"/>
      <c r="J766" s="221"/>
      <c r="K766" s="221"/>
      <c r="L766" s="221"/>
      <c r="M766" s="221"/>
      <c r="N766" s="221"/>
      <c r="O766" s="221"/>
      <c r="P766" s="221"/>
      <c r="Q766" s="221"/>
      <c r="R766" s="221"/>
      <c r="S766" s="221"/>
      <c r="T766" s="221"/>
      <c r="U766" s="221"/>
      <c r="V766" s="221"/>
      <c r="W766" s="221"/>
      <c r="X766" s="221"/>
      <c r="Y766" s="221"/>
      <c r="Z766" s="221"/>
    </row>
    <row r="767" customFormat="false" ht="13.5" hidden="false" customHeight="true" outlineLevel="0" collapsed="false">
      <c r="A767" s="221"/>
      <c r="B767" s="221"/>
      <c r="C767" s="221"/>
      <c r="D767" s="221"/>
      <c r="E767" s="221"/>
      <c r="F767" s="221"/>
      <c r="G767" s="221"/>
      <c r="H767" s="221"/>
      <c r="I767" s="221"/>
      <c r="J767" s="221"/>
      <c r="K767" s="221"/>
      <c r="L767" s="221"/>
      <c r="M767" s="221"/>
      <c r="N767" s="221"/>
      <c r="O767" s="221"/>
      <c r="P767" s="221"/>
      <c r="Q767" s="221"/>
      <c r="R767" s="221"/>
      <c r="S767" s="221"/>
      <c r="T767" s="221"/>
      <c r="U767" s="221"/>
      <c r="V767" s="221"/>
      <c r="W767" s="221"/>
      <c r="X767" s="221"/>
      <c r="Y767" s="221"/>
      <c r="Z767" s="221"/>
    </row>
    <row r="768" customFormat="false" ht="13.5" hidden="false" customHeight="true" outlineLevel="0" collapsed="false">
      <c r="A768" s="221"/>
      <c r="B768" s="221"/>
      <c r="C768" s="221"/>
      <c r="D768" s="221"/>
      <c r="E768" s="221"/>
      <c r="F768" s="221"/>
      <c r="G768" s="221"/>
      <c r="H768" s="221"/>
      <c r="I768" s="221"/>
      <c r="J768" s="221"/>
      <c r="K768" s="221"/>
      <c r="L768" s="221"/>
      <c r="M768" s="221"/>
      <c r="N768" s="221"/>
      <c r="O768" s="221"/>
      <c r="P768" s="221"/>
      <c r="Q768" s="221"/>
      <c r="R768" s="221"/>
      <c r="S768" s="221"/>
      <c r="T768" s="221"/>
      <c r="U768" s="221"/>
      <c r="V768" s="221"/>
      <c r="W768" s="221"/>
      <c r="X768" s="221"/>
      <c r="Y768" s="221"/>
      <c r="Z768" s="221"/>
    </row>
    <row r="769" customFormat="false" ht="13.5" hidden="false" customHeight="true" outlineLevel="0" collapsed="false">
      <c r="A769" s="221"/>
      <c r="B769" s="221"/>
      <c r="C769" s="221"/>
      <c r="D769" s="221"/>
      <c r="E769" s="221"/>
      <c r="F769" s="221"/>
      <c r="G769" s="221"/>
      <c r="H769" s="221"/>
      <c r="I769" s="221"/>
      <c r="J769" s="221"/>
      <c r="K769" s="221"/>
      <c r="L769" s="221"/>
      <c r="M769" s="221"/>
      <c r="N769" s="221"/>
      <c r="O769" s="221"/>
      <c r="P769" s="221"/>
      <c r="Q769" s="221"/>
      <c r="R769" s="221"/>
      <c r="S769" s="221"/>
      <c r="T769" s="221"/>
      <c r="U769" s="221"/>
      <c r="V769" s="221"/>
      <c r="W769" s="221"/>
      <c r="X769" s="221"/>
      <c r="Y769" s="221"/>
      <c r="Z769" s="221"/>
    </row>
    <row r="770" customFormat="false" ht="13.5" hidden="false" customHeight="true" outlineLevel="0" collapsed="false">
      <c r="A770" s="221"/>
      <c r="B770" s="221"/>
      <c r="C770" s="221"/>
      <c r="D770" s="221"/>
      <c r="E770" s="221"/>
      <c r="F770" s="221"/>
      <c r="G770" s="221"/>
      <c r="H770" s="221"/>
      <c r="I770" s="221"/>
      <c r="J770" s="221"/>
      <c r="K770" s="221"/>
      <c r="L770" s="221"/>
      <c r="M770" s="221"/>
      <c r="N770" s="221"/>
      <c r="O770" s="221"/>
      <c r="P770" s="221"/>
      <c r="Q770" s="221"/>
      <c r="R770" s="221"/>
      <c r="S770" s="221"/>
      <c r="T770" s="221"/>
      <c r="U770" s="221"/>
      <c r="V770" s="221"/>
      <c r="W770" s="221"/>
      <c r="X770" s="221"/>
      <c r="Y770" s="221"/>
      <c r="Z770" s="221"/>
    </row>
    <row r="771" customFormat="false" ht="13.5" hidden="false" customHeight="true" outlineLevel="0" collapsed="false">
      <c r="A771" s="221"/>
      <c r="B771" s="221"/>
      <c r="C771" s="221"/>
      <c r="D771" s="221"/>
      <c r="E771" s="221"/>
      <c r="F771" s="221"/>
      <c r="G771" s="221"/>
      <c r="H771" s="221"/>
      <c r="I771" s="221"/>
      <c r="J771" s="221"/>
      <c r="K771" s="221"/>
      <c r="L771" s="221"/>
      <c r="M771" s="221"/>
      <c r="N771" s="221"/>
      <c r="O771" s="221"/>
      <c r="P771" s="221"/>
      <c r="Q771" s="221"/>
      <c r="R771" s="221"/>
      <c r="S771" s="221"/>
      <c r="T771" s="221"/>
      <c r="U771" s="221"/>
      <c r="V771" s="221"/>
      <c r="W771" s="221"/>
      <c r="X771" s="221"/>
      <c r="Y771" s="221"/>
      <c r="Z771" s="221"/>
    </row>
    <row r="772" customFormat="false" ht="13.5" hidden="false" customHeight="true" outlineLevel="0" collapsed="false">
      <c r="A772" s="221"/>
      <c r="B772" s="221"/>
      <c r="C772" s="221"/>
      <c r="D772" s="221"/>
      <c r="E772" s="221"/>
      <c r="F772" s="221"/>
      <c r="G772" s="221"/>
      <c r="H772" s="221"/>
      <c r="I772" s="221"/>
      <c r="J772" s="221"/>
      <c r="K772" s="221"/>
      <c r="L772" s="221"/>
      <c r="M772" s="221"/>
      <c r="N772" s="221"/>
      <c r="O772" s="221"/>
      <c r="P772" s="221"/>
      <c r="Q772" s="221"/>
      <c r="R772" s="221"/>
      <c r="S772" s="221"/>
      <c r="T772" s="221"/>
      <c r="U772" s="221"/>
      <c r="V772" s="221"/>
      <c r="W772" s="221"/>
      <c r="X772" s="221"/>
      <c r="Y772" s="221"/>
      <c r="Z772" s="221"/>
    </row>
    <row r="773" customFormat="false" ht="13.5" hidden="false" customHeight="true" outlineLevel="0" collapsed="false">
      <c r="A773" s="221"/>
      <c r="B773" s="221"/>
      <c r="C773" s="221"/>
      <c r="D773" s="221"/>
      <c r="E773" s="221"/>
      <c r="F773" s="221"/>
      <c r="G773" s="221"/>
      <c r="H773" s="221"/>
      <c r="I773" s="221"/>
      <c r="J773" s="221"/>
      <c r="K773" s="221"/>
      <c r="L773" s="221"/>
      <c r="M773" s="221"/>
      <c r="N773" s="221"/>
      <c r="O773" s="221"/>
      <c r="P773" s="221"/>
      <c r="Q773" s="221"/>
      <c r="R773" s="221"/>
      <c r="S773" s="221"/>
      <c r="T773" s="221"/>
      <c r="U773" s="221"/>
      <c r="V773" s="221"/>
      <c r="W773" s="221"/>
      <c r="X773" s="221"/>
      <c r="Y773" s="221"/>
      <c r="Z773" s="221"/>
    </row>
    <row r="774" customFormat="false" ht="13.5" hidden="false" customHeight="true" outlineLevel="0" collapsed="false">
      <c r="A774" s="221"/>
      <c r="B774" s="221"/>
      <c r="C774" s="221"/>
      <c r="D774" s="221"/>
      <c r="E774" s="221"/>
      <c r="F774" s="221"/>
      <c r="G774" s="221"/>
      <c r="H774" s="221"/>
      <c r="I774" s="221"/>
      <c r="J774" s="221"/>
      <c r="K774" s="221"/>
      <c r="L774" s="221"/>
      <c r="M774" s="221"/>
      <c r="N774" s="221"/>
      <c r="O774" s="221"/>
      <c r="P774" s="221"/>
      <c r="Q774" s="221"/>
      <c r="R774" s="221"/>
      <c r="S774" s="221"/>
      <c r="T774" s="221"/>
      <c r="U774" s="221"/>
      <c r="V774" s="221"/>
      <c r="W774" s="221"/>
      <c r="X774" s="221"/>
      <c r="Y774" s="221"/>
      <c r="Z774" s="221"/>
    </row>
    <row r="775" customFormat="false" ht="13.5" hidden="false" customHeight="true" outlineLevel="0" collapsed="false">
      <c r="A775" s="221"/>
      <c r="B775" s="221"/>
      <c r="C775" s="221"/>
      <c r="D775" s="221"/>
      <c r="E775" s="221"/>
      <c r="F775" s="221"/>
      <c r="G775" s="221"/>
      <c r="H775" s="221"/>
      <c r="I775" s="221"/>
      <c r="J775" s="221"/>
      <c r="K775" s="221"/>
      <c r="L775" s="221"/>
      <c r="M775" s="221"/>
      <c r="N775" s="221"/>
      <c r="O775" s="221"/>
      <c r="P775" s="221"/>
      <c r="Q775" s="221"/>
      <c r="R775" s="221"/>
      <c r="S775" s="221"/>
      <c r="T775" s="221"/>
      <c r="U775" s="221"/>
      <c r="V775" s="221"/>
      <c r="W775" s="221"/>
      <c r="X775" s="221"/>
      <c r="Y775" s="221"/>
      <c r="Z775" s="221"/>
    </row>
    <row r="776" customFormat="false" ht="13.5" hidden="false" customHeight="true" outlineLevel="0" collapsed="false">
      <c r="A776" s="221"/>
      <c r="B776" s="221"/>
      <c r="C776" s="221"/>
      <c r="D776" s="221"/>
      <c r="E776" s="221"/>
      <c r="F776" s="221"/>
      <c r="G776" s="221"/>
      <c r="H776" s="221"/>
      <c r="I776" s="221"/>
      <c r="J776" s="221"/>
      <c r="K776" s="221"/>
      <c r="L776" s="221"/>
      <c r="M776" s="221"/>
      <c r="N776" s="221"/>
      <c r="O776" s="221"/>
      <c r="P776" s="221"/>
      <c r="Q776" s="221"/>
      <c r="R776" s="221"/>
      <c r="S776" s="221"/>
      <c r="T776" s="221"/>
      <c r="U776" s="221"/>
      <c r="V776" s="221"/>
      <c r="W776" s="221"/>
      <c r="X776" s="221"/>
      <c r="Y776" s="221"/>
      <c r="Z776" s="221"/>
    </row>
    <row r="777" customFormat="false" ht="13.5" hidden="false" customHeight="true" outlineLevel="0" collapsed="false">
      <c r="A777" s="221"/>
      <c r="B777" s="221"/>
      <c r="C777" s="221"/>
      <c r="D777" s="221"/>
      <c r="E777" s="221"/>
      <c r="F777" s="221"/>
      <c r="G777" s="221"/>
      <c r="H777" s="221"/>
      <c r="I777" s="221"/>
      <c r="J777" s="221"/>
      <c r="K777" s="221"/>
      <c r="L777" s="221"/>
      <c r="M777" s="221"/>
      <c r="N777" s="221"/>
      <c r="O777" s="221"/>
      <c r="P777" s="221"/>
      <c r="Q777" s="221"/>
      <c r="R777" s="221"/>
      <c r="S777" s="221"/>
      <c r="T777" s="221"/>
      <c r="U777" s="221"/>
      <c r="V777" s="221"/>
      <c r="W777" s="221"/>
      <c r="X777" s="221"/>
      <c r="Y777" s="221"/>
      <c r="Z777" s="221"/>
    </row>
    <row r="778" customFormat="false" ht="13.5" hidden="false" customHeight="true" outlineLevel="0" collapsed="false">
      <c r="A778" s="221"/>
      <c r="B778" s="221"/>
      <c r="C778" s="221"/>
      <c r="D778" s="221"/>
      <c r="E778" s="221"/>
      <c r="F778" s="221"/>
      <c r="G778" s="221"/>
      <c r="H778" s="221"/>
      <c r="I778" s="221"/>
      <c r="J778" s="221"/>
      <c r="K778" s="221"/>
      <c r="L778" s="221"/>
      <c r="M778" s="221"/>
      <c r="N778" s="221"/>
      <c r="O778" s="221"/>
      <c r="P778" s="221"/>
      <c r="Q778" s="221"/>
      <c r="R778" s="221"/>
      <c r="S778" s="221"/>
      <c r="T778" s="221"/>
      <c r="U778" s="221"/>
      <c r="V778" s="221"/>
      <c r="W778" s="221"/>
      <c r="X778" s="221"/>
      <c r="Y778" s="221"/>
      <c r="Z778" s="221"/>
    </row>
    <row r="779" customFormat="false" ht="13.5" hidden="false" customHeight="true" outlineLevel="0" collapsed="false">
      <c r="A779" s="221"/>
      <c r="B779" s="221"/>
      <c r="C779" s="221"/>
      <c r="D779" s="221"/>
      <c r="E779" s="221"/>
      <c r="F779" s="221"/>
      <c r="G779" s="221"/>
      <c r="H779" s="221"/>
      <c r="I779" s="221"/>
      <c r="J779" s="221"/>
      <c r="K779" s="221"/>
      <c r="L779" s="221"/>
      <c r="M779" s="221"/>
      <c r="N779" s="221"/>
      <c r="O779" s="221"/>
      <c r="P779" s="221"/>
      <c r="Q779" s="221"/>
      <c r="R779" s="221"/>
      <c r="S779" s="221"/>
      <c r="T779" s="221"/>
      <c r="U779" s="221"/>
      <c r="V779" s="221"/>
      <c r="W779" s="221"/>
      <c r="X779" s="221"/>
      <c r="Y779" s="221"/>
      <c r="Z779" s="221"/>
    </row>
    <row r="780" customFormat="false" ht="13.5" hidden="false" customHeight="true" outlineLevel="0" collapsed="false">
      <c r="A780" s="221"/>
      <c r="B780" s="221"/>
      <c r="C780" s="221"/>
      <c r="D780" s="221"/>
      <c r="E780" s="221"/>
      <c r="F780" s="221"/>
      <c r="G780" s="221"/>
      <c r="H780" s="221"/>
      <c r="I780" s="221"/>
      <c r="J780" s="221"/>
      <c r="K780" s="221"/>
      <c r="L780" s="221"/>
      <c r="M780" s="221"/>
      <c r="N780" s="221"/>
      <c r="O780" s="221"/>
      <c r="P780" s="221"/>
      <c r="Q780" s="221"/>
      <c r="R780" s="221"/>
      <c r="S780" s="221"/>
      <c r="T780" s="221"/>
      <c r="U780" s="221"/>
      <c r="V780" s="221"/>
      <c r="W780" s="221"/>
      <c r="X780" s="221"/>
      <c r="Y780" s="221"/>
      <c r="Z780" s="221"/>
    </row>
    <row r="781" customFormat="false" ht="13.5" hidden="false" customHeight="true" outlineLevel="0" collapsed="false">
      <c r="A781" s="221"/>
      <c r="B781" s="221"/>
      <c r="C781" s="221"/>
      <c r="D781" s="221"/>
      <c r="E781" s="221"/>
      <c r="F781" s="221"/>
      <c r="G781" s="221"/>
      <c r="H781" s="221"/>
      <c r="I781" s="221"/>
      <c r="J781" s="221"/>
      <c r="K781" s="221"/>
      <c r="L781" s="221"/>
      <c r="M781" s="221"/>
      <c r="N781" s="221"/>
      <c r="O781" s="221"/>
      <c r="P781" s="221"/>
      <c r="Q781" s="221"/>
      <c r="R781" s="221"/>
      <c r="S781" s="221"/>
      <c r="T781" s="221"/>
      <c r="U781" s="221"/>
      <c r="V781" s="221"/>
      <c r="W781" s="221"/>
      <c r="X781" s="221"/>
      <c r="Y781" s="221"/>
      <c r="Z781" s="221"/>
    </row>
    <row r="782" customFormat="false" ht="13.5" hidden="false" customHeight="true" outlineLevel="0" collapsed="false">
      <c r="A782" s="221"/>
      <c r="B782" s="221"/>
      <c r="C782" s="221"/>
      <c r="D782" s="221"/>
      <c r="E782" s="221"/>
      <c r="F782" s="221"/>
      <c r="G782" s="221"/>
      <c r="H782" s="221"/>
      <c r="I782" s="221"/>
      <c r="J782" s="221"/>
      <c r="K782" s="221"/>
      <c r="L782" s="221"/>
      <c r="M782" s="221"/>
      <c r="N782" s="221"/>
      <c r="O782" s="221"/>
      <c r="P782" s="221"/>
      <c r="Q782" s="221"/>
      <c r="R782" s="221"/>
      <c r="S782" s="221"/>
      <c r="T782" s="221"/>
      <c r="U782" s="221"/>
      <c r="V782" s="221"/>
      <c r="W782" s="221"/>
      <c r="X782" s="221"/>
      <c r="Y782" s="221"/>
      <c r="Z782" s="221"/>
    </row>
    <row r="783" customFormat="false" ht="13.5" hidden="false" customHeight="true" outlineLevel="0" collapsed="false">
      <c r="A783" s="221"/>
      <c r="B783" s="221"/>
      <c r="C783" s="221"/>
      <c r="D783" s="221"/>
      <c r="E783" s="221"/>
      <c r="F783" s="221"/>
      <c r="G783" s="221"/>
      <c r="H783" s="221"/>
      <c r="I783" s="221"/>
      <c r="J783" s="221"/>
      <c r="K783" s="221"/>
      <c r="L783" s="221"/>
      <c r="M783" s="221"/>
      <c r="N783" s="221"/>
      <c r="O783" s="221"/>
      <c r="P783" s="221"/>
      <c r="Q783" s="221"/>
      <c r="R783" s="221"/>
      <c r="S783" s="221"/>
      <c r="T783" s="221"/>
      <c r="U783" s="221"/>
      <c r="V783" s="221"/>
      <c r="W783" s="221"/>
      <c r="X783" s="221"/>
      <c r="Y783" s="221"/>
      <c r="Z783" s="221"/>
    </row>
    <row r="784" customFormat="false" ht="13.5" hidden="false" customHeight="true" outlineLevel="0" collapsed="false">
      <c r="A784" s="221"/>
      <c r="B784" s="221"/>
      <c r="C784" s="221"/>
      <c r="D784" s="221"/>
      <c r="E784" s="221"/>
      <c r="F784" s="221"/>
      <c r="G784" s="221"/>
      <c r="H784" s="221"/>
      <c r="I784" s="221"/>
      <c r="J784" s="221"/>
      <c r="K784" s="221"/>
      <c r="L784" s="221"/>
      <c r="M784" s="221"/>
      <c r="N784" s="221"/>
      <c r="O784" s="221"/>
      <c r="P784" s="221"/>
      <c r="Q784" s="221"/>
      <c r="R784" s="221"/>
      <c r="S784" s="221"/>
      <c r="T784" s="221"/>
      <c r="U784" s="221"/>
      <c r="V784" s="221"/>
      <c r="W784" s="221"/>
      <c r="X784" s="221"/>
      <c r="Y784" s="221"/>
      <c r="Z784" s="221"/>
    </row>
    <row r="785" customFormat="false" ht="13.5" hidden="false" customHeight="true" outlineLevel="0" collapsed="false">
      <c r="A785" s="221"/>
      <c r="B785" s="221"/>
      <c r="C785" s="221"/>
      <c r="D785" s="221"/>
      <c r="E785" s="221"/>
      <c r="F785" s="221"/>
      <c r="G785" s="221"/>
      <c r="H785" s="221"/>
      <c r="I785" s="221"/>
      <c r="J785" s="221"/>
      <c r="K785" s="221"/>
      <c r="L785" s="221"/>
      <c r="M785" s="221"/>
      <c r="N785" s="221"/>
      <c r="O785" s="221"/>
      <c r="P785" s="221"/>
      <c r="Q785" s="221"/>
      <c r="R785" s="221"/>
      <c r="S785" s="221"/>
      <c r="T785" s="221"/>
      <c r="U785" s="221"/>
      <c r="V785" s="221"/>
      <c r="W785" s="221"/>
      <c r="X785" s="221"/>
      <c r="Y785" s="221"/>
      <c r="Z785" s="221"/>
    </row>
    <row r="786" customFormat="false" ht="13.5" hidden="false" customHeight="true" outlineLevel="0" collapsed="false">
      <c r="A786" s="221"/>
      <c r="B786" s="221"/>
      <c r="C786" s="221"/>
      <c r="D786" s="221"/>
      <c r="E786" s="221"/>
      <c r="F786" s="221"/>
      <c r="G786" s="221"/>
      <c r="H786" s="221"/>
      <c r="I786" s="221"/>
      <c r="J786" s="221"/>
      <c r="K786" s="221"/>
      <c r="L786" s="221"/>
      <c r="M786" s="221"/>
      <c r="N786" s="221"/>
      <c r="O786" s="221"/>
      <c r="P786" s="221"/>
      <c r="Q786" s="221"/>
      <c r="R786" s="221"/>
      <c r="S786" s="221"/>
      <c r="T786" s="221"/>
      <c r="U786" s="221"/>
      <c r="V786" s="221"/>
      <c r="W786" s="221"/>
      <c r="X786" s="221"/>
      <c r="Y786" s="221"/>
      <c r="Z786" s="221"/>
    </row>
    <row r="787" customFormat="false" ht="13.5" hidden="false" customHeight="true" outlineLevel="0" collapsed="false">
      <c r="A787" s="221"/>
      <c r="B787" s="221"/>
      <c r="C787" s="221"/>
      <c r="D787" s="221"/>
      <c r="E787" s="221"/>
      <c r="F787" s="221"/>
      <c r="G787" s="221"/>
      <c r="H787" s="221"/>
      <c r="I787" s="221"/>
      <c r="J787" s="221"/>
      <c r="K787" s="221"/>
      <c r="L787" s="221"/>
      <c r="M787" s="221"/>
      <c r="N787" s="221"/>
      <c r="O787" s="221"/>
      <c r="P787" s="221"/>
      <c r="Q787" s="221"/>
      <c r="R787" s="221"/>
      <c r="S787" s="221"/>
      <c r="T787" s="221"/>
      <c r="U787" s="221"/>
      <c r="V787" s="221"/>
      <c r="W787" s="221"/>
      <c r="X787" s="221"/>
      <c r="Y787" s="221"/>
      <c r="Z787" s="221"/>
    </row>
    <row r="788" customFormat="false" ht="13.5" hidden="false" customHeight="true" outlineLevel="0" collapsed="false">
      <c r="A788" s="221"/>
      <c r="B788" s="221"/>
      <c r="C788" s="221"/>
      <c r="D788" s="221"/>
      <c r="E788" s="221"/>
      <c r="F788" s="221"/>
      <c r="G788" s="221"/>
      <c r="H788" s="221"/>
      <c r="I788" s="221"/>
      <c r="J788" s="221"/>
      <c r="K788" s="221"/>
      <c r="L788" s="221"/>
      <c r="M788" s="221"/>
      <c r="N788" s="221"/>
      <c r="O788" s="221"/>
      <c r="P788" s="221"/>
      <c r="Q788" s="221"/>
      <c r="R788" s="221"/>
      <c r="S788" s="221"/>
      <c r="T788" s="221"/>
      <c r="U788" s="221"/>
      <c r="V788" s="221"/>
      <c r="W788" s="221"/>
      <c r="X788" s="221"/>
      <c r="Y788" s="221"/>
      <c r="Z788" s="221"/>
    </row>
    <row r="789" customFormat="false" ht="13.5" hidden="false" customHeight="true" outlineLevel="0" collapsed="false">
      <c r="A789" s="221"/>
      <c r="B789" s="221"/>
      <c r="C789" s="221"/>
      <c r="D789" s="221"/>
      <c r="E789" s="221"/>
      <c r="F789" s="221"/>
      <c r="G789" s="221"/>
      <c r="H789" s="221"/>
      <c r="I789" s="221"/>
      <c r="J789" s="221"/>
      <c r="K789" s="221"/>
      <c r="L789" s="221"/>
      <c r="M789" s="221"/>
      <c r="N789" s="221"/>
      <c r="O789" s="221"/>
      <c r="P789" s="221"/>
      <c r="Q789" s="221"/>
      <c r="R789" s="221"/>
      <c r="S789" s="221"/>
      <c r="T789" s="221"/>
      <c r="U789" s="221"/>
      <c r="V789" s="221"/>
      <c r="W789" s="221"/>
      <c r="X789" s="221"/>
      <c r="Y789" s="221"/>
      <c r="Z789" s="221"/>
    </row>
    <row r="790" customFormat="false" ht="13.5" hidden="false" customHeight="true" outlineLevel="0" collapsed="false">
      <c r="A790" s="221"/>
      <c r="B790" s="221"/>
      <c r="C790" s="221"/>
      <c r="D790" s="221"/>
      <c r="E790" s="221"/>
      <c r="F790" s="221"/>
      <c r="G790" s="221"/>
      <c r="H790" s="221"/>
      <c r="I790" s="221"/>
      <c r="J790" s="221"/>
      <c r="K790" s="221"/>
      <c r="L790" s="221"/>
      <c r="M790" s="221"/>
      <c r="N790" s="221"/>
      <c r="O790" s="221"/>
      <c r="P790" s="221"/>
      <c r="Q790" s="221"/>
      <c r="R790" s="221"/>
      <c r="S790" s="221"/>
      <c r="T790" s="221"/>
      <c r="U790" s="221"/>
      <c r="V790" s="221"/>
      <c r="W790" s="221"/>
      <c r="X790" s="221"/>
      <c r="Y790" s="221"/>
      <c r="Z790" s="221"/>
    </row>
    <row r="791" customFormat="false" ht="13.5" hidden="false" customHeight="true" outlineLevel="0" collapsed="false">
      <c r="A791" s="221"/>
      <c r="B791" s="221"/>
      <c r="C791" s="221"/>
      <c r="D791" s="221"/>
      <c r="E791" s="221"/>
      <c r="F791" s="221"/>
      <c r="G791" s="221"/>
      <c r="H791" s="221"/>
      <c r="I791" s="221"/>
      <c r="J791" s="221"/>
      <c r="K791" s="221"/>
      <c r="L791" s="221"/>
      <c r="M791" s="221"/>
      <c r="N791" s="221"/>
      <c r="O791" s="221"/>
      <c r="P791" s="221"/>
      <c r="Q791" s="221"/>
      <c r="R791" s="221"/>
      <c r="S791" s="221"/>
      <c r="T791" s="221"/>
      <c r="U791" s="221"/>
      <c r="V791" s="221"/>
      <c r="W791" s="221"/>
      <c r="X791" s="221"/>
      <c r="Y791" s="221"/>
      <c r="Z791" s="221"/>
    </row>
    <row r="792" customFormat="false" ht="13.5" hidden="false" customHeight="true" outlineLevel="0" collapsed="false">
      <c r="A792" s="221"/>
      <c r="B792" s="221"/>
      <c r="C792" s="221"/>
      <c r="D792" s="221"/>
      <c r="E792" s="221"/>
      <c r="F792" s="221"/>
      <c r="G792" s="221"/>
      <c r="H792" s="221"/>
      <c r="I792" s="221"/>
      <c r="J792" s="221"/>
      <c r="K792" s="221"/>
      <c r="L792" s="221"/>
      <c r="M792" s="221"/>
      <c r="N792" s="221"/>
      <c r="O792" s="221"/>
      <c r="P792" s="221"/>
      <c r="Q792" s="221"/>
      <c r="R792" s="221"/>
      <c r="S792" s="221"/>
      <c r="T792" s="221"/>
      <c r="U792" s="221"/>
      <c r="V792" s="221"/>
      <c r="W792" s="221"/>
      <c r="X792" s="221"/>
      <c r="Y792" s="221"/>
      <c r="Z792" s="221"/>
    </row>
    <row r="793" customFormat="false" ht="13.5" hidden="false" customHeight="true" outlineLevel="0" collapsed="false">
      <c r="A793" s="221"/>
      <c r="B793" s="221"/>
      <c r="C793" s="221"/>
      <c r="D793" s="221"/>
      <c r="E793" s="221"/>
      <c r="F793" s="221"/>
      <c r="G793" s="221"/>
      <c r="H793" s="221"/>
      <c r="I793" s="221"/>
      <c r="J793" s="221"/>
      <c r="K793" s="221"/>
      <c r="L793" s="221"/>
      <c r="M793" s="221"/>
      <c r="N793" s="221"/>
      <c r="O793" s="221"/>
      <c r="P793" s="221"/>
      <c r="Q793" s="221"/>
      <c r="R793" s="221"/>
      <c r="S793" s="221"/>
      <c r="T793" s="221"/>
      <c r="U793" s="221"/>
      <c r="V793" s="221"/>
      <c r="W793" s="221"/>
      <c r="X793" s="221"/>
      <c r="Y793" s="221"/>
      <c r="Z793" s="221"/>
    </row>
    <row r="794" customFormat="false" ht="13.5" hidden="false" customHeight="true" outlineLevel="0" collapsed="false">
      <c r="A794" s="221"/>
      <c r="B794" s="221"/>
      <c r="C794" s="221"/>
      <c r="D794" s="221"/>
      <c r="E794" s="221"/>
      <c r="F794" s="221"/>
      <c r="G794" s="221"/>
      <c r="H794" s="221"/>
      <c r="I794" s="221"/>
      <c r="J794" s="221"/>
      <c r="K794" s="221"/>
      <c r="L794" s="221"/>
      <c r="M794" s="221"/>
      <c r="N794" s="221"/>
      <c r="O794" s="221"/>
      <c r="P794" s="221"/>
      <c r="Q794" s="221"/>
      <c r="R794" s="221"/>
      <c r="S794" s="221"/>
      <c r="T794" s="221"/>
      <c r="U794" s="221"/>
      <c r="V794" s="221"/>
      <c r="W794" s="221"/>
      <c r="X794" s="221"/>
      <c r="Y794" s="221"/>
      <c r="Z794" s="221"/>
    </row>
    <row r="795" customFormat="false" ht="13.5" hidden="false" customHeight="true" outlineLevel="0" collapsed="false">
      <c r="A795" s="221"/>
      <c r="B795" s="221"/>
      <c r="C795" s="221"/>
      <c r="D795" s="221"/>
      <c r="E795" s="221"/>
      <c r="F795" s="221"/>
      <c r="G795" s="221"/>
      <c r="H795" s="221"/>
      <c r="I795" s="221"/>
      <c r="J795" s="221"/>
      <c r="K795" s="221"/>
      <c r="L795" s="221"/>
      <c r="M795" s="221"/>
      <c r="N795" s="221"/>
      <c r="O795" s="221"/>
      <c r="P795" s="221"/>
      <c r="Q795" s="221"/>
      <c r="R795" s="221"/>
      <c r="S795" s="221"/>
      <c r="T795" s="221"/>
      <c r="U795" s="221"/>
      <c r="V795" s="221"/>
      <c r="W795" s="221"/>
      <c r="X795" s="221"/>
      <c r="Y795" s="221"/>
      <c r="Z795" s="221"/>
    </row>
    <row r="796" customFormat="false" ht="13.5" hidden="false" customHeight="true" outlineLevel="0" collapsed="false">
      <c r="A796" s="221"/>
      <c r="B796" s="221"/>
      <c r="C796" s="221"/>
      <c r="D796" s="221"/>
      <c r="E796" s="221"/>
      <c r="F796" s="221"/>
      <c r="G796" s="221"/>
      <c r="H796" s="221"/>
      <c r="I796" s="221"/>
      <c r="J796" s="221"/>
      <c r="K796" s="221"/>
      <c r="L796" s="221"/>
      <c r="M796" s="221"/>
      <c r="N796" s="221"/>
      <c r="O796" s="221"/>
      <c r="P796" s="221"/>
      <c r="Q796" s="221"/>
      <c r="R796" s="221"/>
      <c r="S796" s="221"/>
      <c r="T796" s="221"/>
      <c r="U796" s="221"/>
      <c r="V796" s="221"/>
      <c r="W796" s="221"/>
      <c r="X796" s="221"/>
      <c r="Y796" s="221"/>
      <c r="Z796" s="221"/>
    </row>
    <row r="797" customFormat="false" ht="13.5" hidden="false" customHeight="true" outlineLevel="0" collapsed="false">
      <c r="A797" s="221"/>
      <c r="B797" s="221"/>
      <c r="C797" s="221"/>
      <c r="D797" s="221"/>
      <c r="E797" s="221"/>
      <c r="F797" s="221"/>
      <c r="G797" s="221"/>
      <c r="H797" s="221"/>
      <c r="I797" s="221"/>
      <c r="J797" s="221"/>
      <c r="K797" s="221"/>
      <c r="L797" s="221"/>
      <c r="M797" s="221"/>
      <c r="N797" s="221"/>
      <c r="O797" s="221"/>
      <c r="P797" s="221"/>
      <c r="Q797" s="221"/>
      <c r="R797" s="221"/>
      <c r="S797" s="221"/>
      <c r="T797" s="221"/>
      <c r="U797" s="221"/>
      <c r="V797" s="221"/>
      <c r="W797" s="221"/>
      <c r="X797" s="221"/>
      <c r="Y797" s="221"/>
      <c r="Z797" s="221"/>
    </row>
    <row r="798" customFormat="false" ht="13.5" hidden="false" customHeight="true" outlineLevel="0" collapsed="false">
      <c r="A798" s="221"/>
      <c r="B798" s="221"/>
      <c r="C798" s="221"/>
      <c r="D798" s="221"/>
      <c r="E798" s="221"/>
      <c r="F798" s="221"/>
      <c r="G798" s="221"/>
      <c r="H798" s="221"/>
      <c r="I798" s="221"/>
      <c r="J798" s="221"/>
      <c r="K798" s="221"/>
      <c r="L798" s="221"/>
      <c r="M798" s="221"/>
      <c r="N798" s="221"/>
      <c r="O798" s="221"/>
      <c r="P798" s="221"/>
      <c r="Q798" s="221"/>
      <c r="R798" s="221"/>
      <c r="S798" s="221"/>
      <c r="T798" s="221"/>
      <c r="U798" s="221"/>
      <c r="V798" s="221"/>
      <c r="W798" s="221"/>
      <c r="X798" s="221"/>
      <c r="Y798" s="221"/>
      <c r="Z798" s="221"/>
    </row>
    <row r="799" customFormat="false" ht="13.5" hidden="false" customHeight="true" outlineLevel="0" collapsed="false">
      <c r="A799" s="221"/>
      <c r="B799" s="221"/>
      <c r="C799" s="221"/>
      <c r="D799" s="221"/>
      <c r="E799" s="221"/>
      <c r="F799" s="221"/>
      <c r="G799" s="221"/>
      <c r="H799" s="221"/>
      <c r="I799" s="221"/>
      <c r="J799" s="221"/>
      <c r="K799" s="221"/>
      <c r="L799" s="221"/>
      <c r="M799" s="221"/>
      <c r="N799" s="221"/>
      <c r="O799" s="221"/>
      <c r="P799" s="221"/>
      <c r="Q799" s="221"/>
      <c r="R799" s="221"/>
      <c r="S799" s="221"/>
      <c r="T799" s="221"/>
      <c r="U799" s="221"/>
      <c r="V799" s="221"/>
      <c r="W799" s="221"/>
      <c r="X799" s="221"/>
      <c r="Y799" s="221"/>
      <c r="Z799" s="221"/>
    </row>
    <row r="800" customFormat="false" ht="13.5" hidden="false" customHeight="true" outlineLevel="0" collapsed="false">
      <c r="A800" s="221"/>
      <c r="B800" s="221"/>
      <c r="C800" s="221"/>
      <c r="D800" s="221"/>
      <c r="E800" s="221"/>
      <c r="F800" s="221"/>
      <c r="G800" s="221"/>
      <c r="H800" s="221"/>
      <c r="I800" s="221"/>
      <c r="J800" s="221"/>
      <c r="K800" s="221"/>
      <c r="L800" s="221"/>
      <c r="M800" s="221"/>
      <c r="N800" s="221"/>
      <c r="O800" s="221"/>
      <c r="P800" s="221"/>
      <c r="Q800" s="221"/>
      <c r="R800" s="221"/>
      <c r="S800" s="221"/>
      <c r="T800" s="221"/>
      <c r="U800" s="221"/>
      <c r="V800" s="221"/>
      <c r="W800" s="221"/>
      <c r="X800" s="221"/>
      <c r="Y800" s="221"/>
      <c r="Z800" s="221"/>
    </row>
    <row r="801" customFormat="false" ht="13.5" hidden="false" customHeight="true" outlineLevel="0" collapsed="false">
      <c r="A801" s="221"/>
      <c r="B801" s="221"/>
      <c r="C801" s="221"/>
      <c r="D801" s="221"/>
      <c r="E801" s="221"/>
      <c r="F801" s="221"/>
      <c r="G801" s="221"/>
      <c r="H801" s="221"/>
      <c r="I801" s="221"/>
      <c r="J801" s="221"/>
      <c r="K801" s="221"/>
      <c r="L801" s="221"/>
      <c r="M801" s="221"/>
      <c r="N801" s="221"/>
      <c r="O801" s="221"/>
      <c r="P801" s="221"/>
      <c r="Q801" s="221"/>
      <c r="R801" s="221"/>
      <c r="S801" s="221"/>
      <c r="T801" s="221"/>
      <c r="U801" s="221"/>
      <c r="V801" s="221"/>
      <c r="W801" s="221"/>
      <c r="X801" s="221"/>
      <c r="Y801" s="221"/>
      <c r="Z801" s="221"/>
    </row>
    <row r="802" customFormat="false" ht="13.5" hidden="false" customHeight="true" outlineLevel="0" collapsed="false">
      <c r="A802" s="221"/>
      <c r="B802" s="221"/>
      <c r="C802" s="221"/>
      <c r="D802" s="221"/>
      <c r="E802" s="221"/>
      <c r="F802" s="221"/>
      <c r="G802" s="221"/>
      <c r="H802" s="221"/>
      <c r="I802" s="221"/>
      <c r="J802" s="221"/>
      <c r="K802" s="221"/>
      <c r="L802" s="221"/>
      <c r="M802" s="221"/>
      <c r="N802" s="221"/>
      <c r="O802" s="221"/>
      <c r="P802" s="221"/>
      <c r="Q802" s="221"/>
      <c r="R802" s="221"/>
      <c r="S802" s="221"/>
      <c r="T802" s="221"/>
      <c r="U802" s="221"/>
      <c r="V802" s="221"/>
      <c r="W802" s="221"/>
      <c r="X802" s="221"/>
      <c r="Y802" s="221"/>
      <c r="Z802" s="221"/>
    </row>
    <row r="803" customFormat="false" ht="13.5" hidden="false" customHeight="true" outlineLevel="0" collapsed="false">
      <c r="A803" s="221"/>
      <c r="B803" s="221"/>
      <c r="C803" s="221"/>
      <c r="D803" s="221"/>
      <c r="E803" s="221"/>
      <c r="F803" s="221"/>
      <c r="G803" s="221"/>
      <c r="H803" s="221"/>
      <c r="I803" s="221"/>
      <c r="J803" s="221"/>
      <c r="K803" s="221"/>
      <c r="L803" s="221"/>
      <c r="M803" s="221"/>
      <c r="N803" s="221"/>
      <c r="O803" s="221"/>
      <c r="P803" s="221"/>
      <c r="Q803" s="221"/>
      <c r="R803" s="221"/>
      <c r="S803" s="221"/>
      <c r="T803" s="221"/>
      <c r="U803" s="221"/>
      <c r="V803" s="221"/>
      <c r="W803" s="221"/>
      <c r="X803" s="221"/>
      <c r="Y803" s="221"/>
      <c r="Z803" s="221"/>
    </row>
    <row r="804" customFormat="false" ht="13.5" hidden="false" customHeight="true" outlineLevel="0" collapsed="false">
      <c r="A804" s="221"/>
      <c r="B804" s="221"/>
      <c r="C804" s="221"/>
      <c r="D804" s="221"/>
      <c r="E804" s="221"/>
      <c r="F804" s="221"/>
      <c r="G804" s="221"/>
      <c r="H804" s="221"/>
      <c r="I804" s="221"/>
      <c r="J804" s="221"/>
      <c r="K804" s="221"/>
      <c r="L804" s="221"/>
      <c r="M804" s="221"/>
      <c r="N804" s="221"/>
      <c r="O804" s="221"/>
      <c r="P804" s="221"/>
      <c r="Q804" s="221"/>
      <c r="R804" s="221"/>
      <c r="S804" s="221"/>
      <c r="T804" s="221"/>
      <c r="U804" s="221"/>
      <c r="V804" s="221"/>
      <c r="W804" s="221"/>
      <c r="X804" s="221"/>
      <c r="Y804" s="221"/>
      <c r="Z804" s="221"/>
    </row>
    <row r="805" customFormat="false" ht="13.5" hidden="false" customHeight="true" outlineLevel="0" collapsed="false">
      <c r="A805" s="221"/>
      <c r="B805" s="221"/>
      <c r="C805" s="221"/>
      <c r="D805" s="221"/>
      <c r="E805" s="221"/>
      <c r="F805" s="221"/>
      <c r="G805" s="221"/>
      <c r="H805" s="221"/>
      <c r="I805" s="221"/>
      <c r="J805" s="221"/>
      <c r="K805" s="221"/>
      <c r="L805" s="221"/>
      <c r="M805" s="221"/>
      <c r="N805" s="221"/>
      <c r="O805" s="221"/>
      <c r="P805" s="221"/>
      <c r="Q805" s="221"/>
      <c r="R805" s="221"/>
      <c r="S805" s="221"/>
      <c r="T805" s="221"/>
      <c r="U805" s="221"/>
      <c r="V805" s="221"/>
      <c r="W805" s="221"/>
      <c r="X805" s="221"/>
      <c r="Y805" s="221"/>
      <c r="Z805" s="221"/>
    </row>
    <row r="806" customFormat="false" ht="13.5" hidden="false" customHeight="true" outlineLevel="0" collapsed="false">
      <c r="A806" s="221"/>
      <c r="B806" s="221"/>
      <c r="C806" s="221"/>
      <c r="D806" s="221"/>
      <c r="E806" s="221"/>
      <c r="F806" s="221"/>
      <c r="G806" s="221"/>
      <c r="H806" s="221"/>
      <c r="I806" s="221"/>
      <c r="J806" s="221"/>
      <c r="K806" s="221"/>
      <c r="L806" s="221"/>
      <c r="M806" s="221"/>
      <c r="N806" s="221"/>
      <c r="O806" s="221"/>
      <c r="P806" s="221"/>
      <c r="Q806" s="221"/>
      <c r="R806" s="221"/>
      <c r="S806" s="221"/>
      <c r="T806" s="221"/>
      <c r="U806" s="221"/>
      <c r="V806" s="221"/>
      <c r="W806" s="221"/>
      <c r="X806" s="221"/>
      <c r="Y806" s="221"/>
      <c r="Z806" s="221"/>
    </row>
    <row r="807" customFormat="false" ht="13.5" hidden="false" customHeight="true" outlineLevel="0" collapsed="false">
      <c r="A807" s="221"/>
      <c r="B807" s="221"/>
      <c r="C807" s="221"/>
      <c r="D807" s="221"/>
      <c r="E807" s="221"/>
      <c r="F807" s="221"/>
      <c r="G807" s="221"/>
      <c r="H807" s="221"/>
      <c r="I807" s="221"/>
      <c r="J807" s="221"/>
      <c r="K807" s="221"/>
      <c r="L807" s="221"/>
      <c r="M807" s="221"/>
      <c r="N807" s="221"/>
      <c r="O807" s="221"/>
      <c r="P807" s="221"/>
      <c r="Q807" s="221"/>
      <c r="R807" s="221"/>
      <c r="S807" s="221"/>
      <c r="T807" s="221"/>
      <c r="U807" s="221"/>
      <c r="V807" s="221"/>
      <c r="W807" s="221"/>
      <c r="X807" s="221"/>
      <c r="Y807" s="221"/>
      <c r="Z807" s="221"/>
    </row>
    <row r="808" customFormat="false" ht="13.5" hidden="false" customHeight="true" outlineLevel="0" collapsed="false">
      <c r="A808" s="221"/>
      <c r="B808" s="221"/>
      <c r="C808" s="221"/>
      <c r="D808" s="221"/>
      <c r="E808" s="221"/>
      <c r="F808" s="221"/>
      <c r="G808" s="221"/>
      <c r="H808" s="221"/>
      <c r="I808" s="221"/>
      <c r="J808" s="221"/>
      <c r="K808" s="221"/>
      <c r="L808" s="221"/>
      <c r="M808" s="221"/>
      <c r="N808" s="221"/>
      <c r="O808" s="221"/>
      <c r="P808" s="221"/>
      <c r="Q808" s="221"/>
      <c r="R808" s="221"/>
      <c r="S808" s="221"/>
      <c r="T808" s="221"/>
      <c r="U808" s="221"/>
      <c r="V808" s="221"/>
      <c r="W808" s="221"/>
      <c r="X808" s="221"/>
      <c r="Y808" s="221"/>
      <c r="Z808" s="221"/>
    </row>
    <row r="809" customFormat="false" ht="13.5" hidden="false" customHeight="true" outlineLevel="0" collapsed="false">
      <c r="A809" s="221"/>
      <c r="B809" s="221"/>
      <c r="C809" s="221"/>
      <c r="D809" s="221"/>
      <c r="E809" s="221"/>
      <c r="F809" s="221"/>
      <c r="G809" s="221"/>
      <c r="H809" s="221"/>
      <c r="I809" s="221"/>
      <c r="J809" s="221"/>
      <c r="K809" s="221"/>
      <c r="L809" s="221"/>
      <c r="M809" s="221"/>
      <c r="N809" s="221"/>
      <c r="O809" s="221"/>
      <c r="P809" s="221"/>
      <c r="Q809" s="221"/>
      <c r="R809" s="221"/>
      <c r="S809" s="221"/>
      <c r="T809" s="221"/>
      <c r="U809" s="221"/>
      <c r="V809" s="221"/>
      <c r="W809" s="221"/>
      <c r="X809" s="221"/>
      <c r="Y809" s="221"/>
      <c r="Z809" s="221"/>
    </row>
    <row r="810" customFormat="false" ht="13.5" hidden="false" customHeight="true" outlineLevel="0" collapsed="false">
      <c r="A810" s="221"/>
      <c r="B810" s="221"/>
      <c r="C810" s="221"/>
      <c r="D810" s="221"/>
      <c r="E810" s="221"/>
      <c r="F810" s="221"/>
      <c r="G810" s="221"/>
      <c r="H810" s="221"/>
      <c r="I810" s="221"/>
      <c r="J810" s="221"/>
      <c r="K810" s="221"/>
      <c r="L810" s="221"/>
      <c r="M810" s="221"/>
      <c r="N810" s="221"/>
      <c r="O810" s="221"/>
      <c r="P810" s="221"/>
      <c r="Q810" s="221"/>
      <c r="R810" s="221"/>
      <c r="S810" s="221"/>
      <c r="T810" s="221"/>
      <c r="U810" s="221"/>
      <c r="V810" s="221"/>
      <c r="W810" s="221"/>
      <c r="X810" s="221"/>
      <c r="Y810" s="221"/>
      <c r="Z810" s="221"/>
    </row>
    <row r="811" customFormat="false" ht="13.5" hidden="false" customHeight="true" outlineLevel="0" collapsed="false">
      <c r="A811" s="221"/>
      <c r="B811" s="221"/>
      <c r="C811" s="221"/>
      <c r="D811" s="221"/>
      <c r="E811" s="221"/>
      <c r="F811" s="221"/>
      <c r="G811" s="221"/>
      <c r="H811" s="221"/>
      <c r="I811" s="221"/>
      <c r="J811" s="221"/>
      <c r="K811" s="221"/>
      <c r="L811" s="221"/>
      <c r="M811" s="221"/>
      <c r="N811" s="221"/>
      <c r="O811" s="221"/>
      <c r="P811" s="221"/>
      <c r="Q811" s="221"/>
      <c r="R811" s="221"/>
      <c r="S811" s="221"/>
      <c r="T811" s="221"/>
      <c r="U811" s="221"/>
      <c r="V811" s="221"/>
      <c r="W811" s="221"/>
      <c r="X811" s="221"/>
      <c r="Y811" s="221"/>
      <c r="Z811" s="221"/>
    </row>
    <row r="812" customFormat="false" ht="13.5" hidden="false" customHeight="true" outlineLevel="0" collapsed="false">
      <c r="A812" s="221"/>
      <c r="B812" s="221"/>
      <c r="C812" s="221"/>
      <c r="D812" s="221"/>
      <c r="E812" s="221"/>
      <c r="F812" s="221"/>
      <c r="G812" s="221"/>
      <c r="H812" s="221"/>
      <c r="I812" s="221"/>
      <c r="J812" s="221"/>
      <c r="K812" s="221"/>
      <c r="L812" s="221"/>
      <c r="M812" s="221"/>
      <c r="N812" s="221"/>
      <c r="O812" s="221"/>
      <c r="P812" s="221"/>
      <c r="Q812" s="221"/>
      <c r="R812" s="221"/>
      <c r="S812" s="221"/>
      <c r="T812" s="221"/>
      <c r="U812" s="221"/>
      <c r="V812" s="221"/>
      <c r="W812" s="221"/>
      <c r="X812" s="221"/>
      <c r="Y812" s="221"/>
      <c r="Z812" s="221"/>
    </row>
    <row r="813" customFormat="false" ht="13.5" hidden="false" customHeight="true" outlineLevel="0" collapsed="false">
      <c r="A813" s="221"/>
      <c r="B813" s="221"/>
      <c r="C813" s="221"/>
      <c r="D813" s="221"/>
      <c r="E813" s="221"/>
      <c r="F813" s="221"/>
      <c r="G813" s="221"/>
      <c r="H813" s="221"/>
      <c r="I813" s="221"/>
      <c r="J813" s="221"/>
      <c r="K813" s="221"/>
      <c r="L813" s="221"/>
      <c r="M813" s="221"/>
      <c r="N813" s="221"/>
      <c r="O813" s="221"/>
      <c r="P813" s="221"/>
      <c r="Q813" s="221"/>
      <c r="R813" s="221"/>
      <c r="S813" s="221"/>
      <c r="T813" s="221"/>
      <c r="U813" s="221"/>
      <c r="V813" s="221"/>
      <c r="W813" s="221"/>
      <c r="X813" s="221"/>
      <c r="Y813" s="221"/>
      <c r="Z813" s="221"/>
    </row>
    <row r="814" customFormat="false" ht="13.5" hidden="false" customHeight="true" outlineLevel="0" collapsed="false">
      <c r="A814" s="221"/>
      <c r="B814" s="221"/>
      <c r="C814" s="221"/>
      <c r="D814" s="221"/>
      <c r="E814" s="221"/>
      <c r="F814" s="221"/>
      <c r="G814" s="221"/>
      <c r="H814" s="221"/>
      <c r="I814" s="221"/>
      <c r="J814" s="221"/>
      <c r="K814" s="221"/>
      <c r="L814" s="221"/>
      <c r="M814" s="221"/>
      <c r="N814" s="221"/>
      <c r="O814" s="221"/>
      <c r="P814" s="221"/>
      <c r="Q814" s="221"/>
      <c r="R814" s="221"/>
      <c r="S814" s="221"/>
      <c r="T814" s="221"/>
      <c r="U814" s="221"/>
      <c r="V814" s="221"/>
      <c r="W814" s="221"/>
      <c r="X814" s="221"/>
      <c r="Y814" s="221"/>
      <c r="Z814" s="221"/>
    </row>
    <row r="815" customFormat="false" ht="13.5" hidden="false" customHeight="true" outlineLevel="0" collapsed="false">
      <c r="A815" s="221"/>
      <c r="B815" s="221"/>
      <c r="C815" s="221"/>
      <c r="D815" s="221"/>
      <c r="E815" s="221"/>
      <c r="F815" s="221"/>
      <c r="G815" s="221"/>
      <c r="H815" s="221"/>
      <c r="I815" s="221"/>
      <c r="J815" s="221"/>
      <c r="K815" s="221"/>
      <c r="L815" s="221"/>
      <c r="M815" s="221"/>
      <c r="N815" s="221"/>
      <c r="O815" s="221"/>
      <c r="P815" s="221"/>
      <c r="Q815" s="221"/>
      <c r="R815" s="221"/>
      <c r="S815" s="221"/>
      <c r="T815" s="221"/>
      <c r="U815" s="221"/>
      <c r="V815" s="221"/>
      <c r="W815" s="221"/>
      <c r="X815" s="221"/>
      <c r="Y815" s="221"/>
      <c r="Z815" s="221"/>
    </row>
    <row r="816" customFormat="false" ht="13.5" hidden="false" customHeight="true" outlineLevel="0" collapsed="false">
      <c r="A816" s="221"/>
      <c r="B816" s="221"/>
      <c r="C816" s="221"/>
      <c r="D816" s="221"/>
      <c r="E816" s="221"/>
      <c r="F816" s="221"/>
      <c r="G816" s="221"/>
      <c r="H816" s="221"/>
      <c r="I816" s="221"/>
      <c r="J816" s="221"/>
      <c r="K816" s="221"/>
      <c r="L816" s="221"/>
      <c r="M816" s="221"/>
      <c r="N816" s="221"/>
      <c r="O816" s="221"/>
      <c r="P816" s="221"/>
      <c r="Q816" s="221"/>
      <c r="R816" s="221"/>
      <c r="S816" s="221"/>
      <c r="T816" s="221"/>
      <c r="U816" s="221"/>
      <c r="V816" s="221"/>
      <c r="W816" s="221"/>
      <c r="X816" s="221"/>
      <c r="Y816" s="221"/>
      <c r="Z816" s="221"/>
    </row>
    <row r="817" customFormat="false" ht="13.5" hidden="false" customHeight="true" outlineLevel="0" collapsed="false">
      <c r="A817" s="221"/>
      <c r="B817" s="221"/>
      <c r="C817" s="221"/>
      <c r="D817" s="221"/>
      <c r="E817" s="221"/>
      <c r="F817" s="221"/>
      <c r="G817" s="221"/>
      <c r="H817" s="221"/>
      <c r="I817" s="221"/>
      <c r="J817" s="221"/>
      <c r="K817" s="221"/>
      <c r="L817" s="221"/>
      <c r="M817" s="221"/>
      <c r="N817" s="221"/>
      <c r="O817" s="221"/>
      <c r="P817" s="221"/>
      <c r="Q817" s="221"/>
      <c r="R817" s="221"/>
      <c r="S817" s="221"/>
      <c r="T817" s="221"/>
      <c r="U817" s="221"/>
      <c r="V817" s="221"/>
      <c r="W817" s="221"/>
      <c r="X817" s="221"/>
      <c r="Y817" s="221"/>
      <c r="Z817" s="221"/>
    </row>
    <row r="818" customFormat="false" ht="13.5" hidden="false" customHeight="true" outlineLevel="0" collapsed="false">
      <c r="A818" s="221"/>
      <c r="B818" s="221"/>
      <c r="C818" s="221"/>
      <c r="D818" s="221"/>
      <c r="E818" s="221"/>
      <c r="F818" s="221"/>
      <c r="G818" s="221"/>
      <c r="H818" s="221"/>
      <c r="I818" s="221"/>
      <c r="J818" s="221"/>
      <c r="K818" s="221"/>
      <c r="L818" s="221"/>
      <c r="M818" s="221"/>
      <c r="N818" s="221"/>
      <c r="O818" s="221"/>
      <c r="P818" s="221"/>
      <c r="Q818" s="221"/>
      <c r="R818" s="221"/>
      <c r="S818" s="221"/>
      <c r="T818" s="221"/>
      <c r="U818" s="221"/>
      <c r="V818" s="221"/>
      <c r="W818" s="221"/>
      <c r="X818" s="221"/>
      <c r="Y818" s="221"/>
      <c r="Z818" s="221"/>
    </row>
    <row r="819" customFormat="false" ht="13.5" hidden="false" customHeight="true" outlineLevel="0" collapsed="false">
      <c r="A819" s="221"/>
      <c r="B819" s="221"/>
      <c r="C819" s="221"/>
      <c r="D819" s="221"/>
      <c r="E819" s="221"/>
      <c r="F819" s="221"/>
      <c r="G819" s="221"/>
      <c r="H819" s="221"/>
      <c r="I819" s="221"/>
      <c r="J819" s="221"/>
      <c r="K819" s="221"/>
      <c r="L819" s="221"/>
      <c r="M819" s="221"/>
      <c r="N819" s="221"/>
      <c r="O819" s="221"/>
      <c r="P819" s="221"/>
      <c r="Q819" s="221"/>
      <c r="R819" s="221"/>
      <c r="S819" s="221"/>
      <c r="T819" s="221"/>
      <c r="U819" s="221"/>
      <c r="V819" s="221"/>
      <c r="W819" s="221"/>
      <c r="X819" s="221"/>
      <c r="Y819" s="221"/>
      <c r="Z819" s="221"/>
    </row>
    <row r="820" customFormat="false" ht="13.5" hidden="false" customHeight="true" outlineLevel="0" collapsed="false">
      <c r="A820" s="221"/>
      <c r="B820" s="221"/>
      <c r="C820" s="221"/>
      <c r="D820" s="221"/>
      <c r="E820" s="221"/>
      <c r="F820" s="221"/>
      <c r="G820" s="221"/>
      <c r="H820" s="221"/>
      <c r="I820" s="221"/>
      <c r="J820" s="221"/>
      <c r="K820" s="221"/>
      <c r="L820" s="221"/>
      <c r="M820" s="221"/>
      <c r="N820" s="221"/>
      <c r="O820" s="221"/>
      <c r="P820" s="221"/>
      <c r="Q820" s="221"/>
      <c r="R820" s="221"/>
      <c r="S820" s="221"/>
      <c r="T820" s="221"/>
      <c r="U820" s="221"/>
      <c r="V820" s="221"/>
      <c r="W820" s="221"/>
      <c r="X820" s="221"/>
      <c r="Y820" s="221"/>
      <c r="Z820" s="221"/>
    </row>
    <row r="821" customFormat="false" ht="13.5" hidden="false" customHeight="true" outlineLevel="0" collapsed="false">
      <c r="A821" s="221"/>
      <c r="B821" s="221"/>
      <c r="C821" s="221"/>
      <c r="D821" s="221"/>
      <c r="E821" s="221"/>
      <c r="F821" s="221"/>
      <c r="G821" s="221"/>
      <c r="H821" s="221"/>
      <c r="I821" s="221"/>
      <c r="J821" s="221"/>
      <c r="K821" s="221"/>
      <c r="L821" s="221"/>
      <c r="M821" s="221"/>
      <c r="N821" s="221"/>
      <c r="O821" s="221"/>
      <c r="P821" s="221"/>
      <c r="Q821" s="221"/>
      <c r="R821" s="221"/>
      <c r="S821" s="221"/>
      <c r="T821" s="221"/>
      <c r="U821" s="221"/>
      <c r="V821" s="221"/>
      <c r="W821" s="221"/>
      <c r="X821" s="221"/>
      <c r="Y821" s="221"/>
      <c r="Z821" s="221"/>
    </row>
    <row r="822" customFormat="false" ht="13.5" hidden="false" customHeight="true" outlineLevel="0" collapsed="false">
      <c r="A822" s="221"/>
      <c r="B822" s="221"/>
      <c r="C822" s="221"/>
      <c r="D822" s="221"/>
      <c r="E822" s="221"/>
      <c r="F822" s="221"/>
      <c r="G822" s="221"/>
      <c r="H822" s="221"/>
      <c r="I822" s="221"/>
      <c r="J822" s="221"/>
      <c r="K822" s="221"/>
      <c r="L822" s="221"/>
      <c r="M822" s="221"/>
      <c r="N822" s="221"/>
      <c r="O822" s="221"/>
      <c r="P822" s="221"/>
      <c r="Q822" s="221"/>
      <c r="R822" s="221"/>
      <c r="S822" s="221"/>
      <c r="T822" s="221"/>
      <c r="U822" s="221"/>
      <c r="V822" s="221"/>
      <c r="W822" s="221"/>
      <c r="X822" s="221"/>
      <c r="Y822" s="221"/>
      <c r="Z822" s="221"/>
    </row>
    <row r="823" customFormat="false" ht="13.5" hidden="false" customHeight="true" outlineLevel="0" collapsed="false">
      <c r="A823" s="221"/>
      <c r="B823" s="221"/>
      <c r="C823" s="221"/>
      <c r="D823" s="221"/>
      <c r="E823" s="221"/>
      <c r="F823" s="221"/>
      <c r="G823" s="221"/>
      <c r="H823" s="221"/>
      <c r="I823" s="221"/>
      <c r="J823" s="221"/>
      <c r="K823" s="221"/>
      <c r="L823" s="221"/>
      <c r="M823" s="221"/>
      <c r="N823" s="221"/>
      <c r="O823" s="221"/>
      <c r="P823" s="221"/>
      <c r="Q823" s="221"/>
      <c r="R823" s="221"/>
      <c r="S823" s="221"/>
      <c r="T823" s="221"/>
      <c r="U823" s="221"/>
      <c r="V823" s="221"/>
      <c r="W823" s="221"/>
      <c r="X823" s="221"/>
      <c r="Y823" s="221"/>
      <c r="Z823" s="221"/>
    </row>
    <row r="824" customFormat="false" ht="13.5" hidden="false" customHeight="true" outlineLevel="0" collapsed="false">
      <c r="A824" s="221"/>
      <c r="B824" s="221"/>
      <c r="C824" s="221"/>
      <c r="D824" s="221"/>
      <c r="E824" s="221"/>
      <c r="F824" s="221"/>
      <c r="G824" s="221"/>
      <c r="H824" s="221"/>
      <c r="I824" s="221"/>
      <c r="J824" s="221"/>
      <c r="K824" s="221"/>
      <c r="L824" s="221"/>
      <c r="M824" s="221"/>
      <c r="N824" s="221"/>
      <c r="O824" s="221"/>
      <c r="P824" s="221"/>
      <c r="Q824" s="221"/>
      <c r="R824" s="221"/>
      <c r="S824" s="221"/>
      <c r="T824" s="221"/>
      <c r="U824" s="221"/>
      <c r="V824" s="221"/>
      <c r="W824" s="221"/>
      <c r="X824" s="221"/>
      <c r="Y824" s="221"/>
      <c r="Z824" s="221"/>
    </row>
    <row r="825" customFormat="false" ht="13.5" hidden="false" customHeight="true" outlineLevel="0" collapsed="false">
      <c r="A825" s="221"/>
      <c r="B825" s="221"/>
      <c r="C825" s="221"/>
      <c r="D825" s="221"/>
      <c r="E825" s="221"/>
      <c r="F825" s="221"/>
      <c r="G825" s="221"/>
      <c r="H825" s="221"/>
      <c r="I825" s="221"/>
      <c r="J825" s="221"/>
      <c r="K825" s="221"/>
      <c r="L825" s="221"/>
      <c r="M825" s="221"/>
      <c r="N825" s="221"/>
      <c r="O825" s="221"/>
      <c r="P825" s="221"/>
      <c r="Q825" s="221"/>
      <c r="R825" s="221"/>
      <c r="S825" s="221"/>
      <c r="T825" s="221"/>
      <c r="U825" s="221"/>
      <c r="V825" s="221"/>
      <c r="W825" s="221"/>
      <c r="X825" s="221"/>
      <c r="Y825" s="221"/>
      <c r="Z825" s="221"/>
    </row>
    <row r="826" customFormat="false" ht="13.5" hidden="false" customHeight="true" outlineLevel="0" collapsed="false">
      <c r="A826" s="221"/>
      <c r="B826" s="221"/>
      <c r="C826" s="221"/>
      <c r="D826" s="221"/>
      <c r="E826" s="221"/>
      <c r="F826" s="221"/>
      <c r="G826" s="221"/>
      <c r="H826" s="221"/>
      <c r="I826" s="221"/>
      <c r="J826" s="221"/>
      <c r="K826" s="221"/>
      <c r="L826" s="221"/>
      <c r="M826" s="221"/>
      <c r="N826" s="221"/>
      <c r="O826" s="221"/>
      <c r="P826" s="221"/>
      <c r="Q826" s="221"/>
      <c r="R826" s="221"/>
      <c r="S826" s="221"/>
      <c r="T826" s="221"/>
      <c r="U826" s="221"/>
      <c r="V826" s="221"/>
      <c r="W826" s="221"/>
      <c r="X826" s="221"/>
      <c r="Y826" s="221"/>
      <c r="Z826" s="221"/>
    </row>
    <row r="827" customFormat="false" ht="13.5" hidden="false" customHeight="true" outlineLevel="0" collapsed="false">
      <c r="A827" s="221"/>
      <c r="B827" s="221"/>
      <c r="C827" s="221"/>
      <c r="D827" s="221"/>
      <c r="E827" s="221"/>
      <c r="F827" s="221"/>
      <c r="G827" s="221"/>
      <c r="H827" s="221"/>
      <c r="I827" s="221"/>
      <c r="J827" s="221"/>
      <c r="K827" s="221"/>
      <c r="L827" s="221"/>
      <c r="M827" s="221"/>
      <c r="N827" s="221"/>
      <c r="O827" s="221"/>
      <c r="P827" s="221"/>
      <c r="Q827" s="221"/>
      <c r="R827" s="221"/>
      <c r="S827" s="221"/>
      <c r="T827" s="221"/>
      <c r="U827" s="221"/>
      <c r="V827" s="221"/>
      <c r="W827" s="221"/>
      <c r="X827" s="221"/>
      <c r="Y827" s="221"/>
      <c r="Z827" s="221"/>
    </row>
    <row r="828" customFormat="false" ht="13.5" hidden="false" customHeight="true" outlineLevel="0" collapsed="false">
      <c r="A828" s="221"/>
      <c r="B828" s="221"/>
      <c r="C828" s="221"/>
      <c r="D828" s="221"/>
      <c r="E828" s="221"/>
      <c r="F828" s="221"/>
      <c r="G828" s="221"/>
      <c r="H828" s="221"/>
      <c r="I828" s="221"/>
      <c r="J828" s="221"/>
      <c r="K828" s="221"/>
      <c r="L828" s="221"/>
      <c r="M828" s="221"/>
      <c r="N828" s="221"/>
      <c r="O828" s="221"/>
      <c r="P828" s="221"/>
      <c r="Q828" s="221"/>
      <c r="R828" s="221"/>
      <c r="S828" s="221"/>
      <c r="T828" s="221"/>
      <c r="U828" s="221"/>
      <c r="V828" s="221"/>
      <c r="W828" s="221"/>
      <c r="X828" s="221"/>
      <c r="Y828" s="221"/>
      <c r="Z828" s="221"/>
    </row>
    <row r="829" customFormat="false" ht="13.5" hidden="false" customHeight="true" outlineLevel="0" collapsed="false">
      <c r="A829" s="221"/>
      <c r="B829" s="221"/>
      <c r="C829" s="221"/>
      <c r="D829" s="221"/>
      <c r="E829" s="221"/>
      <c r="F829" s="221"/>
      <c r="G829" s="221"/>
      <c r="H829" s="221"/>
      <c r="I829" s="221"/>
      <c r="J829" s="221"/>
      <c r="K829" s="221"/>
      <c r="L829" s="221"/>
      <c r="M829" s="221"/>
      <c r="N829" s="221"/>
      <c r="O829" s="221"/>
      <c r="P829" s="221"/>
      <c r="Q829" s="221"/>
      <c r="R829" s="221"/>
      <c r="S829" s="221"/>
      <c r="T829" s="221"/>
      <c r="U829" s="221"/>
      <c r="V829" s="221"/>
      <c r="W829" s="221"/>
      <c r="X829" s="221"/>
      <c r="Y829" s="221"/>
      <c r="Z829" s="221"/>
    </row>
    <row r="830" customFormat="false" ht="13.5" hidden="false" customHeight="true" outlineLevel="0" collapsed="false">
      <c r="A830" s="221"/>
      <c r="B830" s="221"/>
      <c r="C830" s="221"/>
      <c r="D830" s="221"/>
      <c r="E830" s="221"/>
      <c r="F830" s="221"/>
      <c r="G830" s="221"/>
      <c r="H830" s="221"/>
      <c r="I830" s="221"/>
      <c r="J830" s="221"/>
      <c r="K830" s="221"/>
      <c r="L830" s="221"/>
      <c r="M830" s="221"/>
      <c r="N830" s="221"/>
      <c r="O830" s="221"/>
      <c r="P830" s="221"/>
      <c r="Q830" s="221"/>
      <c r="R830" s="221"/>
      <c r="S830" s="221"/>
      <c r="T830" s="221"/>
      <c r="U830" s="221"/>
      <c r="V830" s="221"/>
      <c r="W830" s="221"/>
      <c r="X830" s="221"/>
      <c r="Y830" s="221"/>
      <c r="Z830" s="221"/>
    </row>
    <row r="831" customFormat="false" ht="13.5" hidden="false" customHeight="true" outlineLevel="0" collapsed="false">
      <c r="A831" s="221"/>
      <c r="B831" s="221"/>
      <c r="C831" s="221"/>
      <c r="D831" s="221"/>
      <c r="E831" s="221"/>
      <c r="F831" s="221"/>
      <c r="G831" s="221"/>
      <c r="H831" s="221"/>
      <c r="I831" s="221"/>
      <c r="J831" s="221"/>
      <c r="K831" s="221"/>
      <c r="L831" s="221"/>
      <c r="M831" s="221"/>
      <c r="N831" s="221"/>
      <c r="O831" s="221"/>
      <c r="P831" s="221"/>
      <c r="Q831" s="221"/>
      <c r="R831" s="221"/>
      <c r="S831" s="221"/>
      <c r="T831" s="221"/>
      <c r="U831" s="221"/>
      <c r="V831" s="221"/>
      <c r="W831" s="221"/>
      <c r="X831" s="221"/>
      <c r="Y831" s="221"/>
      <c r="Z831" s="221"/>
    </row>
    <row r="832" customFormat="false" ht="13.5" hidden="false" customHeight="true" outlineLevel="0" collapsed="false">
      <c r="A832" s="221"/>
      <c r="B832" s="221"/>
      <c r="C832" s="221"/>
      <c r="D832" s="221"/>
      <c r="E832" s="221"/>
      <c r="F832" s="221"/>
      <c r="G832" s="221"/>
      <c r="H832" s="221"/>
      <c r="I832" s="221"/>
      <c r="J832" s="221"/>
      <c r="K832" s="221"/>
      <c r="L832" s="221"/>
      <c r="M832" s="221"/>
      <c r="N832" s="221"/>
      <c r="O832" s="221"/>
      <c r="P832" s="221"/>
      <c r="Q832" s="221"/>
      <c r="R832" s="221"/>
      <c r="S832" s="221"/>
      <c r="T832" s="221"/>
      <c r="U832" s="221"/>
      <c r="V832" s="221"/>
      <c r="W832" s="221"/>
      <c r="X832" s="221"/>
      <c r="Y832" s="221"/>
      <c r="Z832" s="221"/>
    </row>
    <row r="833" customFormat="false" ht="13.5" hidden="false" customHeight="true" outlineLevel="0" collapsed="false">
      <c r="A833" s="221"/>
      <c r="B833" s="221"/>
      <c r="C833" s="221"/>
      <c r="D833" s="221"/>
      <c r="E833" s="221"/>
      <c r="F833" s="221"/>
      <c r="G833" s="221"/>
      <c r="H833" s="221"/>
      <c r="I833" s="221"/>
      <c r="J833" s="221"/>
      <c r="K833" s="221"/>
      <c r="L833" s="221"/>
      <c r="M833" s="221"/>
      <c r="N833" s="221"/>
      <c r="O833" s="221"/>
      <c r="P833" s="221"/>
      <c r="Q833" s="221"/>
      <c r="R833" s="221"/>
      <c r="S833" s="221"/>
      <c r="T833" s="221"/>
      <c r="U833" s="221"/>
      <c r="V833" s="221"/>
      <c r="W833" s="221"/>
      <c r="X833" s="221"/>
      <c r="Y833" s="221"/>
      <c r="Z833" s="221"/>
    </row>
    <row r="834" customFormat="false" ht="13.5" hidden="false" customHeight="true" outlineLevel="0" collapsed="false">
      <c r="A834" s="221"/>
      <c r="B834" s="221"/>
      <c r="C834" s="221"/>
      <c r="D834" s="221"/>
      <c r="E834" s="221"/>
      <c r="F834" s="221"/>
      <c r="G834" s="221"/>
      <c r="H834" s="221"/>
      <c r="I834" s="221"/>
      <c r="J834" s="221"/>
      <c r="K834" s="221"/>
      <c r="L834" s="221"/>
      <c r="M834" s="221"/>
      <c r="N834" s="221"/>
      <c r="O834" s="221"/>
      <c r="P834" s="221"/>
      <c r="Q834" s="221"/>
      <c r="R834" s="221"/>
      <c r="S834" s="221"/>
      <c r="T834" s="221"/>
      <c r="U834" s="221"/>
      <c r="V834" s="221"/>
      <c r="W834" s="221"/>
      <c r="X834" s="221"/>
      <c r="Y834" s="221"/>
      <c r="Z834" s="221"/>
    </row>
    <row r="835" customFormat="false" ht="13.5" hidden="false" customHeight="true" outlineLevel="0" collapsed="false">
      <c r="A835" s="221"/>
      <c r="B835" s="221"/>
      <c r="C835" s="221"/>
      <c r="D835" s="221"/>
      <c r="E835" s="221"/>
      <c r="F835" s="221"/>
      <c r="G835" s="221"/>
      <c r="H835" s="221"/>
      <c r="I835" s="221"/>
      <c r="J835" s="221"/>
      <c r="K835" s="221"/>
      <c r="L835" s="221"/>
      <c r="M835" s="221"/>
      <c r="N835" s="221"/>
      <c r="O835" s="221"/>
      <c r="P835" s="221"/>
      <c r="Q835" s="221"/>
      <c r="R835" s="221"/>
      <c r="S835" s="221"/>
      <c r="T835" s="221"/>
      <c r="U835" s="221"/>
      <c r="V835" s="221"/>
      <c r="W835" s="221"/>
      <c r="X835" s="221"/>
      <c r="Y835" s="221"/>
      <c r="Z835" s="221"/>
    </row>
    <row r="836" customFormat="false" ht="13.5" hidden="false" customHeight="true" outlineLevel="0" collapsed="false">
      <c r="A836" s="221"/>
      <c r="B836" s="221"/>
      <c r="C836" s="221"/>
      <c r="D836" s="221"/>
      <c r="E836" s="221"/>
      <c r="F836" s="221"/>
      <c r="G836" s="221"/>
      <c r="H836" s="221"/>
      <c r="I836" s="221"/>
      <c r="J836" s="221"/>
      <c r="K836" s="221"/>
      <c r="L836" s="221"/>
      <c r="M836" s="221"/>
      <c r="N836" s="221"/>
      <c r="O836" s="221"/>
      <c r="P836" s="221"/>
      <c r="Q836" s="221"/>
      <c r="R836" s="221"/>
      <c r="S836" s="221"/>
      <c r="T836" s="221"/>
      <c r="U836" s="221"/>
      <c r="V836" s="221"/>
      <c r="W836" s="221"/>
      <c r="X836" s="221"/>
      <c r="Y836" s="221"/>
      <c r="Z836" s="221"/>
    </row>
    <row r="837" customFormat="false" ht="13.5" hidden="false" customHeight="true" outlineLevel="0" collapsed="false">
      <c r="A837" s="221"/>
      <c r="B837" s="221"/>
      <c r="C837" s="221"/>
      <c r="D837" s="221"/>
      <c r="E837" s="221"/>
      <c r="F837" s="221"/>
      <c r="G837" s="221"/>
      <c r="H837" s="221"/>
      <c r="I837" s="221"/>
      <c r="J837" s="221"/>
      <c r="K837" s="221"/>
      <c r="L837" s="221"/>
      <c r="M837" s="221"/>
      <c r="N837" s="221"/>
      <c r="O837" s="221"/>
      <c r="P837" s="221"/>
      <c r="Q837" s="221"/>
      <c r="R837" s="221"/>
      <c r="S837" s="221"/>
      <c r="T837" s="221"/>
      <c r="U837" s="221"/>
      <c r="V837" s="221"/>
      <c r="W837" s="221"/>
      <c r="X837" s="221"/>
      <c r="Y837" s="221"/>
      <c r="Z837" s="221"/>
    </row>
    <row r="838" customFormat="false" ht="13.5" hidden="false" customHeight="true" outlineLevel="0" collapsed="false">
      <c r="A838" s="221"/>
      <c r="B838" s="221"/>
      <c r="C838" s="221"/>
      <c r="D838" s="221"/>
      <c r="E838" s="221"/>
      <c r="F838" s="221"/>
      <c r="G838" s="221"/>
      <c r="H838" s="221"/>
      <c r="I838" s="221"/>
      <c r="J838" s="221"/>
      <c r="K838" s="221"/>
      <c r="L838" s="221"/>
      <c r="M838" s="221"/>
      <c r="N838" s="221"/>
      <c r="O838" s="221"/>
      <c r="P838" s="221"/>
      <c r="Q838" s="221"/>
      <c r="R838" s="221"/>
      <c r="S838" s="221"/>
      <c r="T838" s="221"/>
      <c r="U838" s="221"/>
      <c r="V838" s="221"/>
      <c r="W838" s="221"/>
      <c r="X838" s="221"/>
      <c r="Y838" s="221"/>
      <c r="Z838" s="221"/>
    </row>
    <row r="839" customFormat="false" ht="13.5" hidden="false" customHeight="true" outlineLevel="0" collapsed="false">
      <c r="A839" s="221"/>
      <c r="B839" s="221"/>
      <c r="C839" s="221"/>
      <c r="D839" s="221"/>
      <c r="E839" s="221"/>
      <c r="F839" s="221"/>
      <c r="G839" s="221"/>
      <c r="H839" s="221"/>
      <c r="I839" s="221"/>
      <c r="J839" s="221"/>
      <c r="K839" s="221"/>
      <c r="L839" s="221"/>
      <c r="M839" s="221"/>
      <c r="N839" s="221"/>
      <c r="O839" s="221"/>
      <c r="P839" s="221"/>
      <c r="Q839" s="221"/>
      <c r="R839" s="221"/>
      <c r="S839" s="221"/>
      <c r="T839" s="221"/>
      <c r="U839" s="221"/>
      <c r="V839" s="221"/>
      <c r="W839" s="221"/>
      <c r="X839" s="221"/>
      <c r="Y839" s="221"/>
      <c r="Z839" s="221"/>
    </row>
    <row r="840" customFormat="false" ht="13.5" hidden="false" customHeight="true" outlineLevel="0" collapsed="false">
      <c r="A840" s="221"/>
      <c r="B840" s="221"/>
      <c r="C840" s="221"/>
      <c r="D840" s="221"/>
      <c r="E840" s="221"/>
      <c r="F840" s="221"/>
      <c r="G840" s="221"/>
      <c r="H840" s="221"/>
      <c r="I840" s="221"/>
      <c r="J840" s="221"/>
      <c r="K840" s="221"/>
      <c r="L840" s="221"/>
      <c r="M840" s="221"/>
      <c r="N840" s="221"/>
      <c r="O840" s="221"/>
      <c r="P840" s="221"/>
      <c r="Q840" s="221"/>
      <c r="R840" s="221"/>
      <c r="S840" s="221"/>
      <c r="T840" s="221"/>
      <c r="U840" s="221"/>
      <c r="V840" s="221"/>
      <c r="W840" s="221"/>
      <c r="X840" s="221"/>
      <c r="Y840" s="221"/>
      <c r="Z840" s="221"/>
    </row>
    <row r="841" customFormat="false" ht="13.5" hidden="false" customHeight="true" outlineLevel="0" collapsed="false">
      <c r="A841" s="221"/>
      <c r="B841" s="221"/>
      <c r="C841" s="221"/>
      <c r="D841" s="221"/>
      <c r="E841" s="221"/>
      <c r="F841" s="221"/>
      <c r="G841" s="221"/>
      <c r="H841" s="221"/>
      <c r="I841" s="221"/>
      <c r="J841" s="221"/>
      <c r="K841" s="221"/>
      <c r="L841" s="221"/>
      <c r="M841" s="221"/>
      <c r="N841" s="221"/>
      <c r="O841" s="221"/>
      <c r="P841" s="221"/>
      <c r="Q841" s="221"/>
      <c r="R841" s="221"/>
      <c r="S841" s="221"/>
      <c r="T841" s="221"/>
      <c r="U841" s="221"/>
      <c r="V841" s="221"/>
      <c r="W841" s="221"/>
      <c r="X841" s="221"/>
      <c r="Y841" s="221"/>
      <c r="Z841" s="221"/>
    </row>
    <row r="842" customFormat="false" ht="13.5" hidden="false" customHeight="true" outlineLevel="0" collapsed="false">
      <c r="A842" s="221"/>
      <c r="B842" s="221"/>
      <c r="C842" s="221"/>
      <c r="D842" s="221"/>
      <c r="E842" s="221"/>
      <c r="F842" s="221"/>
      <c r="G842" s="221"/>
      <c r="H842" s="221"/>
      <c r="I842" s="221"/>
      <c r="J842" s="221"/>
      <c r="K842" s="221"/>
      <c r="L842" s="221"/>
      <c r="M842" s="221"/>
      <c r="N842" s="221"/>
      <c r="O842" s="221"/>
      <c r="P842" s="221"/>
      <c r="Q842" s="221"/>
      <c r="R842" s="221"/>
      <c r="S842" s="221"/>
      <c r="T842" s="221"/>
      <c r="U842" s="221"/>
      <c r="V842" s="221"/>
      <c r="W842" s="221"/>
      <c r="X842" s="221"/>
      <c r="Y842" s="221"/>
      <c r="Z842" s="221"/>
    </row>
    <row r="843" customFormat="false" ht="13.5" hidden="false" customHeight="true" outlineLevel="0" collapsed="false">
      <c r="A843" s="221"/>
      <c r="B843" s="221"/>
      <c r="C843" s="221"/>
      <c r="D843" s="221"/>
      <c r="E843" s="221"/>
      <c r="F843" s="221"/>
      <c r="G843" s="221"/>
      <c r="H843" s="221"/>
      <c r="I843" s="221"/>
      <c r="J843" s="221"/>
      <c r="K843" s="221"/>
      <c r="L843" s="221"/>
      <c r="M843" s="221"/>
      <c r="N843" s="221"/>
      <c r="O843" s="221"/>
      <c r="P843" s="221"/>
      <c r="Q843" s="221"/>
      <c r="R843" s="221"/>
      <c r="S843" s="221"/>
      <c r="T843" s="221"/>
      <c r="U843" s="221"/>
      <c r="V843" s="221"/>
      <c r="W843" s="221"/>
      <c r="X843" s="221"/>
      <c r="Y843" s="221"/>
      <c r="Z843" s="221"/>
    </row>
    <row r="844" customFormat="false" ht="13.5" hidden="false" customHeight="true" outlineLevel="0" collapsed="false">
      <c r="A844" s="221"/>
      <c r="B844" s="221"/>
      <c r="C844" s="221"/>
      <c r="D844" s="221"/>
      <c r="E844" s="221"/>
      <c r="F844" s="221"/>
      <c r="G844" s="221"/>
      <c r="H844" s="221"/>
      <c r="I844" s="221"/>
      <c r="J844" s="221"/>
      <c r="K844" s="221"/>
      <c r="L844" s="221"/>
      <c r="M844" s="221"/>
      <c r="N844" s="221"/>
      <c r="O844" s="221"/>
      <c r="P844" s="221"/>
      <c r="Q844" s="221"/>
      <c r="R844" s="221"/>
      <c r="S844" s="221"/>
      <c r="T844" s="221"/>
      <c r="U844" s="221"/>
      <c r="V844" s="221"/>
      <c r="W844" s="221"/>
      <c r="X844" s="221"/>
      <c r="Y844" s="221"/>
      <c r="Z844" s="221"/>
    </row>
    <row r="845" customFormat="false" ht="13.5" hidden="false" customHeight="true" outlineLevel="0" collapsed="false">
      <c r="A845" s="221"/>
      <c r="B845" s="221"/>
      <c r="C845" s="221"/>
      <c r="D845" s="221"/>
      <c r="E845" s="221"/>
      <c r="F845" s="221"/>
      <c r="G845" s="221"/>
      <c r="H845" s="221"/>
      <c r="I845" s="221"/>
      <c r="J845" s="221"/>
      <c r="K845" s="221"/>
      <c r="L845" s="221"/>
      <c r="M845" s="221"/>
      <c r="N845" s="221"/>
      <c r="O845" s="221"/>
      <c r="P845" s="221"/>
      <c r="Q845" s="221"/>
      <c r="R845" s="221"/>
      <c r="S845" s="221"/>
      <c r="T845" s="221"/>
      <c r="U845" s="221"/>
      <c r="V845" s="221"/>
      <c r="W845" s="221"/>
      <c r="X845" s="221"/>
      <c r="Y845" s="221"/>
      <c r="Z845" s="221"/>
    </row>
    <row r="846" customFormat="false" ht="13.5" hidden="false" customHeight="true" outlineLevel="0" collapsed="false">
      <c r="A846" s="221"/>
      <c r="B846" s="221"/>
      <c r="C846" s="221"/>
      <c r="D846" s="221"/>
      <c r="E846" s="221"/>
      <c r="F846" s="221"/>
      <c r="G846" s="221"/>
      <c r="H846" s="221"/>
      <c r="I846" s="221"/>
      <c r="J846" s="221"/>
      <c r="K846" s="221"/>
      <c r="L846" s="221"/>
      <c r="M846" s="221"/>
      <c r="N846" s="221"/>
      <c r="O846" s="221"/>
      <c r="P846" s="221"/>
      <c r="Q846" s="221"/>
      <c r="R846" s="221"/>
      <c r="S846" s="221"/>
      <c r="T846" s="221"/>
      <c r="U846" s="221"/>
      <c r="V846" s="221"/>
      <c r="W846" s="221"/>
      <c r="X846" s="221"/>
      <c r="Y846" s="221"/>
      <c r="Z846" s="221"/>
    </row>
    <row r="847" customFormat="false" ht="13.5" hidden="false" customHeight="true" outlineLevel="0" collapsed="false">
      <c r="A847" s="221"/>
      <c r="B847" s="221"/>
      <c r="C847" s="221"/>
      <c r="D847" s="221"/>
      <c r="E847" s="221"/>
      <c r="F847" s="221"/>
      <c r="G847" s="221"/>
      <c r="H847" s="221"/>
      <c r="I847" s="221"/>
      <c r="J847" s="221"/>
      <c r="K847" s="221"/>
      <c r="L847" s="221"/>
      <c r="M847" s="221"/>
      <c r="N847" s="221"/>
      <c r="O847" s="221"/>
      <c r="P847" s="221"/>
      <c r="Q847" s="221"/>
      <c r="R847" s="221"/>
      <c r="S847" s="221"/>
      <c r="T847" s="221"/>
      <c r="U847" s="221"/>
      <c r="V847" s="221"/>
      <c r="W847" s="221"/>
      <c r="X847" s="221"/>
      <c r="Y847" s="221"/>
      <c r="Z847" s="221"/>
    </row>
    <row r="848" customFormat="false" ht="13.5" hidden="false" customHeight="true" outlineLevel="0" collapsed="false">
      <c r="A848" s="221"/>
      <c r="B848" s="221"/>
      <c r="C848" s="221"/>
      <c r="D848" s="221"/>
      <c r="E848" s="221"/>
      <c r="F848" s="221"/>
      <c r="G848" s="221"/>
      <c r="H848" s="221"/>
      <c r="I848" s="221"/>
      <c r="J848" s="221"/>
      <c r="K848" s="221"/>
      <c r="L848" s="221"/>
      <c r="M848" s="221"/>
      <c r="N848" s="221"/>
      <c r="O848" s="221"/>
      <c r="P848" s="221"/>
      <c r="Q848" s="221"/>
      <c r="R848" s="221"/>
      <c r="S848" s="221"/>
      <c r="T848" s="221"/>
      <c r="U848" s="221"/>
      <c r="V848" s="221"/>
      <c r="W848" s="221"/>
      <c r="X848" s="221"/>
      <c r="Y848" s="221"/>
      <c r="Z848" s="221"/>
    </row>
    <row r="849" customFormat="false" ht="13.5" hidden="false" customHeight="true" outlineLevel="0" collapsed="false">
      <c r="A849" s="221"/>
      <c r="B849" s="221"/>
      <c r="C849" s="221"/>
      <c r="D849" s="221"/>
      <c r="E849" s="221"/>
      <c r="F849" s="221"/>
      <c r="G849" s="221"/>
      <c r="H849" s="221"/>
      <c r="I849" s="221"/>
      <c r="J849" s="221"/>
      <c r="K849" s="221"/>
      <c r="L849" s="221"/>
      <c r="M849" s="221"/>
      <c r="N849" s="221"/>
      <c r="O849" s="221"/>
      <c r="P849" s="221"/>
      <c r="Q849" s="221"/>
      <c r="R849" s="221"/>
      <c r="S849" s="221"/>
      <c r="T849" s="221"/>
      <c r="U849" s="221"/>
      <c r="V849" s="221"/>
      <c r="W849" s="221"/>
      <c r="X849" s="221"/>
      <c r="Y849" s="221"/>
      <c r="Z849" s="221"/>
    </row>
    <row r="850" customFormat="false" ht="13.5" hidden="false" customHeight="true" outlineLevel="0" collapsed="false">
      <c r="A850" s="221"/>
      <c r="B850" s="221"/>
      <c r="C850" s="221"/>
      <c r="D850" s="221"/>
      <c r="E850" s="221"/>
      <c r="F850" s="221"/>
      <c r="G850" s="221"/>
      <c r="H850" s="221"/>
      <c r="I850" s="221"/>
      <c r="J850" s="221"/>
      <c r="K850" s="221"/>
      <c r="L850" s="221"/>
      <c r="M850" s="221"/>
      <c r="N850" s="221"/>
      <c r="O850" s="221"/>
      <c r="P850" s="221"/>
      <c r="Q850" s="221"/>
      <c r="R850" s="221"/>
      <c r="S850" s="221"/>
      <c r="T850" s="221"/>
      <c r="U850" s="221"/>
      <c r="V850" s="221"/>
      <c r="W850" s="221"/>
      <c r="X850" s="221"/>
      <c r="Y850" s="221"/>
      <c r="Z850" s="221"/>
    </row>
    <row r="851" customFormat="false" ht="13.5" hidden="false" customHeight="true" outlineLevel="0" collapsed="false">
      <c r="A851" s="221"/>
      <c r="B851" s="221"/>
      <c r="C851" s="221"/>
      <c r="D851" s="221"/>
      <c r="E851" s="221"/>
      <c r="F851" s="221"/>
      <c r="G851" s="221"/>
      <c r="H851" s="221"/>
      <c r="I851" s="221"/>
      <c r="J851" s="221"/>
      <c r="K851" s="221"/>
      <c r="L851" s="221"/>
      <c r="M851" s="221"/>
      <c r="N851" s="221"/>
      <c r="O851" s="221"/>
      <c r="P851" s="221"/>
      <c r="Q851" s="221"/>
      <c r="R851" s="221"/>
      <c r="S851" s="221"/>
      <c r="T851" s="221"/>
      <c r="U851" s="221"/>
      <c r="V851" s="221"/>
      <c r="W851" s="221"/>
      <c r="X851" s="221"/>
      <c r="Y851" s="221"/>
      <c r="Z851" s="221"/>
    </row>
    <row r="852" customFormat="false" ht="13.5" hidden="false" customHeight="true" outlineLevel="0" collapsed="false">
      <c r="A852" s="221"/>
      <c r="B852" s="221"/>
      <c r="C852" s="221"/>
      <c r="D852" s="221"/>
      <c r="E852" s="221"/>
      <c r="F852" s="221"/>
      <c r="G852" s="221"/>
      <c r="H852" s="221"/>
      <c r="I852" s="221"/>
      <c r="J852" s="221"/>
      <c r="K852" s="221"/>
      <c r="L852" s="221"/>
      <c r="M852" s="221"/>
      <c r="N852" s="221"/>
      <c r="O852" s="221"/>
      <c r="P852" s="221"/>
      <c r="Q852" s="221"/>
      <c r="R852" s="221"/>
      <c r="S852" s="221"/>
      <c r="T852" s="221"/>
      <c r="U852" s="221"/>
      <c r="V852" s="221"/>
      <c r="W852" s="221"/>
      <c r="X852" s="221"/>
      <c r="Y852" s="221"/>
      <c r="Z852" s="221"/>
    </row>
    <row r="853" customFormat="false" ht="13.5" hidden="false" customHeight="true" outlineLevel="0" collapsed="false">
      <c r="A853" s="221"/>
      <c r="B853" s="221"/>
      <c r="C853" s="221"/>
      <c r="D853" s="221"/>
      <c r="E853" s="221"/>
      <c r="F853" s="221"/>
      <c r="G853" s="221"/>
      <c r="H853" s="221"/>
      <c r="I853" s="221"/>
      <c r="J853" s="221"/>
      <c r="K853" s="221"/>
      <c r="L853" s="221"/>
      <c r="M853" s="221"/>
      <c r="N853" s="221"/>
      <c r="O853" s="221"/>
      <c r="P853" s="221"/>
      <c r="Q853" s="221"/>
      <c r="R853" s="221"/>
      <c r="S853" s="221"/>
      <c r="T853" s="221"/>
      <c r="U853" s="221"/>
      <c r="V853" s="221"/>
      <c r="W853" s="221"/>
      <c r="X853" s="221"/>
      <c r="Y853" s="221"/>
      <c r="Z853" s="221"/>
    </row>
    <row r="854" customFormat="false" ht="13.5" hidden="false" customHeight="true" outlineLevel="0" collapsed="false">
      <c r="A854" s="221"/>
      <c r="B854" s="221"/>
      <c r="C854" s="221"/>
      <c r="D854" s="221"/>
      <c r="E854" s="221"/>
      <c r="F854" s="221"/>
      <c r="G854" s="221"/>
      <c r="H854" s="221"/>
      <c r="I854" s="221"/>
      <c r="J854" s="221"/>
      <c r="K854" s="221"/>
      <c r="L854" s="221"/>
      <c r="M854" s="221"/>
      <c r="N854" s="221"/>
      <c r="O854" s="221"/>
      <c r="P854" s="221"/>
      <c r="Q854" s="221"/>
      <c r="R854" s="221"/>
      <c r="S854" s="221"/>
      <c r="T854" s="221"/>
      <c r="U854" s="221"/>
      <c r="V854" s="221"/>
      <c r="W854" s="221"/>
      <c r="X854" s="221"/>
      <c r="Y854" s="221"/>
      <c r="Z854" s="221"/>
    </row>
    <row r="855" customFormat="false" ht="13.5" hidden="false" customHeight="true" outlineLevel="0" collapsed="false">
      <c r="A855" s="221"/>
      <c r="B855" s="221"/>
      <c r="C855" s="221"/>
      <c r="D855" s="221"/>
      <c r="E855" s="221"/>
      <c r="F855" s="221"/>
      <c r="G855" s="221"/>
      <c r="H855" s="221"/>
      <c r="I855" s="221"/>
      <c r="J855" s="221"/>
      <c r="K855" s="221"/>
      <c r="L855" s="221"/>
      <c r="M855" s="221"/>
      <c r="N855" s="221"/>
      <c r="O855" s="221"/>
      <c r="P855" s="221"/>
      <c r="Q855" s="221"/>
      <c r="R855" s="221"/>
      <c r="S855" s="221"/>
      <c r="T855" s="221"/>
      <c r="U855" s="221"/>
      <c r="V855" s="221"/>
      <c r="W855" s="221"/>
      <c r="X855" s="221"/>
      <c r="Y855" s="221"/>
      <c r="Z855" s="221"/>
    </row>
    <row r="856" customFormat="false" ht="13.5" hidden="false" customHeight="true" outlineLevel="0" collapsed="false">
      <c r="A856" s="221"/>
      <c r="B856" s="221"/>
      <c r="C856" s="221"/>
      <c r="D856" s="221"/>
      <c r="E856" s="221"/>
      <c r="F856" s="221"/>
      <c r="G856" s="221"/>
      <c r="H856" s="221"/>
      <c r="I856" s="221"/>
      <c r="J856" s="221"/>
      <c r="K856" s="221"/>
      <c r="L856" s="221"/>
      <c r="M856" s="221"/>
      <c r="N856" s="221"/>
      <c r="O856" s="221"/>
      <c r="P856" s="221"/>
      <c r="Q856" s="221"/>
      <c r="R856" s="221"/>
      <c r="S856" s="221"/>
      <c r="T856" s="221"/>
      <c r="U856" s="221"/>
      <c r="V856" s="221"/>
      <c r="W856" s="221"/>
      <c r="X856" s="221"/>
      <c r="Y856" s="221"/>
      <c r="Z856" s="221"/>
    </row>
    <row r="857" customFormat="false" ht="13.5" hidden="false" customHeight="true" outlineLevel="0" collapsed="false">
      <c r="A857" s="221"/>
      <c r="B857" s="221"/>
      <c r="C857" s="221"/>
      <c r="D857" s="221"/>
      <c r="E857" s="221"/>
      <c r="F857" s="221"/>
      <c r="G857" s="221"/>
      <c r="H857" s="221"/>
      <c r="I857" s="221"/>
      <c r="J857" s="221"/>
      <c r="K857" s="221"/>
      <c r="L857" s="221"/>
      <c r="M857" s="221"/>
      <c r="N857" s="221"/>
      <c r="O857" s="221"/>
      <c r="P857" s="221"/>
      <c r="Q857" s="221"/>
      <c r="R857" s="221"/>
      <c r="S857" s="221"/>
      <c r="T857" s="221"/>
      <c r="U857" s="221"/>
      <c r="V857" s="221"/>
      <c r="W857" s="221"/>
      <c r="X857" s="221"/>
      <c r="Y857" s="221"/>
      <c r="Z857" s="221"/>
    </row>
    <row r="858" customFormat="false" ht="13.5" hidden="false" customHeight="true" outlineLevel="0" collapsed="false">
      <c r="A858" s="221"/>
      <c r="B858" s="221"/>
      <c r="C858" s="221"/>
      <c r="D858" s="221"/>
      <c r="E858" s="221"/>
      <c r="F858" s="221"/>
      <c r="G858" s="221"/>
      <c r="H858" s="221"/>
      <c r="I858" s="221"/>
      <c r="J858" s="221"/>
      <c r="K858" s="221"/>
      <c r="L858" s="221"/>
      <c r="M858" s="221"/>
      <c r="N858" s="221"/>
      <c r="O858" s="221"/>
      <c r="P858" s="221"/>
      <c r="Q858" s="221"/>
      <c r="R858" s="221"/>
      <c r="S858" s="221"/>
      <c r="T858" s="221"/>
      <c r="U858" s="221"/>
      <c r="V858" s="221"/>
      <c r="W858" s="221"/>
      <c r="X858" s="221"/>
      <c r="Y858" s="221"/>
      <c r="Z858" s="221"/>
    </row>
    <row r="859" customFormat="false" ht="13.5" hidden="false" customHeight="true" outlineLevel="0" collapsed="false">
      <c r="A859" s="221"/>
      <c r="B859" s="221"/>
      <c r="C859" s="221"/>
      <c r="D859" s="221"/>
      <c r="E859" s="221"/>
      <c r="F859" s="221"/>
      <c r="G859" s="221"/>
      <c r="H859" s="221"/>
      <c r="I859" s="221"/>
      <c r="J859" s="221"/>
      <c r="K859" s="221"/>
      <c r="L859" s="221"/>
      <c r="M859" s="221"/>
      <c r="N859" s="221"/>
      <c r="O859" s="221"/>
      <c r="P859" s="221"/>
      <c r="Q859" s="221"/>
      <c r="R859" s="221"/>
      <c r="S859" s="221"/>
      <c r="T859" s="221"/>
      <c r="U859" s="221"/>
      <c r="V859" s="221"/>
      <c r="W859" s="221"/>
      <c r="X859" s="221"/>
      <c r="Y859" s="221"/>
      <c r="Z859" s="221"/>
    </row>
    <row r="860" customFormat="false" ht="13.5" hidden="false" customHeight="true" outlineLevel="0" collapsed="false">
      <c r="A860" s="221"/>
      <c r="B860" s="221"/>
      <c r="C860" s="221"/>
      <c r="D860" s="221"/>
      <c r="E860" s="221"/>
      <c r="F860" s="221"/>
      <c r="G860" s="221"/>
      <c r="H860" s="221"/>
      <c r="I860" s="221"/>
      <c r="J860" s="221"/>
      <c r="K860" s="221"/>
      <c r="L860" s="221"/>
      <c r="M860" s="221"/>
      <c r="N860" s="221"/>
      <c r="O860" s="221"/>
      <c r="P860" s="221"/>
      <c r="Q860" s="221"/>
      <c r="R860" s="221"/>
      <c r="S860" s="221"/>
      <c r="T860" s="221"/>
      <c r="U860" s="221"/>
      <c r="V860" s="221"/>
      <c r="W860" s="221"/>
      <c r="X860" s="221"/>
      <c r="Y860" s="221"/>
      <c r="Z860" s="221"/>
    </row>
    <row r="861" customFormat="false" ht="13.5" hidden="false" customHeight="true" outlineLevel="0" collapsed="false">
      <c r="A861" s="221"/>
      <c r="B861" s="221"/>
      <c r="C861" s="221"/>
      <c r="D861" s="221"/>
      <c r="E861" s="221"/>
      <c r="F861" s="221"/>
      <c r="G861" s="221"/>
      <c r="H861" s="221"/>
      <c r="I861" s="221"/>
      <c r="J861" s="221"/>
      <c r="K861" s="221"/>
      <c r="L861" s="221"/>
      <c r="M861" s="221"/>
      <c r="N861" s="221"/>
      <c r="O861" s="221"/>
      <c r="P861" s="221"/>
      <c r="Q861" s="221"/>
      <c r="R861" s="221"/>
      <c r="S861" s="221"/>
      <c r="T861" s="221"/>
      <c r="U861" s="221"/>
      <c r="V861" s="221"/>
      <c r="W861" s="221"/>
      <c r="X861" s="221"/>
      <c r="Y861" s="221"/>
      <c r="Z861" s="221"/>
    </row>
    <row r="862" customFormat="false" ht="13.5" hidden="false" customHeight="true" outlineLevel="0" collapsed="false">
      <c r="A862" s="221"/>
      <c r="B862" s="221"/>
      <c r="C862" s="221"/>
      <c r="D862" s="221"/>
      <c r="E862" s="221"/>
      <c r="F862" s="221"/>
      <c r="G862" s="221"/>
      <c r="H862" s="221"/>
      <c r="I862" s="221"/>
      <c r="J862" s="221"/>
      <c r="K862" s="221"/>
      <c r="L862" s="221"/>
      <c r="M862" s="221"/>
      <c r="N862" s="221"/>
      <c r="O862" s="221"/>
      <c r="P862" s="221"/>
      <c r="Q862" s="221"/>
      <c r="R862" s="221"/>
      <c r="S862" s="221"/>
      <c r="T862" s="221"/>
      <c r="U862" s="221"/>
      <c r="V862" s="221"/>
      <c r="W862" s="221"/>
      <c r="X862" s="221"/>
      <c r="Y862" s="221"/>
      <c r="Z862" s="221"/>
    </row>
    <row r="863" customFormat="false" ht="13.5" hidden="false" customHeight="true" outlineLevel="0" collapsed="false">
      <c r="A863" s="221"/>
      <c r="B863" s="221"/>
      <c r="C863" s="221"/>
      <c r="D863" s="221"/>
      <c r="E863" s="221"/>
      <c r="F863" s="221"/>
      <c r="G863" s="221"/>
      <c r="H863" s="221"/>
      <c r="I863" s="221"/>
      <c r="J863" s="221"/>
      <c r="K863" s="221"/>
      <c r="L863" s="221"/>
      <c r="M863" s="221"/>
      <c r="N863" s="221"/>
      <c r="O863" s="221"/>
      <c r="P863" s="221"/>
      <c r="Q863" s="221"/>
      <c r="R863" s="221"/>
      <c r="S863" s="221"/>
      <c r="T863" s="221"/>
      <c r="U863" s="221"/>
      <c r="V863" s="221"/>
      <c r="W863" s="221"/>
      <c r="X863" s="221"/>
      <c r="Y863" s="221"/>
      <c r="Z863" s="221"/>
    </row>
    <row r="864" customFormat="false" ht="13.5" hidden="false" customHeight="true" outlineLevel="0" collapsed="false">
      <c r="A864" s="221"/>
      <c r="B864" s="221"/>
      <c r="C864" s="221"/>
      <c r="D864" s="221"/>
      <c r="E864" s="221"/>
      <c r="F864" s="221"/>
      <c r="G864" s="221"/>
      <c r="H864" s="221"/>
      <c r="I864" s="221"/>
      <c r="J864" s="221"/>
      <c r="K864" s="221"/>
      <c r="L864" s="221"/>
      <c r="M864" s="221"/>
      <c r="N864" s="221"/>
      <c r="O864" s="221"/>
      <c r="P864" s="221"/>
      <c r="Q864" s="221"/>
      <c r="R864" s="221"/>
      <c r="S864" s="221"/>
      <c r="T864" s="221"/>
      <c r="U864" s="221"/>
      <c r="V864" s="221"/>
      <c r="W864" s="221"/>
      <c r="X864" s="221"/>
      <c r="Y864" s="221"/>
      <c r="Z864" s="221"/>
    </row>
    <row r="865" customFormat="false" ht="13.5" hidden="false" customHeight="true" outlineLevel="0" collapsed="false">
      <c r="A865" s="221"/>
      <c r="B865" s="221"/>
      <c r="C865" s="221"/>
      <c r="D865" s="221"/>
      <c r="E865" s="221"/>
      <c r="F865" s="221"/>
      <c r="G865" s="221"/>
      <c r="H865" s="221"/>
      <c r="I865" s="221"/>
      <c r="J865" s="221"/>
      <c r="K865" s="221"/>
      <c r="L865" s="221"/>
      <c r="M865" s="221"/>
      <c r="N865" s="221"/>
      <c r="O865" s="221"/>
      <c r="P865" s="221"/>
      <c r="Q865" s="221"/>
      <c r="R865" s="221"/>
      <c r="S865" s="221"/>
      <c r="T865" s="221"/>
      <c r="U865" s="221"/>
      <c r="V865" s="221"/>
      <c r="W865" s="221"/>
      <c r="X865" s="221"/>
      <c r="Y865" s="221"/>
      <c r="Z865" s="221"/>
    </row>
    <row r="866" customFormat="false" ht="13.5" hidden="false" customHeight="true" outlineLevel="0" collapsed="false">
      <c r="A866" s="221"/>
      <c r="B866" s="221"/>
      <c r="C866" s="221"/>
      <c r="D866" s="221"/>
      <c r="E866" s="221"/>
      <c r="F866" s="221"/>
      <c r="G866" s="221"/>
      <c r="H866" s="221"/>
      <c r="I866" s="221"/>
      <c r="J866" s="221"/>
      <c r="K866" s="221"/>
      <c r="L866" s="221"/>
      <c r="M866" s="221"/>
      <c r="N866" s="221"/>
      <c r="O866" s="221"/>
      <c r="P866" s="221"/>
      <c r="Q866" s="221"/>
      <c r="R866" s="221"/>
      <c r="S866" s="221"/>
      <c r="T866" s="221"/>
      <c r="U866" s="221"/>
      <c r="V866" s="221"/>
      <c r="W866" s="221"/>
      <c r="X866" s="221"/>
      <c r="Y866" s="221"/>
      <c r="Z866" s="221"/>
    </row>
    <row r="867" customFormat="false" ht="13.5" hidden="false" customHeight="true" outlineLevel="0" collapsed="false">
      <c r="A867" s="221"/>
      <c r="B867" s="221"/>
      <c r="C867" s="221"/>
      <c r="D867" s="221"/>
      <c r="E867" s="221"/>
      <c r="F867" s="221"/>
      <c r="G867" s="221"/>
      <c r="H867" s="221"/>
      <c r="I867" s="221"/>
      <c r="J867" s="221"/>
      <c r="K867" s="221"/>
      <c r="L867" s="221"/>
      <c r="M867" s="221"/>
      <c r="N867" s="221"/>
      <c r="O867" s="221"/>
      <c r="P867" s="221"/>
      <c r="Q867" s="221"/>
      <c r="R867" s="221"/>
      <c r="S867" s="221"/>
      <c r="T867" s="221"/>
      <c r="U867" s="221"/>
      <c r="V867" s="221"/>
      <c r="W867" s="221"/>
      <c r="X867" s="221"/>
      <c r="Y867" s="221"/>
      <c r="Z867" s="221"/>
    </row>
    <row r="868" customFormat="false" ht="13.5" hidden="false" customHeight="true" outlineLevel="0" collapsed="false">
      <c r="A868" s="221"/>
      <c r="B868" s="221"/>
      <c r="C868" s="221"/>
      <c r="D868" s="221"/>
      <c r="E868" s="221"/>
      <c r="F868" s="221"/>
      <c r="G868" s="221"/>
      <c r="H868" s="221"/>
      <c r="I868" s="221"/>
      <c r="J868" s="221"/>
      <c r="K868" s="221"/>
      <c r="L868" s="221"/>
      <c r="M868" s="221"/>
      <c r="N868" s="221"/>
      <c r="O868" s="221"/>
      <c r="P868" s="221"/>
      <c r="Q868" s="221"/>
      <c r="R868" s="221"/>
      <c r="S868" s="221"/>
      <c r="T868" s="221"/>
      <c r="U868" s="221"/>
      <c r="V868" s="221"/>
      <c r="W868" s="221"/>
      <c r="X868" s="221"/>
      <c r="Y868" s="221"/>
      <c r="Z868" s="221"/>
    </row>
    <row r="869" customFormat="false" ht="13.5" hidden="false" customHeight="true" outlineLevel="0" collapsed="false">
      <c r="A869" s="221"/>
      <c r="B869" s="221"/>
      <c r="C869" s="221"/>
      <c r="D869" s="221"/>
      <c r="E869" s="221"/>
      <c r="F869" s="221"/>
      <c r="G869" s="221"/>
      <c r="H869" s="221"/>
      <c r="I869" s="221"/>
      <c r="J869" s="221"/>
      <c r="K869" s="221"/>
      <c r="L869" s="221"/>
      <c r="M869" s="221"/>
      <c r="N869" s="221"/>
      <c r="O869" s="221"/>
      <c r="P869" s="221"/>
      <c r="Q869" s="221"/>
      <c r="R869" s="221"/>
      <c r="S869" s="221"/>
      <c r="T869" s="221"/>
      <c r="U869" s="221"/>
      <c r="V869" s="221"/>
      <c r="W869" s="221"/>
      <c r="X869" s="221"/>
      <c r="Y869" s="221"/>
      <c r="Z869" s="221"/>
    </row>
    <row r="870" customFormat="false" ht="13.5" hidden="false" customHeight="true" outlineLevel="0" collapsed="false">
      <c r="A870" s="221"/>
      <c r="B870" s="221"/>
      <c r="C870" s="221"/>
      <c r="D870" s="221"/>
      <c r="E870" s="221"/>
      <c r="F870" s="221"/>
      <c r="G870" s="221"/>
      <c r="H870" s="221"/>
      <c r="I870" s="221"/>
      <c r="J870" s="221"/>
      <c r="K870" s="221"/>
      <c r="L870" s="221"/>
      <c r="M870" s="221"/>
      <c r="N870" s="221"/>
      <c r="O870" s="221"/>
      <c r="P870" s="221"/>
      <c r="Q870" s="221"/>
      <c r="R870" s="221"/>
      <c r="S870" s="221"/>
      <c r="T870" s="221"/>
      <c r="U870" s="221"/>
      <c r="V870" s="221"/>
      <c r="W870" s="221"/>
      <c r="X870" s="221"/>
      <c r="Y870" s="221"/>
      <c r="Z870" s="221"/>
    </row>
    <row r="871" customFormat="false" ht="13.5" hidden="false" customHeight="true" outlineLevel="0" collapsed="false">
      <c r="A871" s="221"/>
      <c r="B871" s="221"/>
      <c r="C871" s="221"/>
      <c r="D871" s="221"/>
      <c r="E871" s="221"/>
      <c r="F871" s="221"/>
      <c r="G871" s="221"/>
      <c r="H871" s="221"/>
      <c r="I871" s="221"/>
      <c r="J871" s="221"/>
      <c r="K871" s="221"/>
      <c r="L871" s="221"/>
      <c r="M871" s="221"/>
      <c r="N871" s="221"/>
      <c r="O871" s="221"/>
      <c r="P871" s="221"/>
      <c r="Q871" s="221"/>
      <c r="R871" s="221"/>
      <c r="S871" s="221"/>
      <c r="T871" s="221"/>
      <c r="U871" s="221"/>
      <c r="V871" s="221"/>
      <c r="W871" s="221"/>
      <c r="X871" s="221"/>
      <c r="Y871" s="221"/>
      <c r="Z871" s="221"/>
    </row>
    <row r="872" customFormat="false" ht="13.5" hidden="false" customHeight="true" outlineLevel="0" collapsed="false">
      <c r="A872" s="221"/>
      <c r="B872" s="221"/>
      <c r="C872" s="221"/>
      <c r="D872" s="221"/>
      <c r="E872" s="221"/>
      <c r="F872" s="221"/>
      <c r="G872" s="221"/>
      <c r="H872" s="221"/>
      <c r="I872" s="221"/>
      <c r="J872" s="221"/>
      <c r="K872" s="221"/>
      <c r="L872" s="221"/>
      <c r="M872" s="221"/>
      <c r="N872" s="221"/>
      <c r="O872" s="221"/>
      <c r="P872" s="221"/>
      <c r="Q872" s="221"/>
      <c r="R872" s="221"/>
      <c r="S872" s="221"/>
      <c r="T872" s="221"/>
      <c r="U872" s="221"/>
      <c r="V872" s="221"/>
      <c r="W872" s="221"/>
      <c r="X872" s="221"/>
      <c r="Y872" s="221"/>
      <c r="Z872" s="221"/>
    </row>
    <row r="873" customFormat="false" ht="13.5" hidden="false" customHeight="true" outlineLevel="0" collapsed="false">
      <c r="A873" s="221"/>
      <c r="B873" s="221"/>
      <c r="C873" s="221"/>
      <c r="D873" s="221"/>
      <c r="E873" s="221"/>
      <c r="F873" s="221"/>
      <c r="G873" s="221"/>
      <c r="H873" s="221"/>
      <c r="I873" s="221"/>
      <c r="J873" s="221"/>
      <c r="K873" s="221"/>
      <c r="L873" s="221"/>
      <c r="M873" s="221"/>
      <c r="N873" s="221"/>
      <c r="O873" s="221"/>
      <c r="P873" s="221"/>
      <c r="Q873" s="221"/>
      <c r="R873" s="221"/>
      <c r="S873" s="221"/>
      <c r="T873" s="221"/>
      <c r="U873" s="221"/>
      <c r="V873" s="221"/>
      <c r="W873" s="221"/>
      <c r="X873" s="221"/>
      <c r="Y873" s="221"/>
      <c r="Z873" s="221"/>
    </row>
    <row r="874" customFormat="false" ht="13.5" hidden="false" customHeight="true" outlineLevel="0" collapsed="false">
      <c r="A874" s="221"/>
      <c r="B874" s="221"/>
      <c r="C874" s="221"/>
      <c r="D874" s="221"/>
      <c r="E874" s="221"/>
      <c r="F874" s="221"/>
      <c r="G874" s="221"/>
      <c r="H874" s="221"/>
      <c r="I874" s="221"/>
      <c r="J874" s="221"/>
      <c r="K874" s="221"/>
      <c r="L874" s="221"/>
      <c r="M874" s="221"/>
      <c r="N874" s="221"/>
      <c r="O874" s="221"/>
      <c r="P874" s="221"/>
      <c r="Q874" s="221"/>
      <c r="R874" s="221"/>
      <c r="S874" s="221"/>
      <c r="T874" s="221"/>
      <c r="U874" s="221"/>
      <c r="V874" s="221"/>
      <c r="W874" s="221"/>
      <c r="X874" s="221"/>
      <c r="Y874" s="221"/>
      <c r="Z874" s="221"/>
    </row>
    <row r="875" customFormat="false" ht="13.5" hidden="false" customHeight="true" outlineLevel="0" collapsed="false">
      <c r="A875" s="221"/>
      <c r="B875" s="221"/>
      <c r="C875" s="221"/>
      <c r="D875" s="221"/>
      <c r="E875" s="221"/>
      <c r="F875" s="221"/>
      <c r="G875" s="221"/>
      <c r="H875" s="221"/>
      <c r="I875" s="221"/>
      <c r="J875" s="221"/>
      <c r="K875" s="221"/>
      <c r="L875" s="221"/>
      <c r="M875" s="221"/>
      <c r="N875" s="221"/>
      <c r="O875" s="221"/>
      <c r="P875" s="221"/>
      <c r="Q875" s="221"/>
      <c r="R875" s="221"/>
      <c r="S875" s="221"/>
      <c r="T875" s="221"/>
      <c r="U875" s="221"/>
      <c r="V875" s="221"/>
      <c r="W875" s="221"/>
      <c r="X875" s="221"/>
      <c r="Y875" s="221"/>
      <c r="Z875" s="221"/>
    </row>
    <row r="876" customFormat="false" ht="13.5" hidden="false" customHeight="true" outlineLevel="0" collapsed="false">
      <c r="A876" s="221"/>
      <c r="B876" s="221"/>
      <c r="C876" s="221"/>
      <c r="D876" s="221"/>
      <c r="E876" s="221"/>
      <c r="F876" s="221"/>
      <c r="G876" s="221"/>
      <c r="H876" s="221"/>
      <c r="I876" s="221"/>
      <c r="J876" s="221"/>
      <c r="K876" s="221"/>
      <c r="L876" s="221"/>
      <c r="M876" s="221"/>
      <c r="N876" s="221"/>
      <c r="O876" s="221"/>
      <c r="P876" s="221"/>
      <c r="Q876" s="221"/>
      <c r="R876" s="221"/>
      <c r="S876" s="221"/>
      <c r="T876" s="221"/>
      <c r="U876" s="221"/>
      <c r="V876" s="221"/>
      <c r="W876" s="221"/>
      <c r="X876" s="221"/>
      <c r="Y876" s="221"/>
      <c r="Z876" s="221"/>
    </row>
    <row r="877" customFormat="false" ht="13.5" hidden="false" customHeight="true" outlineLevel="0" collapsed="false">
      <c r="A877" s="221"/>
      <c r="B877" s="221"/>
      <c r="C877" s="221"/>
      <c r="D877" s="221"/>
      <c r="E877" s="221"/>
      <c r="F877" s="221"/>
      <c r="G877" s="221"/>
      <c r="H877" s="221"/>
      <c r="I877" s="221"/>
      <c r="J877" s="221"/>
      <c r="K877" s="221"/>
      <c r="L877" s="221"/>
      <c r="M877" s="221"/>
      <c r="N877" s="221"/>
      <c r="O877" s="221"/>
      <c r="P877" s="221"/>
      <c r="Q877" s="221"/>
      <c r="R877" s="221"/>
      <c r="S877" s="221"/>
      <c r="T877" s="221"/>
      <c r="U877" s="221"/>
      <c r="V877" s="221"/>
      <c r="W877" s="221"/>
      <c r="X877" s="221"/>
      <c r="Y877" s="221"/>
      <c r="Z877" s="221"/>
    </row>
    <row r="878" customFormat="false" ht="13.5" hidden="false" customHeight="true" outlineLevel="0" collapsed="false">
      <c r="A878" s="221"/>
      <c r="B878" s="221"/>
      <c r="C878" s="221"/>
      <c r="D878" s="221"/>
      <c r="E878" s="221"/>
      <c r="F878" s="221"/>
      <c r="G878" s="221"/>
      <c r="H878" s="221"/>
      <c r="I878" s="221"/>
      <c r="J878" s="221"/>
      <c r="K878" s="221"/>
      <c r="L878" s="221"/>
      <c r="M878" s="221"/>
      <c r="N878" s="221"/>
      <c r="O878" s="221"/>
      <c r="P878" s="221"/>
      <c r="Q878" s="221"/>
      <c r="R878" s="221"/>
      <c r="S878" s="221"/>
      <c r="T878" s="221"/>
      <c r="U878" s="221"/>
      <c r="V878" s="221"/>
      <c r="W878" s="221"/>
      <c r="X878" s="221"/>
      <c r="Y878" s="221"/>
      <c r="Z878" s="221"/>
    </row>
    <row r="879" customFormat="false" ht="13.5" hidden="false" customHeight="true" outlineLevel="0" collapsed="false">
      <c r="A879" s="221"/>
      <c r="B879" s="221"/>
      <c r="C879" s="221"/>
      <c r="D879" s="221"/>
      <c r="E879" s="221"/>
      <c r="F879" s="221"/>
      <c r="G879" s="221"/>
      <c r="H879" s="221"/>
      <c r="I879" s="221"/>
      <c r="J879" s="221"/>
      <c r="K879" s="221"/>
      <c r="L879" s="221"/>
      <c r="M879" s="221"/>
      <c r="N879" s="221"/>
      <c r="O879" s="221"/>
      <c r="P879" s="221"/>
      <c r="Q879" s="221"/>
      <c r="R879" s="221"/>
      <c r="S879" s="221"/>
      <c r="T879" s="221"/>
      <c r="U879" s="221"/>
      <c r="V879" s="221"/>
      <c r="W879" s="221"/>
      <c r="X879" s="221"/>
      <c r="Y879" s="221"/>
      <c r="Z879" s="221"/>
    </row>
    <row r="880" customFormat="false" ht="13.5" hidden="false" customHeight="true" outlineLevel="0" collapsed="false">
      <c r="A880" s="221"/>
      <c r="B880" s="221"/>
      <c r="C880" s="221"/>
      <c r="D880" s="221"/>
      <c r="E880" s="221"/>
      <c r="F880" s="221"/>
      <c r="G880" s="221"/>
      <c r="H880" s="221"/>
      <c r="I880" s="221"/>
      <c r="J880" s="221"/>
      <c r="K880" s="221"/>
      <c r="L880" s="221"/>
      <c r="M880" s="221"/>
      <c r="N880" s="221"/>
      <c r="O880" s="221"/>
      <c r="P880" s="221"/>
      <c r="Q880" s="221"/>
      <c r="R880" s="221"/>
      <c r="S880" s="221"/>
      <c r="T880" s="221"/>
      <c r="U880" s="221"/>
      <c r="V880" s="221"/>
      <c r="W880" s="221"/>
      <c r="X880" s="221"/>
      <c r="Y880" s="221"/>
      <c r="Z880" s="221"/>
    </row>
    <row r="881" customFormat="false" ht="13.5" hidden="false" customHeight="true" outlineLevel="0" collapsed="false">
      <c r="A881" s="221"/>
      <c r="B881" s="221"/>
      <c r="C881" s="221"/>
      <c r="D881" s="221"/>
      <c r="E881" s="221"/>
      <c r="F881" s="221"/>
      <c r="G881" s="221"/>
      <c r="H881" s="221"/>
      <c r="I881" s="221"/>
      <c r="J881" s="221"/>
      <c r="K881" s="221"/>
      <c r="L881" s="221"/>
      <c r="M881" s="221"/>
      <c r="N881" s="221"/>
      <c r="O881" s="221"/>
      <c r="P881" s="221"/>
      <c r="Q881" s="221"/>
      <c r="R881" s="221"/>
      <c r="S881" s="221"/>
      <c r="T881" s="221"/>
      <c r="U881" s="221"/>
      <c r="V881" s="221"/>
      <c r="W881" s="221"/>
      <c r="X881" s="221"/>
      <c r="Y881" s="221"/>
      <c r="Z881" s="221"/>
    </row>
    <row r="882" customFormat="false" ht="13.5" hidden="false" customHeight="true" outlineLevel="0" collapsed="false">
      <c r="A882" s="221"/>
      <c r="B882" s="221"/>
      <c r="C882" s="221"/>
      <c r="D882" s="221"/>
      <c r="E882" s="221"/>
      <c r="F882" s="221"/>
      <c r="G882" s="221"/>
      <c r="H882" s="221"/>
      <c r="I882" s="221"/>
      <c r="J882" s="221"/>
      <c r="K882" s="221"/>
      <c r="L882" s="221"/>
      <c r="M882" s="221"/>
      <c r="N882" s="221"/>
      <c r="O882" s="221"/>
      <c r="P882" s="221"/>
      <c r="Q882" s="221"/>
      <c r="R882" s="221"/>
      <c r="S882" s="221"/>
      <c r="T882" s="221"/>
      <c r="U882" s="221"/>
      <c r="V882" s="221"/>
      <c r="W882" s="221"/>
      <c r="X882" s="221"/>
      <c r="Y882" s="221"/>
      <c r="Z882" s="221"/>
    </row>
    <row r="883" customFormat="false" ht="13.5" hidden="false" customHeight="true" outlineLevel="0" collapsed="false">
      <c r="A883" s="221"/>
      <c r="B883" s="221"/>
      <c r="C883" s="221"/>
      <c r="D883" s="221"/>
      <c r="E883" s="221"/>
      <c r="F883" s="221"/>
      <c r="G883" s="221"/>
      <c r="H883" s="221"/>
      <c r="I883" s="221"/>
      <c r="J883" s="221"/>
      <c r="K883" s="221"/>
      <c r="L883" s="221"/>
      <c r="M883" s="221"/>
      <c r="N883" s="221"/>
      <c r="O883" s="221"/>
      <c r="P883" s="221"/>
      <c r="Q883" s="221"/>
      <c r="R883" s="221"/>
      <c r="S883" s="221"/>
      <c r="T883" s="221"/>
      <c r="U883" s="221"/>
      <c r="V883" s="221"/>
      <c r="W883" s="221"/>
      <c r="X883" s="221"/>
      <c r="Y883" s="221"/>
      <c r="Z883" s="221"/>
    </row>
    <row r="884" customFormat="false" ht="13.5" hidden="false" customHeight="true" outlineLevel="0" collapsed="false">
      <c r="A884" s="221"/>
      <c r="B884" s="221"/>
      <c r="C884" s="221"/>
      <c r="D884" s="221"/>
      <c r="E884" s="221"/>
      <c r="F884" s="221"/>
      <c r="G884" s="221"/>
      <c r="H884" s="221"/>
      <c r="I884" s="221"/>
      <c r="J884" s="221"/>
      <c r="K884" s="221"/>
      <c r="L884" s="221"/>
      <c r="M884" s="221"/>
      <c r="N884" s="221"/>
      <c r="O884" s="221"/>
      <c r="P884" s="221"/>
      <c r="Q884" s="221"/>
      <c r="R884" s="221"/>
      <c r="S884" s="221"/>
      <c r="T884" s="221"/>
      <c r="U884" s="221"/>
      <c r="V884" s="221"/>
      <c r="W884" s="221"/>
      <c r="X884" s="221"/>
      <c r="Y884" s="221"/>
      <c r="Z884" s="221"/>
    </row>
    <row r="885" customFormat="false" ht="13.5" hidden="false" customHeight="true" outlineLevel="0" collapsed="false">
      <c r="A885" s="221"/>
      <c r="B885" s="221"/>
      <c r="C885" s="221"/>
      <c r="D885" s="221"/>
      <c r="E885" s="221"/>
      <c r="F885" s="221"/>
      <c r="G885" s="221"/>
      <c r="H885" s="221"/>
      <c r="I885" s="221"/>
      <c r="J885" s="221"/>
      <c r="K885" s="221"/>
      <c r="L885" s="221"/>
      <c r="M885" s="221"/>
      <c r="N885" s="221"/>
      <c r="O885" s="221"/>
      <c r="P885" s="221"/>
      <c r="Q885" s="221"/>
      <c r="R885" s="221"/>
      <c r="S885" s="221"/>
      <c r="T885" s="221"/>
      <c r="U885" s="221"/>
      <c r="V885" s="221"/>
      <c r="W885" s="221"/>
      <c r="X885" s="221"/>
      <c r="Y885" s="221"/>
      <c r="Z885" s="221"/>
    </row>
    <row r="886" customFormat="false" ht="13.5" hidden="false" customHeight="true" outlineLevel="0" collapsed="false">
      <c r="A886" s="221"/>
      <c r="B886" s="221"/>
      <c r="C886" s="221"/>
      <c r="D886" s="221"/>
      <c r="E886" s="221"/>
      <c r="F886" s="221"/>
      <c r="G886" s="221"/>
      <c r="H886" s="221"/>
      <c r="I886" s="221"/>
      <c r="J886" s="221"/>
      <c r="K886" s="221"/>
      <c r="L886" s="221"/>
      <c r="M886" s="221"/>
      <c r="N886" s="221"/>
      <c r="O886" s="221"/>
      <c r="P886" s="221"/>
      <c r="Q886" s="221"/>
      <c r="R886" s="221"/>
      <c r="S886" s="221"/>
      <c r="T886" s="221"/>
      <c r="U886" s="221"/>
      <c r="V886" s="221"/>
      <c r="W886" s="221"/>
      <c r="X886" s="221"/>
      <c r="Y886" s="221"/>
      <c r="Z886" s="221"/>
    </row>
    <row r="887" customFormat="false" ht="13.5" hidden="false" customHeight="true" outlineLevel="0" collapsed="false">
      <c r="A887" s="221"/>
      <c r="B887" s="221"/>
      <c r="C887" s="221"/>
      <c r="D887" s="221"/>
      <c r="E887" s="221"/>
      <c r="F887" s="221"/>
      <c r="G887" s="221"/>
      <c r="H887" s="221"/>
      <c r="I887" s="221"/>
      <c r="J887" s="221"/>
      <c r="K887" s="221"/>
      <c r="L887" s="221"/>
      <c r="M887" s="221"/>
      <c r="N887" s="221"/>
      <c r="O887" s="221"/>
      <c r="P887" s="221"/>
      <c r="Q887" s="221"/>
      <c r="R887" s="221"/>
      <c r="S887" s="221"/>
      <c r="T887" s="221"/>
      <c r="U887" s="221"/>
      <c r="V887" s="221"/>
      <c r="W887" s="221"/>
      <c r="X887" s="221"/>
      <c r="Y887" s="221"/>
      <c r="Z887" s="221"/>
    </row>
    <row r="888" customFormat="false" ht="13.5" hidden="false" customHeight="true" outlineLevel="0" collapsed="false">
      <c r="A888" s="221"/>
      <c r="B888" s="221"/>
      <c r="C888" s="221"/>
      <c r="D888" s="221"/>
      <c r="E888" s="221"/>
      <c r="F888" s="221"/>
      <c r="G888" s="221"/>
      <c r="H888" s="221"/>
      <c r="I888" s="221"/>
      <c r="J888" s="221"/>
      <c r="K888" s="221"/>
      <c r="L888" s="221"/>
      <c r="M888" s="221"/>
      <c r="N888" s="221"/>
      <c r="O888" s="221"/>
      <c r="P888" s="221"/>
      <c r="Q888" s="221"/>
      <c r="R888" s="221"/>
      <c r="S888" s="221"/>
      <c r="T888" s="221"/>
      <c r="U888" s="221"/>
      <c r="V888" s="221"/>
      <c r="W888" s="221"/>
      <c r="X888" s="221"/>
      <c r="Y888" s="221"/>
      <c r="Z888" s="221"/>
    </row>
    <row r="889" customFormat="false" ht="13.5" hidden="false" customHeight="true" outlineLevel="0" collapsed="false">
      <c r="A889" s="221"/>
      <c r="B889" s="221"/>
      <c r="C889" s="221"/>
      <c r="D889" s="221"/>
      <c r="E889" s="221"/>
      <c r="F889" s="221"/>
      <c r="G889" s="221"/>
      <c r="H889" s="221"/>
      <c r="I889" s="221"/>
      <c r="J889" s="221"/>
      <c r="K889" s="221"/>
      <c r="L889" s="221"/>
      <c r="M889" s="221"/>
      <c r="N889" s="221"/>
      <c r="O889" s="221"/>
      <c r="P889" s="221"/>
      <c r="Q889" s="221"/>
      <c r="R889" s="221"/>
      <c r="S889" s="221"/>
      <c r="T889" s="221"/>
      <c r="U889" s="221"/>
      <c r="V889" s="221"/>
      <c r="W889" s="221"/>
      <c r="X889" s="221"/>
      <c r="Y889" s="221"/>
      <c r="Z889" s="221"/>
    </row>
    <row r="890" customFormat="false" ht="13.5" hidden="false" customHeight="true" outlineLevel="0" collapsed="false">
      <c r="A890" s="221"/>
      <c r="B890" s="221"/>
      <c r="C890" s="221"/>
      <c r="D890" s="221"/>
      <c r="E890" s="221"/>
      <c r="F890" s="221"/>
      <c r="G890" s="221"/>
      <c r="H890" s="221"/>
      <c r="I890" s="221"/>
      <c r="J890" s="221"/>
      <c r="K890" s="221"/>
      <c r="L890" s="221"/>
      <c r="M890" s="221"/>
      <c r="N890" s="221"/>
      <c r="O890" s="221"/>
      <c r="P890" s="221"/>
      <c r="Q890" s="221"/>
      <c r="R890" s="221"/>
      <c r="S890" s="221"/>
      <c r="T890" s="221"/>
      <c r="U890" s="221"/>
      <c r="V890" s="221"/>
      <c r="W890" s="221"/>
      <c r="X890" s="221"/>
      <c r="Y890" s="221"/>
      <c r="Z890" s="221"/>
    </row>
    <row r="891" customFormat="false" ht="13.5" hidden="false" customHeight="true" outlineLevel="0" collapsed="false">
      <c r="A891" s="221"/>
      <c r="B891" s="221"/>
      <c r="C891" s="221"/>
      <c r="D891" s="221"/>
      <c r="E891" s="221"/>
      <c r="F891" s="221"/>
      <c r="G891" s="221"/>
      <c r="H891" s="221"/>
      <c r="I891" s="221"/>
      <c r="J891" s="221"/>
      <c r="K891" s="221"/>
      <c r="L891" s="221"/>
      <c r="M891" s="221"/>
      <c r="N891" s="221"/>
      <c r="O891" s="221"/>
      <c r="P891" s="221"/>
      <c r="Q891" s="221"/>
      <c r="R891" s="221"/>
      <c r="S891" s="221"/>
      <c r="T891" s="221"/>
      <c r="U891" s="221"/>
      <c r="V891" s="221"/>
      <c r="W891" s="221"/>
      <c r="X891" s="221"/>
      <c r="Y891" s="221"/>
      <c r="Z891" s="221"/>
    </row>
    <row r="892" customFormat="false" ht="13.5" hidden="false" customHeight="true" outlineLevel="0" collapsed="false">
      <c r="A892" s="221"/>
      <c r="B892" s="221"/>
      <c r="C892" s="221"/>
      <c r="D892" s="221"/>
      <c r="E892" s="221"/>
      <c r="F892" s="221"/>
      <c r="G892" s="221"/>
      <c r="H892" s="221"/>
      <c r="I892" s="221"/>
      <c r="J892" s="221"/>
      <c r="K892" s="221"/>
      <c r="L892" s="221"/>
      <c r="M892" s="221"/>
      <c r="N892" s="221"/>
      <c r="O892" s="221"/>
      <c r="P892" s="221"/>
      <c r="Q892" s="221"/>
      <c r="R892" s="221"/>
      <c r="S892" s="221"/>
      <c r="T892" s="221"/>
      <c r="U892" s="221"/>
      <c r="V892" s="221"/>
      <c r="W892" s="221"/>
      <c r="X892" s="221"/>
      <c r="Y892" s="221"/>
      <c r="Z892" s="221"/>
    </row>
    <row r="893" customFormat="false" ht="13.5" hidden="false" customHeight="true" outlineLevel="0" collapsed="false">
      <c r="A893" s="221"/>
      <c r="B893" s="221"/>
      <c r="C893" s="221"/>
      <c r="D893" s="221"/>
      <c r="E893" s="221"/>
      <c r="F893" s="221"/>
      <c r="G893" s="221"/>
      <c r="H893" s="221"/>
      <c r="I893" s="221"/>
      <c r="J893" s="221"/>
      <c r="K893" s="221"/>
      <c r="L893" s="221"/>
      <c r="M893" s="221"/>
      <c r="N893" s="221"/>
      <c r="O893" s="221"/>
      <c r="P893" s="221"/>
      <c r="Q893" s="221"/>
      <c r="R893" s="221"/>
      <c r="S893" s="221"/>
      <c r="T893" s="221"/>
      <c r="U893" s="221"/>
      <c r="V893" s="221"/>
      <c r="W893" s="221"/>
      <c r="X893" s="221"/>
      <c r="Y893" s="221"/>
      <c r="Z893" s="221"/>
    </row>
    <row r="894" customFormat="false" ht="13.5" hidden="false" customHeight="true" outlineLevel="0" collapsed="false">
      <c r="A894" s="221"/>
      <c r="B894" s="221"/>
      <c r="C894" s="221"/>
      <c r="D894" s="221"/>
      <c r="E894" s="221"/>
      <c r="F894" s="221"/>
      <c r="G894" s="221"/>
      <c r="H894" s="221"/>
      <c r="I894" s="221"/>
      <c r="J894" s="221"/>
      <c r="K894" s="221"/>
      <c r="L894" s="221"/>
      <c r="M894" s="221"/>
      <c r="N894" s="221"/>
      <c r="O894" s="221"/>
      <c r="P894" s="221"/>
      <c r="Q894" s="221"/>
      <c r="R894" s="221"/>
      <c r="S894" s="221"/>
      <c r="T894" s="221"/>
      <c r="U894" s="221"/>
      <c r="V894" s="221"/>
      <c r="W894" s="221"/>
      <c r="X894" s="221"/>
      <c r="Y894" s="221"/>
      <c r="Z894" s="221"/>
    </row>
    <row r="895" customFormat="false" ht="13.5" hidden="false" customHeight="true" outlineLevel="0" collapsed="false">
      <c r="A895" s="221"/>
      <c r="B895" s="221"/>
      <c r="C895" s="221"/>
      <c r="D895" s="221"/>
      <c r="E895" s="221"/>
      <c r="F895" s="221"/>
      <c r="G895" s="221"/>
      <c r="H895" s="221"/>
      <c r="I895" s="221"/>
      <c r="J895" s="221"/>
      <c r="K895" s="221"/>
      <c r="L895" s="221"/>
      <c r="M895" s="221"/>
      <c r="N895" s="221"/>
      <c r="O895" s="221"/>
      <c r="P895" s="221"/>
      <c r="Q895" s="221"/>
      <c r="R895" s="221"/>
      <c r="S895" s="221"/>
      <c r="T895" s="221"/>
      <c r="U895" s="221"/>
      <c r="V895" s="221"/>
      <c r="W895" s="221"/>
      <c r="X895" s="221"/>
      <c r="Y895" s="221"/>
      <c r="Z895" s="221"/>
    </row>
    <row r="896" customFormat="false" ht="13.5" hidden="false" customHeight="true" outlineLevel="0" collapsed="false">
      <c r="A896" s="221"/>
      <c r="B896" s="221"/>
      <c r="C896" s="221"/>
      <c r="D896" s="221"/>
      <c r="E896" s="221"/>
      <c r="F896" s="221"/>
      <c r="G896" s="221"/>
      <c r="H896" s="221"/>
      <c r="I896" s="221"/>
      <c r="J896" s="221"/>
      <c r="K896" s="221"/>
      <c r="L896" s="221"/>
      <c r="M896" s="221"/>
      <c r="N896" s="221"/>
      <c r="O896" s="221"/>
      <c r="P896" s="221"/>
      <c r="Q896" s="221"/>
      <c r="R896" s="221"/>
      <c r="S896" s="221"/>
      <c r="T896" s="221"/>
      <c r="U896" s="221"/>
      <c r="V896" s="221"/>
      <c r="W896" s="221"/>
      <c r="X896" s="221"/>
      <c r="Y896" s="221"/>
      <c r="Z896" s="221"/>
    </row>
    <row r="897" customFormat="false" ht="13.5" hidden="false" customHeight="true" outlineLevel="0" collapsed="false">
      <c r="A897" s="221"/>
      <c r="B897" s="221"/>
      <c r="C897" s="221"/>
      <c r="D897" s="221"/>
      <c r="E897" s="221"/>
      <c r="F897" s="221"/>
      <c r="G897" s="221"/>
      <c r="H897" s="221"/>
      <c r="I897" s="221"/>
      <c r="J897" s="221"/>
      <c r="K897" s="221"/>
      <c r="L897" s="221"/>
      <c r="M897" s="221"/>
      <c r="N897" s="221"/>
      <c r="O897" s="221"/>
      <c r="P897" s="221"/>
      <c r="Q897" s="221"/>
      <c r="R897" s="221"/>
      <c r="S897" s="221"/>
      <c r="T897" s="221"/>
      <c r="U897" s="221"/>
      <c r="V897" s="221"/>
      <c r="W897" s="221"/>
      <c r="X897" s="221"/>
      <c r="Y897" s="221"/>
      <c r="Z897" s="221"/>
    </row>
    <row r="898" customFormat="false" ht="13.5" hidden="false" customHeight="true" outlineLevel="0" collapsed="false">
      <c r="A898" s="221"/>
      <c r="B898" s="221"/>
      <c r="C898" s="221"/>
      <c r="D898" s="221"/>
      <c r="E898" s="221"/>
      <c r="F898" s="221"/>
      <c r="G898" s="221"/>
      <c r="H898" s="221"/>
      <c r="I898" s="221"/>
      <c r="J898" s="221"/>
      <c r="K898" s="221"/>
      <c r="L898" s="221"/>
      <c r="M898" s="221"/>
      <c r="N898" s="221"/>
      <c r="O898" s="221"/>
      <c r="P898" s="221"/>
      <c r="Q898" s="221"/>
      <c r="R898" s="221"/>
      <c r="S898" s="221"/>
      <c r="T898" s="221"/>
      <c r="U898" s="221"/>
      <c r="V898" s="221"/>
      <c r="W898" s="221"/>
      <c r="X898" s="221"/>
      <c r="Y898" s="221"/>
      <c r="Z898" s="221"/>
    </row>
    <row r="899" customFormat="false" ht="13.5" hidden="false" customHeight="true" outlineLevel="0" collapsed="false">
      <c r="A899" s="221"/>
      <c r="B899" s="221"/>
      <c r="C899" s="221"/>
      <c r="D899" s="221"/>
      <c r="E899" s="221"/>
      <c r="F899" s="221"/>
      <c r="G899" s="221"/>
      <c r="H899" s="221"/>
      <c r="I899" s="221"/>
      <c r="J899" s="221"/>
      <c r="K899" s="221"/>
      <c r="L899" s="221"/>
      <c r="M899" s="221"/>
      <c r="N899" s="221"/>
      <c r="O899" s="221"/>
      <c r="P899" s="221"/>
      <c r="Q899" s="221"/>
      <c r="R899" s="221"/>
      <c r="S899" s="221"/>
      <c r="T899" s="221"/>
      <c r="U899" s="221"/>
      <c r="V899" s="221"/>
      <c r="W899" s="221"/>
      <c r="X899" s="221"/>
      <c r="Y899" s="221"/>
      <c r="Z899" s="221"/>
    </row>
    <row r="900" customFormat="false" ht="13.5" hidden="false" customHeight="true" outlineLevel="0" collapsed="false">
      <c r="A900" s="221"/>
      <c r="B900" s="221"/>
      <c r="C900" s="221"/>
      <c r="D900" s="221"/>
      <c r="E900" s="221"/>
      <c r="F900" s="221"/>
      <c r="G900" s="221"/>
      <c r="H900" s="221"/>
      <c r="I900" s="221"/>
      <c r="J900" s="221"/>
      <c r="K900" s="221"/>
      <c r="L900" s="221"/>
      <c r="M900" s="221"/>
      <c r="N900" s="221"/>
      <c r="O900" s="221"/>
      <c r="P900" s="221"/>
      <c r="Q900" s="221"/>
      <c r="R900" s="221"/>
      <c r="S900" s="221"/>
      <c r="T900" s="221"/>
      <c r="U900" s="221"/>
      <c r="V900" s="221"/>
      <c r="W900" s="221"/>
      <c r="X900" s="221"/>
      <c r="Y900" s="221"/>
      <c r="Z900" s="221"/>
    </row>
    <row r="901" customFormat="false" ht="13.5" hidden="false" customHeight="true" outlineLevel="0" collapsed="false">
      <c r="A901" s="221"/>
      <c r="B901" s="221"/>
      <c r="C901" s="221"/>
      <c r="D901" s="221"/>
      <c r="E901" s="221"/>
      <c r="F901" s="221"/>
      <c r="G901" s="221"/>
      <c r="H901" s="221"/>
      <c r="I901" s="221"/>
      <c r="J901" s="221"/>
      <c r="K901" s="221"/>
      <c r="L901" s="221"/>
      <c r="M901" s="221"/>
      <c r="N901" s="221"/>
      <c r="O901" s="221"/>
      <c r="P901" s="221"/>
      <c r="Q901" s="221"/>
      <c r="R901" s="221"/>
      <c r="S901" s="221"/>
      <c r="T901" s="221"/>
      <c r="U901" s="221"/>
      <c r="V901" s="221"/>
      <c r="W901" s="221"/>
      <c r="X901" s="221"/>
      <c r="Y901" s="221"/>
      <c r="Z901" s="221"/>
    </row>
    <row r="902" customFormat="false" ht="13.5" hidden="false" customHeight="true" outlineLevel="0" collapsed="false">
      <c r="A902" s="221"/>
      <c r="B902" s="221"/>
      <c r="C902" s="221"/>
      <c r="D902" s="221"/>
      <c r="E902" s="221"/>
      <c r="F902" s="221"/>
      <c r="G902" s="221"/>
      <c r="H902" s="221"/>
      <c r="I902" s="221"/>
      <c r="J902" s="221"/>
      <c r="K902" s="221"/>
      <c r="L902" s="221"/>
      <c r="M902" s="221"/>
      <c r="N902" s="221"/>
      <c r="O902" s="221"/>
      <c r="P902" s="221"/>
      <c r="Q902" s="221"/>
      <c r="R902" s="221"/>
      <c r="S902" s="221"/>
      <c r="T902" s="221"/>
      <c r="U902" s="221"/>
      <c r="V902" s="221"/>
      <c r="W902" s="221"/>
      <c r="X902" s="221"/>
      <c r="Y902" s="221"/>
      <c r="Z902" s="221"/>
    </row>
    <row r="903" customFormat="false" ht="13.5" hidden="false" customHeight="true" outlineLevel="0" collapsed="false">
      <c r="A903" s="221"/>
      <c r="B903" s="221"/>
      <c r="C903" s="221"/>
      <c r="D903" s="221"/>
      <c r="E903" s="221"/>
      <c r="F903" s="221"/>
      <c r="G903" s="221"/>
      <c r="H903" s="221"/>
      <c r="I903" s="221"/>
      <c r="J903" s="221"/>
      <c r="K903" s="221"/>
      <c r="L903" s="221"/>
      <c r="M903" s="221"/>
      <c r="N903" s="221"/>
      <c r="O903" s="221"/>
      <c r="P903" s="221"/>
      <c r="Q903" s="221"/>
      <c r="R903" s="221"/>
      <c r="S903" s="221"/>
      <c r="T903" s="221"/>
      <c r="U903" s="221"/>
      <c r="V903" s="221"/>
      <c r="W903" s="221"/>
      <c r="X903" s="221"/>
      <c r="Y903" s="221"/>
      <c r="Z903" s="221"/>
    </row>
    <row r="904" customFormat="false" ht="13.5" hidden="false" customHeight="true" outlineLevel="0" collapsed="false">
      <c r="A904" s="221"/>
      <c r="B904" s="221"/>
      <c r="C904" s="221"/>
      <c r="D904" s="221"/>
      <c r="E904" s="221"/>
      <c r="F904" s="221"/>
      <c r="G904" s="221"/>
      <c r="H904" s="221"/>
      <c r="I904" s="221"/>
      <c r="J904" s="221"/>
      <c r="K904" s="221"/>
      <c r="L904" s="221"/>
      <c r="M904" s="221"/>
      <c r="N904" s="221"/>
      <c r="O904" s="221"/>
      <c r="P904" s="221"/>
      <c r="Q904" s="221"/>
      <c r="R904" s="221"/>
      <c r="S904" s="221"/>
      <c r="T904" s="221"/>
      <c r="U904" s="221"/>
      <c r="V904" s="221"/>
      <c r="W904" s="221"/>
      <c r="X904" s="221"/>
      <c r="Y904" s="221"/>
      <c r="Z904" s="221"/>
    </row>
    <row r="905" customFormat="false" ht="13.5" hidden="false" customHeight="true" outlineLevel="0" collapsed="false">
      <c r="A905" s="221"/>
      <c r="B905" s="221"/>
      <c r="C905" s="221"/>
      <c r="D905" s="221"/>
      <c r="E905" s="221"/>
      <c r="F905" s="221"/>
      <c r="G905" s="221"/>
      <c r="H905" s="221"/>
      <c r="I905" s="221"/>
      <c r="J905" s="221"/>
      <c r="K905" s="221"/>
      <c r="L905" s="221"/>
      <c r="M905" s="221"/>
      <c r="N905" s="221"/>
      <c r="O905" s="221"/>
      <c r="P905" s="221"/>
      <c r="Q905" s="221"/>
      <c r="R905" s="221"/>
      <c r="S905" s="221"/>
      <c r="T905" s="221"/>
      <c r="U905" s="221"/>
      <c r="V905" s="221"/>
      <c r="W905" s="221"/>
      <c r="X905" s="221"/>
      <c r="Y905" s="221"/>
      <c r="Z905" s="221"/>
    </row>
    <row r="906" customFormat="false" ht="13.5" hidden="false" customHeight="true" outlineLevel="0" collapsed="false">
      <c r="A906" s="221"/>
      <c r="B906" s="221"/>
      <c r="C906" s="221"/>
      <c r="D906" s="221"/>
      <c r="E906" s="221"/>
      <c r="F906" s="221"/>
      <c r="G906" s="221"/>
      <c r="H906" s="221"/>
      <c r="I906" s="221"/>
      <c r="J906" s="221"/>
      <c r="K906" s="221"/>
      <c r="L906" s="221"/>
      <c r="M906" s="221"/>
      <c r="N906" s="221"/>
      <c r="O906" s="221"/>
      <c r="P906" s="221"/>
      <c r="Q906" s="221"/>
      <c r="R906" s="221"/>
      <c r="S906" s="221"/>
      <c r="T906" s="221"/>
      <c r="U906" s="221"/>
      <c r="V906" s="221"/>
      <c r="W906" s="221"/>
      <c r="X906" s="221"/>
      <c r="Y906" s="221"/>
      <c r="Z906" s="221"/>
    </row>
    <row r="907" customFormat="false" ht="13.5" hidden="false" customHeight="true" outlineLevel="0" collapsed="false">
      <c r="A907" s="221"/>
      <c r="B907" s="221"/>
      <c r="C907" s="221"/>
      <c r="D907" s="221"/>
      <c r="E907" s="221"/>
      <c r="F907" s="221"/>
      <c r="G907" s="221"/>
      <c r="H907" s="221"/>
      <c r="I907" s="221"/>
      <c r="J907" s="221"/>
      <c r="K907" s="221"/>
      <c r="L907" s="221"/>
      <c r="M907" s="221"/>
      <c r="N907" s="221"/>
      <c r="O907" s="221"/>
      <c r="P907" s="221"/>
      <c r="Q907" s="221"/>
      <c r="R907" s="221"/>
      <c r="S907" s="221"/>
      <c r="T907" s="221"/>
      <c r="U907" s="221"/>
      <c r="V907" s="221"/>
      <c r="W907" s="221"/>
      <c r="X907" s="221"/>
      <c r="Y907" s="221"/>
      <c r="Z907" s="221"/>
    </row>
    <row r="908" customFormat="false" ht="13.5" hidden="false" customHeight="true" outlineLevel="0" collapsed="false">
      <c r="A908" s="221"/>
      <c r="B908" s="221"/>
      <c r="C908" s="221"/>
      <c r="D908" s="221"/>
      <c r="E908" s="221"/>
      <c r="F908" s="221"/>
      <c r="G908" s="221"/>
      <c r="H908" s="221"/>
      <c r="I908" s="221"/>
      <c r="J908" s="221"/>
      <c r="K908" s="221"/>
      <c r="L908" s="221"/>
      <c r="M908" s="221"/>
      <c r="N908" s="221"/>
      <c r="O908" s="221"/>
      <c r="P908" s="221"/>
      <c r="Q908" s="221"/>
      <c r="R908" s="221"/>
      <c r="S908" s="221"/>
      <c r="T908" s="221"/>
      <c r="U908" s="221"/>
      <c r="V908" s="221"/>
      <c r="W908" s="221"/>
      <c r="X908" s="221"/>
      <c r="Y908" s="221"/>
      <c r="Z908" s="221"/>
    </row>
    <row r="909" customFormat="false" ht="13.5" hidden="false" customHeight="true" outlineLevel="0" collapsed="false">
      <c r="A909" s="221"/>
      <c r="B909" s="221"/>
      <c r="C909" s="221"/>
      <c r="D909" s="221"/>
      <c r="E909" s="221"/>
      <c r="F909" s="221"/>
      <c r="G909" s="221"/>
      <c r="H909" s="221"/>
      <c r="I909" s="221"/>
      <c r="J909" s="221"/>
      <c r="K909" s="221"/>
      <c r="L909" s="221"/>
      <c r="M909" s="221"/>
      <c r="N909" s="221"/>
      <c r="O909" s="221"/>
      <c r="P909" s="221"/>
      <c r="Q909" s="221"/>
      <c r="R909" s="221"/>
      <c r="S909" s="221"/>
      <c r="T909" s="221"/>
      <c r="U909" s="221"/>
      <c r="V909" s="221"/>
      <c r="W909" s="221"/>
      <c r="X909" s="221"/>
      <c r="Y909" s="221"/>
      <c r="Z909" s="221"/>
    </row>
    <row r="910" customFormat="false" ht="13.5" hidden="false" customHeight="true" outlineLevel="0" collapsed="false">
      <c r="A910" s="221"/>
      <c r="B910" s="221"/>
      <c r="C910" s="221"/>
      <c r="D910" s="221"/>
      <c r="E910" s="221"/>
      <c r="F910" s="221"/>
      <c r="G910" s="221"/>
      <c r="H910" s="221"/>
      <c r="I910" s="221"/>
      <c r="J910" s="221"/>
      <c r="K910" s="221"/>
      <c r="L910" s="221"/>
      <c r="M910" s="221"/>
      <c r="N910" s="221"/>
      <c r="O910" s="221"/>
      <c r="P910" s="221"/>
      <c r="Q910" s="221"/>
      <c r="R910" s="221"/>
      <c r="S910" s="221"/>
      <c r="T910" s="221"/>
      <c r="U910" s="221"/>
      <c r="V910" s="221"/>
      <c r="W910" s="221"/>
      <c r="X910" s="221"/>
      <c r="Y910" s="221"/>
      <c r="Z910" s="221"/>
    </row>
    <row r="911" customFormat="false" ht="13.5" hidden="false" customHeight="true" outlineLevel="0" collapsed="false">
      <c r="A911" s="221"/>
      <c r="B911" s="221"/>
      <c r="C911" s="221"/>
      <c r="D911" s="221"/>
      <c r="E911" s="221"/>
      <c r="F911" s="221"/>
      <c r="G911" s="221"/>
      <c r="H911" s="221"/>
      <c r="I911" s="221"/>
      <c r="J911" s="221"/>
      <c r="K911" s="221"/>
      <c r="L911" s="221"/>
      <c r="M911" s="221"/>
      <c r="N911" s="221"/>
      <c r="O911" s="221"/>
      <c r="P911" s="221"/>
      <c r="Q911" s="221"/>
      <c r="R911" s="221"/>
      <c r="S911" s="221"/>
      <c r="T911" s="221"/>
      <c r="U911" s="221"/>
      <c r="V911" s="221"/>
      <c r="W911" s="221"/>
      <c r="X911" s="221"/>
      <c r="Y911" s="221"/>
      <c r="Z911" s="221"/>
    </row>
    <row r="912" customFormat="false" ht="13.5" hidden="false" customHeight="true" outlineLevel="0" collapsed="false">
      <c r="A912" s="221"/>
      <c r="B912" s="221"/>
      <c r="C912" s="221"/>
      <c r="D912" s="221"/>
      <c r="E912" s="221"/>
      <c r="F912" s="221"/>
      <c r="G912" s="221"/>
      <c r="H912" s="221"/>
      <c r="I912" s="221"/>
      <c r="J912" s="221"/>
      <c r="K912" s="221"/>
      <c r="L912" s="221"/>
      <c r="M912" s="221"/>
      <c r="N912" s="221"/>
      <c r="O912" s="221"/>
      <c r="P912" s="221"/>
      <c r="Q912" s="221"/>
      <c r="R912" s="221"/>
      <c r="S912" s="221"/>
      <c r="T912" s="221"/>
      <c r="U912" s="221"/>
      <c r="V912" s="221"/>
      <c r="W912" s="221"/>
      <c r="X912" s="221"/>
      <c r="Y912" s="221"/>
      <c r="Z912" s="221"/>
    </row>
    <row r="913" customFormat="false" ht="13.5" hidden="false" customHeight="true" outlineLevel="0" collapsed="false">
      <c r="A913" s="221"/>
      <c r="B913" s="221"/>
      <c r="C913" s="221"/>
      <c r="D913" s="221"/>
      <c r="E913" s="221"/>
      <c r="F913" s="221"/>
      <c r="G913" s="221"/>
      <c r="H913" s="221"/>
      <c r="I913" s="221"/>
      <c r="J913" s="221"/>
      <c r="K913" s="221"/>
      <c r="L913" s="221"/>
      <c r="M913" s="221"/>
      <c r="N913" s="221"/>
      <c r="O913" s="221"/>
      <c r="P913" s="221"/>
      <c r="Q913" s="221"/>
      <c r="R913" s="221"/>
      <c r="S913" s="221"/>
      <c r="T913" s="221"/>
      <c r="U913" s="221"/>
      <c r="V913" s="221"/>
      <c r="W913" s="221"/>
      <c r="X913" s="221"/>
      <c r="Y913" s="221"/>
      <c r="Z913" s="221"/>
    </row>
    <row r="914" customFormat="false" ht="13.5" hidden="false" customHeight="true" outlineLevel="0" collapsed="false">
      <c r="A914" s="221"/>
      <c r="B914" s="221"/>
      <c r="C914" s="221"/>
      <c r="D914" s="221"/>
      <c r="E914" s="221"/>
      <c r="F914" s="221"/>
      <c r="G914" s="221"/>
      <c r="H914" s="221"/>
      <c r="I914" s="221"/>
      <c r="J914" s="221"/>
      <c r="K914" s="221"/>
      <c r="L914" s="221"/>
      <c r="M914" s="221"/>
      <c r="N914" s="221"/>
      <c r="O914" s="221"/>
      <c r="P914" s="221"/>
      <c r="Q914" s="221"/>
      <c r="R914" s="221"/>
      <c r="S914" s="221"/>
      <c r="T914" s="221"/>
      <c r="U914" s="221"/>
      <c r="V914" s="221"/>
      <c r="W914" s="221"/>
      <c r="X914" s="221"/>
      <c r="Y914" s="221"/>
      <c r="Z914" s="221"/>
    </row>
    <row r="915" customFormat="false" ht="13.5" hidden="false" customHeight="true" outlineLevel="0" collapsed="false">
      <c r="A915" s="221"/>
      <c r="B915" s="221"/>
      <c r="C915" s="221"/>
      <c r="D915" s="221"/>
      <c r="E915" s="221"/>
      <c r="F915" s="221"/>
      <c r="G915" s="221"/>
      <c r="H915" s="221"/>
      <c r="I915" s="221"/>
      <c r="J915" s="221"/>
      <c r="K915" s="221"/>
      <c r="L915" s="221"/>
      <c r="M915" s="221"/>
      <c r="N915" s="221"/>
      <c r="O915" s="221"/>
      <c r="P915" s="221"/>
      <c r="Q915" s="221"/>
      <c r="R915" s="221"/>
      <c r="S915" s="221"/>
      <c r="T915" s="221"/>
      <c r="U915" s="221"/>
      <c r="V915" s="221"/>
      <c r="W915" s="221"/>
      <c r="X915" s="221"/>
      <c r="Y915" s="221"/>
      <c r="Z915" s="221"/>
    </row>
    <row r="916" customFormat="false" ht="13.5" hidden="false" customHeight="true" outlineLevel="0" collapsed="false">
      <c r="A916" s="221"/>
      <c r="B916" s="221"/>
      <c r="C916" s="221"/>
      <c r="D916" s="221"/>
      <c r="E916" s="221"/>
      <c r="F916" s="221"/>
      <c r="G916" s="221"/>
      <c r="H916" s="221"/>
      <c r="I916" s="221"/>
      <c r="J916" s="221"/>
      <c r="K916" s="221"/>
      <c r="L916" s="221"/>
      <c r="M916" s="221"/>
      <c r="N916" s="221"/>
      <c r="O916" s="221"/>
      <c r="P916" s="221"/>
      <c r="Q916" s="221"/>
      <c r="R916" s="221"/>
      <c r="S916" s="221"/>
      <c r="T916" s="221"/>
      <c r="U916" s="221"/>
      <c r="V916" s="221"/>
      <c r="W916" s="221"/>
      <c r="X916" s="221"/>
      <c r="Y916" s="221"/>
      <c r="Z916" s="221"/>
    </row>
    <row r="917" customFormat="false" ht="13.5" hidden="false" customHeight="true" outlineLevel="0" collapsed="false">
      <c r="A917" s="221"/>
      <c r="B917" s="221"/>
      <c r="C917" s="221"/>
      <c r="D917" s="221"/>
      <c r="E917" s="221"/>
      <c r="F917" s="221"/>
      <c r="G917" s="221"/>
      <c r="H917" s="221"/>
      <c r="I917" s="221"/>
      <c r="J917" s="221"/>
      <c r="K917" s="221"/>
      <c r="L917" s="221"/>
      <c r="M917" s="221"/>
      <c r="N917" s="221"/>
      <c r="O917" s="221"/>
      <c r="P917" s="221"/>
      <c r="Q917" s="221"/>
      <c r="R917" s="221"/>
      <c r="S917" s="221"/>
      <c r="T917" s="221"/>
      <c r="U917" s="221"/>
      <c r="V917" s="221"/>
      <c r="W917" s="221"/>
      <c r="X917" s="221"/>
      <c r="Y917" s="221"/>
      <c r="Z917" s="221"/>
    </row>
    <row r="918" customFormat="false" ht="13.5" hidden="false" customHeight="true" outlineLevel="0" collapsed="false">
      <c r="A918" s="221"/>
      <c r="B918" s="221"/>
      <c r="C918" s="221"/>
      <c r="D918" s="221"/>
      <c r="E918" s="221"/>
      <c r="F918" s="221"/>
      <c r="G918" s="221"/>
      <c r="H918" s="221"/>
      <c r="I918" s="221"/>
      <c r="J918" s="221"/>
      <c r="K918" s="221"/>
      <c r="L918" s="221"/>
      <c r="M918" s="221"/>
      <c r="N918" s="221"/>
      <c r="O918" s="221"/>
      <c r="P918" s="221"/>
      <c r="Q918" s="221"/>
      <c r="R918" s="221"/>
      <c r="S918" s="221"/>
      <c r="T918" s="221"/>
      <c r="U918" s="221"/>
      <c r="V918" s="221"/>
      <c r="W918" s="221"/>
      <c r="X918" s="221"/>
      <c r="Y918" s="221"/>
      <c r="Z918" s="221"/>
    </row>
    <row r="919" customFormat="false" ht="13.5" hidden="false" customHeight="true" outlineLevel="0" collapsed="false">
      <c r="A919" s="221"/>
      <c r="B919" s="221"/>
      <c r="C919" s="221"/>
      <c r="D919" s="221"/>
      <c r="E919" s="221"/>
      <c r="F919" s="221"/>
      <c r="G919" s="221"/>
      <c r="H919" s="221"/>
      <c r="I919" s="221"/>
      <c r="J919" s="221"/>
      <c r="K919" s="221"/>
      <c r="L919" s="221"/>
      <c r="M919" s="221"/>
      <c r="N919" s="221"/>
      <c r="O919" s="221"/>
      <c r="P919" s="221"/>
      <c r="Q919" s="221"/>
      <c r="R919" s="221"/>
      <c r="S919" s="221"/>
      <c r="T919" s="221"/>
      <c r="U919" s="221"/>
      <c r="V919" s="221"/>
      <c r="W919" s="221"/>
      <c r="X919" s="221"/>
      <c r="Y919" s="221"/>
      <c r="Z919" s="221"/>
    </row>
    <row r="920" customFormat="false" ht="13.5" hidden="false" customHeight="true" outlineLevel="0" collapsed="false">
      <c r="A920" s="221"/>
      <c r="B920" s="221"/>
      <c r="C920" s="221"/>
      <c r="D920" s="221"/>
      <c r="E920" s="221"/>
      <c r="F920" s="221"/>
      <c r="G920" s="221"/>
      <c r="H920" s="221"/>
      <c r="I920" s="221"/>
      <c r="J920" s="221"/>
      <c r="K920" s="221"/>
      <c r="L920" s="221"/>
      <c r="M920" s="221"/>
      <c r="N920" s="221"/>
      <c r="O920" s="221"/>
      <c r="P920" s="221"/>
      <c r="Q920" s="221"/>
      <c r="R920" s="221"/>
      <c r="S920" s="221"/>
      <c r="T920" s="221"/>
      <c r="U920" s="221"/>
      <c r="V920" s="221"/>
      <c r="W920" s="221"/>
      <c r="X920" s="221"/>
      <c r="Y920" s="221"/>
      <c r="Z920" s="221"/>
    </row>
    <row r="921" customFormat="false" ht="13.5" hidden="false" customHeight="true" outlineLevel="0" collapsed="false">
      <c r="A921" s="221"/>
      <c r="B921" s="221"/>
      <c r="C921" s="221"/>
      <c r="D921" s="221"/>
      <c r="E921" s="221"/>
      <c r="F921" s="221"/>
      <c r="G921" s="221"/>
      <c r="H921" s="221"/>
      <c r="I921" s="221"/>
      <c r="J921" s="221"/>
      <c r="K921" s="221"/>
      <c r="L921" s="221"/>
      <c r="M921" s="221"/>
      <c r="N921" s="221"/>
      <c r="O921" s="221"/>
      <c r="P921" s="221"/>
      <c r="Q921" s="221"/>
      <c r="R921" s="221"/>
      <c r="S921" s="221"/>
      <c r="T921" s="221"/>
      <c r="U921" s="221"/>
      <c r="V921" s="221"/>
      <c r="W921" s="221"/>
      <c r="X921" s="221"/>
      <c r="Y921" s="221"/>
      <c r="Z921" s="221"/>
    </row>
    <row r="922" customFormat="false" ht="13.5" hidden="false" customHeight="true" outlineLevel="0" collapsed="false">
      <c r="A922" s="221"/>
      <c r="B922" s="221"/>
      <c r="C922" s="221"/>
      <c r="D922" s="221"/>
      <c r="E922" s="221"/>
      <c r="F922" s="221"/>
      <c r="G922" s="221"/>
      <c r="H922" s="221"/>
      <c r="I922" s="221"/>
      <c r="J922" s="221"/>
      <c r="K922" s="221"/>
      <c r="L922" s="221"/>
      <c r="M922" s="221"/>
      <c r="N922" s="221"/>
      <c r="O922" s="221"/>
      <c r="P922" s="221"/>
      <c r="Q922" s="221"/>
      <c r="R922" s="221"/>
      <c r="S922" s="221"/>
      <c r="T922" s="221"/>
      <c r="U922" s="221"/>
      <c r="V922" s="221"/>
      <c r="W922" s="221"/>
      <c r="X922" s="221"/>
      <c r="Y922" s="221"/>
      <c r="Z922" s="221"/>
    </row>
    <row r="923" customFormat="false" ht="13.5" hidden="false" customHeight="true" outlineLevel="0" collapsed="false">
      <c r="A923" s="221"/>
      <c r="B923" s="221"/>
      <c r="C923" s="221"/>
      <c r="D923" s="221"/>
      <c r="E923" s="221"/>
      <c r="F923" s="221"/>
      <c r="G923" s="221"/>
      <c r="H923" s="221"/>
      <c r="I923" s="221"/>
      <c r="J923" s="221"/>
      <c r="K923" s="221"/>
      <c r="L923" s="221"/>
      <c r="M923" s="221"/>
      <c r="N923" s="221"/>
      <c r="O923" s="221"/>
      <c r="P923" s="221"/>
      <c r="Q923" s="221"/>
      <c r="R923" s="221"/>
      <c r="S923" s="221"/>
      <c r="T923" s="221"/>
      <c r="U923" s="221"/>
      <c r="V923" s="221"/>
      <c r="W923" s="221"/>
      <c r="X923" s="221"/>
      <c r="Y923" s="221"/>
      <c r="Z923" s="221"/>
    </row>
    <row r="924" customFormat="false" ht="13.5" hidden="false" customHeight="true" outlineLevel="0" collapsed="false">
      <c r="A924" s="221"/>
      <c r="B924" s="221"/>
      <c r="C924" s="221"/>
      <c r="D924" s="221"/>
      <c r="E924" s="221"/>
      <c r="F924" s="221"/>
      <c r="G924" s="221"/>
      <c r="H924" s="221"/>
      <c r="I924" s="221"/>
      <c r="J924" s="221"/>
      <c r="K924" s="221"/>
      <c r="L924" s="221"/>
      <c r="M924" s="221"/>
      <c r="N924" s="221"/>
      <c r="O924" s="221"/>
      <c r="P924" s="221"/>
      <c r="Q924" s="221"/>
      <c r="R924" s="221"/>
      <c r="S924" s="221"/>
      <c r="T924" s="221"/>
      <c r="U924" s="221"/>
      <c r="V924" s="221"/>
      <c r="W924" s="221"/>
      <c r="X924" s="221"/>
      <c r="Y924" s="221"/>
      <c r="Z924" s="221"/>
    </row>
    <row r="925" customFormat="false" ht="13.5" hidden="false" customHeight="true" outlineLevel="0" collapsed="false">
      <c r="A925" s="221"/>
      <c r="B925" s="221"/>
      <c r="C925" s="221"/>
      <c r="D925" s="221"/>
      <c r="E925" s="221"/>
      <c r="F925" s="221"/>
      <c r="G925" s="221"/>
      <c r="H925" s="221"/>
      <c r="I925" s="221"/>
      <c r="J925" s="221"/>
      <c r="K925" s="221"/>
      <c r="L925" s="221"/>
      <c r="M925" s="221"/>
      <c r="N925" s="221"/>
      <c r="O925" s="221"/>
      <c r="P925" s="221"/>
      <c r="Q925" s="221"/>
      <c r="R925" s="221"/>
      <c r="S925" s="221"/>
      <c r="T925" s="221"/>
      <c r="U925" s="221"/>
      <c r="V925" s="221"/>
      <c r="W925" s="221"/>
      <c r="X925" s="221"/>
      <c r="Y925" s="221"/>
      <c r="Z925" s="221"/>
    </row>
    <row r="926" customFormat="false" ht="13.5" hidden="false" customHeight="true" outlineLevel="0" collapsed="false">
      <c r="A926" s="221"/>
      <c r="B926" s="221"/>
      <c r="C926" s="221"/>
      <c r="D926" s="221"/>
      <c r="E926" s="221"/>
      <c r="F926" s="221"/>
      <c r="G926" s="221"/>
      <c r="H926" s="221"/>
      <c r="I926" s="221"/>
      <c r="J926" s="221"/>
      <c r="K926" s="221"/>
      <c r="L926" s="221"/>
      <c r="M926" s="221"/>
      <c r="N926" s="221"/>
      <c r="O926" s="221"/>
      <c r="P926" s="221"/>
      <c r="Q926" s="221"/>
      <c r="R926" s="221"/>
      <c r="S926" s="221"/>
      <c r="T926" s="221"/>
      <c r="U926" s="221"/>
      <c r="V926" s="221"/>
      <c r="W926" s="221"/>
      <c r="X926" s="221"/>
      <c r="Y926" s="221"/>
      <c r="Z926" s="221"/>
    </row>
    <row r="927" customFormat="false" ht="13.5" hidden="false" customHeight="true" outlineLevel="0" collapsed="false">
      <c r="A927" s="221"/>
      <c r="B927" s="221"/>
      <c r="C927" s="221"/>
      <c r="D927" s="221"/>
      <c r="E927" s="221"/>
      <c r="F927" s="221"/>
      <c r="G927" s="221"/>
      <c r="H927" s="221"/>
      <c r="I927" s="221"/>
      <c r="J927" s="221"/>
      <c r="K927" s="221"/>
      <c r="L927" s="221"/>
      <c r="M927" s="221"/>
      <c r="N927" s="221"/>
      <c r="O927" s="221"/>
      <c r="P927" s="221"/>
      <c r="Q927" s="221"/>
      <c r="R927" s="221"/>
      <c r="S927" s="221"/>
      <c r="T927" s="221"/>
      <c r="U927" s="221"/>
      <c r="V927" s="221"/>
      <c r="W927" s="221"/>
      <c r="X927" s="221"/>
      <c r="Y927" s="221"/>
      <c r="Z927" s="221"/>
    </row>
    <row r="928" customFormat="false" ht="13.5" hidden="false" customHeight="true" outlineLevel="0" collapsed="false">
      <c r="A928" s="221"/>
      <c r="B928" s="221"/>
      <c r="C928" s="221"/>
      <c r="D928" s="221"/>
      <c r="E928" s="221"/>
      <c r="F928" s="221"/>
      <c r="G928" s="221"/>
      <c r="H928" s="221"/>
      <c r="I928" s="221"/>
      <c r="J928" s="221"/>
      <c r="K928" s="221"/>
      <c r="L928" s="221"/>
      <c r="M928" s="221"/>
      <c r="N928" s="221"/>
      <c r="O928" s="221"/>
      <c r="P928" s="221"/>
      <c r="Q928" s="221"/>
      <c r="R928" s="221"/>
      <c r="S928" s="221"/>
      <c r="T928" s="221"/>
      <c r="U928" s="221"/>
      <c r="V928" s="221"/>
      <c r="W928" s="221"/>
      <c r="X928" s="221"/>
      <c r="Y928" s="221"/>
      <c r="Z928" s="221"/>
    </row>
    <row r="929" customFormat="false" ht="13.5" hidden="false" customHeight="true" outlineLevel="0" collapsed="false">
      <c r="A929" s="221"/>
      <c r="B929" s="221"/>
      <c r="C929" s="221"/>
      <c r="D929" s="221"/>
      <c r="E929" s="221"/>
      <c r="F929" s="221"/>
      <c r="G929" s="221"/>
      <c r="H929" s="221"/>
      <c r="I929" s="221"/>
      <c r="J929" s="221"/>
      <c r="K929" s="221"/>
      <c r="L929" s="221"/>
      <c r="M929" s="221"/>
      <c r="N929" s="221"/>
      <c r="O929" s="221"/>
      <c r="P929" s="221"/>
      <c r="Q929" s="221"/>
      <c r="R929" s="221"/>
      <c r="S929" s="221"/>
      <c r="T929" s="221"/>
      <c r="U929" s="221"/>
      <c r="V929" s="221"/>
      <c r="W929" s="221"/>
      <c r="X929" s="221"/>
      <c r="Y929" s="221"/>
      <c r="Z929" s="221"/>
    </row>
    <row r="930" customFormat="false" ht="13.5" hidden="false" customHeight="true" outlineLevel="0" collapsed="false">
      <c r="A930" s="221"/>
      <c r="B930" s="221"/>
      <c r="C930" s="221"/>
      <c r="D930" s="221"/>
      <c r="E930" s="221"/>
      <c r="F930" s="221"/>
      <c r="G930" s="221"/>
      <c r="H930" s="221"/>
      <c r="I930" s="221"/>
      <c r="J930" s="221"/>
      <c r="K930" s="221"/>
      <c r="L930" s="221"/>
      <c r="M930" s="221"/>
      <c r="N930" s="221"/>
      <c r="O930" s="221"/>
      <c r="P930" s="221"/>
      <c r="Q930" s="221"/>
      <c r="R930" s="221"/>
      <c r="S930" s="221"/>
      <c r="T930" s="221"/>
      <c r="U930" s="221"/>
      <c r="V930" s="221"/>
      <c r="W930" s="221"/>
      <c r="X930" s="221"/>
      <c r="Y930" s="221"/>
      <c r="Z930" s="221"/>
    </row>
    <row r="931" customFormat="false" ht="13.5" hidden="false" customHeight="true" outlineLevel="0" collapsed="false">
      <c r="A931" s="221"/>
      <c r="B931" s="221"/>
      <c r="C931" s="221"/>
      <c r="D931" s="221"/>
      <c r="E931" s="221"/>
      <c r="F931" s="221"/>
      <c r="G931" s="221"/>
      <c r="H931" s="221"/>
      <c r="I931" s="221"/>
      <c r="J931" s="221"/>
      <c r="K931" s="221"/>
      <c r="L931" s="221"/>
      <c r="M931" s="221"/>
      <c r="N931" s="221"/>
      <c r="O931" s="221"/>
      <c r="P931" s="221"/>
      <c r="Q931" s="221"/>
      <c r="R931" s="221"/>
      <c r="S931" s="221"/>
      <c r="T931" s="221"/>
      <c r="U931" s="221"/>
      <c r="V931" s="221"/>
      <c r="W931" s="221"/>
      <c r="X931" s="221"/>
      <c r="Y931" s="221"/>
      <c r="Z931" s="221"/>
    </row>
    <row r="932" customFormat="false" ht="13.5" hidden="false" customHeight="true" outlineLevel="0" collapsed="false">
      <c r="A932" s="221"/>
      <c r="B932" s="221"/>
      <c r="C932" s="221"/>
      <c r="D932" s="221"/>
      <c r="E932" s="221"/>
      <c r="F932" s="221"/>
      <c r="G932" s="221"/>
      <c r="H932" s="221"/>
      <c r="I932" s="221"/>
      <c r="J932" s="221"/>
      <c r="K932" s="221"/>
      <c r="L932" s="221"/>
      <c r="M932" s="221"/>
      <c r="N932" s="221"/>
      <c r="O932" s="221"/>
      <c r="P932" s="221"/>
      <c r="Q932" s="221"/>
      <c r="R932" s="221"/>
      <c r="S932" s="221"/>
      <c r="T932" s="221"/>
      <c r="U932" s="221"/>
      <c r="V932" s="221"/>
      <c r="W932" s="221"/>
      <c r="X932" s="221"/>
      <c r="Y932" s="221"/>
      <c r="Z932" s="221"/>
    </row>
    <row r="933" customFormat="false" ht="13.5" hidden="false" customHeight="true" outlineLevel="0" collapsed="false">
      <c r="A933" s="221"/>
      <c r="B933" s="221"/>
      <c r="C933" s="221"/>
      <c r="D933" s="221"/>
      <c r="E933" s="221"/>
      <c r="F933" s="221"/>
      <c r="G933" s="221"/>
      <c r="H933" s="221"/>
      <c r="I933" s="221"/>
      <c r="J933" s="221"/>
      <c r="K933" s="221"/>
      <c r="L933" s="221"/>
      <c r="M933" s="221"/>
      <c r="N933" s="221"/>
      <c r="O933" s="221"/>
      <c r="P933" s="221"/>
      <c r="Q933" s="221"/>
      <c r="R933" s="221"/>
      <c r="S933" s="221"/>
      <c r="T933" s="221"/>
      <c r="U933" s="221"/>
      <c r="V933" s="221"/>
      <c r="W933" s="221"/>
      <c r="X933" s="221"/>
      <c r="Y933" s="221"/>
      <c r="Z933" s="221"/>
    </row>
    <row r="934" customFormat="false" ht="13.5" hidden="false" customHeight="true" outlineLevel="0" collapsed="false">
      <c r="A934" s="221"/>
      <c r="B934" s="221"/>
      <c r="C934" s="221"/>
      <c r="D934" s="221"/>
      <c r="E934" s="221"/>
      <c r="F934" s="221"/>
      <c r="G934" s="221"/>
      <c r="H934" s="221"/>
      <c r="I934" s="221"/>
      <c r="J934" s="221"/>
      <c r="K934" s="221"/>
      <c r="L934" s="221"/>
      <c r="M934" s="221"/>
      <c r="N934" s="221"/>
      <c r="O934" s="221"/>
      <c r="P934" s="221"/>
      <c r="Q934" s="221"/>
      <c r="R934" s="221"/>
      <c r="S934" s="221"/>
      <c r="T934" s="221"/>
      <c r="U934" s="221"/>
      <c r="V934" s="221"/>
      <c r="W934" s="221"/>
      <c r="X934" s="221"/>
      <c r="Y934" s="221"/>
      <c r="Z934" s="221"/>
    </row>
    <row r="935" customFormat="false" ht="13.5" hidden="false" customHeight="true" outlineLevel="0" collapsed="false">
      <c r="A935" s="221"/>
      <c r="B935" s="221"/>
      <c r="C935" s="221"/>
      <c r="D935" s="221"/>
      <c r="E935" s="221"/>
      <c r="F935" s="221"/>
      <c r="G935" s="221"/>
      <c r="H935" s="221"/>
      <c r="I935" s="221"/>
      <c r="J935" s="221"/>
      <c r="K935" s="221"/>
      <c r="L935" s="221"/>
      <c r="M935" s="221"/>
      <c r="N935" s="221"/>
      <c r="O935" s="221"/>
      <c r="P935" s="221"/>
      <c r="Q935" s="221"/>
      <c r="R935" s="221"/>
      <c r="S935" s="221"/>
      <c r="T935" s="221"/>
      <c r="U935" s="221"/>
      <c r="V935" s="221"/>
      <c r="W935" s="221"/>
      <c r="X935" s="221"/>
      <c r="Y935" s="221"/>
      <c r="Z935" s="221"/>
    </row>
    <row r="936" customFormat="false" ht="13.5" hidden="false" customHeight="true" outlineLevel="0" collapsed="false">
      <c r="A936" s="221"/>
      <c r="B936" s="221"/>
      <c r="C936" s="221"/>
      <c r="D936" s="221"/>
      <c r="E936" s="221"/>
      <c r="F936" s="221"/>
      <c r="G936" s="221"/>
      <c r="H936" s="221"/>
      <c r="I936" s="221"/>
      <c r="J936" s="221"/>
      <c r="K936" s="221"/>
      <c r="L936" s="221"/>
      <c r="M936" s="221"/>
      <c r="N936" s="221"/>
      <c r="O936" s="221"/>
      <c r="P936" s="221"/>
      <c r="Q936" s="221"/>
      <c r="R936" s="221"/>
      <c r="S936" s="221"/>
      <c r="T936" s="221"/>
      <c r="U936" s="221"/>
      <c r="V936" s="221"/>
      <c r="W936" s="221"/>
      <c r="X936" s="221"/>
      <c r="Y936" s="221"/>
      <c r="Z936" s="221"/>
    </row>
    <row r="937" customFormat="false" ht="13.5" hidden="false" customHeight="true" outlineLevel="0" collapsed="false">
      <c r="A937" s="221"/>
      <c r="B937" s="221"/>
      <c r="C937" s="221"/>
      <c r="D937" s="221"/>
      <c r="E937" s="221"/>
      <c r="F937" s="221"/>
      <c r="G937" s="221"/>
      <c r="H937" s="221"/>
      <c r="I937" s="221"/>
      <c r="J937" s="221"/>
      <c r="K937" s="221"/>
      <c r="L937" s="221"/>
      <c r="M937" s="221"/>
      <c r="N937" s="221"/>
      <c r="O937" s="221"/>
      <c r="P937" s="221"/>
      <c r="Q937" s="221"/>
      <c r="R937" s="221"/>
      <c r="S937" s="221"/>
      <c r="T937" s="221"/>
      <c r="U937" s="221"/>
      <c r="V937" s="221"/>
      <c r="W937" s="221"/>
      <c r="X937" s="221"/>
      <c r="Y937" s="221"/>
      <c r="Z937" s="221"/>
    </row>
    <row r="938" customFormat="false" ht="13.5" hidden="false" customHeight="true" outlineLevel="0" collapsed="false">
      <c r="A938" s="221"/>
      <c r="B938" s="221"/>
      <c r="C938" s="221"/>
      <c r="D938" s="221"/>
      <c r="E938" s="221"/>
      <c r="F938" s="221"/>
      <c r="G938" s="221"/>
      <c r="H938" s="221"/>
      <c r="I938" s="221"/>
      <c r="J938" s="221"/>
      <c r="K938" s="221"/>
      <c r="L938" s="221"/>
      <c r="M938" s="221"/>
      <c r="N938" s="221"/>
      <c r="O938" s="221"/>
      <c r="P938" s="221"/>
      <c r="Q938" s="221"/>
      <c r="R938" s="221"/>
      <c r="S938" s="221"/>
      <c r="T938" s="221"/>
      <c r="U938" s="221"/>
      <c r="V938" s="221"/>
      <c r="W938" s="221"/>
      <c r="X938" s="221"/>
      <c r="Y938" s="221"/>
      <c r="Z938" s="221"/>
    </row>
    <row r="939" customFormat="false" ht="13.5" hidden="false" customHeight="true" outlineLevel="0" collapsed="false">
      <c r="A939" s="221"/>
      <c r="B939" s="221"/>
      <c r="C939" s="221"/>
      <c r="D939" s="221"/>
      <c r="E939" s="221"/>
      <c r="F939" s="221"/>
      <c r="G939" s="221"/>
      <c r="H939" s="221"/>
      <c r="I939" s="221"/>
      <c r="J939" s="221"/>
      <c r="K939" s="221"/>
      <c r="L939" s="221"/>
      <c r="M939" s="221"/>
      <c r="N939" s="221"/>
      <c r="O939" s="221"/>
      <c r="P939" s="221"/>
      <c r="Q939" s="221"/>
      <c r="R939" s="221"/>
      <c r="S939" s="221"/>
      <c r="T939" s="221"/>
      <c r="U939" s="221"/>
      <c r="V939" s="221"/>
      <c r="W939" s="221"/>
      <c r="X939" s="221"/>
      <c r="Y939" s="221"/>
      <c r="Z939" s="221"/>
    </row>
    <row r="940" customFormat="false" ht="13.5" hidden="false" customHeight="true" outlineLevel="0" collapsed="false">
      <c r="A940" s="221"/>
      <c r="B940" s="221"/>
      <c r="C940" s="221"/>
      <c r="D940" s="221"/>
      <c r="E940" s="221"/>
      <c r="F940" s="221"/>
      <c r="G940" s="221"/>
      <c r="H940" s="221"/>
      <c r="I940" s="221"/>
      <c r="J940" s="221"/>
      <c r="K940" s="221"/>
      <c r="L940" s="221"/>
      <c r="M940" s="221"/>
      <c r="N940" s="221"/>
      <c r="O940" s="221"/>
      <c r="P940" s="221"/>
      <c r="Q940" s="221"/>
      <c r="R940" s="221"/>
      <c r="S940" s="221"/>
      <c r="T940" s="221"/>
      <c r="U940" s="221"/>
      <c r="V940" s="221"/>
      <c r="W940" s="221"/>
      <c r="X940" s="221"/>
      <c r="Y940" s="221"/>
      <c r="Z940" s="221"/>
    </row>
    <row r="941" customFormat="false" ht="13.5" hidden="false" customHeight="true" outlineLevel="0" collapsed="false">
      <c r="A941" s="221"/>
      <c r="B941" s="221"/>
      <c r="C941" s="221"/>
      <c r="D941" s="221"/>
      <c r="E941" s="221"/>
      <c r="F941" s="221"/>
      <c r="G941" s="221"/>
      <c r="H941" s="221"/>
      <c r="I941" s="221"/>
      <c r="J941" s="221"/>
      <c r="K941" s="221"/>
      <c r="L941" s="221"/>
      <c r="M941" s="221"/>
      <c r="N941" s="221"/>
      <c r="O941" s="221"/>
      <c r="P941" s="221"/>
      <c r="Q941" s="221"/>
      <c r="R941" s="221"/>
      <c r="S941" s="221"/>
      <c r="T941" s="221"/>
      <c r="U941" s="221"/>
      <c r="V941" s="221"/>
      <c r="W941" s="221"/>
      <c r="X941" s="221"/>
      <c r="Y941" s="221"/>
      <c r="Z941" s="221"/>
    </row>
    <row r="942" customFormat="false" ht="13.5" hidden="false" customHeight="true" outlineLevel="0" collapsed="false">
      <c r="A942" s="221"/>
      <c r="B942" s="221"/>
      <c r="C942" s="221"/>
      <c r="D942" s="221"/>
      <c r="E942" s="221"/>
      <c r="F942" s="221"/>
      <c r="G942" s="221"/>
      <c r="H942" s="221"/>
      <c r="I942" s="221"/>
      <c r="J942" s="221"/>
      <c r="K942" s="221"/>
      <c r="L942" s="221"/>
      <c r="M942" s="221"/>
      <c r="N942" s="221"/>
      <c r="O942" s="221"/>
      <c r="P942" s="221"/>
      <c r="Q942" s="221"/>
      <c r="R942" s="221"/>
      <c r="S942" s="221"/>
      <c r="T942" s="221"/>
      <c r="U942" s="221"/>
      <c r="V942" s="221"/>
      <c r="W942" s="221"/>
      <c r="X942" s="221"/>
      <c r="Y942" s="221"/>
      <c r="Z942" s="221"/>
    </row>
    <row r="943" customFormat="false" ht="13.5" hidden="false" customHeight="true" outlineLevel="0" collapsed="false">
      <c r="A943" s="221"/>
      <c r="B943" s="221"/>
      <c r="C943" s="221"/>
      <c r="D943" s="221"/>
      <c r="E943" s="221"/>
      <c r="F943" s="221"/>
      <c r="G943" s="221"/>
      <c r="H943" s="221"/>
      <c r="I943" s="221"/>
      <c r="J943" s="221"/>
      <c r="K943" s="221"/>
      <c r="L943" s="221"/>
      <c r="M943" s="221"/>
      <c r="N943" s="221"/>
      <c r="O943" s="221"/>
      <c r="P943" s="221"/>
      <c r="Q943" s="221"/>
      <c r="R943" s="221"/>
      <c r="S943" s="221"/>
      <c r="T943" s="221"/>
      <c r="U943" s="221"/>
      <c r="V943" s="221"/>
      <c r="W943" s="221"/>
      <c r="X943" s="221"/>
      <c r="Y943" s="221"/>
      <c r="Z943" s="221"/>
    </row>
    <row r="944" customFormat="false" ht="13.5" hidden="false" customHeight="true" outlineLevel="0" collapsed="false">
      <c r="A944" s="221"/>
      <c r="B944" s="221"/>
      <c r="C944" s="221"/>
      <c r="D944" s="221"/>
      <c r="E944" s="221"/>
      <c r="F944" s="221"/>
      <c r="G944" s="221"/>
      <c r="H944" s="221"/>
      <c r="I944" s="221"/>
      <c r="J944" s="221"/>
      <c r="K944" s="221"/>
      <c r="L944" s="221"/>
      <c r="M944" s="221"/>
      <c r="N944" s="221"/>
      <c r="O944" s="221"/>
      <c r="P944" s="221"/>
      <c r="Q944" s="221"/>
      <c r="R944" s="221"/>
      <c r="S944" s="221"/>
      <c r="T944" s="221"/>
      <c r="U944" s="221"/>
      <c r="V944" s="221"/>
      <c r="W944" s="221"/>
      <c r="X944" s="221"/>
      <c r="Y944" s="221"/>
      <c r="Z944" s="221"/>
    </row>
    <row r="945" customFormat="false" ht="13.5" hidden="false" customHeight="true" outlineLevel="0" collapsed="false">
      <c r="A945" s="221"/>
      <c r="B945" s="221"/>
      <c r="C945" s="221"/>
      <c r="D945" s="221"/>
      <c r="E945" s="221"/>
      <c r="F945" s="221"/>
      <c r="G945" s="221"/>
      <c r="H945" s="221"/>
      <c r="I945" s="221"/>
      <c r="J945" s="221"/>
      <c r="K945" s="221"/>
      <c r="L945" s="221"/>
      <c r="M945" s="221"/>
      <c r="N945" s="221"/>
      <c r="O945" s="221"/>
      <c r="P945" s="221"/>
      <c r="Q945" s="221"/>
      <c r="R945" s="221"/>
      <c r="S945" s="221"/>
      <c r="T945" s="221"/>
      <c r="U945" s="221"/>
      <c r="V945" s="221"/>
      <c r="W945" s="221"/>
      <c r="X945" s="221"/>
      <c r="Y945" s="221"/>
      <c r="Z945" s="221"/>
    </row>
    <row r="946" customFormat="false" ht="13.5" hidden="false" customHeight="true" outlineLevel="0" collapsed="false">
      <c r="A946" s="221"/>
      <c r="B946" s="221"/>
      <c r="C946" s="221"/>
      <c r="D946" s="221"/>
      <c r="E946" s="221"/>
      <c r="F946" s="221"/>
      <c r="G946" s="221"/>
      <c r="H946" s="221"/>
      <c r="I946" s="221"/>
      <c r="J946" s="221"/>
      <c r="K946" s="221"/>
      <c r="L946" s="221"/>
      <c r="M946" s="221"/>
      <c r="N946" s="221"/>
      <c r="O946" s="221"/>
      <c r="P946" s="221"/>
      <c r="Q946" s="221"/>
      <c r="R946" s="221"/>
      <c r="S946" s="221"/>
      <c r="T946" s="221"/>
      <c r="U946" s="221"/>
      <c r="V946" s="221"/>
      <c r="W946" s="221"/>
      <c r="X946" s="221"/>
      <c r="Y946" s="221"/>
      <c r="Z946" s="221"/>
    </row>
    <row r="947" customFormat="false" ht="13.5" hidden="false" customHeight="true" outlineLevel="0" collapsed="false">
      <c r="A947" s="221"/>
      <c r="B947" s="221"/>
      <c r="C947" s="221"/>
      <c r="D947" s="221"/>
      <c r="E947" s="221"/>
      <c r="F947" s="221"/>
      <c r="G947" s="221"/>
      <c r="H947" s="221"/>
      <c r="I947" s="221"/>
      <c r="J947" s="221"/>
      <c r="K947" s="221"/>
      <c r="L947" s="221"/>
      <c r="M947" s="221"/>
      <c r="N947" s="221"/>
      <c r="O947" s="221"/>
      <c r="P947" s="221"/>
      <c r="Q947" s="221"/>
      <c r="R947" s="221"/>
      <c r="S947" s="221"/>
      <c r="T947" s="221"/>
      <c r="U947" s="221"/>
      <c r="V947" s="221"/>
      <c r="W947" s="221"/>
      <c r="X947" s="221"/>
      <c r="Y947" s="221"/>
      <c r="Z947" s="221"/>
    </row>
    <row r="948" customFormat="false" ht="13.5" hidden="false" customHeight="true" outlineLevel="0" collapsed="false">
      <c r="A948" s="221"/>
      <c r="B948" s="221"/>
      <c r="C948" s="221"/>
      <c r="D948" s="221"/>
      <c r="E948" s="221"/>
      <c r="F948" s="221"/>
      <c r="G948" s="221"/>
      <c r="H948" s="221"/>
      <c r="I948" s="221"/>
      <c r="J948" s="221"/>
      <c r="K948" s="221"/>
      <c r="L948" s="221"/>
      <c r="M948" s="221"/>
      <c r="N948" s="221"/>
      <c r="O948" s="221"/>
      <c r="P948" s="221"/>
      <c r="Q948" s="221"/>
      <c r="R948" s="221"/>
      <c r="S948" s="221"/>
      <c r="T948" s="221"/>
      <c r="U948" s="221"/>
      <c r="V948" s="221"/>
      <c r="W948" s="221"/>
      <c r="X948" s="221"/>
      <c r="Y948" s="221"/>
      <c r="Z948" s="221"/>
    </row>
    <row r="949" customFormat="false" ht="13.5" hidden="false" customHeight="true" outlineLevel="0" collapsed="false">
      <c r="A949" s="221"/>
      <c r="B949" s="221"/>
      <c r="C949" s="221"/>
      <c r="D949" s="221"/>
      <c r="E949" s="221"/>
      <c r="F949" s="221"/>
      <c r="G949" s="221"/>
      <c r="H949" s="221"/>
      <c r="I949" s="221"/>
      <c r="J949" s="221"/>
      <c r="K949" s="221"/>
      <c r="L949" s="221"/>
      <c r="M949" s="221"/>
      <c r="N949" s="221"/>
      <c r="O949" s="221"/>
      <c r="P949" s="221"/>
      <c r="Q949" s="221"/>
      <c r="R949" s="221"/>
      <c r="S949" s="221"/>
      <c r="T949" s="221"/>
      <c r="U949" s="221"/>
      <c r="V949" s="221"/>
      <c r="W949" s="221"/>
      <c r="X949" s="221"/>
      <c r="Y949" s="221"/>
      <c r="Z949" s="221"/>
    </row>
    <row r="950" customFormat="false" ht="13.5" hidden="false" customHeight="true" outlineLevel="0" collapsed="false">
      <c r="A950" s="221"/>
      <c r="B950" s="221"/>
      <c r="C950" s="221"/>
      <c r="D950" s="221"/>
      <c r="E950" s="221"/>
      <c r="F950" s="221"/>
      <c r="G950" s="221"/>
      <c r="H950" s="221"/>
      <c r="I950" s="221"/>
      <c r="J950" s="221"/>
      <c r="K950" s="221"/>
      <c r="L950" s="221"/>
      <c r="M950" s="221"/>
      <c r="N950" s="221"/>
      <c r="O950" s="221"/>
      <c r="P950" s="221"/>
      <c r="Q950" s="221"/>
      <c r="R950" s="221"/>
      <c r="S950" s="221"/>
      <c r="T950" s="221"/>
      <c r="U950" s="221"/>
      <c r="V950" s="221"/>
      <c r="W950" s="221"/>
      <c r="X950" s="221"/>
      <c r="Y950" s="221"/>
      <c r="Z950" s="221"/>
    </row>
    <row r="951" customFormat="false" ht="13.5" hidden="false" customHeight="true" outlineLevel="0" collapsed="false">
      <c r="A951" s="221"/>
      <c r="B951" s="221"/>
      <c r="C951" s="221"/>
      <c r="D951" s="221"/>
      <c r="E951" s="221"/>
      <c r="F951" s="221"/>
      <c r="G951" s="221"/>
      <c r="H951" s="221"/>
      <c r="I951" s="221"/>
      <c r="J951" s="221"/>
      <c r="K951" s="221"/>
      <c r="L951" s="221"/>
      <c r="M951" s="221"/>
      <c r="N951" s="221"/>
      <c r="O951" s="221"/>
      <c r="P951" s="221"/>
      <c r="Q951" s="221"/>
      <c r="R951" s="221"/>
      <c r="S951" s="221"/>
      <c r="T951" s="221"/>
      <c r="U951" s="221"/>
      <c r="V951" s="221"/>
      <c r="W951" s="221"/>
      <c r="X951" s="221"/>
      <c r="Y951" s="221"/>
      <c r="Z951" s="221"/>
    </row>
    <row r="952" customFormat="false" ht="13.5" hidden="false" customHeight="true" outlineLevel="0" collapsed="false">
      <c r="A952" s="221"/>
      <c r="B952" s="221"/>
      <c r="C952" s="221"/>
      <c r="D952" s="221"/>
      <c r="E952" s="221"/>
      <c r="F952" s="221"/>
      <c r="G952" s="221"/>
      <c r="H952" s="221"/>
      <c r="I952" s="221"/>
      <c r="J952" s="221"/>
      <c r="K952" s="221"/>
      <c r="L952" s="221"/>
      <c r="M952" s="221"/>
      <c r="N952" s="221"/>
      <c r="O952" s="221"/>
      <c r="P952" s="221"/>
      <c r="Q952" s="221"/>
      <c r="R952" s="221"/>
      <c r="S952" s="221"/>
      <c r="T952" s="221"/>
      <c r="U952" s="221"/>
      <c r="V952" s="221"/>
      <c r="W952" s="221"/>
      <c r="X952" s="221"/>
      <c r="Y952" s="221"/>
      <c r="Z952" s="221"/>
    </row>
    <row r="953" customFormat="false" ht="13.5" hidden="false" customHeight="true" outlineLevel="0" collapsed="false">
      <c r="A953" s="221"/>
      <c r="B953" s="221"/>
      <c r="C953" s="221"/>
      <c r="D953" s="221"/>
      <c r="E953" s="221"/>
      <c r="F953" s="221"/>
      <c r="G953" s="221"/>
      <c r="H953" s="221"/>
      <c r="I953" s="221"/>
      <c r="J953" s="221"/>
      <c r="K953" s="221"/>
      <c r="L953" s="221"/>
      <c r="M953" s="221"/>
      <c r="N953" s="221"/>
      <c r="O953" s="221"/>
      <c r="P953" s="221"/>
      <c r="Q953" s="221"/>
      <c r="R953" s="221"/>
      <c r="S953" s="221"/>
      <c r="T953" s="221"/>
      <c r="U953" s="221"/>
      <c r="V953" s="221"/>
      <c r="W953" s="221"/>
      <c r="X953" s="221"/>
      <c r="Y953" s="221"/>
      <c r="Z953" s="221"/>
    </row>
    <row r="954" customFormat="false" ht="13.5" hidden="false" customHeight="true" outlineLevel="0" collapsed="false">
      <c r="A954" s="221"/>
      <c r="B954" s="221"/>
      <c r="C954" s="221"/>
      <c r="D954" s="221"/>
      <c r="E954" s="221"/>
      <c r="F954" s="221"/>
      <c r="G954" s="221"/>
      <c r="H954" s="221"/>
      <c r="I954" s="221"/>
      <c r="J954" s="221"/>
      <c r="K954" s="221"/>
      <c r="L954" s="221"/>
      <c r="M954" s="221"/>
      <c r="N954" s="221"/>
      <c r="O954" s="221"/>
      <c r="P954" s="221"/>
      <c r="Q954" s="221"/>
      <c r="R954" s="221"/>
      <c r="S954" s="221"/>
      <c r="T954" s="221"/>
      <c r="U954" s="221"/>
      <c r="V954" s="221"/>
      <c r="W954" s="221"/>
      <c r="X954" s="221"/>
      <c r="Y954" s="221"/>
      <c r="Z954" s="221"/>
    </row>
    <row r="955" customFormat="false" ht="13.5" hidden="false" customHeight="true" outlineLevel="0" collapsed="false">
      <c r="A955" s="221"/>
      <c r="B955" s="221"/>
      <c r="C955" s="221"/>
      <c r="D955" s="221"/>
      <c r="E955" s="221"/>
      <c r="F955" s="221"/>
      <c r="G955" s="221"/>
      <c r="H955" s="221"/>
      <c r="I955" s="221"/>
      <c r="J955" s="221"/>
      <c r="K955" s="221"/>
      <c r="L955" s="221"/>
      <c r="M955" s="221"/>
      <c r="N955" s="221"/>
      <c r="O955" s="221"/>
      <c r="P955" s="221"/>
      <c r="Q955" s="221"/>
      <c r="R955" s="221"/>
      <c r="S955" s="221"/>
      <c r="T955" s="221"/>
      <c r="U955" s="221"/>
      <c r="V955" s="221"/>
      <c r="W955" s="221"/>
      <c r="X955" s="221"/>
      <c r="Y955" s="221"/>
      <c r="Z955" s="221"/>
    </row>
    <row r="956" customFormat="false" ht="13.5" hidden="false" customHeight="true" outlineLevel="0" collapsed="false">
      <c r="A956" s="221"/>
      <c r="B956" s="221"/>
      <c r="C956" s="221"/>
      <c r="D956" s="221"/>
      <c r="E956" s="221"/>
      <c r="F956" s="221"/>
      <c r="G956" s="221"/>
      <c r="H956" s="221"/>
      <c r="I956" s="221"/>
      <c r="J956" s="221"/>
      <c r="K956" s="221"/>
      <c r="L956" s="221"/>
      <c r="M956" s="221"/>
      <c r="N956" s="221"/>
      <c r="O956" s="221"/>
      <c r="P956" s="221"/>
      <c r="Q956" s="221"/>
      <c r="R956" s="221"/>
      <c r="S956" s="221"/>
      <c r="T956" s="221"/>
      <c r="U956" s="221"/>
      <c r="V956" s="221"/>
      <c r="W956" s="221"/>
      <c r="X956" s="221"/>
      <c r="Y956" s="221"/>
      <c r="Z956" s="221"/>
    </row>
    <row r="957" customFormat="false" ht="13.5" hidden="false" customHeight="true" outlineLevel="0" collapsed="false">
      <c r="A957" s="221"/>
      <c r="B957" s="221"/>
      <c r="C957" s="221"/>
      <c r="D957" s="221"/>
      <c r="E957" s="221"/>
      <c r="F957" s="221"/>
      <c r="G957" s="221"/>
      <c r="H957" s="221"/>
      <c r="I957" s="221"/>
      <c r="J957" s="221"/>
      <c r="K957" s="221"/>
      <c r="L957" s="221"/>
      <c r="M957" s="221"/>
      <c r="N957" s="221"/>
      <c r="O957" s="221"/>
      <c r="P957" s="221"/>
      <c r="Q957" s="221"/>
      <c r="R957" s="221"/>
      <c r="S957" s="221"/>
      <c r="T957" s="221"/>
      <c r="U957" s="221"/>
      <c r="V957" s="221"/>
      <c r="W957" s="221"/>
      <c r="X957" s="221"/>
      <c r="Y957" s="221"/>
      <c r="Z957" s="221"/>
    </row>
    <row r="958" customFormat="false" ht="13.5" hidden="false" customHeight="true" outlineLevel="0" collapsed="false">
      <c r="A958" s="221"/>
      <c r="B958" s="221"/>
      <c r="C958" s="221"/>
      <c r="D958" s="221"/>
      <c r="E958" s="221"/>
      <c r="F958" s="221"/>
      <c r="G958" s="221"/>
      <c r="H958" s="221"/>
      <c r="I958" s="221"/>
      <c r="J958" s="221"/>
      <c r="K958" s="221"/>
      <c r="L958" s="221"/>
      <c r="M958" s="221"/>
      <c r="N958" s="221"/>
      <c r="O958" s="221"/>
      <c r="P958" s="221"/>
      <c r="Q958" s="221"/>
      <c r="R958" s="221"/>
      <c r="S958" s="221"/>
      <c r="T958" s="221"/>
      <c r="U958" s="221"/>
      <c r="V958" s="221"/>
      <c r="W958" s="221"/>
      <c r="X958" s="221"/>
      <c r="Y958" s="221"/>
      <c r="Z958" s="221"/>
    </row>
    <row r="959" customFormat="false" ht="13.5" hidden="false" customHeight="true" outlineLevel="0" collapsed="false">
      <c r="A959" s="221"/>
      <c r="B959" s="221"/>
      <c r="C959" s="221"/>
      <c r="D959" s="221"/>
      <c r="E959" s="221"/>
      <c r="F959" s="221"/>
      <c r="G959" s="221"/>
      <c r="H959" s="221"/>
      <c r="I959" s="221"/>
      <c r="J959" s="221"/>
      <c r="K959" s="221"/>
      <c r="L959" s="221"/>
      <c r="M959" s="221"/>
      <c r="N959" s="221"/>
      <c r="O959" s="221"/>
      <c r="P959" s="221"/>
      <c r="Q959" s="221"/>
      <c r="R959" s="221"/>
      <c r="S959" s="221"/>
      <c r="T959" s="221"/>
      <c r="U959" s="221"/>
      <c r="V959" s="221"/>
      <c r="W959" s="221"/>
      <c r="X959" s="221"/>
      <c r="Y959" s="221"/>
      <c r="Z959" s="221"/>
    </row>
    <row r="960" customFormat="false" ht="13.5" hidden="false" customHeight="true" outlineLevel="0" collapsed="false">
      <c r="A960" s="221"/>
      <c r="B960" s="221"/>
      <c r="C960" s="221"/>
      <c r="D960" s="221"/>
      <c r="E960" s="221"/>
      <c r="F960" s="221"/>
      <c r="G960" s="221"/>
      <c r="H960" s="221"/>
      <c r="I960" s="221"/>
      <c r="J960" s="221"/>
      <c r="K960" s="221"/>
      <c r="L960" s="221"/>
      <c r="M960" s="221"/>
      <c r="N960" s="221"/>
      <c r="O960" s="221"/>
      <c r="P960" s="221"/>
      <c r="Q960" s="221"/>
      <c r="R960" s="221"/>
      <c r="S960" s="221"/>
      <c r="T960" s="221"/>
      <c r="U960" s="221"/>
      <c r="V960" s="221"/>
      <c r="W960" s="221"/>
      <c r="X960" s="221"/>
      <c r="Y960" s="221"/>
      <c r="Z960" s="221"/>
    </row>
    <row r="961" customFormat="false" ht="13.5" hidden="false" customHeight="true" outlineLevel="0" collapsed="false">
      <c r="A961" s="221"/>
      <c r="B961" s="221"/>
      <c r="C961" s="221"/>
      <c r="D961" s="221"/>
      <c r="E961" s="221"/>
      <c r="F961" s="221"/>
      <c r="G961" s="221"/>
      <c r="H961" s="221"/>
      <c r="I961" s="221"/>
      <c r="J961" s="221"/>
      <c r="K961" s="221"/>
      <c r="L961" s="221"/>
      <c r="M961" s="221"/>
      <c r="N961" s="221"/>
      <c r="O961" s="221"/>
      <c r="P961" s="221"/>
      <c r="Q961" s="221"/>
      <c r="R961" s="221"/>
      <c r="S961" s="221"/>
      <c r="T961" s="221"/>
      <c r="U961" s="221"/>
      <c r="V961" s="221"/>
      <c r="W961" s="221"/>
      <c r="X961" s="221"/>
      <c r="Y961" s="221"/>
      <c r="Z961" s="221"/>
    </row>
    <row r="962" customFormat="false" ht="13.5" hidden="false" customHeight="true" outlineLevel="0" collapsed="false">
      <c r="A962" s="221"/>
      <c r="B962" s="221"/>
      <c r="C962" s="221"/>
      <c r="D962" s="221"/>
      <c r="E962" s="221"/>
      <c r="F962" s="221"/>
      <c r="G962" s="221"/>
      <c r="H962" s="221"/>
      <c r="I962" s="221"/>
      <c r="J962" s="221"/>
      <c r="K962" s="221"/>
      <c r="L962" s="221"/>
      <c r="M962" s="221"/>
      <c r="N962" s="221"/>
      <c r="O962" s="221"/>
      <c r="P962" s="221"/>
      <c r="Q962" s="221"/>
      <c r="R962" s="221"/>
      <c r="S962" s="221"/>
      <c r="T962" s="221"/>
      <c r="U962" s="221"/>
      <c r="V962" s="221"/>
      <c r="W962" s="221"/>
      <c r="X962" s="221"/>
      <c r="Y962" s="221"/>
      <c r="Z962" s="221"/>
    </row>
    <row r="963" customFormat="false" ht="13.5" hidden="false" customHeight="true" outlineLevel="0" collapsed="false">
      <c r="A963" s="221"/>
      <c r="B963" s="221"/>
      <c r="C963" s="221"/>
      <c r="D963" s="221"/>
      <c r="E963" s="221"/>
      <c r="F963" s="221"/>
      <c r="G963" s="221"/>
      <c r="H963" s="221"/>
      <c r="I963" s="221"/>
      <c r="J963" s="221"/>
      <c r="K963" s="221"/>
      <c r="L963" s="221"/>
      <c r="M963" s="221"/>
      <c r="N963" s="221"/>
      <c r="O963" s="221"/>
      <c r="P963" s="221"/>
      <c r="Q963" s="221"/>
      <c r="R963" s="221"/>
      <c r="S963" s="221"/>
      <c r="T963" s="221"/>
      <c r="U963" s="221"/>
      <c r="V963" s="221"/>
      <c r="W963" s="221"/>
      <c r="X963" s="221"/>
      <c r="Y963" s="221"/>
      <c r="Z963" s="221"/>
    </row>
    <row r="964" customFormat="false" ht="13.5" hidden="false" customHeight="true" outlineLevel="0" collapsed="false">
      <c r="A964" s="221"/>
      <c r="B964" s="221"/>
      <c r="C964" s="221"/>
      <c r="D964" s="221"/>
      <c r="E964" s="221"/>
      <c r="F964" s="221"/>
      <c r="G964" s="221"/>
      <c r="H964" s="221"/>
      <c r="I964" s="221"/>
      <c r="J964" s="221"/>
      <c r="K964" s="221"/>
      <c r="L964" s="221"/>
      <c r="M964" s="221"/>
      <c r="N964" s="221"/>
      <c r="O964" s="221"/>
      <c r="P964" s="221"/>
      <c r="Q964" s="221"/>
      <c r="R964" s="221"/>
      <c r="S964" s="221"/>
      <c r="T964" s="221"/>
      <c r="U964" s="221"/>
      <c r="V964" s="221"/>
      <c r="W964" s="221"/>
      <c r="X964" s="221"/>
      <c r="Y964" s="221"/>
      <c r="Z964" s="221"/>
    </row>
    <row r="965" customFormat="false" ht="13.5" hidden="false" customHeight="true" outlineLevel="0" collapsed="false">
      <c r="A965" s="221"/>
      <c r="B965" s="221"/>
      <c r="C965" s="221"/>
      <c r="D965" s="221"/>
      <c r="E965" s="221"/>
      <c r="F965" s="221"/>
      <c r="G965" s="221"/>
      <c r="H965" s="221"/>
      <c r="I965" s="221"/>
      <c r="J965" s="221"/>
      <c r="K965" s="221"/>
      <c r="L965" s="221"/>
      <c r="M965" s="221"/>
      <c r="N965" s="221"/>
      <c r="O965" s="221"/>
      <c r="P965" s="221"/>
      <c r="Q965" s="221"/>
      <c r="R965" s="221"/>
      <c r="S965" s="221"/>
      <c r="T965" s="221"/>
      <c r="U965" s="221"/>
      <c r="V965" s="221"/>
      <c r="W965" s="221"/>
      <c r="X965" s="221"/>
      <c r="Y965" s="221"/>
      <c r="Z965" s="221"/>
    </row>
    <row r="966" customFormat="false" ht="13.5" hidden="false" customHeight="true" outlineLevel="0" collapsed="false">
      <c r="A966" s="221"/>
      <c r="B966" s="221"/>
      <c r="C966" s="221"/>
      <c r="D966" s="221"/>
      <c r="E966" s="221"/>
      <c r="F966" s="221"/>
      <c r="G966" s="221"/>
      <c r="H966" s="221"/>
      <c r="I966" s="221"/>
      <c r="J966" s="221"/>
      <c r="K966" s="221"/>
      <c r="L966" s="221"/>
      <c r="M966" s="221"/>
      <c r="N966" s="221"/>
      <c r="O966" s="221"/>
      <c r="P966" s="221"/>
      <c r="Q966" s="221"/>
      <c r="R966" s="221"/>
      <c r="S966" s="221"/>
      <c r="T966" s="221"/>
      <c r="U966" s="221"/>
      <c r="V966" s="221"/>
      <c r="W966" s="221"/>
      <c r="X966" s="221"/>
      <c r="Y966" s="221"/>
      <c r="Z966" s="221"/>
    </row>
    <row r="967" customFormat="false" ht="13.5" hidden="false" customHeight="true" outlineLevel="0" collapsed="false">
      <c r="A967" s="221"/>
      <c r="B967" s="221"/>
      <c r="C967" s="221"/>
      <c r="D967" s="221"/>
      <c r="E967" s="221"/>
      <c r="F967" s="221"/>
      <c r="G967" s="221"/>
      <c r="H967" s="221"/>
      <c r="I967" s="221"/>
      <c r="J967" s="221"/>
      <c r="K967" s="221"/>
      <c r="L967" s="221"/>
      <c r="M967" s="221"/>
      <c r="N967" s="221"/>
      <c r="O967" s="221"/>
      <c r="P967" s="221"/>
      <c r="Q967" s="221"/>
      <c r="R967" s="221"/>
      <c r="S967" s="221"/>
      <c r="T967" s="221"/>
      <c r="U967" s="221"/>
      <c r="V967" s="221"/>
      <c r="W967" s="221"/>
      <c r="X967" s="221"/>
      <c r="Y967" s="221"/>
      <c r="Z967" s="221"/>
    </row>
    <row r="968" customFormat="false" ht="13.5" hidden="false" customHeight="true" outlineLevel="0" collapsed="false">
      <c r="A968" s="221"/>
      <c r="B968" s="221"/>
      <c r="C968" s="221"/>
      <c r="D968" s="221"/>
      <c r="E968" s="221"/>
      <c r="F968" s="221"/>
      <c r="G968" s="221"/>
      <c r="H968" s="221"/>
      <c r="I968" s="221"/>
      <c r="J968" s="221"/>
      <c r="K968" s="221"/>
      <c r="L968" s="221"/>
      <c r="M968" s="221"/>
      <c r="N968" s="221"/>
      <c r="O968" s="221"/>
      <c r="P968" s="221"/>
      <c r="Q968" s="221"/>
      <c r="R968" s="221"/>
      <c r="S968" s="221"/>
      <c r="T968" s="221"/>
      <c r="U968" s="221"/>
      <c r="V968" s="221"/>
      <c r="W968" s="221"/>
      <c r="X968" s="221"/>
      <c r="Y968" s="221"/>
      <c r="Z968" s="221"/>
    </row>
    <row r="969" customFormat="false" ht="13.5" hidden="false" customHeight="true" outlineLevel="0" collapsed="false">
      <c r="A969" s="221"/>
      <c r="B969" s="221"/>
      <c r="C969" s="221"/>
      <c r="D969" s="221"/>
      <c r="E969" s="221"/>
      <c r="F969" s="221"/>
      <c r="G969" s="221"/>
      <c r="H969" s="221"/>
      <c r="I969" s="221"/>
      <c r="J969" s="221"/>
      <c r="K969" s="221"/>
      <c r="L969" s="221"/>
      <c r="M969" s="221"/>
      <c r="N969" s="221"/>
      <c r="O969" s="221"/>
      <c r="P969" s="221"/>
      <c r="Q969" s="221"/>
      <c r="R969" s="221"/>
      <c r="S969" s="221"/>
      <c r="T969" s="221"/>
      <c r="U969" s="221"/>
      <c r="V969" s="221"/>
      <c r="W969" s="221"/>
      <c r="X969" s="221"/>
      <c r="Y969" s="221"/>
      <c r="Z969" s="221"/>
    </row>
    <row r="970" customFormat="false" ht="13.5" hidden="false" customHeight="true" outlineLevel="0" collapsed="false">
      <c r="A970" s="221"/>
      <c r="B970" s="221"/>
      <c r="C970" s="221"/>
      <c r="D970" s="221"/>
      <c r="E970" s="221"/>
      <c r="F970" s="221"/>
      <c r="G970" s="221"/>
      <c r="H970" s="221"/>
      <c r="I970" s="221"/>
      <c r="J970" s="221"/>
      <c r="K970" s="221"/>
      <c r="L970" s="221"/>
      <c r="M970" s="221"/>
      <c r="N970" s="221"/>
      <c r="O970" s="221"/>
      <c r="P970" s="221"/>
      <c r="Q970" s="221"/>
      <c r="R970" s="221"/>
      <c r="S970" s="221"/>
      <c r="T970" s="221"/>
      <c r="U970" s="221"/>
      <c r="V970" s="221"/>
      <c r="W970" s="221"/>
      <c r="X970" s="221"/>
      <c r="Y970" s="221"/>
      <c r="Z970" s="221"/>
    </row>
    <row r="971" customFormat="false" ht="13.5" hidden="false" customHeight="true" outlineLevel="0" collapsed="false">
      <c r="A971" s="221"/>
      <c r="B971" s="221"/>
      <c r="C971" s="221"/>
      <c r="D971" s="221"/>
      <c r="E971" s="221"/>
      <c r="F971" s="221"/>
      <c r="G971" s="221"/>
      <c r="H971" s="221"/>
      <c r="I971" s="221"/>
      <c r="J971" s="221"/>
      <c r="K971" s="221"/>
      <c r="L971" s="221"/>
      <c r="M971" s="221"/>
      <c r="N971" s="221"/>
      <c r="O971" s="221"/>
      <c r="P971" s="221"/>
      <c r="Q971" s="221"/>
      <c r="R971" s="221"/>
      <c r="S971" s="221"/>
      <c r="T971" s="221"/>
      <c r="U971" s="221"/>
      <c r="V971" s="221"/>
      <c r="W971" s="221"/>
      <c r="X971" s="221"/>
      <c r="Y971" s="221"/>
      <c r="Z971" s="221"/>
    </row>
    <row r="972" customFormat="false" ht="13.5" hidden="false" customHeight="true" outlineLevel="0" collapsed="false">
      <c r="A972" s="221"/>
      <c r="B972" s="221"/>
      <c r="C972" s="221"/>
      <c r="D972" s="221"/>
      <c r="E972" s="221"/>
      <c r="F972" s="221"/>
      <c r="G972" s="221"/>
      <c r="H972" s="221"/>
      <c r="I972" s="221"/>
      <c r="J972" s="221"/>
      <c r="K972" s="221"/>
      <c r="L972" s="221"/>
      <c r="M972" s="221"/>
      <c r="N972" s="221"/>
      <c r="O972" s="221"/>
      <c r="P972" s="221"/>
      <c r="Q972" s="221"/>
      <c r="R972" s="221"/>
      <c r="S972" s="221"/>
      <c r="T972" s="221"/>
      <c r="U972" s="221"/>
      <c r="V972" s="221"/>
      <c r="W972" s="221"/>
      <c r="X972" s="221"/>
      <c r="Y972" s="221"/>
      <c r="Z972" s="221"/>
    </row>
    <row r="973" customFormat="false" ht="13.5" hidden="false" customHeight="true" outlineLevel="0" collapsed="false">
      <c r="A973" s="221"/>
      <c r="B973" s="221"/>
      <c r="C973" s="221"/>
      <c r="D973" s="221"/>
      <c r="E973" s="221"/>
      <c r="F973" s="221"/>
      <c r="G973" s="221"/>
      <c r="H973" s="221"/>
      <c r="I973" s="221"/>
      <c r="J973" s="221"/>
      <c r="K973" s="221"/>
      <c r="L973" s="221"/>
      <c r="M973" s="221"/>
      <c r="N973" s="221"/>
      <c r="O973" s="221"/>
      <c r="P973" s="221"/>
      <c r="Q973" s="221"/>
      <c r="R973" s="221"/>
      <c r="S973" s="221"/>
      <c r="T973" s="221"/>
      <c r="U973" s="221"/>
      <c r="V973" s="221"/>
      <c r="W973" s="221"/>
      <c r="X973" s="221"/>
      <c r="Y973" s="221"/>
      <c r="Z973" s="221"/>
    </row>
    <row r="974" customFormat="false" ht="13.5" hidden="false" customHeight="true" outlineLevel="0" collapsed="false">
      <c r="A974" s="221"/>
      <c r="B974" s="221"/>
      <c r="C974" s="221"/>
      <c r="D974" s="221"/>
      <c r="E974" s="221"/>
      <c r="F974" s="221"/>
      <c r="G974" s="221"/>
      <c r="H974" s="221"/>
      <c r="I974" s="221"/>
      <c r="J974" s="221"/>
      <c r="K974" s="221"/>
      <c r="L974" s="221"/>
      <c r="M974" s="221"/>
      <c r="N974" s="221"/>
      <c r="O974" s="221"/>
      <c r="P974" s="221"/>
      <c r="Q974" s="221"/>
      <c r="R974" s="221"/>
      <c r="S974" s="221"/>
      <c r="T974" s="221"/>
      <c r="U974" s="221"/>
      <c r="V974" s="221"/>
      <c r="W974" s="221"/>
      <c r="X974" s="221"/>
      <c r="Y974" s="221"/>
      <c r="Z974" s="221"/>
    </row>
    <row r="975" customFormat="false" ht="13.5" hidden="false" customHeight="true" outlineLevel="0" collapsed="false">
      <c r="A975" s="221"/>
      <c r="B975" s="221"/>
      <c r="C975" s="221"/>
      <c r="D975" s="221"/>
      <c r="E975" s="221"/>
      <c r="F975" s="221"/>
      <c r="G975" s="221"/>
      <c r="H975" s="221"/>
      <c r="I975" s="221"/>
      <c r="J975" s="221"/>
      <c r="K975" s="221"/>
      <c r="L975" s="221"/>
      <c r="M975" s="221"/>
      <c r="N975" s="221"/>
      <c r="O975" s="221"/>
      <c r="P975" s="221"/>
      <c r="Q975" s="221"/>
      <c r="R975" s="221"/>
      <c r="S975" s="221"/>
      <c r="T975" s="221"/>
      <c r="U975" s="221"/>
      <c r="V975" s="221"/>
      <c r="W975" s="221"/>
      <c r="X975" s="221"/>
      <c r="Y975" s="221"/>
      <c r="Z975" s="221"/>
    </row>
    <row r="976" customFormat="false" ht="13.5" hidden="false" customHeight="true" outlineLevel="0" collapsed="false">
      <c r="A976" s="221"/>
      <c r="B976" s="221"/>
      <c r="C976" s="221"/>
      <c r="D976" s="221"/>
      <c r="E976" s="221"/>
      <c r="F976" s="221"/>
      <c r="G976" s="221"/>
      <c r="H976" s="221"/>
      <c r="I976" s="221"/>
      <c r="J976" s="221"/>
      <c r="K976" s="221"/>
      <c r="L976" s="221"/>
      <c r="M976" s="221"/>
      <c r="N976" s="221"/>
      <c r="O976" s="221"/>
      <c r="P976" s="221"/>
      <c r="Q976" s="221"/>
      <c r="R976" s="221"/>
      <c r="S976" s="221"/>
      <c r="T976" s="221"/>
      <c r="U976" s="221"/>
      <c r="V976" s="221"/>
      <c r="W976" s="221"/>
      <c r="X976" s="221"/>
      <c r="Y976" s="221"/>
      <c r="Z976" s="221"/>
    </row>
    <row r="977" customFormat="false" ht="13.5" hidden="false" customHeight="true" outlineLevel="0" collapsed="false">
      <c r="A977" s="221"/>
      <c r="B977" s="221"/>
      <c r="C977" s="221"/>
      <c r="D977" s="221"/>
      <c r="E977" s="221"/>
      <c r="F977" s="221"/>
      <c r="G977" s="221"/>
      <c r="H977" s="221"/>
      <c r="I977" s="221"/>
      <c r="J977" s="221"/>
      <c r="K977" s="221"/>
      <c r="L977" s="221"/>
      <c r="M977" s="221"/>
      <c r="N977" s="221"/>
      <c r="O977" s="221"/>
      <c r="P977" s="221"/>
      <c r="Q977" s="221"/>
      <c r="R977" s="221"/>
      <c r="S977" s="221"/>
      <c r="T977" s="221"/>
      <c r="U977" s="221"/>
      <c r="V977" s="221"/>
      <c r="W977" s="221"/>
      <c r="X977" s="221"/>
      <c r="Y977" s="221"/>
      <c r="Z977" s="221"/>
    </row>
    <row r="978" customFormat="false" ht="13.5" hidden="false" customHeight="true" outlineLevel="0" collapsed="false">
      <c r="A978" s="221"/>
      <c r="B978" s="221"/>
      <c r="C978" s="221"/>
      <c r="D978" s="221"/>
      <c r="E978" s="221"/>
      <c r="F978" s="221"/>
      <c r="G978" s="221"/>
      <c r="H978" s="221"/>
      <c r="I978" s="221"/>
      <c r="J978" s="221"/>
      <c r="K978" s="221"/>
      <c r="L978" s="221"/>
      <c r="M978" s="221"/>
      <c r="N978" s="221"/>
      <c r="O978" s="221"/>
      <c r="P978" s="221"/>
      <c r="Q978" s="221"/>
      <c r="R978" s="221"/>
      <c r="S978" s="221"/>
      <c r="T978" s="221"/>
      <c r="U978" s="221"/>
      <c r="V978" s="221"/>
      <c r="W978" s="221"/>
      <c r="X978" s="221"/>
      <c r="Y978" s="221"/>
      <c r="Z978" s="221"/>
    </row>
    <row r="979" customFormat="false" ht="13.5" hidden="false" customHeight="true" outlineLevel="0" collapsed="false">
      <c r="A979" s="221"/>
      <c r="B979" s="221"/>
      <c r="C979" s="221"/>
      <c r="D979" s="221"/>
      <c r="E979" s="221"/>
      <c r="F979" s="221"/>
      <c r="G979" s="221"/>
      <c r="H979" s="221"/>
      <c r="I979" s="221"/>
      <c r="J979" s="221"/>
      <c r="K979" s="221"/>
      <c r="L979" s="221"/>
      <c r="M979" s="221"/>
      <c r="N979" s="221"/>
      <c r="O979" s="221"/>
      <c r="P979" s="221"/>
      <c r="Q979" s="221"/>
      <c r="R979" s="221"/>
      <c r="S979" s="221"/>
      <c r="T979" s="221"/>
      <c r="U979" s="221"/>
      <c r="V979" s="221"/>
      <c r="W979" s="221"/>
      <c r="X979" s="221"/>
      <c r="Y979" s="221"/>
      <c r="Z979" s="221"/>
    </row>
    <row r="980" customFormat="false" ht="13.5" hidden="false" customHeight="true" outlineLevel="0" collapsed="false">
      <c r="A980" s="221"/>
      <c r="B980" s="221"/>
      <c r="C980" s="221"/>
      <c r="D980" s="221"/>
      <c r="E980" s="221"/>
      <c r="F980" s="221"/>
      <c r="G980" s="221"/>
      <c r="H980" s="221"/>
      <c r="I980" s="221"/>
      <c r="J980" s="221"/>
      <c r="K980" s="221"/>
      <c r="L980" s="221"/>
      <c r="M980" s="221"/>
      <c r="N980" s="221"/>
      <c r="O980" s="221"/>
      <c r="P980" s="221"/>
      <c r="Q980" s="221"/>
      <c r="R980" s="221"/>
      <c r="S980" s="221"/>
      <c r="T980" s="221"/>
      <c r="U980" s="221"/>
      <c r="V980" s="221"/>
      <c r="W980" s="221"/>
      <c r="X980" s="221"/>
      <c r="Y980" s="221"/>
      <c r="Z980" s="221"/>
    </row>
    <row r="981" customFormat="false" ht="13.5" hidden="false" customHeight="true" outlineLevel="0" collapsed="false">
      <c r="A981" s="221"/>
      <c r="B981" s="221"/>
      <c r="C981" s="221"/>
      <c r="D981" s="221"/>
      <c r="E981" s="221"/>
      <c r="F981" s="221"/>
      <c r="G981" s="221"/>
      <c r="H981" s="221"/>
      <c r="I981" s="221"/>
      <c r="J981" s="221"/>
      <c r="K981" s="221"/>
      <c r="L981" s="221"/>
      <c r="M981" s="221"/>
      <c r="N981" s="221"/>
      <c r="O981" s="221"/>
      <c r="P981" s="221"/>
      <c r="Q981" s="221"/>
      <c r="R981" s="221"/>
      <c r="S981" s="221"/>
      <c r="T981" s="221"/>
      <c r="U981" s="221"/>
      <c r="V981" s="221"/>
      <c r="W981" s="221"/>
      <c r="X981" s="221"/>
      <c r="Y981" s="221"/>
      <c r="Z981" s="221"/>
    </row>
    <row r="982" customFormat="false" ht="13.5" hidden="false" customHeight="true" outlineLevel="0" collapsed="false">
      <c r="A982" s="221"/>
      <c r="B982" s="221"/>
      <c r="C982" s="221"/>
      <c r="D982" s="221"/>
      <c r="E982" s="221"/>
      <c r="F982" s="221"/>
      <c r="G982" s="221"/>
      <c r="H982" s="221"/>
      <c r="I982" s="221"/>
      <c r="J982" s="221"/>
      <c r="K982" s="221"/>
      <c r="L982" s="221"/>
      <c r="M982" s="221"/>
      <c r="N982" s="221"/>
      <c r="O982" s="221"/>
      <c r="P982" s="221"/>
      <c r="Q982" s="221"/>
      <c r="R982" s="221"/>
      <c r="S982" s="221"/>
      <c r="T982" s="221"/>
      <c r="U982" s="221"/>
      <c r="V982" s="221"/>
      <c r="W982" s="221"/>
      <c r="X982" s="221"/>
      <c r="Y982" s="221"/>
      <c r="Z982" s="221"/>
    </row>
    <row r="983" customFormat="false" ht="13.5" hidden="false" customHeight="true" outlineLevel="0" collapsed="false">
      <c r="A983" s="221"/>
      <c r="B983" s="221"/>
      <c r="C983" s="221"/>
      <c r="D983" s="221"/>
      <c r="E983" s="221"/>
      <c r="F983" s="221"/>
      <c r="G983" s="221"/>
      <c r="H983" s="221"/>
      <c r="I983" s="221"/>
      <c r="J983" s="221"/>
      <c r="K983" s="221"/>
      <c r="L983" s="221"/>
      <c r="M983" s="221"/>
      <c r="N983" s="221"/>
      <c r="O983" s="221"/>
      <c r="P983" s="221"/>
      <c r="Q983" s="221"/>
      <c r="R983" s="221"/>
      <c r="S983" s="221"/>
      <c r="T983" s="221"/>
      <c r="U983" s="221"/>
      <c r="V983" s="221"/>
      <c r="W983" s="221"/>
      <c r="X983" s="221"/>
      <c r="Y983" s="221"/>
      <c r="Z983" s="221"/>
    </row>
    <row r="984" customFormat="false" ht="13.5" hidden="false" customHeight="true" outlineLevel="0" collapsed="false">
      <c r="A984" s="221"/>
      <c r="B984" s="221"/>
      <c r="C984" s="221"/>
      <c r="D984" s="221"/>
      <c r="E984" s="221"/>
      <c r="F984" s="221"/>
      <c r="G984" s="221"/>
      <c r="H984" s="221"/>
      <c r="I984" s="221"/>
      <c r="J984" s="221"/>
      <c r="K984" s="221"/>
      <c r="L984" s="221"/>
      <c r="M984" s="221"/>
      <c r="N984" s="221"/>
      <c r="O984" s="221"/>
      <c r="P984" s="221"/>
      <c r="Q984" s="221"/>
      <c r="R984" s="221"/>
      <c r="S984" s="221"/>
      <c r="T984" s="221"/>
      <c r="U984" s="221"/>
      <c r="V984" s="221"/>
      <c r="W984" s="221"/>
      <c r="X984" s="221"/>
      <c r="Y984" s="221"/>
      <c r="Z984" s="221"/>
    </row>
    <row r="985" customFormat="false" ht="13.5" hidden="false" customHeight="true" outlineLevel="0" collapsed="false">
      <c r="A985" s="221"/>
      <c r="B985" s="221"/>
      <c r="C985" s="221"/>
      <c r="D985" s="221"/>
      <c r="E985" s="221"/>
      <c r="F985" s="221"/>
      <c r="G985" s="221"/>
      <c r="H985" s="221"/>
      <c r="I985" s="221"/>
      <c r="J985" s="221"/>
      <c r="K985" s="221"/>
      <c r="L985" s="221"/>
      <c r="M985" s="221"/>
      <c r="N985" s="221"/>
      <c r="O985" s="221"/>
      <c r="P985" s="221"/>
      <c r="Q985" s="221"/>
      <c r="R985" s="221"/>
      <c r="S985" s="221"/>
      <c r="T985" s="221"/>
      <c r="U985" s="221"/>
      <c r="V985" s="221"/>
      <c r="W985" s="221"/>
      <c r="X985" s="221"/>
      <c r="Y985" s="221"/>
      <c r="Z985" s="221"/>
    </row>
    <row r="986" customFormat="false" ht="13.5" hidden="false" customHeight="true" outlineLevel="0" collapsed="false">
      <c r="A986" s="221"/>
      <c r="B986" s="221"/>
      <c r="C986" s="221"/>
      <c r="D986" s="221"/>
      <c r="E986" s="221"/>
      <c r="F986" s="221"/>
      <c r="G986" s="221"/>
      <c r="H986" s="221"/>
      <c r="I986" s="221"/>
      <c r="J986" s="221"/>
      <c r="K986" s="221"/>
      <c r="L986" s="221"/>
      <c r="M986" s="221"/>
      <c r="N986" s="221"/>
      <c r="O986" s="221"/>
      <c r="P986" s="221"/>
      <c r="Q986" s="221"/>
      <c r="R986" s="221"/>
      <c r="S986" s="221"/>
      <c r="T986" s="221"/>
      <c r="U986" s="221"/>
      <c r="V986" s="221"/>
      <c r="W986" s="221"/>
      <c r="X986" s="221"/>
      <c r="Y986" s="221"/>
      <c r="Z986" s="221"/>
    </row>
    <row r="987" customFormat="false" ht="13.5" hidden="false" customHeight="true" outlineLevel="0" collapsed="false">
      <c r="A987" s="221"/>
      <c r="B987" s="221"/>
      <c r="C987" s="221"/>
      <c r="D987" s="221"/>
      <c r="E987" s="221"/>
      <c r="F987" s="221"/>
      <c r="G987" s="221"/>
      <c r="H987" s="221"/>
      <c r="I987" s="221"/>
      <c r="J987" s="221"/>
      <c r="K987" s="221"/>
      <c r="L987" s="221"/>
      <c r="M987" s="221"/>
      <c r="N987" s="221"/>
      <c r="O987" s="221"/>
      <c r="P987" s="221"/>
      <c r="Q987" s="221"/>
      <c r="R987" s="221"/>
      <c r="S987" s="221"/>
      <c r="T987" s="221"/>
      <c r="U987" s="221"/>
      <c r="V987" s="221"/>
      <c r="W987" s="221"/>
      <c r="X987" s="221"/>
      <c r="Y987" s="221"/>
      <c r="Z987" s="221"/>
    </row>
    <row r="988" customFormat="false" ht="13.5" hidden="false" customHeight="true" outlineLevel="0" collapsed="false">
      <c r="A988" s="221"/>
      <c r="B988" s="221"/>
      <c r="C988" s="221"/>
      <c r="D988" s="221"/>
      <c r="E988" s="221"/>
      <c r="F988" s="221"/>
      <c r="G988" s="221"/>
      <c r="H988" s="221"/>
      <c r="I988" s="221"/>
      <c r="J988" s="221"/>
      <c r="K988" s="221"/>
      <c r="L988" s="221"/>
      <c r="M988" s="221"/>
      <c r="N988" s="221"/>
      <c r="O988" s="221"/>
      <c r="P988" s="221"/>
      <c r="Q988" s="221"/>
      <c r="R988" s="221"/>
      <c r="S988" s="221"/>
      <c r="T988" s="221"/>
      <c r="U988" s="221"/>
      <c r="V988" s="221"/>
      <c r="W988" s="221"/>
      <c r="X988" s="221"/>
      <c r="Y988" s="221"/>
      <c r="Z988" s="221"/>
    </row>
    <row r="989" customFormat="false" ht="13.5" hidden="false" customHeight="true" outlineLevel="0" collapsed="false">
      <c r="A989" s="221"/>
      <c r="B989" s="221"/>
      <c r="C989" s="221"/>
      <c r="D989" s="221"/>
      <c r="E989" s="221"/>
      <c r="F989" s="221"/>
      <c r="G989" s="221"/>
      <c r="H989" s="221"/>
      <c r="I989" s="221"/>
      <c r="J989" s="221"/>
      <c r="K989" s="221"/>
      <c r="L989" s="221"/>
      <c r="M989" s="221"/>
      <c r="N989" s="221"/>
      <c r="O989" s="221"/>
      <c r="P989" s="221"/>
      <c r="Q989" s="221"/>
      <c r="R989" s="221"/>
      <c r="S989" s="221"/>
      <c r="T989" s="221"/>
      <c r="U989" s="221"/>
      <c r="V989" s="221"/>
      <c r="W989" s="221"/>
      <c r="X989" s="221"/>
      <c r="Y989" s="221"/>
      <c r="Z989" s="221"/>
    </row>
    <row r="990" customFormat="false" ht="13.5" hidden="false" customHeight="true" outlineLevel="0" collapsed="false">
      <c r="A990" s="221"/>
      <c r="B990" s="221"/>
      <c r="C990" s="221"/>
      <c r="D990" s="221"/>
      <c r="E990" s="221"/>
      <c r="F990" s="221"/>
      <c r="G990" s="221"/>
      <c r="H990" s="221"/>
      <c r="I990" s="221"/>
      <c r="J990" s="221"/>
      <c r="K990" s="221"/>
      <c r="L990" s="221"/>
      <c r="M990" s="221"/>
      <c r="N990" s="221"/>
      <c r="O990" s="221"/>
      <c r="P990" s="221"/>
      <c r="Q990" s="221"/>
      <c r="R990" s="221"/>
      <c r="S990" s="221"/>
      <c r="T990" s="221"/>
      <c r="U990" s="221"/>
      <c r="V990" s="221"/>
      <c r="W990" s="221"/>
      <c r="X990" s="221"/>
      <c r="Y990" s="221"/>
      <c r="Z990" s="221"/>
    </row>
    <row r="991" customFormat="false" ht="13.5" hidden="false" customHeight="true" outlineLevel="0" collapsed="false">
      <c r="A991" s="221"/>
      <c r="B991" s="221"/>
      <c r="C991" s="221"/>
      <c r="D991" s="221"/>
      <c r="E991" s="221"/>
      <c r="F991" s="221"/>
      <c r="G991" s="221"/>
      <c r="H991" s="221"/>
      <c r="I991" s="221"/>
      <c r="J991" s="221"/>
      <c r="K991" s="221"/>
      <c r="L991" s="221"/>
      <c r="M991" s="221"/>
      <c r="N991" s="221"/>
      <c r="O991" s="221"/>
      <c r="P991" s="221"/>
      <c r="Q991" s="221"/>
      <c r="R991" s="221"/>
      <c r="S991" s="221"/>
      <c r="T991" s="221"/>
      <c r="U991" s="221"/>
      <c r="V991" s="221"/>
      <c r="W991" s="221"/>
      <c r="X991" s="221"/>
      <c r="Y991" s="221"/>
      <c r="Z991" s="221"/>
    </row>
    <row r="992" customFormat="false" ht="13.5" hidden="false" customHeight="true" outlineLevel="0" collapsed="false">
      <c r="A992" s="221"/>
      <c r="B992" s="221"/>
      <c r="C992" s="221"/>
      <c r="D992" s="221"/>
      <c r="E992" s="221"/>
      <c r="F992" s="221"/>
      <c r="G992" s="221"/>
      <c r="H992" s="221"/>
      <c r="I992" s="221"/>
      <c r="J992" s="221"/>
      <c r="K992" s="221"/>
      <c r="L992" s="221"/>
      <c r="M992" s="221"/>
      <c r="N992" s="221"/>
      <c r="O992" s="221"/>
      <c r="P992" s="221"/>
      <c r="Q992" s="221"/>
      <c r="R992" s="221"/>
      <c r="S992" s="221"/>
      <c r="T992" s="221"/>
      <c r="U992" s="221"/>
      <c r="V992" s="221"/>
      <c r="W992" s="221"/>
      <c r="X992" s="221"/>
      <c r="Y992" s="221"/>
      <c r="Z992" s="221"/>
    </row>
    <row r="993" customFormat="false" ht="13.5" hidden="false" customHeight="true" outlineLevel="0" collapsed="false">
      <c r="A993" s="221"/>
      <c r="B993" s="221"/>
      <c r="C993" s="221"/>
      <c r="D993" s="221"/>
      <c r="E993" s="221"/>
      <c r="F993" s="221"/>
      <c r="G993" s="221"/>
      <c r="H993" s="221"/>
      <c r="I993" s="221"/>
      <c r="J993" s="221"/>
      <c r="K993" s="221"/>
      <c r="L993" s="221"/>
      <c r="M993" s="221"/>
      <c r="N993" s="221"/>
      <c r="O993" s="221"/>
      <c r="P993" s="221"/>
      <c r="Q993" s="221"/>
      <c r="R993" s="221"/>
      <c r="S993" s="221"/>
      <c r="T993" s="221"/>
      <c r="U993" s="221"/>
      <c r="V993" s="221"/>
      <c r="W993" s="221"/>
      <c r="X993" s="221"/>
      <c r="Y993" s="221"/>
      <c r="Z993" s="221"/>
    </row>
    <row r="994" customFormat="false" ht="13.5" hidden="false" customHeight="true" outlineLevel="0" collapsed="false">
      <c r="A994" s="221"/>
      <c r="B994" s="221"/>
      <c r="C994" s="221"/>
      <c r="D994" s="221"/>
      <c r="E994" s="221"/>
      <c r="F994" s="221"/>
      <c r="G994" s="221"/>
      <c r="H994" s="221"/>
      <c r="I994" s="221"/>
      <c r="J994" s="221"/>
      <c r="K994" s="221"/>
      <c r="L994" s="221"/>
      <c r="M994" s="221"/>
      <c r="N994" s="221"/>
      <c r="O994" s="221"/>
      <c r="P994" s="221"/>
      <c r="Q994" s="221"/>
      <c r="R994" s="221"/>
      <c r="S994" s="221"/>
      <c r="T994" s="221"/>
      <c r="U994" s="221"/>
      <c r="V994" s="221"/>
      <c r="W994" s="221"/>
      <c r="X994" s="221"/>
      <c r="Y994" s="221"/>
      <c r="Z994" s="221"/>
    </row>
    <row r="995" customFormat="false" ht="13.5" hidden="false" customHeight="true" outlineLevel="0" collapsed="false">
      <c r="A995" s="221"/>
      <c r="B995" s="221"/>
      <c r="C995" s="221"/>
      <c r="D995" s="221"/>
      <c r="E995" s="221"/>
      <c r="F995" s="221"/>
      <c r="G995" s="221"/>
      <c r="H995" s="221"/>
      <c r="I995" s="221"/>
      <c r="J995" s="221"/>
      <c r="K995" s="221"/>
      <c r="L995" s="221"/>
      <c r="M995" s="221"/>
      <c r="N995" s="221"/>
      <c r="O995" s="221"/>
      <c r="P995" s="221"/>
      <c r="Q995" s="221"/>
      <c r="R995" s="221"/>
      <c r="S995" s="221"/>
      <c r="T995" s="221"/>
      <c r="U995" s="221"/>
      <c r="V995" s="221"/>
      <c r="W995" s="221"/>
      <c r="X995" s="221"/>
      <c r="Y995" s="221"/>
      <c r="Z995" s="221"/>
    </row>
    <row r="996" customFormat="false" ht="13.5" hidden="false" customHeight="true" outlineLevel="0" collapsed="false">
      <c r="A996" s="221"/>
      <c r="B996" s="221"/>
      <c r="C996" s="221"/>
      <c r="D996" s="221"/>
      <c r="E996" s="221"/>
      <c r="F996" s="221"/>
      <c r="G996" s="221"/>
      <c r="H996" s="221"/>
      <c r="I996" s="221"/>
      <c r="J996" s="221"/>
      <c r="K996" s="221"/>
      <c r="L996" s="221"/>
      <c r="M996" s="221"/>
      <c r="N996" s="221"/>
      <c r="O996" s="221"/>
      <c r="P996" s="221"/>
      <c r="Q996" s="221"/>
      <c r="R996" s="221"/>
      <c r="S996" s="221"/>
      <c r="T996" s="221"/>
      <c r="U996" s="221"/>
      <c r="V996" s="221"/>
      <c r="W996" s="221"/>
      <c r="X996" s="221"/>
      <c r="Y996" s="221"/>
      <c r="Z996" s="221"/>
    </row>
    <row r="997" customFormat="false" ht="13.5" hidden="false" customHeight="true" outlineLevel="0" collapsed="false">
      <c r="A997" s="221"/>
      <c r="B997" s="221"/>
      <c r="C997" s="221"/>
      <c r="D997" s="221"/>
      <c r="E997" s="221"/>
      <c r="F997" s="221"/>
      <c r="G997" s="221"/>
      <c r="H997" s="221"/>
      <c r="I997" s="221"/>
      <c r="J997" s="221"/>
      <c r="K997" s="221"/>
      <c r="L997" s="221"/>
      <c r="M997" s="221"/>
      <c r="N997" s="221"/>
      <c r="O997" s="221"/>
      <c r="P997" s="221"/>
      <c r="Q997" s="221"/>
      <c r="R997" s="221"/>
      <c r="S997" s="221"/>
      <c r="T997" s="221"/>
      <c r="U997" s="221"/>
      <c r="V997" s="221"/>
      <c r="W997" s="221"/>
      <c r="X997" s="221"/>
      <c r="Y997" s="221"/>
      <c r="Z997" s="221"/>
    </row>
    <row r="998" customFormat="false" ht="13.5" hidden="false" customHeight="true" outlineLevel="0" collapsed="false">
      <c r="A998" s="221"/>
      <c r="B998" s="221"/>
      <c r="C998" s="221"/>
      <c r="D998" s="221"/>
      <c r="E998" s="221"/>
      <c r="F998" s="221"/>
      <c r="G998" s="221"/>
      <c r="H998" s="221"/>
      <c r="I998" s="221"/>
      <c r="J998" s="221"/>
      <c r="K998" s="221"/>
      <c r="L998" s="221"/>
      <c r="M998" s="221"/>
      <c r="N998" s="221"/>
      <c r="O998" s="221"/>
      <c r="P998" s="221"/>
      <c r="Q998" s="221"/>
      <c r="R998" s="221"/>
      <c r="S998" s="221"/>
      <c r="T998" s="221"/>
      <c r="U998" s="221"/>
      <c r="V998" s="221"/>
      <c r="W998" s="221"/>
      <c r="X998" s="221"/>
      <c r="Y998" s="221"/>
      <c r="Z998" s="221"/>
    </row>
    <row r="999" customFormat="false" ht="13.5" hidden="false" customHeight="true" outlineLevel="0" collapsed="false">
      <c r="A999" s="221"/>
      <c r="B999" s="221"/>
      <c r="C999" s="221"/>
      <c r="D999" s="221"/>
      <c r="E999" s="221"/>
      <c r="F999" s="221"/>
      <c r="G999" s="221"/>
      <c r="H999" s="221"/>
      <c r="I999" s="221"/>
      <c r="J999" s="221"/>
      <c r="K999" s="221"/>
      <c r="L999" s="221"/>
      <c r="M999" s="221"/>
      <c r="N999" s="221"/>
      <c r="O999" s="221"/>
      <c r="P999" s="221"/>
      <c r="Q999" s="221"/>
      <c r="R999" s="221"/>
      <c r="S999" s="221"/>
      <c r="T999" s="221"/>
      <c r="U999" s="221"/>
      <c r="V999" s="221"/>
      <c r="W999" s="221"/>
      <c r="X999" s="221"/>
      <c r="Y999" s="221"/>
      <c r="Z999" s="221"/>
    </row>
    <row r="1000" customFormat="false" ht="13.5" hidden="false" customHeight="true" outlineLevel="0" collapsed="false">
      <c r="A1000" s="221"/>
      <c r="B1000" s="221"/>
      <c r="C1000" s="221"/>
      <c r="D1000" s="221"/>
      <c r="E1000" s="221"/>
      <c r="F1000" s="221"/>
      <c r="G1000" s="221"/>
      <c r="H1000" s="221"/>
      <c r="I1000" s="221"/>
      <c r="J1000" s="221"/>
      <c r="K1000" s="221"/>
      <c r="L1000" s="221"/>
      <c r="M1000" s="221"/>
      <c r="N1000" s="221"/>
      <c r="O1000" s="221"/>
      <c r="P1000" s="221"/>
      <c r="Q1000" s="221"/>
      <c r="R1000" s="221"/>
      <c r="S1000" s="221"/>
      <c r="T1000" s="221"/>
      <c r="U1000" s="221"/>
      <c r="V1000" s="221"/>
      <c r="W1000" s="221"/>
      <c r="X1000" s="221"/>
      <c r="Y1000" s="221"/>
      <c r="Z1000" s="221"/>
    </row>
  </sheetData>
  <autoFilter ref="A3:P3"/>
  <hyperlinks>
    <hyperlink ref="F4" r:id="rId1" display="Pratik Shah"/>
    <hyperlink ref="I4" r:id="rId2" display="https://www.liciuk.com&#10;&#10;https://www.thehindu.com/business/lic-new-india-assurance-gic-continue-to-remain-domestic-systemically-important-insurers-irdai/article70816432.ece"/>
    <hyperlink ref="K4" display="https://eyindia.sharepoint.com/:b:/r/sites/InsuranceResearch/Shared%20Documents/Insurance%20Research/Top%2020%20UK/Indian%20Insurers%20operating%20in%20UK/LIC_AR%202024-25.pdf?csf=1&amp;web=1&amp;e=Jcp2ak"/>
    <hyperlink ref="F5" r:id="rId3" display="Gaurav Taneja"/>
    <hyperlink ref="I5" r:id="rId4" display="https://www.newindia.co.uk/solvency-financial-condition-reports/"/>
    <hyperlink ref="K5" display="https://eyindia.sharepoint.com/:b:/r/sites/InsuranceResearch/Shared%20Documents/Insurance%20Research/Top%2020%20UK/Indian%20Insurers%20operating%20in%20UK/New%20India%20Final%20Annual%20Report24-25.pdf?csf=1&amp;web=1&amp;e=xFzKpg"/>
    <hyperlink ref="I6" r:id="rId5" display="https://www.reinsurancene.ws/indias-gic-re-planning-to-launch-uk-based-subsidiary/&#10;&#10;https://www.reinsurancene.ws/lloyds-approves-transfer-of-gic-res-syndicate-1947-management-to-asta/&#10;&#10;https://www.gicre.in/en/business-en/overseas-offices&#10;&#10;https://assets.lloyds.com/media/fc47484e-d884-4326-b7d8-32d88f59e7d4/1947%20GIC%20Syndicate%20-%201947%20-%20Q4%202024%20Syndicate%20Accounts%20Submission%20%28Mar%206,%202025%29-ixbrl-r1.html"/>
    <hyperlink ref="K6" display="https://eyindia.sharepoint.com/:b:/r/sites/InsuranceResearch/Shared%20Documents/Insurance%20Research/Top%2020%20UK/Indian%20Insurers%20operating%20in%20UK/GIC_Annual_Report_2024-25.pdf?csf=1&amp;web=1&amp;e=ikOStm"/>
    <hyperlink ref="F7" r:id="rId6" display="Aman Dutta"/>
    <hyperlink ref="I7" r:id="rId7" display="https://www.tcs.com/who-we-are/newsroom/press-release/tcs-strengthens-partnership-aviva-uk-enhance-life-pensions-customer-experience&#10;&#10;https://business-news-today.com/tcs-completes-3-8-million-policy-migration-for-scottish-widows-in-uks-largest-insurance-platform-overhaul/&#10;&#10;https://www.unitetheunion.org/news-events/news/2026/march/diligenta-workers-win-pay-rise-following-successful-strike-action"/>
    <hyperlink ref="K7" display="https://eyindia.sharepoint.com/:b:/r/sites/InsuranceResearch/Shared%20Documents/Insurance%20Research/Top%2020%20UK/Indian%20Insurers%20operating%20in%20UK/Diligenta%20Annual%20Report-2024-25.pdf?csf=1&amp;web=1&amp;e=HkOQUW"/>
    <hyperlink ref="I8" r:id="rId8" display="https://www.hcltech.com/sites/default/files/documents/resources/pdf-landing-page/files/2025/07/07/18-HCL-Insurance-BPO-Services-Limited.pdf&#10;&#10;https://www.financialexpress.com/business/industry-hcl-tech-expands-ai-partnership-with-us-based-insurer-the-standard-3875770/"/>
    <hyperlink ref="K8" display="https://eyindia.sharepoint.com/:b:/r/sites/InsuranceResearch/Shared%20Documents/Insurance%20Research/Top%2020%20UK/Indian%20Insurers%20operating%20in%20UK/HCL-Insurance-Annual%20Report%202025.pdf?csf=1&amp;web=1&amp;e=oP6dRJ"/>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2.62890625" defaultRowHeight="15" zeroHeight="false" outlineLevelRow="0" outlineLevelCol="0"/>
  <cols>
    <col collapsed="false" customWidth="true" hidden="false" outlineLevel="0" max="1" min="1" style="0" width="5.5"/>
    <col collapsed="false" customWidth="true" hidden="false" outlineLevel="0" max="2" min="2" style="0" width="33.88"/>
    <col collapsed="false" customWidth="true" hidden="false" outlineLevel="0" max="3" min="3" style="0" width="8.5"/>
    <col collapsed="false" customWidth="true" hidden="false" outlineLevel="0" max="4" min="4" style="0" width="10.5"/>
    <col collapsed="false" customWidth="true" hidden="false" outlineLevel="0" max="5" min="5" style="0" width="24.88"/>
    <col collapsed="false" customWidth="true" hidden="false" outlineLevel="0" max="6" min="6" style="0" width="13.5"/>
    <col collapsed="false" customWidth="true" hidden="false" outlineLevel="0" max="7" min="7" style="0" width="23"/>
    <col collapsed="false" customWidth="true" hidden="false" outlineLevel="0" max="8" min="8" style="0" width="33.5"/>
    <col collapsed="false" customWidth="true" hidden="false" outlineLevel="0" max="9" min="9" style="0" width="70.5"/>
    <col collapsed="false" customWidth="true" hidden="false" outlineLevel="0" max="10" min="10" style="0" width="67.5"/>
    <col collapsed="false" customWidth="true" hidden="false" outlineLevel="0" max="11" min="11" style="0" width="26.75"/>
    <col collapsed="false" customWidth="true" hidden="false" outlineLevel="0" max="12" min="12" style="0" width="19.88"/>
    <col collapsed="false" customWidth="true" hidden="true" outlineLevel="0" max="13" min="13" style="0" width="38"/>
    <col collapsed="false" customWidth="true" hidden="true" outlineLevel="0" max="14" min="14" style="0" width="25.5"/>
    <col collapsed="false" customWidth="true" hidden="true" outlineLevel="0" max="15" min="15" style="0" width="26.88"/>
    <col collapsed="false" customWidth="true" hidden="false" outlineLevel="0" max="16" min="16" style="0" width="21.13"/>
    <col collapsed="false" customWidth="true" hidden="false" outlineLevel="0" max="17" min="17" style="0" width="18.13"/>
    <col collapsed="false" customWidth="true" hidden="false" outlineLevel="0" max="18" min="18" style="0" width="22"/>
    <col collapsed="false" customWidth="true" hidden="false" outlineLevel="0" max="26" min="19" style="0" width="8.88"/>
  </cols>
  <sheetData>
    <row r="1" customFormat="false" ht="12" hidden="false" customHeight="true" outlineLevel="0" collapsed="false">
      <c r="A1" s="237" t="s">
        <v>1798</v>
      </c>
      <c r="B1" s="222"/>
      <c r="C1" s="222"/>
      <c r="D1" s="222"/>
      <c r="E1" s="222"/>
      <c r="F1" s="238"/>
      <c r="G1" s="222"/>
      <c r="H1" s="238"/>
      <c r="I1" s="221"/>
      <c r="J1" s="221"/>
      <c r="K1" s="221"/>
      <c r="L1" s="221"/>
      <c r="M1" s="221"/>
      <c r="N1" s="221"/>
      <c r="O1" s="221"/>
      <c r="P1" s="221"/>
      <c r="Q1" s="221"/>
      <c r="R1" s="221"/>
      <c r="S1" s="221"/>
      <c r="T1" s="221"/>
      <c r="U1" s="221"/>
      <c r="V1" s="221"/>
      <c r="W1" s="221"/>
      <c r="X1" s="221"/>
      <c r="Y1" s="221"/>
      <c r="Z1" s="221"/>
    </row>
    <row r="2" customFormat="false" ht="12" hidden="false" customHeight="true" outlineLevel="0" collapsed="false">
      <c r="A2" s="239" t="s">
        <v>1798</v>
      </c>
      <c r="B2" s="239"/>
      <c r="C2" s="239"/>
      <c r="D2" s="239"/>
      <c r="E2" s="239"/>
      <c r="F2" s="238"/>
      <c r="G2" s="222"/>
      <c r="H2" s="222"/>
      <c r="I2" s="221"/>
      <c r="J2" s="221"/>
      <c r="K2" s="221"/>
      <c r="L2" s="221"/>
      <c r="M2" s="221"/>
      <c r="N2" s="221"/>
      <c r="O2" s="221"/>
      <c r="P2" s="221"/>
      <c r="Q2" s="221"/>
      <c r="R2" s="221"/>
      <c r="S2" s="221"/>
      <c r="T2" s="221"/>
      <c r="U2" s="221"/>
      <c r="V2" s="221"/>
      <c r="W2" s="221"/>
      <c r="X2" s="221"/>
      <c r="Y2" s="221"/>
      <c r="Z2" s="221"/>
    </row>
    <row r="3" customFormat="false" ht="13.5" hidden="false" customHeight="true" outlineLevel="0" collapsed="false">
      <c r="A3" s="240"/>
      <c r="B3" s="222"/>
      <c r="C3" s="222"/>
      <c r="D3" s="222"/>
      <c r="E3" s="222"/>
      <c r="F3" s="85" t="s">
        <v>1505</v>
      </c>
      <c r="G3" s="85"/>
      <c r="H3" s="85"/>
      <c r="I3" s="221"/>
      <c r="J3" s="221"/>
      <c r="K3" s="221"/>
      <c r="L3" s="221"/>
      <c r="M3" s="221"/>
      <c r="N3" s="221"/>
      <c r="O3" s="221"/>
      <c r="P3" s="221"/>
      <c r="Q3" s="221"/>
      <c r="R3" s="221"/>
      <c r="S3" s="221"/>
      <c r="T3" s="221"/>
      <c r="U3" s="221"/>
      <c r="V3" s="221"/>
      <c r="W3" s="221"/>
      <c r="X3" s="221"/>
      <c r="Y3" s="221"/>
      <c r="Z3" s="221"/>
    </row>
    <row r="4" customFormat="false" ht="12" hidden="false" customHeight="true" outlineLevel="0" collapsed="false">
      <c r="A4" s="241" t="s">
        <v>6</v>
      </c>
      <c r="B4" s="241" t="s">
        <v>7</v>
      </c>
      <c r="C4" s="241" t="s">
        <v>1799</v>
      </c>
      <c r="D4" s="241" t="s">
        <v>576</v>
      </c>
      <c r="E4" s="241" t="s">
        <v>165</v>
      </c>
      <c r="F4" s="241" t="s">
        <v>166</v>
      </c>
      <c r="G4" s="241" t="s">
        <v>167</v>
      </c>
      <c r="H4" s="241" t="s">
        <v>168</v>
      </c>
      <c r="I4" s="241" t="s">
        <v>1800</v>
      </c>
      <c r="J4" s="241" t="s">
        <v>331</v>
      </c>
      <c r="K4" s="241" t="s">
        <v>1801</v>
      </c>
      <c r="L4" s="241" t="s">
        <v>1802</v>
      </c>
      <c r="M4" s="242" t="s">
        <v>1803</v>
      </c>
      <c r="N4" s="242" t="s">
        <v>1804</v>
      </c>
      <c r="O4" s="242" t="s">
        <v>1805</v>
      </c>
      <c r="P4" s="242" t="s">
        <v>1739</v>
      </c>
      <c r="Q4" s="242" t="s">
        <v>164</v>
      </c>
      <c r="R4" s="242" t="s">
        <v>713</v>
      </c>
      <c r="S4" s="243"/>
      <c r="T4" s="243"/>
      <c r="U4" s="243"/>
      <c r="V4" s="243"/>
      <c r="W4" s="243"/>
      <c r="X4" s="243"/>
      <c r="Y4" s="243"/>
      <c r="Z4" s="243"/>
    </row>
    <row r="5" customFormat="false" ht="162.75" hidden="false" customHeight="true" outlineLevel="0" collapsed="false">
      <c r="A5" s="198" t="n">
        <v>1</v>
      </c>
      <c r="B5" s="244" t="s">
        <v>1806</v>
      </c>
      <c r="C5" s="198" t="s">
        <v>15</v>
      </c>
      <c r="D5" s="198" t="s">
        <v>1807</v>
      </c>
      <c r="E5" s="198" t="s">
        <v>1808</v>
      </c>
      <c r="F5" s="198" t="s">
        <v>175</v>
      </c>
      <c r="G5" s="198" t="s">
        <v>279</v>
      </c>
      <c r="H5" s="244" t="s">
        <v>856</v>
      </c>
      <c r="I5" s="93" t="s">
        <v>1809</v>
      </c>
      <c r="J5" s="97" t="s">
        <v>1810</v>
      </c>
      <c r="K5" s="198" t="n">
        <v>102903</v>
      </c>
      <c r="L5" s="198" t="n">
        <v>12484</v>
      </c>
      <c r="M5" s="245" t="s">
        <v>1811</v>
      </c>
      <c r="N5" s="198" t="n">
        <v>46</v>
      </c>
      <c r="O5" s="93"/>
      <c r="P5" s="198" t="s">
        <v>1812</v>
      </c>
      <c r="Q5" s="198" t="s">
        <v>1813</v>
      </c>
      <c r="R5" s="198" t="s">
        <v>1814</v>
      </c>
      <c r="S5" s="246"/>
      <c r="T5" s="246"/>
      <c r="U5" s="246"/>
      <c r="V5" s="246"/>
      <c r="W5" s="246"/>
      <c r="X5" s="246"/>
      <c r="Y5" s="246"/>
      <c r="Z5" s="246"/>
    </row>
    <row r="6" customFormat="false" ht="12" hidden="false" customHeight="true" outlineLevel="0" collapsed="false">
      <c r="A6" s="198" t="n">
        <v>2</v>
      </c>
      <c r="B6" s="244" t="s">
        <v>1815</v>
      </c>
      <c r="C6" s="198" t="s">
        <v>15</v>
      </c>
      <c r="D6" s="198" t="s">
        <v>1807</v>
      </c>
      <c r="E6" s="198" t="s">
        <v>1816</v>
      </c>
      <c r="F6" s="198" t="s">
        <v>190</v>
      </c>
      <c r="G6" s="198" t="s">
        <v>1817</v>
      </c>
      <c r="H6" s="244" t="s">
        <v>1818</v>
      </c>
      <c r="I6" s="93" t="s">
        <v>1819</v>
      </c>
      <c r="J6" s="97" t="s">
        <v>1820</v>
      </c>
      <c r="K6" s="198" t="n">
        <v>41981</v>
      </c>
      <c r="L6" s="198" t="n">
        <v>9006</v>
      </c>
      <c r="M6" s="245" t="s">
        <v>1821</v>
      </c>
      <c r="N6" s="198" t="n">
        <v>18</v>
      </c>
      <c r="O6" s="198"/>
      <c r="P6" s="198" t="s">
        <v>1822</v>
      </c>
      <c r="Q6" s="198" t="s">
        <v>1823</v>
      </c>
      <c r="R6" s="198" t="s">
        <v>1824</v>
      </c>
      <c r="S6" s="246"/>
      <c r="T6" s="246"/>
      <c r="U6" s="246"/>
      <c r="V6" s="246"/>
      <c r="W6" s="246"/>
      <c r="X6" s="246"/>
      <c r="Y6" s="246"/>
      <c r="Z6" s="246"/>
    </row>
    <row r="7" customFormat="false" ht="12" hidden="false" customHeight="true" outlineLevel="0" collapsed="false">
      <c r="A7" s="198" t="n">
        <v>3</v>
      </c>
      <c r="B7" s="244" t="s">
        <v>1825</v>
      </c>
      <c r="C7" s="198" t="s">
        <v>1826</v>
      </c>
      <c r="D7" s="198" t="s">
        <v>1827</v>
      </c>
      <c r="E7" s="198" t="s">
        <v>1828</v>
      </c>
      <c r="F7" s="198" t="s">
        <v>1127</v>
      </c>
      <c r="G7" s="198" t="s">
        <v>17</v>
      </c>
      <c r="H7" s="244" t="s">
        <v>17</v>
      </c>
      <c r="I7" s="93" t="s">
        <v>1829</v>
      </c>
      <c r="J7" s="97" t="s">
        <v>1830</v>
      </c>
      <c r="K7" s="198" t="n">
        <v>49520</v>
      </c>
      <c r="L7" s="198" t="n">
        <v>1766</v>
      </c>
      <c r="M7" s="245" t="s">
        <v>1831</v>
      </c>
      <c r="N7" s="198" t="n">
        <v>90</v>
      </c>
      <c r="O7" s="198"/>
      <c r="P7" s="198" t="s">
        <v>1832</v>
      </c>
      <c r="Q7" s="198" t="s">
        <v>1813</v>
      </c>
      <c r="R7" s="198" t="s">
        <v>1833</v>
      </c>
      <c r="S7" s="221"/>
      <c r="T7" s="221"/>
      <c r="U7" s="221"/>
      <c r="V7" s="221"/>
      <c r="W7" s="221"/>
      <c r="X7" s="221"/>
      <c r="Y7" s="221"/>
      <c r="Z7" s="221"/>
    </row>
    <row r="8" customFormat="false" ht="12" hidden="false" customHeight="true" outlineLevel="0" collapsed="false">
      <c r="A8" s="198" t="n">
        <v>4</v>
      </c>
      <c r="B8" s="244" t="s">
        <v>1834</v>
      </c>
      <c r="C8" s="198" t="s">
        <v>108</v>
      </c>
      <c r="D8" s="198" t="s">
        <v>1807</v>
      </c>
      <c r="E8" s="198" t="s">
        <v>1835</v>
      </c>
      <c r="F8" s="198" t="s">
        <v>175</v>
      </c>
      <c r="G8" s="198" t="s">
        <v>1836</v>
      </c>
      <c r="H8" s="244" t="s">
        <v>1317</v>
      </c>
      <c r="I8" s="93" t="s">
        <v>1837</v>
      </c>
      <c r="J8" s="97" t="s">
        <v>1838</v>
      </c>
      <c r="K8" s="198" t="n">
        <v>9745</v>
      </c>
      <c r="L8" s="198" t="n">
        <v>2568</v>
      </c>
      <c r="M8" s="245" t="s">
        <v>1839</v>
      </c>
      <c r="N8" s="198" t="n">
        <v>11</v>
      </c>
      <c r="O8" s="198"/>
      <c r="P8" s="198" t="s">
        <v>1840</v>
      </c>
      <c r="Q8" s="198" t="s">
        <v>1841</v>
      </c>
      <c r="R8" s="198" t="s">
        <v>1842</v>
      </c>
      <c r="S8" s="221"/>
      <c r="T8" s="221"/>
      <c r="U8" s="221"/>
      <c r="V8" s="221"/>
      <c r="W8" s="221"/>
      <c r="X8" s="221"/>
      <c r="Y8" s="221"/>
      <c r="Z8" s="221"/>
    </row>
    <row r="9" customFormat="false" ht="12" hidden="false" customHeight="true" outlineLevel="0" collapsed="false">
      <c r="A9" s="198" t="n">
        <v>5</v>
      </c>
      <c r="B9" s="244" t="s">
        <v>1843</v>
      </c>
      <c r="C9" s="198" t="s">
        <v>1844</v>
      </c>
      <c r="D9" s="198" t="s">
        <v>1807</v>
      </c>
      <c r="E9" s="198" t="s">
        <v>1845</v>
      </c>
      <c r="F9" s="198" t="s">
        <v>190</v>
      </c>
      <c r="G9" s="198" t="s">
        <v>1846</v>
      </c>
      <c r="H9" s="244" t="s">
        <v>1847</v>
      </c>
      <c r="I9" s="93" t="s">
        <v>1848</v>
      </c>
      <c r="J9" s="97" t="s">
        <v>1849</v>
      </c>
      <c r="K9" s="198" t="n">
        <v>27250</v>
      </c>
      <c r="L9" s="198" t="n">
        <v>4868</v>
      </c>
      <c r="M9" s="245" t="s">
        <v>1850</v>
      </c>
      <c r="N9" s="198" t="n">
        <v>20</v>
      </c>
      <c r="O9" s="198"/>
      <c r="P9" s="198" t="s">
        <v>1851</v>
      </c>
      <c r="Q9" s="198" t="s">
        <v>1852</v>
      </c>
      <c r="R9" s="198" t="s">
        <v>1853</v>
      </c>
      <c r="S9" s="221"/>
      <c r="T9" s="221"/>
      <c r="U9" s="221"/>
      <c r="V9" s="221"/>
      <c r="W9" s="221"/>
      <c r="X9" s="221"/>
      <c r="Y9" s="221"/>
      <c r="Z9" s="221"/>
    </row>
    <row r="10" customFormat="false" ht="12" hidden="false" customHeight="true" outlineLevel="0" collapsed="false">
      <c r="A10" s="198" t="n">
        <v>6</v>
      </c>
      <c r="B10" s="244" t="s">
        <v>1854</v>
      </c>
      <c r="C10" s="198" t="s">
        <v>452</v>
      </c>
      <c r="D10" s="198" t="s">
        <v>1807</v>
      </c>
      <c r="E10" s="198" t="s">
        <v>1855</v>
      </c>
      <c r="F10" s="198" t="s">
        <v>175</v>
      </c>
      <c r="G10" s="198" t="s">
        <v>279</v>
      </c>
      <c r="H10" s="244" t="s">
        <v>856</v>
      </c>
      <c r="I10" s="93" t="s">
        <v>1856</v>
      </c>
      <c r="J10" s="97" t="s">
        <v>1857</v>
      </c>
      <c r="K10" s="198" t="n">
        <v>37953</v>
      </c>
      <c r="L10" s="198" t="n">
        <v>4727</v>
      </c>
      <c r="M10" s="245" t="s">
        <v>1858</v>
      </c>
      <c r="N10" s="198" t="n">
        <v>21</v>
      </c>
      <c r="O10" s="198"/>
      <c r="P10" s="198" t="s">
        <v>1859</v>
      </c>
      <c r="Q10" s="198" t="s">
        <v>1860</v>
      </c>
      <c r="R10" s="198" t="s">
        <v>1861</v>
      </c>
      <c r="S10" s="221"/>
      <c r="T10" s="221"/>
      <c r="U10" s="221"/>
      <c r="V10" s="221"/>
      <c r="W10" s="221"/>
      <c r="X10" s="221"/>
      <c r="Y10" s="221"/>
      <c r="Z10" s="221"/>
    </row>
    <row r="11" customFormat="false" ht="12" hidden="false" customHeight="true" outlineLevel="0" collapsed="false">
      <c r="A11" s="198" t="n">
        <v>7</v>
      </c>
      <c r="B11" s="244" t="s">
        <v>1862</v>
      </c>
      <c r="C11" s="198" t="s">
        <v>15</v>
      </c>
      <c r="D11" s="198" t="s">
        <v>1807</v>
      </c>
      <c r="E11" s="198" t="s">
        <v>1863</v>
      </c>
      <c r="F11" s="198" t="s">
        <v>190</v>
      </c>
      <c r="G11" s="198" t="s">
        <v>1864</v>
      </c>
      <c r="H11" s="244" t="s">
        <v>1865</v>
      </c>
      <c r="I11" s="93" t="s">
        <v>1866</v>
      </c>
      <c r="J11" s="97" t="s">
        <v>1867</v>
      </c>
      <c r="K11" s="198" t="n">
        <v>37891</v>
      </c>
      <c r="L11" s="198" t="n">
        <v>3900</v>
      </c>
      <c r="M11" s="245" t="s">
        <v>1868</v>
      </c>
      <c r="N11" s="198" t="n">
        <v>32</v>
      </c>
      <c r="O11" s="198"/>
      <c r="P11" s="198" t="s">
        <v>1869</v>
      </c>
      <c r="Q11" s="198" t="s">
        <v>1870</v>
      </c>
      <c r="R11" s="198" t="s">
        <v>1871</v>
      </c>
      <c r="S11" s="221"/>
      <c r="T11" s="221"/>
      <c r="U11" s="221"/>
      <c r="V11" s="221"/>
      <c r="W11" s="221"/>
      <c r="X11" s="221"/>
      <c r="Y11" s="221"/>
      <c r="Z11" s="221"/>
    </row>
    <row r="12" customFormat="false" ht="12" hidden="false" customHeight="true" outlineLevel="0" collapsed="false">
      <c r="A12" s="198" t="n">
        <v>8</v>
      </c>
      <c r="B12" s="244" t="s">
        <v>1872</v>
      </c>
      <c r="C12" s="198" t="s">
        <v>15</v>
      </c>
      <c r="D12" s="198" t="s">
        <v>1807</v>
      </c>
      <c r="E12" s="198" t="s">
        <v>1873</v>
      </c>
      <c r="F12" s="198" t="s">
        <v>175</v>
      </c>
      <c r="G12" s="198" t="s">
        <v>17</v>
      </c>
      <c r="H12" s="244" t="s">
        <v>1874</v>
      </c>
      <c r="I12" s="93" t="s">
        <v>1875</v>
      </c>
      <c r="J12" s="97" t="s">
        <v>1876</v>
      </c>
      <c r="K12" s="198" t="n">
        <v>86</v>
      </c>
      <c r="L12" s="198" t="n">
        <v>-245</v>
      </c>
      <c r="M12" s="245" t="s">
        <v>1877</v>
      </c>
      <c r="N12" s="198" t="n">
        <v>15</v>
      </c>
      <c r="O12" s="198"/>
      <c r="P12" s="198" t="s">
        <v>1878</v>
      </c>
      <c r="Q12" s="198" t="s">
        <v>1879</v>
      </c>
      <c r="R12" s="198" t="s">
        <v>1880</v>
      </c>
      <c r="S12" s="221"/>
      <c r="T12" s="221"/>
      <c r="U12" s="221"/>
      <c r="V12" s="221"/>
      <c r="W12" s="221"/>
      <c r="X12" s="221"/>
      <c r="Y12" s="221"/>
      <c r="Z12" s="221"/>
    </row>
    <row r="13" customFormat="false" ht="12" hidden="false" customHeight="true" outlineLevel="0" collapsed="false">
      <c r="A13" s="198" t="n">
        <v>9</v>
      </c>
      <c r="B13" s="244" t="s">
        <v>1881</v>
      </c>
      <c r="C13" s="198" t="s">
        <v>1882</v>
      </c>
      <c r="D13" s="198" t="s">
        <v>1807</v>
      </c>
      <c r="E13" s="198" t="s">
        <v>1883</v>
      </c>
      <c r="F13" s="198" t="s">
        <v>190</v>
      </c>
      <c r="G13" s="198" t="s">
        <v>1884</v>
      </c>
      <c r="H13" s="244" t="s">
        <v>1885</v>
      </c>
      <c r="I13" s="93" t="s">
        <v>1886</v>
      </c>
      <c r="J13" s="97" t="s">
        <v>1887</v>
      </c>
      <c r="K13" s="198" t="n">
        <v>420</v>
      </c>
      <c r="L13" s="198" t="s">
        <v>1888</v>
      </c>
      <c r="M13" s="245" t="s">
        <v>1889</v>
      </c>
      <c r="N13" s="198" t="n">
        <v>269</v>
      </c>
      <c r="O13" s="198"/>
      <c r="P13" s="198" t="s">
        <v>1890</v>
      </c>
      <c r="Q13" s="198" t="s">
        <v>1891</v>
      </c>
      <c r="R13" s="198" t="s">
        <v>1892</v>
      </c>
      <c r="S13" s="246"/>
      <c r="T13" s="246"/>
      <c r="U13" s="246"/>
      <c r="V13" s="246"/>
      <c r="W13" s="246"/>
      <c r="X13" s="246"/>
      <c r="Y13" s="246"/>
      <c r="Z13" s="246"/>
    </row>
    <row r="14" customFormat="false" ht="12" hidden="false" customHeight="true" outlineLevel="0" collapsed="false">
      <c r="A14" s="198" t="n">
        <v>10</v>
      </c>
      <c r="B14" s="244" t="s">
        <v>1893</v>
      </c>
      <c r="C14" s="198" t="s">
        <v>1882</v>
      </c>
      <c r="D14" s="198" t="s">
        <v>1807</v>
      </c>
      <c r="E14" s="198" t="s">
        <v>1894</v>
      </c>
      <c r="F14" s="198" t="s">
        <v>175</v>
      </c>
      <c r="G14" s="198" t="s">
        <v>1895</v>
      </c>
      <c r="H14" s="244" t="s">
        <v>1896</v>
      </c>
      <c r="I14" s="93" t="s">
        <v>1897</v>
      </c>
      <c r="J14" s="97" t="s">
        <v>1898</v>
      </c>
      <c r="K14" s="198" t="s">
        <v>1899</v>
      </c>
      <c r="L14" s="198" t="s">
        <v>1900</v>
      </c>
      <c r="M14" s="245" t="s">
        <v>1901</v>
      </c>
      <c r="N14" s="198" t="n">
        <v>37</v>
      </c>
      <c r="O14" s="198"/>
      <c r="P14" s="198" t="s">
        <v>1902</v>
      </c>
      <c r="Q14" s="198" t="s">
        <v>1903</v>
      </c>
      <c r="R14" s="198" t="s">
        <v>1904</v>
      </c>
      <c r="S14" s="221"/>
      <c r="T14" s="221"/>
      <c r="U14" s="221"/>
      <c r="V14" s="221"/>
      <c r="W14" s="221"/>
      <c r="X14" s="221"/>
      <c r="Y14" s="221"/>
      <c r="Z14" s="221"/>
    </row>
    <row r="15" customFormat="false" ht="12" hidden="false" customHeight="true" outlineLevel="0" collapsed="false">
      <c r="A15" s="198" t="n">
        <v>11</v>
      </c>
      <c r="B15" s="244" t="s">
        <v>1905</v>
      </c>
      <c r="C15" s="198" t="s">
        <v>1882</v>
      </c>
      <c r="D15" s="198" t="s">
        <v>1807</v>
      </c>
      <c r="E15" s="198" t="s">
        <v>1906</v>
      </c>
      <c r="F15" s="198" t="s">
        <v>175</v>
      </c>
      <c r="G15" s="198" t="s">
        <v>1907</v>
      </c>
      <c r="H15" s="244" t="s">
        <v>1908</v>
      </c>
      <c r="I15" s="93" t="s">
        <v>1909</v>
      </c>
      <c r="J15" s="97" t="s">
        <v>1910</v>
      </c>
      <c r="K15" s="198" t="n">
        <v>531</v>
      </c>
      <c r="L15" s="198" t="s">
        <v>1888</v>
      </c>
      <c r="M15" s="245" t="s">
        <v>1911</v>
      </c>
      <c r="N15" s="198" t="n">
        <v>163</v>
      </c>
      <c r="O15" s="198" t="s">
        <v>1912</v>
      </c>
      <c r="P15" s="198" t="s">
        <v>1913</v>
      </c>
      <c r="Q15" s="198" t="s">
        <v>1914</v>
      </c>
      <c r="R15" s="198" t="s">
        <v>1915</v>
      </c>
      <c r="S15" s="221"/>
      <c r="T15" s="221"/>
      <c r="U15" s="221"/>
      <c r="V15" s="221"/>
      <c r="W15" s="221"/>
      <c r="X15" s="221"/>
      <c r="Y15" s="221"/>
      <c r="Z15" s="221"/>
    </row>
    <row r="16" customFormat="false" ht="12" hidden="false" customHeight="true" outlineLevel="0" collapsed="false">
      <c r="A16" s="198" t="n">
        <v>12</v>
      </c>
      <c r="B16" s="244" t="s">
        <v>1916</v>
      </c>
      <c r="C16" s="198" t="s">
        <v>452</v>
      </c>
      <c r="D16" s="198" t="s">
        <v>1807</v>
      </c>
      <c r="E16" s="198" t="s">
        <v>1917</v>
      </c>
      <c r="F16" s="198" t="s">
        <v>175</v>
      </c>
      <c r="G16" s="198" t="s">
        <v>279</v>
      </c>
      <c r="H16" s="244" t="s">
        <v>1918</v>
      </c>
      <c r="I16" s="93" t="s">
        <v>1919</v>
      </c>
      <c r="J16" s="97" t="s">
        <v>1920</v>
      </c>
      <c r="K16" s="198" t="n">
        <v>26900</v>
      </c>
      <c r="L16" s="198" t="n">
        <v>2100</v>
      </c>
      <c r="M16" s="245" t="s">
        <v>1921</v>
      </c>
      <c r="N16" s="198" t="s">
        <v>1888</v>
      </c>
      <c r="O16" s="198" t="s">
        <v>1922</v>
      </c>
      <c r="P16" s="198" t="s">
        <v>1923</v>
      </c>
      <c r="Q16" s="198" t="s">
        <v>1924</v>
      </c>
      <c r="R16" s="198" t="s">
        <v>1925</v>
      </c>
      <c r="S16" s="221"/>
      <c r="T16" s="221"/>
      <c r="U16" s="221"/>
      <c r="V16" s="221"/>
      <c r="W16" s="221"/>
      <c r="X16" s="221"/>
      <c r="Y16" s="221"/>
      <c r="Z16" s="221"/>
    </row>
    <row r="17" customFormat="false" ht="12" hidden="false" customHeight="true" outlineLevel="0" collapsed="false">
      <c r="A17" s="198" t="n">
        <v>13</v>
      </c>
      <c r="B17" s="244" t="s">
        <v>1926</v>
      </c>
      <c r="C17" s="198" t="s">
        <v>1826</v>
      </c>
      <c r="D17" s="198" t="s">
        <v>1927</v>
      </c>
      <c r="E17" s="198" t="s">
        <v>1928</v>
      </c>
      <c r="F17" s="198" t="s">
        <v>1127</v>
      </c>
      <c r="G17" s="198" t="s">
        <v>17</v>
      </c>
      <c r="H17" s="244" t="s">
        <v>17</v>
      </c>
      <c r="I17" s="93" t="s">
        <v>1929</v>
      </c>
      <c r="J17" s="97" t="s">
        <v>1930</v>
      </c>
      <c r="K17" s="247" t="n">
        <v>115425</v>
      </c>
      <c r="L17" s="247" t="n">
        <v>9797</v>
      </c>
      <c r="M17" s="245" t="s">
        <v>1931</v>
      </c>
      <c r="N17" s="198" t="s">
        <v>1888</v>
      </c>
      <c r="O17" s="198" t="s">
        <v>1932</v>
      </c>
      <c r="P17" s="198" t="s">
        <v>1933</v>
      </c>
      <c r="Q17" s="198" t="s">
        <v>1934</v>
      </c>
      <c r="R17" s="198" t="s">
        <v>1934</v>
      </c>
      <c r="S17" s="221"/>
      <c r="T17" s="221"/>
      <c r="U17" s="221"/>
      <c r="V17" s="221"/>
      <c r="W17" s="221"/>
      <c r="X17" s="221"/>
      <c r="Y17" s="221"/>
      <c r="Z17" s="221"/>
    </row>
    <row r="18" customFormat="false" ht="12" hidden="false" customHeight="true" outlineLevel="0" collapsed="false">
      <c r="A18" s="198" t="n">
        <v>14</v>
      </c>
      <c r="B18" s="244" t="s">
        <v>1935</v>
      </c>
      <c r="C18" s="198" t="s">
        <v>1844</v>
      </c>
      <c r="D18" s="198" t="s">
        <v>1927</v>
      </c>
      <c r="E18" s="198" t="s">
        <v>1936</v>
      </c>
      <c r="F18" s="198" t="s">
        <v>175</v>
      </c>
      <c r="G18" s="198" t="s">
        <v>1937</v>
      </c>
      <c r="H18" s="244" t="s">
        <v>1938</v>
      </c>
      <c r="I18" s="93" t="s">
        <v>1939</v>
      </c>
      <c r="J18" s="97" t="s">
        <v>1940</v>
      </c>
      <c r="K18" s="198" t="n">
        <v>15226</v>
      </c>
      <c r="L18" s="198" t="n">
        <v>1026</v>
      </c>
      <c r="M18" s="245" t="s">
        <v>1941</v>
      </c>
      <c r="N18" s="198" t="s">
        <v>1888</v>
      </c>
      <c r="O18" s="198"/>
      <c r="P18" s="198" t="s">
        <v>1942</v>
      </c>
      <c r="Q18" s="198" t="s">
        <v>1943</v>
      </c>
      <c r="R18" s="198" t="s">
        <v>1944</v>
      </c>
      <c r="S18" s="221"/>
      <c r="T18" s="221"/>
      <c r="U18" s="221"/>
      <c r="V18" s="221"/>
      <c r="W18" s="221"/>
      <c r="X18" s="221"/>
      <c r="Y18" s="221"/>
      <c r="Z18" s="221"/>
    </row>
    <row r="19" customFormat="false" ht="12" hidden="false" customHeight="true" outlineLevel="0" collapsed="false">
      <c r="A19" s="198" t="n">
        <v>15</v>
      </c>
      <c r="B19" s="244" t="s">
        <v>1945</v>
      </c>
      <c r="C19" s="198" t="s">
        <v>1844</v>
      </c>
      <c r="D19" s="198" t="s">
        <v>1927</v>
      </c>
      <c r="E19" s="198" t="s">
        <v>1946</v>
      </c>
      <c r="F19" s="198" t="s">
        <v>190</v>
      </c>
      <c r="G19" s="198" t="s">
        <v>1947</v>
      </c>
      <c r="H19" s="244" t="s">
        <v>1948</v>
      </c>
      <c r="I19" s="93" t="s">
        <v>1949</v>
      </c>
      <c r="J19" s="97" t="s">
        <v>1950</v>
      </c>
      <c r="K19" s="198" t="n">
        <v>21900</v>
      </c>
      <c r="L19" s="198" t="n">
        <v>1700</v>
      </c>
      <c r="M19" s="245" t="s">
        <v>1951</v>
      </c>
      <c r="N19" s="198" t="s">
        <v>1888</v>
      </c>
      <c r="O19" s="198" t="s">
        <v>1952</v>
      </c>
      <c r="P19" s="198" t="s">
        <v>1953</v>
      </c>
      <c r="Q19" s="198" t="s">
        <v>1954</v>
      </c>
      <c r="R19" s="198" t="s">
        <v>1954</v>
      </c>
      <c r="S19" s="221"/>
      <c r="T19" s="221"/>
      <c r="U19" s="221"/>
      <c r="V19" s="221"/>
      <c r="W19" s="221"/>
      <c r="X19" s="221"/>
      <c r="Y19" s="221"/>
      <c r="Z19" s="221"/>
    </row>
    <row r="20" customFormat="false" ht="12" hidden="false" customHeight="true" outlineLevel="0" collapsed="false">
      <c r="A20" s="198" t="n">
        <v>16</v>
      </c>
      <c r="B20" s="244" t="s">
        <v>1955</v>
      </c>
      <c r="C20" s="198" t="s">
        <v>452</v>
      </c>
      <c r="D20" s="198" t="s">
        <v>1927</v>
      </c>
      <c r="E20" s="198" t="s">
        <v>1956</v>
      </c>
      <c r="F20" s="198" t="s">
        <v>1127</v>
      </c>
      <c r="G20" s="198" t="s">
        <v>17</v>
      </c>
      <c r="H20" s="244" t="s">
        <v>17</v>
      </c>
      <c r="I20" s="93" t="s">
        <v>1957</v>
      </c>
      <c r="J20" s="97" t="s">
        <v>1958</v>
      </c>
      <c r="K20" s="198" t="s">
        <v>1959</v>
      </c>
      <c r="L20" s="198" t="s">
        <v>1888</v>
      </c>
      <c r="M20" s="97" t="s">
        <v>1960</v>
      </c>
      <c r="N20" s="198" t="s">
        <v>1888</v>
      </c>
      <c r="O20" s="198" t="s">
        <v>1961</v>
      </c>
      <c r="P20" s="198" t="s">
        <v>1962</v>
      </c>
      <c r="Q20" s="198" t="s">
        <v>1963</v>
      </c>
      <c r="R20" s="198" t="s">
        <v>1963</v>
      </c>
      <c r="S20" s="221"/>
      <c r="T20" s="221"/>
      <c r="U20" s="221"/>
      <c r="V20" s="221"/>
      <c r="W20" s="221"/>
      <c r="X20" s="221"/>
      <c r="Y20" s="221"/>
      <c r="Z20" s="221"/>
    </row>
    <row r="21" customFormat="false" ht="12" hidden="false" customHeight="true" outlineLevel="0" collapsed="false">
      <c r="A21" s="198" t="n">
        <v>17</v>
      </c>
      <c r="B21" s="244" t="s">
        <v>1964</v>
      </c>
      <c r="C21" s="198" t="s">
        <v>15</v>
      </c>
      <c r="D21" s="198" t="s">
        <v>1927</v>
      </c>
      <c r="E21" s="198" t="s">
        <v>1965</v>
      </c>
      <c r="F21" s="198" t="s">
        <v>1127</v>
      </c>
      <c r="G21" s="198" t="s">
        <v>17</v>
      </c>
      <c r="H21" s="244" t="s">
        <v>17</v>
      </c>
      <c r="I21" s="93" t="s">
        <v>1966</v>
      </c>
      <c r="J21" s="97" t="s">
        <v>1967</v>
      </c>
      <c r="K21" s="198" t="s">
        <v>1968</v>
      </c>
      <c r="L21" s="198" t="s">
        <v>1969</v>
      </c>
      <c r="M21" s="245" t="s">
        <v>1970</v>
      </c>
      <c r="N21" s="198" t="s">
        <v>1888</v>
      </c>
      <c r="O21" s="198"/>
      <c r="P21" s="198" t="s">
        <v>1971</v>
      </c>
      <c r="Q21" s="198" t="s">
        <v>1972</v>
      </c>
      <c r="R21" s="198" t="s">
        <v>1879</v>
      </c>
      <c r="S21" s="221"/>
      <c r="T21" s="221"/>
      <c r="U21" s="221"/>
      <c r="V21" s="221"/>
      <c r="W21" s="221"/>
      <c r="X21" s="221"/>
      <c r="Y21" s="221"/>
      <c r="Z21" s="221"/>
    </row>
    <row r="22" customFormat="false" ht="12" hidden="false" customHeight="true" outlineLevel="0" collapsed="false">
      <c r="A22" s="198" t="n">
        <v>18</v>
      </c>
      <c r="B22" s="244" t="s">
        <v>1973</v>
      </c>
      <c r="C22" s="198" t="s">
        <v>452</v>
      </c>
      <c r="D22" s="198" t="s">
        <v>1927</v>
      </c>
      <c r="E22" s="198" t="s">
        <v>1974</v>
      </c>
      <c r="F22" s="198" t="s">
        <v>1127</v>
      </c>
      <c r="G22" s="198" t="s">
        <v>17</v>
      </c>
      <c r="H22" s="244" t="s">
        <v>17</v>
      </c>
      <c r="I22" s="93" t="s">
        <v>1975</v>
      </c>
      <c r="J22" s="97" t="s">
        <v>1976</v>
      </c>
      <c r="K22" s="198" t="s">
        <v>1977</v>
      </c>
      <c r="L22" s="198" t="s">
        <v>1978</v>
      </c>
      <c r="M22" s="248" t="s">
        <v>1979</v>
      </c>
      <c r="N22" s="198" t="s">
        <v>1888</v>
      </c>
      <c r="O22" s="198" t="s">
        <v>1980</v>
      </c>
      <c r="P22" s="198" t="s">
        <v>1981</v>
      </c>
      <c r="Q22" s="198" t="s">
        <v>1982</v>
      </c>
      <c r="R22" s="198" t="s">
        <v>1879</v>
      </c>
      <c r="S22" s="221"/>
      <c r="T22" s="221"/>
      <c r="U22" s="221"/>
      <c r="V22" s="221"/>
      <c r="W22" s="221"/>
      <c r="X22" s="221"/>
      <c r="Y22" s="221"/>
      <c r="Z22" s="221"/>
    </row>
    <row r="23" customFormat="false" ht="12" hidden="false" customHeight="true" outlineLevel="0" collapsed="false">
      <c r="A23" s="198" t="n">
        <v>19</v>
      </c>
      <c r="B23" s="244" t="s">
        <v>1983</v>
      </c>
      <c r="C23" s="198" t="s">
        <v>15</v>
      </c>
      <c r="D23" s="198" t="s">
        <v>1807</v>
      </c>
      <c r="E23" s="198" t="s">
        <v>1984</v>
      </c>
      <c r="F23" s="198" t="s">
        <v>175</v>
      </c>
      <c r="G23" s="198" t="s">
        <v>1985</v>
      </c>
      <c r="H23" s="244" t="s">
        <v>1317</v>
      </c>
      <c r="I23" s="93" t="s">
        <v>1986</v>
      </c>
      <c r="J23" s="97" t="s">
        <v>1987</v>
      </c>
      <c r="K23" s="249" t="s">
        <v>1988</v>
      </c>
      <c r="L23" s="249" t="s">
        <v>1989</v>
      </c>
      <c r="M23" s="245" t="s">
        <v>1990</v>
      </c>
      <c r="N23" s="198" t="n">
        <v>9</v>
      </c>
      <c r="O23" s="198" t="s">
        <v>1991</v>
      </c>
      <c r="P23" s="198" t="s">
        <v>1992</v>
      </c>
      <c r="Q23" s="198" t="s">
        <v>1993</v>
      </c>
      <c r="R23" s="198" t="s">
        <v>1994</v>
      </c>
      <c r="S23" s="221"/>
      <c r="T23" s="221"/>
      <c r="U23" s="221"/>
      <c r="V23" s="221"/>
      <c r="W23" s="221"/>
      <c r="X23" s="221"/>
      <c r="Y23" s="221"/>
      <c r="Z23" s="221"/>
    </row>
    <row r="24" customFormat="false" ht="12" hidden="false" customHeight="true" outlineLevel="0" collapsed="false">
      <c r="A24" s="198" t="n">
        <v>20</v>
      </c>
      <c r="B24" s="244" t="s">
        <v>1995</v>
      </c>
      <c r="C24" s="198" t="s">
        <v>15</v>
      </c>
      <c r="D24" s="198" t="s">
        <v>1807</v>
      </c>
      <c r="E24" s="198" t="s">
        <v>1996</v>
      </c>
      <c r="F24" s="198" t="s">
        <v>175</v>
      </c>
      <c r="G24" s="198" t="s">
        <v>1846</v>
      </c>
      <c r="H24" s="244" t="s">
        <v>1997</v>
      </c>
      <c r="I24" s="93" t="s">
        <v>1998</v>
      </c>
      <c r="J24" s="97" t="s">
        <v>1999</v>
      </c>
      <c r="K24" s="198" t="s">
        <v>2000</v>
      </c>
      <c r="L24" s="198" t="s">
        <v>2001</v>
      </c>
      <c r="M24" s="245" t="s">
        <v>2002</v>
      </c>
      <c r="N24" s="198" t="n">
        <v>47</v>
      </c>
      <c r="O24" s="198" t="s">
        <v>2003</v>
      </c>
      <c r="P24" s="198" t="s">
        <v>1851</v>
      </c>
      <c r="Q24" s="198" t="s">
        <v>1852</v>
      </c>
      <c r="R24" s="198" t="s">
        <v>1853</v>
      </c>
      <c r="S24" s="221"/>
      <c r="T24" s="221"/>
      <c r="U24" s="221"/>
      <c r="V24" s="221"/>
      <c r="W24" s="221"/>
      <c r="X24" s="221"/>
      <c r="Y24" s="221"/>
      <c r="Z24" s="221"/>
    </row>
    <row r="25" customFormat="false" ht="12" hidden="false" customHeight="true" outlineLevel="0" collapsed="false">
      <c r="A25" s="78" t="s">
        <v>2004</v>
      </c>
      <c r="B25" s="202"/>
      <c r="C25" s="202"/>
      <c r="D25" s="202"/>
      <c r="E25" s="202"/>
      <c r="F25" s="202"/>
      <c r="G25" s="202"/>
      <c r="H25" s="250"/>
      <c r="I25" s="80"/>
      <c r="J25" s="251"/>
      <c r="K25" s="202"/>
      <c r="L25" s="202"/>
      <c r="M25" s="252"/>
      <c r="N25" s="202"/>
      <c r="O25" s="202"/>
      <c r="P25" s="202"/>
      <c r="Q25" s="202"/>
      <c r="R25" s="202"/>
      <c r="S25" s="221"/>
      <c r="T25" s="221"/>
      <c r="U25" s="221"/>
      <c r="V25" s="221"/>
      <c r="W25" s="221"/>
      <c r="X25" s="221"/>
      <c r="Y25" s="221"/>
      <c r="Z25" s="221"/>
    </row>
    <row r="26" customFormat="false" ht="12" hidden="false" customHeight="true" outlineLevel="0" collapsed="false">
      <c r="A26" s="202"/>
      <c r="B26" s="250"/>
      <c r="C26" s="202"/>
      <c r="D26" s="202"/>
      <c r="E26" s="202"/>
      <c r="F26" s="202"/>
      <c r="G26" s="202"/>
      <c r="H26" s="250"/>
      <c r="I26" s="80"/>
      <c r="J26" s="251"/>
      <c r="K26" s="202"/>
      <c r="L26" s="202"/>
      <c r="M26" s="252"/>
      <c r="N26" s="202"/>
      <c r="O26" s="202"/>
      <c r="P26" s="202"/>
      <c r="Q26" s="202"/>
      <c r="R26" s="202"/>
      <c r="S26" s="221"/>
      <c r="T26" s="221"/>
      <c r="U26" s="221"/>
      <c r="V26" s="221"/>
      <c r="W26" s="221"/>
      <c r="X26" s="221"/>
      <c r="Y26" s="221"/>
      <c r="Z26" s="221"/>
    </row>
    <row r="27" customFormat="false" ht="12" hidden="false" customHeight="true" outlineLevel="0" collapsed="false">
      <c r="A27" s="198" t="n">
        <v>21</v>
      </c>
      <c r="B27" s="198" t="s">
        <v>2005</v>
      </c>
      <c r="C27" s="198" t="s">
        <v>452</v>
      </c>
      <c r="D27" s="198" t="s">
        <v>1927</v>
      </c>
      <c r="E27" s="198" t="s">
        <v>1928</v>
      </c>
      <c r="F27" s="198" t="s">
        <v>202</v>
      </c>
      <c r="G27" s="198" t="s">
        <v>2006</v>
      </c>
      <c r="H27" s="244" t="s">
        <v>1997</v>
      </c>
      <c r="I27" s="93" t="s">
        <v>2007</v>
      </c>
      <c r="J27" s="97" t="s">
        <v>2008</v>
      </c>
      <c r="K27" s="198" t="n">
        <v>576</v>
      </c>
      <c r="L27" s="198" t="s">
        <v>1888</v>
      </c>
      <c r="M27" s="245" t="s">
        <v>2009</v>
      </c>
      <c r="N27" s="198" t="n">
        <v>39</v>
      </c>
      <c r="O27" s="198" t="s">
        <v>2010</v>
      </c>
      <c r="P27" s="198" t="s">
        <v>1933</v>
      </c>
      <c r="Q27" s="198" t="s">
        <v>1934</v>
      </c>
      <c r="R27" s="198" t="s">
        <v>2011</v>
      </c>
      <c r="S27" s="221"/>
      <c r="T27" s="221"/>
      <c r="U27" s="221"/>
      <c r="V27" s="221"/>
      <c r="W27" s="221"/>
      <c r="X27" s="221"/>
      <c r="Y27" s="221"/>
      <c r="Z27" s="221"/>
    </row>
    <row r="28" customFormat="false" ht="12" hidden="false" customHeight="true" outlineLevel="0" collapsed="false">
      <c r="A28" s="198" t="n">
        <f aca="false">A27+1</f>
        <v>22</v>
      </c>
      <c r="B28" s="198" t="s">
        <v>2012</v>
      </c>
      <c r="C28" s="198" t="s">
        <v>17</v>
      </c>
      <c r="D28" s="198" t="s">
        <v>17</v>
      </c>
      <c r="E28" s="198" t="s">
        <v>2013</v>
      </c>
      <c r="F28" s="93" t="s">
        <v>1127</v>
      </c>
      <c r="G28" s="198" t="s">
        <v>17</v>
      </c>
      <c r="H28" s="244" t="s">
        <v>17</v>
      </c>
      <c r="I28" s="93" t="s">
        <v>2014</v>
      </c>
      <c r="J28" s="97" t="s">
        <v>2015</v>
      </c>
      <c r="K28" s="198" t="n">
        <v>22000</v>
      </c>
      <c r="L28" s="198" t="n">
        <v>6800</v>
      </c>
      <c r="M28" s="245" t="s">
        <v>2016</v>
      </c>
      <c r="N28" s="198" t="s">
        <v>1888</v>
      </c>
      <c r="O28" s="198"/>
      <c r="P28" s="198" t="s">
        <v>2017</v>
      </c>
      <c r="Q28" s="198" t="s">
        <v>2018</v>
      </c>
      <c r="R28" s="198" t="s">
        <v>1879</v>
      </c>
      <c r="S28" s="221"/>
      <c r="T28" s="221"/>
      <c r="U28" s="221"/>
      <c r="V28" s="221"/>
      <c r="W28" s="221"/>
      <c r="X28" s="221"/>
      <c r="Y28" s="221"/>
      <c r="Z28" s="221"/>
    </row>
    <row r="29" customFormat="false" ht="12" hidden="false" customHeight="true" outlineLevel="0" collapsed="false">
      <c r="A29" s="198" t="n">
        <f aca="false">A28+1</f>
        <v>23</v>
      </c>
      <c r="B29" s="198" t="s">
        <v>2019</v>
      </c>
      <c r="C29" s="198" t="s">
        <v>2020</v>
      </c>
      <c r="D29" s="198" t="s">
        <v>1927</v>
      </c>
      <c r="E29" s="198" t="s">
        <v>2021</v>
      </c>
      <c r="F29" s="198" t="s">
        <v>175</v>
      </c>
      <c r="G29" s="198" t="s">
        <v>17</v>
      </c>
      <c r="H29" s="244" t="s">
        <v>1896</v>
      </c>
      <c r="I29" s="93" t="s">
        <v>2022</v>
      </c>
      <c r="J29" s="97" t="s">
        <v>2023</v>
      </c>
      <c r="K29" s="198" t="s">
        <v>2024</v>
      </c>
      <c r="L29" s="198" t="n">
        <v>960</v>
      </c>
      <c r="M29" s="245" t="s">
        <v>2025</v>
      </c>
      <c r="N29" s="198" t="s">
        <v>1888</v>
      </c>
      <c r="O29" s="198" t="s">
        <v>2026</v>
      </c>
      <c r="P29" s="198" t="s">
        <v>1879</v>
      </c>
      <c r="Q29" s="198" t="s">
        <v>2027</v>
      </c>
      <c r="R29" s="198" t="s">
        <v>2028</v>
      </c>
      <c r="S29" s="221"/>
      <c r="T29" s="221"/>
      <c r="U29" s="221"/>
      <c r="V29" s="221"/>
      <c r="W29" s="221"/>
      <c r="X29" s="221"/>
      <c r="Y29" s="221"/>
      <c r="Z29" s="221"/>
    </row>
    <row r="30" customFormat="false" ht="12" hidden="false" customHeight="true" outlineLevel="0" collapsed="false">
      <c r="A30" s="198" t="n">
        <f aca="false">A29+1</f>
        <v>24</v>
      </c>
      <c r="B30" s="198" t="s">
        <v>2029</v>
      </c>
      <c r="C30" s="198" t="s">
        <v>2030</v>
      </c>
      <c r="D30" s="198" t="s">
        <v>2031</v>
      </c>
      <c r="E30" s="198" t="s">
        <v>2032</v>
      </c>
      <c r="F30" s="198" t="s">
        <v>175</v>
      </c>
      <c r="G30" s="198" t="s">
        <v>279</v>
      </c>
      <c r="H30" s="244" t="s">
        <v>1918</v>
      </c>
      <c r="I30" s="93" t="s">
        <v>2033</v>
      </c>
      <c r="J30" s="97" t="s">
        <v>2034</v>
      </c>
      <c r="K30" s="253" t="n">
        <v>98283</v>
      </c>
      <c r="L30" s="253" t="n">
        <v>10645</v>
      </c>
      <c r="M30" s="245" t="s">
        <v>2035</v>
      </c>
      <c r="N30" s="198" t="n">
        <v>54</v>
      </c>
      <c r="O30" s="198"/>
      <c r="P30" s="198" t="s">
        <v>2036</v>
      </c>
      <c r="Q30" s="198" t="s">
        <v>2037</v>
      </c>
      <c r="R30" s="198" t="s">
        <v>2038</v>
      </c>
      <c r="S30" s="221"/>
      <c r="T30" s="221"/>
      <c r="U30" s="221"/>
      <c r="V30" s="221"/>
      <c r="W30" s="221"/>
      <c r="X30" s="221"/>
      <c r="Y30" s="221"/>
      <c r="Z30" s="221"/>
    </row>
    <row r="31" customFormat="false" ht="12" hidden="false" customHeight="true" outlineLevel="0" collapsed="false">
      <c r="A31" s="198" t="n">
        <f aca="false">A30+1</f>
        <v>25</v>
      </c>
      <c r="B31" s="198" t="s">
        <v>2039</v>
      </c>
      <c r="C31" s="198" t="s">
        <v>15</v>
      </c>
      <c r="D31" s="198" t="s">
        <v>1827</v>
      </c>
      <c r="E31" s="198" t="s">
        <v>2040</v>
      </c>
      <c r="F31" s="198" t="s">
        <v>190</v>
      </c>
      <c r="G31" s="198" t="s">
        <v>2041</v>
      </c>
      <c r="H31" s="244" t="s">
        <v>2042</v>
      </c>
      <c r="I31" s="93" t="s">
        <v>2043</v>
      </c>
      <c r="J31" s="97" t="s">
        <v>2044</v>
      </c>
      <c r="K31" s="198" t="n">
        <v>11080</v>
      </c>
      <c r="L31" s="198" t="n">
        <v>4119</v>
      </c>
      <c r="M31" s="245" t="s">
        <v>2045</v>
      </c>
      <c r="N31" s="198" t="n">
        <v>249</v>
      </c>
      <c r="O31" s="198"/>
      <c r="P31" s="198" t="s">
        <v>2046</v>
      </c>
      <c r="Q31" s="198" t="s">
        <v>2046</v>
      </c>
      <c r="R31" s="198" t="s">
        <v>2047</v>
      </c>
      <c r="S31" s="221"/>
      <c r="T31" s="221"/>
      <c r="U31" s="221"/>
      <c r="V31" s="221"/>
      <c r="W31" s="221"/>
      <c r="X31" s="221"/>
      <c r="Y31" s="221"/>
      <c r="Z31" s="221"/>
    </row>
    <row r="32" customFormat="false" ht="12" hidden="false" customHeight="true" outlineLevel="0" collapsed="false">
      <c r="A32" s="198" t="n">
        <f aca="false">A31+1</f>
        <v>26</v>
      </c>
      <c r="B32" s="198" t="s">
        <v>2048</v>
      </c>
      <c r="C32" s="198" t="s">
        <v>2030</v>
      </c>
      <c r="D32" s="198" t="s">
        <v>2049</v>
      </c>
      <c r="E32" s="198" t="s">
        <v>2050</v>
      </c>
      <c r="F32" s="93" t="s">
        <v>1127</v>
      </c>
      <c r="G32" s="198" t="s">
        <v>17</v>
      </c>
      <c r="H32" s="244" t="s">
        <v>17</v>
      </c>
      <c r="I32" s="93" t="s">
        <v>2051</v>
      </c>
      <c r="J32" s="97" t="s">
        <v>2052</v>
      </c>
      <c r="K32" s="254" t="n">
        <v>136518</v>
      </c>
      <c r="L32" s="254" t="n">
        <v>20555</v>
      </c>
      <c r="M32" s="245" t="s">
        <v>2053</v>
      </c>
      <c r="N32" s="198" t="s">
        <v>1888</v>
      </c>
      <c r="O32" s="198"/>
      <c r="P32" s="198" t="s">
        <v>2050</v>
      </c>
      <c r="Q32" s="198" t="s">
        <v>2054</v>
      </c>
      <c r="R32" s="198" t="s">
        <v>2055</v>
      </c>
      <c r="S32" s="221"/>
      <c r="T32" s="221"/>
      <c r="U32" s="221"/>
      <c r="V32" s="221"/>
      <c r="W32" s="221"/>
      <c r="X32" s="221"/>
      <c r="Y32" s="221"/>
      <c r="Z32" s="221"/>
    </row>
    <row r="33" customFormat="false" ht="12" hidden="false" customHeight="true" outlineLevel="0" collapsed="false">
      <c r="A33" s="198" t="n">
        <f aca="false">A32+1</f>
        <v>27</v>
      </c>
      <c r="B33" s="198" t="s">
        <v>2056</v>
      </c>
      <c r="C33" s="198" t="s">
        <v>68</v>
      </c>
      <c r="D33" s="198" t="s">
        <v>2057</v>
      </c>
      <c r="E33" s="198" t="s">
        <v>2058</v>
      </c>
      <c r="F33" s="198" t="s">
        <v>175</v>
      </c>
      <c r="G33" s="198" t="s">
        <v>279</v>
      </c>
      <c r="H33" s="244" t="s">
        <v>1918</v>
      </c>
      <c r="I33" s="93" t="s">
        <v>2059</v>
      </c>
      <c r="J33" s="97" t="s">
        <v>2060</v>
      </c>
      <c r="K33" s="247" t="n">
        <v>19602</v>
      </c>
      <c r="L33" s="247" t="n">
        <v>9352</v>
      </c>
      <c r="M33" s="245" t="s">
        <v>2061</v>
      </c>
      <c r="N33" s="198" t="n">
        <v>18</v>
      </c>
      <c r="O33" s="198"/>
      <c r="P33" s="198" t="s">
        <v>2062</v>
      </c>
      <c r="Q33" s="198" t="s">
        <v>2063</v>
      </c>
      <c r="R33" s="198" t="s">
        <v>1925</v>
      </c>
      <c r="S33" s="221"/>
      <c r="T33" s="221"/>
      <c r="U33" s="221"/>
      <c r="V33" s="221"/>
      <c r="W33" s="221"/>
      <c r="X33" s="221"/>
      <c r="Y33" s="221"/>
      <c r="Z33" s="221"/>
    </row>
    <row r="34" customFormat="false" ht="12" hidden="false" customHeight="true" outlineLevel="0" collapsed="false">
      <c r="A34" s="198" t="n">
        <f aca="false">A33+1</f>
        <v>28</v>
      </c>
      <c r="B34" s="198" t="s">
        <v>2064</v>
      </c>
      <c r="C34" s="198" t="s">
        <v>2030</v>
      </c>
      <c r="D34" s="198" t="s">
        <v>2065</v>
      </c>
      <c r="E34" s="198" t="s">
        <v>2066</v>
      </c>
      <c r="F34" s="198" t="s">
        <v>175</v>
      </c>
      <c r="G34" s="198" t="s">
        <v>2067</v>
      </c>
      <c r="H34" s="244" t="s">
        <v>1896</v>
      </c>
      <c r="I34" s="93" t="s">
        <v>2068</v>
      </c>
      <c r="J34" s="97" t="s">
        <v>2069</v>
      </c>
      <c r="K34" s="255" t="n">
        <v>17069</v>
      </c>
      <c r="L34" s="255" t="n">
        <v>3923</v>
      </c>
      <c r="M34" s="245" t="s">
        <v>2070</v>
      </c>
      <c r="N34" s="198" t="n">
        <v>1</v>
      </c>
      <c r="O34" s="198"/>
      <c r="P34" s="198" t="s">
        <v>2066</v>
      </c>
      <c r="Q34" s="198" t="s">
        <v>2071</v>
      </c>
      <c r="R34" s="198" t="s">
        <v>2072</v>
      </c>
      <c r="S34" s="221"/>
      <c r="T34" s="221"/>
      <c r="U34" s="221"/>
      <c r="V34" s="221"/>
      <c r="W34" s="221"/>
      <c r="X34" s="221"/>
      <c r="Y34" s="221"/>
      <c r="Z34" s="221"/>
    </row>
    <row r="35" customFormat="false" ht="12" hidden="false" customHeight="true" outlineLevel="0" collapsed="false">
      <c r="A35" s="256"/>
      <c r="B35" s="256"/>
      <c r="C35" s="256"/>
      <c r="D35" s="256"/>
      <c r="E35" s="256"/>
      <c r="F35" s="256"/>
      <c r="G35" s="256"/>
      <c r="H35" s="256"/>
      <c r="I35" s="256"/>
      <c r="J35" s="257"/>
      <c r="K35" s="256"/>
      <c r="L35" s="256"/>
      <c r="M35" s="256"/>
      <c r="N35" s="256"/>
      <c r="O35" s="256"/>
      <c r="P35" s="256"/>
      <c r="Q35" s="256"/>
      <c r="R35" s="256"/>
      <c r="S35" s="221"/>
      <c r="T35" s="221"/>
      <c r="U35" s="221"/>
      <c r="V35" s="221"/>
      <c r="W35" s="221"/>
      <c r="X35" s="221"/>
      <c r="Y35" s="221"/>
      <c r="Z35" s="221"/>
    </row>
    <row r="36" customFormat="false" ht="12" hidden="false" customHeight="true" outlineLevel="0" collapsed="false">
      <c r="A36" s="256"/>
      <c r="B36" s="256"/>
      <c r="C36" s="256"/>
      <c r="D36" s="256"/>
      <c r="E36" s="256"/>
      <c r="F36" s="256"/>
      <c r="G36" s="256"/>
      <c r="H36" s="256"/>
      <c r="I36" s="256"/>
      <c r="J36" s="257"/>
      <c r="K36" s="256"/>
      <c r="L36" s="256"/>
      <c r="M36" s="256"/>
      <c r="N36" s="256"/>
      <c r="O36" s="256"/>
      <c r="P36" s="256"/>
      <c r="Q36" s="256"/>
      <c r="R36" s="256"/>
      <c r="S36" s="221"/>
      <c r="T36" s="221"/>
      <c r="U36" s="221"/>
      <c r="V36" s="221"/>
      <c r="W36" s="221"/>
      <c r="X36" s="221"/>
      <c r="Y36" s="221"/>
      <c r="Z36" s="221"/>
    </row>
    <row r="37" customFormat="false" ht="12" hidden="false" customHeight="true" outlineLevel="0" collapsed="false">
      <c r="A37" s="256"/>
      <c r="B37" s="256"/>
      <c r="C37" s="256"/>
      <c r="D37" s="256"/>
      <c r="E37" s="256"/>
      <c r="F37" s="256"/>
      <c r="G37" s="256"/>
      <c r="H37" s="256"/>
      <c r="I37" s="256"/>
      <c r="J37" s="257"/>
      <c r="K37" s="256"/>
      <c r="L37" s="256"/>
      <c r="M37" s="256"/>
      <c r="N37" s="256"/>
      <c r="O37" s="256"/>
      <c r="P37" s="256"/>
      <c r="Q37" s="256"/>
      <c r="R37" s="256"/>
      <c r="S37" s="221"/>
      <c r="T37" s="221"/>
      <c r="U37" s="221"/>
      <c r="V37" s="221"/>
      <c r="W37" s="221"/>
      <c r="X37" s="221"/>
      <c r="Y37" s="221"/>
      <c r="Z37" s="221"/>
    </row>
    <row r="38" customFormat="false" ht="12" hidden="false" customHeight="true" outlineLevel="0" collapsed="false">
      <c r="A38" s="256"/>
      <c r="B38" s="256"/>
      <c r="C38" s="256"/>
      <c r="D38" s="256"/>
      <c r="E38" s="256"/>
      <c r="F38" s="256"/>
      <c r="G38" s="256"/>
      <c r="H38" s="256"/>
      <c r="I38" s="256"/>
      <c r="J38" s="257"/>
      <c r="K38" s="256"/>
      <c r="L38" s="256"/>
      <c r="M38" s="256"/>
      <c r="N38" s="256"/>
      <c r="O38" s="256"/>
      <c r="P38" s="256"/>
      <c r="Q38" s="256"/>
      <c r="R38" s="256"/>
      <c r="S38" s="221"/>
      <c r="T38" s="221"/>
      <c r="U38" s="221"/>
      <c r="V38" s="221"/>
      <c r="W38" s="221"/>
      <c r="X38" s="221"/>
      <c r="Y38" s="221"/>
      <c r="Z38" s="221"/>
    </row>
    <row r="39" customFormat="false" ht="12" hidden="false" customHeight="true" outlineLevel="0" collapsed="false">
      <c r="A39" s="256"/>
      <c r="B39" s="256"/>
      <c r="C39" s="256"/>
      <c r="D39" s="256"/>
      <c r="E39" s="256"/>
      <c r="F39" s="256"/>
      <c r="G39" s="256"/>
      <c r="H39" s="256"/>
      <c r="I39" s="256"/>
      <c r="J39" s="257"/>
      <c r="K39" s="256"/>
      <c r="L39" s="256"/>
      <c r="M39" s="256"/>
      <c r="N39" s="256"/>
      <c r="O39" s="256"/>
      <c r="P39" s="256"/>
      <c r="Q39" s="256"/>
      <c r="R39" s="256"/>
      <c r="S39" s="221"/>
      <c r="T39" s="221"/>
      <c r="U39" s="221"/>
      <c r="V39" s="221"/>
      <c r="W39" s="221"/>
      <c r="X39" s="221"/>
      <c r="Y39" s="221"/>
      <c r="Z39" s="221"/>
    </row>
    <row r="40" customFormat="false" ht="12" hidden="false" customHeight="true" outlineLevel="0" collapsed="false">
      <c r="A40" s="256"/>
      <c r="B40" s="256"/>
      <c r="C40" s="256"/>
      <c r="D40" s="256"/>
      <c r="E40" s="256"/>
      <c r="F40" s="256"/>
      <c r="G40" s="256"/>
      <c r="H40" s="256"/>
      <c r="I40" s="256"/>
      <c r="J40" s="257"/>
      <c r="K40" s="256"/>
      <c r="L40" s="256"/>
      <c r="M40" s="256"/>
      <c r="N40" s="256"/>
      <c r="O40" s="256"/>
      <c r="P40" s="256"/>
      <c r="Q40" s="256"/>
      <c r="R40" s="256"/>
      <c r="S40" s="221"/>
      <c r="T40" s="221"/>
      <c r="U40" s="221"/>
      <c r="V40" s="221"/>
      <c r="W40" s="221"/>
      <c r="X40" s="221"/>
      <c r="Y40" s="221"/>
      <c r="Z40" s="221"/>
    </row>
    <row r="41" customFormat="false" ht="12" hidden="false" customHeight="true" outlineLevel="0" collapsed="false">
      <c r="A41" s="256"/>
      <c r="B41" s="256"/>
      <c r="C41" s="256"/>
      <c r="D41" s="256"/>
      <c r="E41" s="256"/>
      <c r="F41" s="256"/>
      <c r="G41" s="256"/>
      <c r="H41" s="256"/>
      <c r="I41" s="256"/>
      <c r="J41" s="257"/>
      <c r="K41" s="256"/>
      <c r="L41" s="256"/>
      <c r="M41" s="256"/>
      <c r="N41" s="256"/>
      <c r="O41" s="256"/>
      <c r="P41" s="256"/>
      <c r="Q41" s="256"/>
      <c r="R41" s="256"/>
      <c r="S41" s="221"/>
      <c r="T41" s="221"/>
      <c r="U41" s="221"/>
      <c r="V41" s="221"/>
      <c r="W41" s="221"/>
      <c r="X41" s="221"/>
      <c r="Y41" s="221"/>
      <c r="Z41" s="221"/>
    </row>
    <row r="42" customFormat="false" ht="12" hidden="false" customHeight="true" outlineLevel="0" collapsed="false">
      <c r="A42" s="256"/>
      <c r="B42" s="256"/>
      <c r="C42" s="256"/>
      <c r="D42" s="256"/>
      <c r="E42" s="256"/>
      <c r="F42" s="256"/>
      <c r="G42" s="256"/>
      <c r="H42" s="256"/>
      <c r="I42" s="256"/>
      <c r="J42" s="257"/>
      <c r="K42" s="256"/>
      <c r="L42" s="256"/>
      <c r="M42" s="256"/>
      <c r="N42" s="256"/>
      <c r="O42" s="256"/>
      <c r="P42" s="256"/>
      <c r="Q42" s="256"/>
      <c r="R42" s="256"/>
      <c r="S42" s="221"/>
      <c r="T42" s="221"/>
      <c r="U42" s="221"/>
      <c r="V42" s="221"/>
      <c r="W42" s="221"/>
      <c r="X42" s="221"/>
      <c r="Y42" s="221"/>
      <c r="Z42" s="221"/>
    </row>
    <row r="43" customFormat="false" ht="12" hidden="false" customHeight="true" outlineLevel="0" collapsed="false">
      <c r="A43" s="256"/>
      <c r="B43" s="256"/>
      <c r="C43" s="256"/>
      <c r="D43" s="256"/>
      <c r="E43" s="256"/>
      <c r="F43" s="256"/>
      <c r="G43" s="256"/>
      <c r="H43" s="256"/>
      <c r="I43" s="256"/>
      <c r="J43" s="257"/>
      <c r="K43" s="256"/>
      <c r="L43" s="256"/>
      <c r="M43" s="256"/>
      <c r="N43" s="256"/>
      <c r="O43" s="256"/>
      <c r="P43" s="256"/>
      <c r="Q43" s="256"/>
      <c r="R43" s="256"/>
      <c r="S43" s="221"/>
      <c r="T43" s="221"/>
      <c r="U43" s="221"/>
      <c r="V43" s="221"/>
      <c r="W43" s="221"/>
      <c r="X43" s="221"/>
      <c r="Y43" s="221"/>
      <c r="Z43" s="221"/>
    </row>
    <row r="44" customFormat="false" ht="12" hidden="false" customHeight="true" outlineLevel="0" collapsed="false">
      <c r="A44" s="256"/>
      <c r="B44" s="256"/>
      <c r="C44" s="256"/>
      <c r="D44" s="256"/>
      <c r="E44" s="256"/>
      <c r="F44" s="256"/>
      <c r="G44" s="256"/>
      <c r="H44" s="256"/>
      <c r="I44" s="256"/>
      <c r="J44" s="257"/>
      <c r="K44" s="256"/>
      <c r="L44" s="256"/>
      <c r="M44" s="256"/>
      <c r="N44" s="256"/>
      <c r="O44" s="256"/>
      <c r="P44" s="256"/>
      <c r="Q44" s="256"/>
      <c r="R44" s="256"/>
      <c r="S44" s="221"/>
      <c r="T44" s="221"/>
      <c r="U44" s="221"/>
      <c r="V44" s="221"/>
      <c r="W44" s="221"/>
      <c r="X44" s="221"/>
      <c r="Y44" s="221"/>
      <c r="Z44" s="221"/>
    </row>
    <row r="45" customFormat="false" ht="12" hidden="false" customHeight="true" outlineLevel="0" collapsed="false">
      <c r="A45" s="256"/>
      <c r="B45" s="256"/>
      <c r="C45" s="256"/>
      <c r="D45" s="256"/>
      <c r="E45" s="256"/>
      <c r="F45" s="256"/>
      <c r="G45" s="256"/>
      <c r="H45" s="256"/>
      <c r="I45" s="256"/>
      <c r="J45" s="257"/>
      <c r="K45" s="256"/>
      <c r="L45" s="256"/>
      <c r="M45" s="256"/>
      <c r="N45" s="256"/>
      <c r="O45" s="256"/>
      <c r="P45" s="256"/>
      <c r="Q45" s="256"/>
      <c r="R45" s="256"/>
      <c r="S45" s="221"/>
      <c r="T45" s="221"/>
      <c r="U45" s="221"/>
      <c r="V45" s="221"/>
      <c r="W45" s="221"/>
      <c r="X45" s="221"/>
      <c r="Y45" s="221"/>
      <c r="Z45" s="221"/>
    </row>
    <row r="46" customFormat="false" ht="12" hidden="false" customHeight="true" outlineLevel="0" collapsed="false">
      <c r="A46" s="256"/>
      <c r="B46" s="256"/>
      <c r="C46" s="256"/>
      <c r="D46" s="256"/>
      <c r="E46" s="256"/>
      <c r="F46" s="256"/>
      <c r="G46" s="256"/>
      <c r="H46" s="256"/>
      <c r="I46" s="256"/>
      <c r="J46" s="257"/>
      <c r="K46" s="256"/>
      <c r="L46" s="256"/>
      <c r="M46" s="256"/>
      <c r="N46" s="256"/>
      <c r="O46" s="256"/>
      <c r="P46" s="256"/>
      <c r="Q46" s="256"/>
      <c r="R46" s="256"/>
      <c r="S46" s="221"/>
      <c r="T46" s="221"/>
      <c r="U46" s="221"/>
      <c r="V46" s="221"/>
      <c r="W46" s="221"/>
      <c r="X46" s="221"/>
      <c r="Y46" s="221"/>
      <c r="Z46" s="221"/>
    </row>
    <row r="47" customFormat="false" ht="12" hidden="false" customHeight="true" outlineLevel="0" collapsed="false">
      <c r="A47" s="256"/>
      <c r="B47" s="256"/>
      <c r="C47" s="256"/>
      <c r="D47" s="256"/>
      <c r="E47" s="256"/>
      <c r="F47" s="256"/>
      <c r="G47" s="256"/>
      <c r="H47" s="256"/>
      <c r="I47" s="256"/>
      <c r="J47" s="257"/>
      <c r="K47" s="256"/>
      <c r="L47" s="256"/>
      <c r="M47" s="256"/>
      <c r="N47" s="256"/>
      <c r="O47" s="256"/>
      <c r="P47" s="256"/>
      <c r="Q47" s="256"/>
      <c r="R47" s="256"/>
      <c r="S47" s="221"/>
      <c r="T47" s="221"/>
      <c r="U47" s="221"/>
      <c r="V47" s="221"/>
      <c r="W47" s="221"/>
      <c r="X47" s="221"/>
      <c r="Y47" s="221"/>
      <c r="Z47" s="221"/>
    </row>
    <row r="48" customFormat="false" ht="12" hidden="false" customHeight="true" outlineLevel="0" collapsed="false">
      <c r="A48" s="256"/>
      <c r="B48" s="256"/>
      <c r="C48" s="256"/>
      <c r="D48" s="256"/>
      <c r="E48" s="256"/>
      <c r="F48" s="256"/>
      <c r="G48" s="256"/>
      <c r="H48" s="256"/>
      <c r="I48" s="256"/>
      <c r="J48" s="257"/>
      <c r="K48" s="256"/>
      <c r="L48" s="256"/>
      <c r="M48" s="256"/>
      <c r="N48" s="256"/>
      <c r="O48" s="256"/>
      <c r="P48" s="256"/>
      <c r="Q48" s="256"/>
      <c r="R48" s="256"/>
      <c r="S48" s="221"/>
      <c r="T48" s="221"/>
      <c r="U48" s="221"/>
      <c r="V48" s="221"/>
      <c r="W48" s="221"/>
      <c r="X48" s="221"/>
      <c r="Y48" s="221"/>
      <c r="Z48" s="221"/>
    </row>
    <row r="49" customFormat="false" ht="12" hidden="false" customHeight="true" outlineLevel="0" collapsed="false">
      <c r="A49" s="256"/>
      <c r="B49" s="256"/>
      <c r="C49" s="256"/>
      <c r="D49" s="256"/>
      <c r="E49" s="256"/>
      <c r="F49" s="256"/>
      <c r="G49" s="256"/>
      <c r="H49" s="256"/>
      <c r="I49" s="256"/>
      <c r="J49" s="256"/>
      <c r="K49" s="256"/>
      <c r="L49" s="256"/>
      <c r="M49" s="256"/>
      <c r="N49" s="256"/>
      <c r="O49" s="256"/>
      <c r="P49" s="256"/>
      <c r="Q49" s="256"/>
      <c r="R49" s="256"/>
      <c r="S49" s="221"/>
      <c r="T49" s="221"/>
      <c r="U49" s="221"/>
      <c r="V49" s="221"/>
      <c r="W49" s="221"/>
      <c r="X49" s="221"/>
      <c r="Y49" s="221"/>
      <c r="Z49" s="221"/>
    </row>
    <row r="50" customFormat="false" ht="12" hidden="false" customHeight="true" outlineLevel="0" collapsed="false">
      <c r="A50" s="256"/>
      <c r="B50" s="256"/>
      <c r="C50" s="256"/>
      <c r="D50" s="256"/>
      <c r="E50" s="256"/>
      <c r="F50" s="256"/>
      <c r="G50" s="256"/>
      <c r="H50" s="256"/>
      <c r="I50" s="256"/>
      <c r="J50" s="256"/>
      <c r="K50" s="256"/>
      <c r="L50" s="256"/>
      <c r="M50" s="256"/>
      <c r="N50" s="256"/>
      <c r="O50" s="256"/>
      <c r="P50" s="256"/>
      <c r="Q50" s="256"/>
      <c r="R50" s="256"/>
      <c r="S50" s="221"/>
      <c r="T50" s="221"/>
      <c r="U50" s="221"/>
      <c r="V50" s="221"/>
      <c r="W50" s="221"/>
      <c r="X50" s="221"/>
      <c r="Y50" s="221"/>
      <c r="Z50" s="221"/>
    </row>
    <row r="51" customFormat="false" ht="12" hidden="false" customHeight="true" outlineLevel="0" collapsed="false">
      <c r="A51" s="256"/>
      <c r="B51" s="256"/>
      <c r="C51" s="256"/>
      <c r="D51" s="256"/>
      <c r="E51" s="256"/>
      <c r="F51" s="256"/>
      <c r="G51" s="256"/>
      <c r="H51" s="256"/>
      <c r="I51" s="256"/>
      <c r="J51" s="256"/>
      <c r="K51" s="256"/>
      <c r="L51" s="256"/>
      <c r="M51" s="256"/>
      <c r="N51" s="256"/>
      <c r="O51" s="256"/>
      <c r="P51" s="256"/>
      <c r="Q51" s="256"/>
      <c r="R51" s="256"/>
      <c r="S51" s="221"/>
      <c r="T51" s="221"/>
      <c r="U51" s="221"/>
      <c r="V51" s="221"/>
      <c r="W51" s="221"/>
      <c r="X51" s="221"/>
      <c r="Y51" s="221"/>
      <c r="Z51" s="221"/>
    </row>
    <row r="52" customFormat="false" ht="12" hidden="false" customHeight="true" outlineLevel="0" collapsed="false">
      <c r="A52" s="256"/>
      <c r="B52" s="256"/>
      <c r="C52" s="256"/>
      <c r="D52" s="256"/>
      <c r="E52" s="256"/>
      <c r="F52" s="256"/>
      <c r="G52" s="256"/>
      <c r="H52" s="256"/>
      <c r="I52" s="256"/>
      <c r="J52" s="256"/>
      <c r="K52" s="256"/>
      <c r="L52" s="256"/>
      <c r="M52" s="256"/>
      <c r="N52" s="256"/>
      <c r="O52" s="256"/>
      <c r="P52" s="256"/>
      <c r="Q52" s="256"/>
      <c r="R52" s="256"/>
      <c r="S52" s="221"/>
      <c r="T52" s="221"/>
      <c r="U52" s="221"/>
      <c r="V52" s="221"/>
      <c r="W52" s="221"/>
      <c r="X52" s="221"/>
      <c r="Y52" s="221"/>
      <c r="Z52" s="221"/>
    </row>
    <row r="53" customFormat="false" ht="12" hidden="false" customHeight="true" outlineLevel="0" collapsed="false">
      <c r="A53" s="256"/>
      <c r="B53" s="256"/>
      <c r="C53" s="256"/>
      <c r="D53" s="256"/>
      <c r="E53" s="256"/>
      <c r="F53" s="256"/>
      <c r="G53" s="256"/>
      <c r="H53" s="256"/>
      <c r="I53" s="256"/>
      <c r="J53" s="256"/>
      <c r="K53" s="256"/>
      <c r="L53" s="256"/>
      <c r="M53" s="256"/>
      <c r="N53" s="256"/>
      <c r="O53" s="256"/>
      <c r="P53" s="256"/>
      <c r="Q53" s="256"/>
      <c r="R53" s="256"/>
      <c r="S53" s="221"/>
      <c r="T53" s="221"/>
      <c r="U53" s="221"/>
      <c r="V53" s="221"/>
      <c r="W53" s="221"/>
      <c r="X53" s="221"/>
      <c r="Y53" s="221"/>
      <c r="Z53" s="221"/>
    </row>
    <row r="54" customFormat="false" ht="12" hidden="false" customHeight="true" outlineLevel="0" collapsed="false">
      <c r="A54" s="256"/>
      <c r="B54" s="256"/>
      <c r="C54" s="256"/>
      <c r="D54" s="256"/>
      <c r="E54" s="256"/>
      <c r="F54" s="256"/>
      <c r="G54" s="256"/>
      <c r="H54" s="256"/>
      <c r="I54" s="256"/>
      <c r="J54" s="256"/>
      <c r="K54" s="256"/>
      <c r="L54" s="256"/>
      <c r="M54" s="256"/>
      <c r="N54" s="256"/>
      <c r="O54" s="256"/>
      <c r="P54" s="256"/>
      <c r="Q54" s="256"/>
      <c r="R54" s="256"/>
      <c r="S54" s="221"/>
      <c r="T54" s="221"/>
      <c r="U54" s="221"/>
      <c r="V54" s="221"/>
      <c r="W54" s="221"/>
      <c r="X54" s="221"/>
      <c r="Y54" s="221"/>
      <c r="Z54" s="221"/>
    </row>
    <row r="55" customFormat="false" ht="12" hidden="false" customHeight="true" outlineLevel="0" collapsed="false">
      <c r="A55" s="256"/>
      <c r="B55" s="256"/>
      <c r="C55" s="256"/>
      <c r="D55" s="256"/>
      <c r="E55" s="256"/>
      <c r="F55" s="256"/>
      <c r="G55" s="256"/>
      <c r="H55" s="256"/>
      <c r="I55" s="256"/>
      <c r="J55" s="256"/>
      <c r="K55" s="256"/>
      <c r="L55" s="256"/>
      <c r="M55" s="256"/>
      <c r="N55" s="256"/>
      <c r="O55" s="256"/>
      <c r="P55" s="256"/>
      <c r="Q55" s="256"/>
      <c r="R55" s="256"/>
      <c r="S55" s="221"/>
      <c r="T55" s="221"/>
      <c r="U55" s="221"/>
      <c r="V55" s="221"/>
      <c r="W55" s="221"/>
      <c r="X55" s="221"/>
      <c r="Y55" s="221"/>
      <c r="Z55" s="221"/>
    </row>
    <row r="56" customFormat="false" ht="12" hidden="false" customHeight="true" outlineLevel="0" collapsed="false">
      <c r="A56" s="256"/>
      <c r="B56" s="256"/>
      <c r="C56" s="256"/>
      <c r="D56" s="256"/>
      <c r="E56" s="256"/>
      <c r="F56" s="256"/>
      <c r="G56" s="256"/>
      <c r="H56" s="256"/>
      <c r="I56" s="256"/>
      <c r="J56" s="256"/>
      <c r="K56" s="256"/>
      <c r="L56" s="256"/>
      <c r="M56" s="256"/>
      <c r="N56" s="256"/>
      <c r="O56" s="256"/>
      <c r="P56" s="256"/>
      <c r="Q56" s="256"/>
      <c r="R56" s="256"/>
      <c r="S56" s="221"/>
      <c r="T56" s="221"/>
      <c r="U56" s="221"/>
      <c r="V56" s="221"/>
      <c r="W56" s="221"/>
      <c r="X56" s="221"/>
      <c r="Y56" s="221"/>
      <c r="Z56" s="221"/>
    </row>
    <row r="57" customFormat="false" ht="12" hidden="false" customHeight="true" outlineLevel="0" collapsed="false">
      <c r="A57" s="256"/>
      <c r="B57" s="256"/>
      <c r="C57" s="256"/>
      <c r="D57" s="256"/>
      <c r="E57" s="256"/>
      <c r="F57" s="256"/>
      <c r="G57" s="256"/>
      <c r="H57" s="256"/>
      <c r="I57" s="256"/>
      <c r="J57" s="256"/>
      <c r="K57" s="256"/>
      <c r="L57" s="256"/>
      <c r="M57" s="256"/>
      <c r="N57" s="256"/>
      <c r="O57" s="256"/>
      <c r="P57" s="256"/>
      <c r="Q57" s="256"/>
      <c r="R57" s="256"/>
      <c r="S57" s="221"/>
      <c r="T57" s="221"/>
      <c r="U57" s="221"/>
      <c r="V57" s="221"/>
      <c r="W57" s="221"/>
      <c r="X57" s="221"/>
      <c r="Y57" s="221"/>
      <c r="Z57" s="221"/>
    </row>
    <row r="58" customFormat="false" ht="12" hidden="false" customHeight="true" outlineLevel="0" collapsed="false">
      <c r="A58" s="256"/>
      <c r="B58" s="256"/>
      <c r="C58" s="256"/>
      <c r="D58" s="256"/>
      <c r="E58" s="256"/>
      <c r="F58" s="256"/>
      <c r="G58" s="256"/>
      <c r="H58" s="256"/>
      <c r="I58" s="256"/>
      <c r="J58" s="256"/>
      <c r="K58" s="256"/>
      <c r="L58" s="256"/>
      <c r="M58" s="256"/>
      <c r="N58" s="256"/>
      <c r="O58" s="256"/>
      <c r="P58" s="256"/>
      <c r="Q58" s="256"/>
      <c r="R58" s="256"/>
      <c r="S58" s="221"/>
      <c r="T58" s="221"/>
      <c r="U58" s="221"/>
      <c r="V58" s="221"/>
      <c r="W58" s="221"/>
      <c r="X58" s="221"/>
      <c r="Y58" s="221"/>
      <c r="Z58" s="221"/>
    </row>
    <row r="59" customFormat="false" ht="12" hidden="false" customHeight="true" outlineLevel="0" collapsed="false">
      <c r="A59" s="256"/>
      <c r="B59" s="256"/>
      <c r="C59" s="256"/>
      <c r="D59" s="256"/>
      <c r="E59" s="256"/>
      <c r="F59" s="256"/>
      <c r="G59" s="256"/>
      <c r="H59" s="256"/>
      <c r="I59" s="256"/>
      <c r="J59" s="256"/>
      <c r="K59" s="256"/>
      <c r="L59" s="256"/>
      <c r="M59" s="256"/>
      <c r="N59" s="256"/>
      <c r="O59" s="256"/>
      <c r="P59" s="256"/>
      <c r="Q59" s="256"/>
      <c r="R59" s="256"/>
      <c r="S59" s="221"/>
      <c r="T59" s="221"/>
      <c r="U59" s="221"/>
      <c r="V59" s="221"/>
      <c r="W59" s="221"/>
      <c r="X59" s="221"/>
      <c r="Y59" s="221"/>
      <c r="Z59" s="221"/>
    </row>
    <row r="60" customFormat="false" ht="12" hidden="false" customHeight="true" outlineLevel="0" collapsed="false">
      <c r="A60" s="256"/>
      <c r="B60" s="256"/>
      <c r="C60" s="256"/>
      <c r="D60" s="256"/>
      <c r="E60" s="256"/>
      <c r="F60" s="256"/>
      <c r="G60" s="256"/>
      <c r="H60" s="256"/>
      <c r="I60" s="256"/>
      <c r="J60" s="256"/>
      <c r="K60" s="256"/>
      <c r="L60" s="256"/>
      <c r="M60" s="256"/>
      <c r="N60" s="256"/>
      <c r="O60" s="256"/>
      <c r="P60" s="256"/>
      <c r="Q60" s="256"/>
      <c r="R60" s="256"/>
      <c r="S60" s="221"/>
      <c r="T60" s="221"/>
      <c r="U60" s="221"/>
      <c r="V60" s="221"/>
      <c r="W60" s="221"/>
      <c r="X60" s="221"/>
      <c r="Y60" s="221"/>
      <c r="Z60" s="221"/>
    </row>
    <row r="61" customFormat="false" ht="12" hidden="false" customHeight="true" outlineLevel="0" collapsed="false">
      <c r="A61" s="256"/>
      <c r="B61" s="256"/>
      <c r="C61" s="256"/>
      <c r="D61" s="256"/>
      <c r="E61" s="256"/>
      <c r="F61" s="256"/>
      <c r="G61" s="256"/>
      <c r="H61" s="256"/>
      <c r="I61" s="256"/>
      <c r="J61" s="256"/>
      <c r="K61" s="256"/>
      <c r="L61" s="256"/>
      <c r="M61" s="256"/>
      <c r="N61" s="256"/>
      <c r="O61" s="256"/>
      <c r="P61" s="256"/>
      <c r="Q61" s="256"/>
      <c r="R61" s="256"/>
      <c r="S61" s="221"/>
      <c r="T61" s="221"/>
      <c r="U61" s="221"/>
      <c r="V61" s="221"/>
      <c r="W61" s="221"/>
      <c r="X61" s="221"/>
      <c r="Y61" s="221"/>
      <c r="Z61" s="221"/>
    </row>
    <row r="62" customFormat="false" ht="12" hidden="false" customHeight="true" outlineLevel="0" collapsed="false">
      <c r="A62" s="256"/>
      <c r="B62" s="256"/>
      <c r="C62" s="256"/>
      <c r="D62" s="256"/>
      <c r="E62" s="256"/>
      <c r="F62" s="256"/>
      <c r="G62" s="256"/>
      <c r="H62" s="256"/>
      <c r="I62" s="256"/>
      <c r="J62" s="256"/>
      <c r="K62" s="256"/>
      <c r="L62" s="256"/>
      <c r="M62" s="256"/>
      <c r="N62" s="256"/>
      <c r="O62" s="256"/>
      <c r="P62" s="256"/>
      <c r="Q62" s="256"/>
      <c r="R62" s="256"/>
      <c r="S62" s="221"/>
      <c r="T62" s="221"/>
      <c r="U62" s="221"/>
      <c r="V62" s="221"/>
      <c r="W62" s="221"/>
      <c r="X62" s="221"/>
      <c r="Y62" s="221"/>
      <c r="Z62" s="221"/>
    </row>
    <row r="63" customFormat="false" ht="12" hidden="false" customHeight="true" outlineLevel="0" collapsed="false">
      <c r="A63" s="256"/>
      <c r="B63" s="256"/>
      <c r="C63" s="256"/>
      <c r="D63" s="256"/>
      <c r="E63" s="256"/>
      <c r="F63" s="256"/>
      <c r="G63" s="256"/>
      <c r="H63" s="256"/>
      <c r="I63" s="256"/>
      <c r="J63" s="256"/>
      <c r="K63" s="256"/>
      <c r="L63" s="256"/>
      <c r="M63" s="256"/>
      <c r="N63" s="256"/>
      <c r="O63" s="256"/>
      <c r="P63" s="256"/>
      <c r="Q63" s="256"/>
      <c r="R63" s="256"/>
      <c r="S63" s="221"/>
      <c r="T63" s="221"/>
      <c r="U63" s="221"/>
      <c r="V63" s="221"/>
      <c r="W63" s="221"/>
      <c r="X63" s="221"/>
      <c r="Y63" s="221"/>
      <c r="Z63" s="221"/>
    </row>
    <row r="64" customFormat="false" ht="12" hidden="false" customHeight="true" outlineLevel="0" collapsed="false">
      <c r="A64" s="256"/>
      <c r="B64" s="256"/>
      <c r="C64" s="256"/>
      <c r="D64" s="256"/>
      <c r="E64" s="256"/>
      <c r="F64" s="256"/>
      <c r="G64" s="256"/>
      <c r="H64" s="256"/>
      <c r="I64" s="256"/>
      <c r="J64" s="256"/>
      <c r="K64" s="256"/>
      <c r="L64" s="256"/>
      <c r="M64" s="256"/>
      <c r="N64" s="256"/>
      <c r="O64" s="256"/>
      <c r="P64" s="256"/>
      <c r="Q64" s="256"/>
      <c r="R64" s="256"/>
      <c r="S64" s="221"/>
      <c r="T64" s="221"/>
      <c r="U64" s="221"/>
      <c r="V64" s="221"/>
      <c r="W64" s="221"/>
      <c r="X64" s="221"/>
      <c r="Y64" s="221"/>
      <c r="Z64" s="221"/>
    </row>
    <row r="65" customFormat="false" ht="12" hidden="false" customHeight="true" outlineLevel="0" collapsed="false">
      <c r="A65" s="256"/>
      <c r="B65" s="256"/>
      <c r="C65" s="256"/>
      <c r="D65" s="256"/>
      <c r="E65" s="256"/>
      <c r="F65" s="256"/>
      <c r="G65" s="256"/>
      <c r="H65" s="256"/>
      <c r="I65" s="256"/>
      <c r="J65" s="256"/>
      <c r="K65" s="256"/>
      <c r="L65" s="256"/>
      <c r="M65" s="256"/>
      <c r="N65" s="256"/>
      <c r="O65" s="256"/>
      <c r="P65" s="256"/>
      <c r="Q65" s="256"/>
      <c r="R65" s="256"/>
      <c r="S65" s="221"/>
      <c r="T65" s="221"/>
      <c r="U65" s="221"/>
      <c r="V65" s="221"/>
      <c r="W65" s="221"/>
      <c r="X65" s="221"/>
      <c r="Y65" s="221"/>
      <c r="Z65" s="221"/>
    </row>
    <row r="66" customFormat="false" ht="12" hidden="false" customHeight="true" outlineLevel="0" collapsed="false">
      <c r="A66" s="256"/>
      <c r="B66" s="256"/>
      <c r="C66" s="256"/>
      <c r="D66" s="256"/>
      <c r="E66" s="256"/>
      <c r="F66" s="256"/>
      <c r="G66" s="256"/>
      <c r="H66" s="256"/>
      <c r="I66" s="256"/>
      <c r="J66" s="256"/>
      <c r="K66" s="256"/>
      <c r="L66" s="256"/>
      <c r="M66" s="256"/>
      <c r="N66" s="256"/>
      <c r="O66" s="256"/>
      <c r="P66" s="256"/>
      <c r="Q66" s="256"/>
      <c r="R66" s="256"/>
      <c r="S66" s="221"/>
      <c r="T66" s="221"/>
      <c r="U66" s="221"/>
      <c r="V66" s="221"/>
      <c r="W66" s="221"/>
      <c r="X66" s="221"/>
      <c r="Y66" s="221"/>
      <c r="Z66" s="221"/>
    </row>
    <row r="67" customFormat="false" ht="12" hidden="false" customHeight="true" outlineLevel="0" collapsed="false">
      <c r="A67" s="256"/>
      <c r="B67" s="256"/>
      <c r="C67" s="256"/>
      <c r="D67" s="256"/>
      <c r="E67" s="256"/>
      <c r="F67" s="256"/>
      <c r="G67" s="256"/>
      <c r="H67" s="256"/>
      <c r="I67" s="256"/>
      <c r="J67" s="256"/>
      <c r="K67" s="256"/>
      <c r="L67" s="256"/>
      <c r="M67" s="256"/>
      <c r="N67" s="256"/>
      <c r="O67" s="256"/>
      <c r="P67" s="256"/>
      <c r="Q67" s="256"/>
      <c r="R67" s="256"/>
      <c r="S67" s="221"/>
      <c r="T67" s="221"/>
      <c r="U67" s="221"/>
      <c r="V67" s="221"/>
      <c r="W67" s="221"/>
      <c r="X67" s="221"/>
      <c r="Y67" s="221"/>
      <c r="Z67" s="221"/>
    </row>
    <row r="68" customFormat="false" ht="12" hidden="false" customHeight="true" outlineLevel="0" collapsed="false">
      <c r="A68" s="256"/>
      <c r="B68" s="256"/>
      <c r="C68" s="256"/>
      <c r="D68" s="256"/>
      <c r="E68" s="256"/>
      <c r="F68" s="256"/>
      <c r="G68" s="256"/>
      <c r="H68" s="256"/>
      <c r="I68" s="256"/>
      <c r="J68" s="256"/>
      <c r="K68" s="256"/>
      <c r="L68" s="256"/>
      <c r="M68" s="256"/>
      <c r="N68" s="256"/>
      <c r="O68" s="256"/>
      <c r="P68" s="256"/>
      <c r="Q68" s="256"/>
      <c r="R68" s="256"/>
      <c r="S68" s="221"/>
      <c r="T68" s="221"/>
      <c r="U68" s="221"/>
      <c r="V68" s="221"/>
      <c r="W68" s="221"/>
      <c r="X68" s="221"/>
      <c r="Y68" s="221"/>
      <c r="Z68" s="221"/>
    </row>
    <row r="69" customFormat="false" ht="12" hidden="false" customHeight="true" outlineLevel="0" collapsed="false">
      <c r="A69" s="256"/>
      <c r="B69" s="256"/>
      <c r="C69" s="256"/>
      <c r="D69" s="256"/>
      <c r="E69" s="256"/>
      <c r="F69" s="256"/>
      <c r="G69" s="256"/>
      <c r="H69" s="256"/>
      <c r="I69" s="256"/>
      <c r="J69" s="256"/>
      <c r="K69" s="256"/>
      <c r="L69" s="256"/>
      <c r="M69" s="256"/>
      <c r="N69" s="256"/>
      <c r="O69" s="256"/>
      <c r="P69" s="256"/>
      <c r="Q69" s="256"/>
      <c r="R69" s="256"/>
      <c r="S69" s="221"/>
      <c r="T69" s="221"/>
      <c r="U69" s="221"/>
      <c r="V69" s="221"/>
      <c r="W69" s="221"/>
      <c r="X69" s="221"/>
      <c r="Y69" s="221"/>
      <c r="Z69" s="221"/>
    </row>
    <row r="70" customFormat="false" ht="12" hidden="false" customHeight="true" outlineLevel="0" collapsed="false">
      <c r="A70" s="256"/>
      <c r="B70" s="256"/>
      <c r="C70" s="256"/>
      <c r="D70" s="256"/>
      <c r="E70" s="256"/>
      <c r="F70" s="256"/>
      <c r="G70" s="256"/>
      <c r="H70" s="256"/>
      <c r="I70" s="256"/>
      <c r="J70" s="256"/>
      <c r="K70" s="256"/>
      <c r="L70" s="256"/>
      <c r="M70" s="256"/>
      <c r="N70" s="256"/>
      <c r="O70" s="256"/>
      <c r="P70" s="256"/>
      <c r="Q70" s="256"/>
      <c r="R70" s="256"/>
      <c r="S70" s="221"/>
      <c r="T70" s="221"/>
      <c r="U70" s="221"/>
      <c r="V70" s="221"/>
      <c r="W70" s="221"/>
      <c r="X70" s="221"/>
      <c r="Y70" s="221"/>
      <c r="Z70" s="221"/>
    </row>
    <row r="71" customFormat="false" ht="12" hidden="false" customHeight="true" outlineLevel="0" collapsed="false">
      <c r="A71" s="256"/>
      <c r="B71" s="256"/>
      <c r="C71" s="256"/>
      <c r="D71" s="256"/>
      <c r="E71" s="256"/>
      <c r="F71" s="256"/>
      <c r="G71" s="256"/>
      <c r="H71" s="256"/>
      <c r="I71" s="256"/>
      <c r="J71" s="256"/>
      <c r="K71" s="256"/>
      <c r="L71" s="256"/>
      <c r="M71" s="256"/>
      <c r="N71" s="256"/>
      <c r="O71" s="256"/>
      <c r="P71" s="256"/>
      <c r="Q71" s="256"/>
      <c r="R71" s="256"/>
      <c r="S71" s="221"/>
      <c r="T71" s="221"/>
      <c r="U71" s="221"/>
      <c r="V71" s="221"/>
      <c r="W71" s="221"/>
      <c r="X71" s="221"/>
      <c r="Y71" s="221"/>
      <c r="Z71" s="221"/>
    </row>
    <row r="72" customFormat="false" ht="12" hidden="false" customHeight="true" outlineLevel="0" collapsed="false">
      <c r="A72" s="256"/>
      <c r="B72" s="256"/>
      <c r="C72" s="256"/>
      <c r="D72" s="256"/>
      <c r="E72" s="256"/>
      <c r="F72" s="256"/>
      <c r="G72" s="256"/>
      <c r="H72" s="256"/>
      <c r="I72" s="256"/>
      <c r="J72" s="256"/>
      <c r="K72" s="256"/>
      <c r="L72" s="256"/>
      <c r="M72" s="256"/>
      <c r="N72" s="256"/>
      <c r="O72" s="256"/>
      <c r="P72" s="256"/>
      <c r="Q72" s="256"/>
      <c r="R72" s="256"/>
      <c r="S72" s="221"/>
      <c r="T72" s="221"/>
      <c r="U72" s="221"/>
      <c r="V72" s="221"/>
      <c r="W72" s="221"/>
      <c r="X72" s="221"/>
      <c r="Y72" s="221"/>
      <c r="Z72" s="221"/>
    </row>
    <row r="73" customFormat="false" ht="12" hidden="false" customHeight="true" outlineLevel="0" collapsed="false">
      <c r="A73" s="256"/>
      <c r="B73" s="256"/>
      <c r="C73" s="256"/>
      <c r="D73" s="256"/>
      <c r="E73" s="256"/>
      <c r="F73" s="256"/>
      <c r="G73" s="256"/>
      <c r="H73" s="256"/>
      <c r="I73" s="256"/>
      <c r="J73" s="256"/>
      <c r="K73" s="256"/>
      <c r="L73" s="256"/>
      <c r="M73" s="256"/>
      <c r="N73" s="256"/>
      <c r="O73" s="256"/>
      <c r="P73" s="256"/>
      <c r="Q73" s="256"/>
      <c r="R73" s="256"/>
      <c r="S73" s="221"/>
      <c r="T73" s="221"/>
      <c r="U73" s="221"/>
      <c r="V73" s="221"/>
      <c r="W73" s="221"/>
      <c r="X73" s="221"/>
      <c r="Y73" s="221"/>
      <c r="Z73" s="221"/>
    </row>
    <row r="74" customFormat="false" ht="12" hidden="false" customHeight="true" outlineLevel="0" collapsed="false">
      <c r="A74" s="256"/>
      <c r="B74" s="256"/>
      <c r="C74" s="256"/>
      <c r="D74" s="256"/>
      <c r="E74" s="256"/>
      <c r="F74" s="256"/>
      <c r="G74" s="256"/>
      <c r="H74" s="256"/>
      <c r="I74" s="256"/>
      <c r="J74" s="256"/>
      <c r="K74" s="256"/>
      <c r="L74" s="256"/>
      <c r="M74" s="256"/>
      <c r="N74" s="256"/>
      <c r="O74" s="256"/>
      <c r="P74" s="256"/>
      <c r="Q74" s="256"/>
      <c r="R74" s="256"/>
      <c r="S74" s="221"/>
      <c r="T74" s="221"/>
      <c r="U74" s="221"/>
      <c r="V74" s="221"/>
      <c r="W74" s="221"/>
      <c r="X74" s="221"/>
      <c r="Y74" s="221"/>
      <c r="Z74" s="221"/>
    </row>
    <row r="75" customFormat="false" ht="12" hidden="false" customHeight="true" outlineLevel="0" collapsed="false">
      <c r="A75" s="256"/>
      <c r="B75" s="256"/>
      <c r="C75" s="256"/>
      <c r="D75" s="256"/>
      <c r="E75" s="256"/>
      <c r="F75" s="256"/>
      <c r="G75" s="256"/>
      <c r="H75" s="256"/>
      <c r="I75" s="256"/>
      <c r="J75" s="256"/>
      <c r="K75" s="256"/>
      <c r="L75" s="256"/>
      <c r="M75" s="256"/>
      <c r="N75" s="256"/>
      <c r="O75" s="256"/>
      <c r="P75" s="256"/>
      <c r="Q75" s="256"/>
      <c r="R75" s="256"/>
      <c r="S75" s="221"/>
      <c r="T75" s="221"/>
      <c r="U75" s="221"/>
      <c r="V75" s="221"/>
      <c r="W75" s="221"/>
      <c r="X75" s="221"/>
      <c r="Y75" s="221"/>
      <c r="Z75" s="221"/>
    </row>
    <row r="76" customFormat="false" ht="12" hidden="false" customHeight="true" outlineLevel="0" collapsed="false">
      <c r="A76" s="256"/>
      <c r="B76" s="256"/>
      <c r="C76" s="256"/>
      <c r="D76" s="256"/>
      <c r="E76" s="256"/>
      <c r="F76" s="256"/>
      <c r="G76" s="256"/>
      <c r="H76" s="256"/>
      <c r="I76" s="256"/>
      <c r="J76" s="256"/>
      <c r="K76" s="256"/>
      <c r="L76" s="256"/>
      <c r="M76" s="256"/>
      <c r="N76" s="256"/>
      <c r="O76" s="256"/>
      <c r="P76" s="256"/>
      <c r="Q76" s="256"/>
      <c r="R76" s="256"/>
      <c r="S76" s="221"/>
      <c r="T76" s="221"/>
      <c r="U76" s="221"/>
      <c r="V76" s="221"/>
      <c r="W76" s="221"/>
      <c r="X76" s="221"/>
      <c r="Y76" s="221"/>
      <c r="Z76" s="221"/>
    </row>
    <row r="77" customFormat="false" ht="12" hidden="false" customHeight="true" outlineLevel="0" collapsed="false">
      <c r="A77" s="256"/>
      <c r="B77" s="256"/>
      <c r="C77" s="256"/>
      <c r="D77" s="256"/>
      <c r="E77" s="256"/>
      <c r="F77" s="256"/>
      <c r="G77" s="256"/>
      <c r="H77" s="256"/>
      <c r="I77" s="256"/>
      <c r="J77" s="256"/>
      <c r="K77" s="256"/>
      <c r="L77" s="256"/>
      <c r="M77" s="256"/>
      <c r="N77" s="256"/>
      <c r="O77" s="256"/>
      <c r="P77" s="256"/>
      <c r="Q77" s="256"/>
      <c r="R77" s="256"/>
      <c r="S77" s="221"/>
      <c r="T77" s="221"/>
      <c r="U77" s="221"/>
      <c r="V77" s="221"/>
      <c r="W77" s="221"/>
      <c r="X77" s="221"/>
      <c r="Y77" s="221"/>
      <c r="Z77" s="221"/>
    </row>
    <row r="78" customFormat="false" ht="12" hidden="false" customHeight="true" outlineLevel="0" collapsed="false">
      <c r="A78" s="256"/>
      <c r="B78" s="256"/>
      <c r="C78" s="256"/>
      <c r="D78" s="256"/>
      <c r="E78" s="256"/>
      <c r="F78" s="256"/>
      <c r="G78" s="256"/>
      <c r="H78" s="256"/>
      <c r="I78" s="256"/>
      <c r="J78" s="256"/>
      <c r="K78" s="256"/>
      <c r="L78" s="256"/>
      <c r="M78" s="256"/>
      <c r="N78" s="256"/>
      <c r="O78" s="256"/>
      <c r="P78" s="256"/>
      <c r="Q78" s="256"/>
      <c r="R78" s="256"/>
      <c r="S78" s="221"/>
      <c r="T78" s="221"/>
      <c r="U78" s="221"/>
      <c r="V78" s="221"/>
      <c r="W78" s="221"/>
      <c r="X78" s="221"/>
      <c r="Y78" s="221"/>
      <c r="Z78" s="221"/>
    </row>
    <row r="79" customFormat="false" ht="12" hidden="false" customHeight="true" outlineLevel="0" collapsed="false">
      <c r="A79" s="256"/>
      <c r="B79" s="256"/>
      <c r="C79" s="256"/>
      <c r="D79" s="256"/>
      <c r="E79" s="256"/>
      <c r="F79" s="256"/>
      <c r="G79" s="256"/>
      <c r="H79" s="256"/>
      <c r="I79" s="256"/>
      <c r="J79" s="256"/>
      <c r="K79" s="256"/>
      <c r="L79" s="256"/>
      <c r="M79" s="256"/>
      <c r="N79" s="256"/>
      <c r="O79" s="256"/>
      <c r="P79" s="256"/>
      <c r="Q79" s="256"/>
      <c r="R79" s="256"/>
      <c r="S79" s="221"/>
      <c r="T79" s="221"/>
      <c r="U79" s="221"/>
      <c r="V79" s="221"/>
      <c r="W79" s="221"/>
      <c r="X79" s="221"/>
      <c r="Y79" s="221"/>
      <c r="Z79" s="221"/>
    </row>
    <row r="80" customFormat="false" ht="12" hidden="false" customHeight="true" outlineLevel="0" collapsed="false">
      <c r="A80" s="256"/>
      <c r="B80" s="256"/>
      <c r="C80" s="256"/>
      <c r="D80" s="256"/>
      <c r="E80" s="256"/>
      <c r="F80" s="256"/>
      <c r="G80" s="256"/>
      <c r="H80" s="256"/>
      <c r="I80" s="256"/>
      <c r="J80" s="256"/>
      <c r="K80" s="256"/>
      <c r="L80" s="256"/>
      <c r="M80" s="256"/>
      <c r="N80" s="256"/>
      <c r="O80" s="256"/>
      <c r="P80" s="256"/>
      <c r="Q80" s="256"/>
      <c r="R80" s="256"/>
      <c r="S80" s="221"/>
      <c r="T80" s="221"/>
      <c r="U80" s="221"/>
      <c r="V80" s="221"/>
      <c r="W80" s="221"/>
      <c r="X80" s="221"/>
      <c r="Y80" s="221"/>
      <c r="Z80" s="221"/>
    </row>
    <row r="81" customFormat="false" ht="12" hidden="false" customHeight="true" outlineLevel="0" collapsed="false">
      <c r="A81" s="256"/>
      <c r="B81" s="256"/>
      <c r="C81" s="256"/>
      <c r="D81" s="256"/>
      <c r="E81" s="256"/>
      <c r="F81" s="256"/>
      <c r="G81" s="256"/>
      <c r="H81" s="256"/>
      <c r="I81" s="256"/>
      <c r="J81" s="256"/>
      <c r="K81" s="256"/>
      <c r="L81" s="256"/>
      <c r="M81" s="256"/>
      <c r="N81" s="256"/>
      <c r="O81" s="256"/>
      <c r="P81" s="256"/>
      <c r="Q81" s="256"/>
      <c r="R81" s="256"/>
      <c r="S81" s="221"/>
      <c r="T81" s="221"/>
      <c r="U81" s="221"/>
      <c r="V81" s="221"/>
      <c r="W81" s="221"/>
      <c r="X81" s="221"/>
      <c r="Y81" s="221"/>
      <c r="Z81" s="221"/>
    </row>
    <row r="82" customFormat="false" ht="12" hidden="false" customHeight="true" outlineLevel="0" collapsed="false">
      <c r="A82" s="256"/>
      <c r="B82" s="256"/>
      <c r="C82" s="256"/>
      <c r="D82" s="256"/>
      <c r="E82" s="256"/>
      <c r="F82" s="256"/>
      <c r="G82" s="256"/>
      <c r="H82" s="256"/>
      <c r="I82" s="256"/>
      <c r="J82" s="256"/>
      <c r="K82" s="256"/>
      <c r="L82" s="256"/>
      <c r="M82" s="256"/>
      <c r="N82" s="256"/>
      <c r="O82" s="256"/>
      <c r="P82" s="256"/>
      <c r="Q82" s="256"/>
      <c r="R82" s="256"/>
      <c r="S82" s="221"/>
      <c r="T82" s="221"/>
      <c r="U82" s="221"/>
      <c r="V82" s="221"/>
      <c r="W82" s="221"/>
      <c r="X82" s="221"/>
      <c r="Y82" s="221"/>
      <c r="Z82" s="221"/>
    </row>
    <row r="83" customFormat="false" ht="12" hidden="false" customHeight="true" outlineLevel="0" collapsed="false">
      <c r="A83" s="256"/>
      <c r="B83" s="256"/>
      <c r="C83" s="256"/>
      <c r="D83" s="256"/>
      <c r="E83" s="256"/>
      <c r="F83" s="256"/>
      <c r="G83" s="256"/>
      <c r="H83" s="256"/>
      <c r="I83" s="256"/>
      <c r="J83" s="256"/>
      <c r="K83" s="256"/>
      <c r="L83" s="256"/>
      <c r="M83" s="256"/>
      <c r="N83" s="256"/>
      <c r="O83" s="256"/>
      <c r="P83" s="256"/>
      <c r="Q83" s="256"/>
      <c r="R83" s="256"/>
      <c r="S83" s="221"/>
      <c r="T83" s="221"/>
      <c r="U83" s="221"/>
      <c r="V83" s="221"/>
      <c r="W83" s="221"/>
      <c r="X83" s="221"/>
      <c r="Y83" s="221"/>
      <c r="Z83" s="221"/>
    </row>
    <row r="84" customFormat="false" ht="12" hidden="false" customHeight="true" outlineLevel="0" collapsed="false">
      <c r="A84" s="256"/>
      <c r="B84" s="256"/>
      <c r="C84" s="256"/>
      <c r="D84" s="256"/>
      <c r="E84" s="256"/>
      <c r="F84" s="256"/>
      <c r="G84" s="256"/>
      <c r="H84" s="256"/>
      <c r="I84" s="256"/>
      <c r="J84" s="256"/>
      <c r="K84" s="256"/>
      <c r="L84" s="256"/>
      <c r="M84" s="256"/>
      <c r="N84" s="256"/>
      <c r="O84" s="256"/>
      <c r="P84" s="256"/>
      <c r="Q84" s="256"/>
      <c r="R84" s="256"/>
      <c r="S84" s="221"/>
      <c r="T84" s="221"/>
      <c r="U84" s="221"/>
      <c r="V84" s="221"/>
      <c r="W84" s="221"/>
      <c r="X84" s="221"/>
      <c r="Y84" s="221"/>
      <c r="Z84" s="221"/>
    </row>
    <row r="85" customFormat="false" ht="12" hidden="false" customHeight="true" outlineLevel="0" collapsed="false">
      <c r="A85" s="256"/>
      <c r="B85" s="256"/>
      <c r="C85" s="256"/>
      <c r="D85" s="256"/>
      <c r="E85" s="256"/>
      <c r="F85" s="256"/>
      <c r="G85" s="256"/>
      <c r="H85" s="256"/>
      <c r="I85" s="256"/>
      <c r="J85" s="256"/>
      <c r="K85" s="256"/>
      <c r="L85" s="256"/>
      <c r="M85" s="256"/>
      <c r="N85" s="256"/>
      <c r="O85" s="256"/>
      <c r="P85" s="256"/>
      <c r="Q85" s="256"/>
      <c r="R85" s="256"/>
      <c r="S85" s="221"/>
      <c r="T85" s="221"/>
      <c r="U85" s="221"/>
      <c r="V85" s="221"/>
      <c r="W85" s="221"/>
      <c r="X85" s="221"/>
      <c r="Y85" s="221"/>
      <c r="Z85" s="221"/>
    </row>
    <row r="86" customFormat="false" ht="12" hidden="false" customHeight="true" outlineLevel="0" collapsed="false">
      <c r="A86" s="256"/>
      <c r="B86" s="256"/>
      <c r="C86" s="256"/>
      <c r="D86" s="256"/>
      <c r="E86" s="256"/>
      <c r="F86" s="256"/>
      <c r="G86" s="256"/>
      <c r="H86" s="256"/>
      <c r="I86" s="256"/>
      <c r="J86" s="256"/>
      <c r="K86" s="256"/>
      <c r="L86" s="256"/>
      <c r="M86" s="256"/>
      <c r="N86" s="256"/>
      <c r="O86" s="256"/>
      <c r="P86" s="256"/>
      <c r="Q86" s="256"/>
      <c r="R86" s="256"/>
      <c r="S86" s="221"/>
      <c r="T86" s="221"/>
      <c r="U86" s="221"/>
      <c r="V86" s="221"/>
      <c r="W86" s="221"/>
      <c r="X86" s="221"/>
      <c r="Y86" s="221"/>
      <c r="Z86" s="221"/>
    </row>
    <row r="87" customFormat="false" ht="12" hidden="false" customHeight="true" outlineLevel="0" collapsed="false">
      <c r="A87" s="256"/>
      <c r="B87" s="256"/>
      <c r="C87" s="256"/>
      <c r="D87" s="256"/>
      <c r="E87" s="256"/>
      <c r="F87" s="256"/>
      <c r="G87" s="256"/>
      <c r="H87" s="256"/>
      <c r="I87" s="256"/>
      <c r="J87" s="256"/>
      <c r="K87" s="256"/>
      <c r="L87" s="256"/>
      <c r="M87" s="256"/>
      <c r="N87" s="256"/>
      <c r="O87" s="256"/>
      <c r="P87" s="256"/>
      <c r="Q87" s="256"/>
      <c r="R87" s="256"/>
      <c r="S87" s="221"/>
      <c r="T87" s="221"/>
      <c r="U87" s="221"/>
      <c r="V87" s="221"/>
      <c r="W87" s="221"/>
      <c r="X87" s="221"/>
      <c r="Y87" s="221"/>
      <c r="Z87" s="221"/>
    </row>
    <row r="88" customFormat="false" ht="12" hidden="false" customHeight="true" outlineLevel="0" collapsed="false">
      <c r="A88" s="256"/>
      <c r="B88" s="256"/>
      <c r="C88" s="256"/>
      <c r="D88" s="256"/>
      <c r="E88" s="256"/>
      <c r="F88" s="256"/>
      <c r="G88" s="256"/>
      <c r="H88" s="256"/>
      <c r="I88" s="256"/>
      <c r="J88" s="256"/>
      <c r="K88" s="256"/>
      <c r="L88" s="256"/>
      <c r="M88" s="256"/>
      <c r="N88" s="256"/>
      <c r="O88" s="256"/>
      <c r="P88" s="256"/>
      <c r="Q88" s="256"/>
      <c r="R88" s="256"/>
      <c r="S88" s="221"/>
      <c r="T88" s="221"/>
      <c r="U88" s="221"/>
      <c r="V88" s="221"/>
      <c r="W88" s="221"/>
      <c r="X88" s="221"/>
      <c r="Y88" s="221"/>
      <c r="Z88" s="221"/>
    </row>
    <row r="89" customFormat="false" ht="12" hidden="false" customHeight="true" outlineLevel="0" collapsed="false">
      <c r="A89" s="256"/>
      <c r="B89" s="256"/>
      <c r="C89" s="256"/>
      <c r="D89" s="256"/>
      <c r="E89" s="256"/>
      <c r="F89" s="256"/>
      <c r="G89" s="256"/>
      <c r="H89" s="256"/>
      <c r="I89" s="256"/>
      <c r="J89" s="256"/>
      <c r="K89" s="256"/>
      <c r="L89" s="256"/>
      <c r="M89" s="256"/>
      <c r="N89" s="256"/>
      <c r="O89" s="256"/>
      <c r="P89" s="256"/>
      <c r="Q89" s="256"/>
      <c r="R89" s="256"/>
      <c r="S89" s="221"/>
      <c r="T89" s="221"/>
      <c r="U89" s="221"/>
      <c r="V89" s="221"/>
      <c r="W89" s="221"/>
      <c r="X89" s="221"/>
      <c r="Y89" s="221"/>
      <c r="Z89" s="221"/>
    </row>
    <row r="90" customFormat="false" ht="12" hidden="false" customHeight="true" outlineLevel="0" collapsed="false">
      <c r="A90" s="256"/>
      <c r="B90" s="256"/>
      <c r="C90" s="256"/>
      <c r="D90" s="256"/>
      <c r="E90" s="256"/>
      <c r="F90" s="256"/>
      <c r="G90" s="256"/>
      <c r="H90" s="256"/>
      <c r="I90" s="256"/>
      <c r="J90" s="256"/>
      <c r="K90" s="256"/>
      <c r="L90" s="256"/>
      <c r="M90" s="256"/>
      <c r="N90" s="256"/>
      <c r="O90" s="256"/>
      <c r="P90" s="256"/>
      <c r="Q90" s="256"/>
      <c r="R90" s="256"/>
      <c r="S90" s="221"/>
      <c r="T90" s="221"/>
      <c r="U90" s="221"/>
      <c r="V90" s="221"/>
      <c r="W90" s="221"/>
      <c r="X90" s="221"/>
      <c r="Y90" s="221"/>
      <c r="Z90" s="221"/>
    </row>
    <row r="91" customFormat="false" ht="12" hidden="false" customHeight="true" outlineLevel="0" collapsed="false">
      <c r="A91" s="256"/>
      <c r="B91" s="256"/>
      <c r="C91" s="256"/>
      <c r="D91" s="256"/>
      <c r="E91" s="256"/>
      <c r="F91" s="256"/>
      <c r="G91" s="256"/>
      <c r="H91" s="256"/>
      <c r="I91" s="256"/>
      <c r="J91" s="256"/>
      <c r="K91" s="256"/>
      <c r="L91" s="256"/>
      <c r="M91" s="256"/>
      <c r="N91" s="256"/>
      <c r="O91" s="256"/>
      <c r="P91" s="256"/>
      <c r="Q91" s="256"/>
      <c r="R91" s="256"/>
      <c r="S91" s="221"/>
      <c r="T91" s="221"/>
      <c r="U91" s="221"/>
      <c r="V91" s="221"/>
      <c r="W91" s="221"/>
      <c r="X91" s="221"/>
      <c r="Y91" s="221"/>
      <c r="Z91" s="221"/>
    </row>
    <row r="92" customFormat="false" ht="12" hidden="false" customHeight="true" outlineLevel="0" collapsed="false">
      <c r="A92" s="256"/>
      <c r="B92" s="256"/>
      <c r="C92" s="256"/>
      <c r="D92" s="256"/>
      <c r="E92" s="256"/>
      <c r="F92" s="256"/>
      <c r="G92" s="256"/>
      <c r="H92" s="256"/>
      <c r="I92" s="256"/>
      <c r="J92" s="256"/>
      <c r="K92" s="256"/>
      <c r="L92" s="256"/>
      <c r="M92" s="256"/>
      <c r="N92" s="256"/>
      <c r="O92" s="256"/>
      <c r="P92" s="256"/>
      <c r="Q92" s="256"/>
      <c r="R92" s="256"/>
      <c r="S92" s="221"/>
      <c r="T92" s="221"/>
      <c r="U92" s="221"/>
      <c r="V92" s="221"/>
      <c r="W92" s="221"/>
      <c r="X92" s="221"/>
      <c r="Y92" s="221"/>
      <c r="Z92" s="221"/>
    </row>
    <row r="93" customFormat="false" ht="12" hidden="false" customHeight="true" outlineLevel="0" collapsed="false">
      <c r="A93" s="256"/>
      <c r="B93" s="256"/>
      <c r="C93" s="256"/>
      <c r="D93" s="256"/>
      <c r="E93" s="256"/>
      <c r="F93" s="256"/>
      <c r="G93" s="256"/>
      <c r="H93" s="256"/>
      <c r="I93" s="256"/>
      <c r="J93" s="256"/>
      <c r="K93" s="256"/>
      <c r="L93" s="256"/>
      <c r="M93" s="256"/>
      <c r="N93" s="256"/>
      <c r="O93" s="256"/>
      <c r="P93" s="256"/>
      <c r="Q93" s="256"/>
      <c r="R93" s="256"/>
      <c r="S93" s="221"/>
      <c r="T93" s="221"/>
      <c r="U93" s="221"/>
      <c r="V93" s="221"/>
      <c r="W93" s="221"/>
      <c r="X93" s="221"/>
      <c r="Y93" s="221"/>
      <c r="Z93" s="221"/>
    </row>
    <row r="94" customFormat="false" ht="12" hidden="false" customHeight="true" outlineLevel="0" collapsed="false">
      <c r="A94" s="256"/>
      <c r="B94" s="256"/>
      <c r="C94" s="256"/>
      <c r="D94" s="256"/>
      <c r="E94" s="256"/>
      <c r="F94" s="256"/>
      <c r="G94" s="256"/>
      <c r="H94" s="256"/>
      <c r="I94" s="256"/>
      <c r="J94" s="256"/>
      <c r="K94" s="256"/>
      <c r="L94" s="256"/>
      <c r="M94" s="256"/>
      <c r="N94" s="256"/>
      <c r="O94" s="256"/>
      <c r="P94" s="256"/>
      <c r="Q94" s="256"/>
      <c r="R94" s="256"/>
      <c r="S94" s="221"/>
      <c r="T94" s="221"/>
      <c r="U94" s="221"/>
      <c r="V94" s="221"/>
      <c r="W94" s="221"/>
      <c r="X94" s="221"/>
      <c r="Y94" s="221"/>
      <c r="Z94" s="221"/>
    </row>
    <row r="95" customFormat="false" ht="12" hidden="false" customHeight="true" outlineLevel="0" collapsed="false">
      <c r="A95" s="256"/>
      <c r="B95" s="256"/>
      <c r="C95" s="256"/>
      <c r="D95" s="256"/>
      <c r="E95" s="256"/>
      <c r="F95" s="256"/>
      <c r="G95" s="256"/>
      <c r="H95" s="256"/>
      <c r="I95" s="256"/>
      <c r="J95" s="256"/>
      <c r="K95" s="256"/>
      <c r="L95" s="256"/>
      <c r="M95" s="256"/>
      <c r="N95" s="256"/>
      <c r="O95" s="256"/>
      <c r="P95" s="256"/>
      <c r="Q95" s="256"/>
      <c r="R95" s="256"/>
      <c r="S95" s="221"/>
      <c r="T95" s="221"/>
      <c r="U95" s="221"/>
      <c r="V95" s="221"/>
      <c r="W95" s="221"/>
      <c r="X95" s="221"/>
      <c r="Y95" s="221"/>
      <c r="Z95" s="221"/>
    </row>
    <row r="96" customFormat="false" ht="12" hidden="false" customHeight="true" outlineLevel="0" collapsed="false">
      <c r="A96" s="256"/>
      <c r="B96" s="256"/>
      <c r="C96" s="256"/>
      <c r="D96" s="256"/>
      <c r="E96" s="256"/>
      <c r="F96" s="256"/>
      <c r="G96" s="256"/>
      <c r="H96" s="256"/>
      <c r="I96" s="256"/>
      <c r="J96" s="256"/>
      <c r="K96" s="256"/>
      <c r="L96" s="256"/>
      <c r="M96" s="256"/>
      <c r="N96" s="256"/>
      <c r="O96" s="256"/>
      <c r="P96" s="256"/>
      <c r="Q96" s="256"/>
      <c r="R96" s="256"/>
      <c r="S96" s="221"/>
      <c r="T96" s="221"/>
      <c r="U96" s="221"/>
      <c r="V96" s="221"/>
      <c r="W96" s="221"/>
      <c r="X96" s="221"/>
      <c r="Y96" s="221"/>
      <c r="Z96" s="221"/>
    </row>
    <row r="97" customFormat="false" ht="12" hidden="false" customHeight="true" outlineLevel="0" collapsed="false">
      <c r="A97" s="256"/>
      <c r="B97" s="256"/>
      <c r="C97" s="256"/>
      <c r="D97" s="256"/>
      <c r="E97" s="256"/>
      <c r="F97" s="256"/>
      <c r="G97" s="256"/>
      <c r="H97" s="256"/>
      <c r="I97" s="256"/>
      <c r="J97" s="256"/>
      <c r="K97" s="256"/>
      <c r="L97" s="256"/>
      <c r="M97" s="256"/>
      <c r="N97" s="256"/>
      <c r="O97" s="256"/>
      <c r="P97" s="256"/>
      <c r="Q97" s="256"/>
      <c r="R97" s="256"/>
      <c r="S97" s="221"/>
      <c r="T97" s="221"/>
      <c r="U97" s="221"/>
      <c r="V97" s="221"/>
      <c r="W97" s="221"/>
      <c r="X97" s="221"/>
      <c r="Y97" s="221"/>
      <c r="Z97" s="221"/>
    </row>
    <row r="98" customFormat="false" ht="12" hidden="false" customHeight="true" outlineLevel="0" collapsed="false">
      <c r="A98" s="256"/>
      <c r="B98" s="256"/>
      <c r="C98" s="256"/>
      <c r="D98" s="256"/>
      <c r="E98" s="256"/>
      <c r="F98" s="256"/>
      <c r="G98" s="256"/>
      <c r="H98" s="256"/>
      <c r="I98" s="256"/>
      <c r="J98" s="256"/>
      <c r="K98" s="256"/>
      <c r="L98" s="256"/>
      <c r="M98" s="256"/>
      <c r="N98" s="256"/>
      <c r="O98" s="256"/>
      <c r="P98" s="256"/>
      <c r="Q98" s="256"/>
      <c r="R98" s="256"/>
      <c r="S98" s="221"/>
      <c r="T98" s="221"/>
      <c r="U98" s="221"/>
      <c r="V98" s="221"/>
      <c r="W98" s="221"/>
      <c r="X98" s="221"/>
      <c r="Y98" s="221"/>
      <c r="Z98" s="221"/>
    </row>
    <row r="99" customFormat="false" ht="12" hidden="false" customHeight="true" outlineLevel="0" collapsed="false">
      <c r="A99" s="256"/>
      <c r="B99" s="256"/>
      <c r="C99" s="256"/>
      <c r="D99" s="256"/>
      <c r="E99" s="256"/>
      <c r="F99" s="256"/>
      <c r="G99" s="256"/>
      <c r="H99" s="256"/>
      <c r="I99" s="256"/>
      <c r="J99" s="256"/>
      <c r="K99" s="256"/>
      <c r="L99" s="256"/>
      <c r="M99" s="256"/>
      <c r="N99" s="256"/>
      <c r="O99" s="256"/>
      <c r="P99" s="256"/>
      <c r="Q99" s="256"/>
      <c r="R99" s="256"/>
      <c r="S99" s="221"/>
      <c r="T99" s="221"/>
      <c r="U99" s="221"/>
      <c r="V99" s="221"/>
      <c r="W99" s="221"/>
      <c r="X99" s="221"/>
      <c r="Y99" s="221"/>
      <c r="Z99" s="221"/>
    </row>
    <row r="100" customFormat="false" ht="12" hidden="false" customHeight="true" outlineLevel="0" collapsed="false">
      <c r="A100" s="256"/>
      <c r="B100" s="256"/>
      <c r="C100" s="256"/>
      <c r="D100" s="256"/>
      <c r="E100" s="256"/>
      <c r="F100" s="256"/>
      <c r="G100" s="256"/>
      <c r="H100" s="256"/>
      <c r="I100" s="256"/>
      <c r="J100" s="256"/>
      <c r="K100" s="256"/>
      <c r="L100" s="256"/>
      <c r="M100" s="256"/>
      <c r="N100" s="256"/>
      <c r="O100" s="256"/>
      <c r="P100" s="256"/>
      <c r="Q100" s="256"/>
      <c r="R100" s="256"/>
      <c r="S100" s="221"/>
      <c r="T100" s="221"/>
      <c r="U100" s="221"/>
      <c r="V100" s="221"/>
      <c r="W100" s="221"/>
      <c r="X100" s="221"/>
      <c r="Y100" s="221"/>
      <c r="Z100" s="221"/>
    </row>
    <row r="101" customFormat="false" ht="12" hidden="false" customHeight="true" outlineLevel="0" collapsed="false">
      <c r="A101" s="256"/>
      <c r="B101" s="256"/>
      <c r="C101" s="256"/>
      <c r="D101" s="256"/>
      <c r="E101" s="256"/>
      <c r="F101" s="256"/>
      <c r="G101" s="256"/>
      <c r="H101" s="256"/>
      <c r="I101" s="256"/>
      <c r="J101" s="256"/>
      <c r="K101" s="256"/>
      <c r="L101" s="256"/>
      <c r="M101" s="256"/>
      <c r="N101" s="256"/>
      <c r="O101" s="256"/>
      <c r="P101" s="256"/>
      <c r="Q101" s="256"/>
      <c r="R101" s="256"/>
      <c r="S101" s="221"/>
      <c r="T101" s="221"/>
      <c r="U101" s="221"/>
      <c r="V101" s="221"/>
      <c r="W101" s="221"/>
      <c r="X101" s="221"/>
      <c r="Y101" s="221"/>
      <c r="Z101" s="221"/>
    </row>
    <row r="102" customFormat="false" ht="12" hidden="false" customHeight="true" outlineLevel="0" collapsed="false">
      <c r="A102" s="256"/>
      <c r="B102" s="256"/>
      <c r="C102" s="256"/>
      <c r="D102" s="256"/>
      <c r="E102" s="256"/>
      <c r="F102" s="256"/>
      <c r="G102" s="256"/>
      <c r="H102" s="256"/>
      <c r="I102" s="256"/>
      <c r="J102" s="256"/>
      <c r="K102" s="256"/>
      <c r="L102" s="256"/>
      <c r="M102" s="256"/>
      <c r="N102" s="256"/>
      <c r="O102" s="256"/>
      <c r="P102" s="256"/>
      <c r="Q102" s="256"/>
      <c r="R102" s="256"/>
      <c r="S102" s="221"/>
      <c r="T102" s="221"/>
      <c r="U102" s="221"/>
      <c r="V102" s="221"/>
      <c r="W102" s="221"/>
      <c r="X102" s="221"/>
      <c r="Y102" s="221"/>
      <c r="Z102" s="221"/>
    </row>
    <row r="103" customFormat="false" ht="12" hidden="false" customHeight="true" outlineLevel="0" collapsed="false">
      <c r="A103" s="256"/>
      <c r="B103" s="256"/>
      <c r="C103" s="256"/>
      <c r="D103" s="256"/>
      <c r="E103" s="256"/>
      <c r="F103" s="256"/>
      <c r="G103" s="256"/>
      <c r="H103" s="256"/>
      <c r="I103" s="256"/>
      <c r="J103" s="256"/>
      <c r="K103" s="256"/>
      <c r="L103" s="256"/>
      <c r="M103" s="256"/>
      <c r="N103" s="256"/>
      <c r="O103" s="256"/>
      <c r="P103" s="256"/>
      <c r="Q103" s="256"/>
      <c r="R103" s="256"/>
      <c r="S103" s="221"/>
      <c r="T103" s="221"/>
      <c r="U103" s="221"/>
      <c r="V103" s="221"/>
      <c r="W103" s="221"/>
      <c r="X103" s="221"/>
      <c r="Y103" s="221"/>
      <c r="Z103" s="221"/>
    </row>
    <row r="104" customFormat="false" ht="12" hidden="false" customHeight="true" outlineLevel="0" collapsed="false">
      <c r="A104" s="256"/>
      <c r="B104" s="256"/>
      <c r="C104" s="256"/>
      <c r="D104" s="256"/>
      <c r="E104" s="256"/>
      <c r="F104" s="256"/>
      <c r="G104" s="256"/>
      <c r="H104" s="256"/>
      <c r="I104" s="256"/>
      <c r="J104" s="256"/>
      <c r="K104" s="256"/>
      <c r="L104" s="256"/>
      <c r="M104" s="256"/>
      <c r="N104" s="256"/>
      <c r="O104" s="256"/>
      <c r="P104" s="256"/>
      <c r="Q104" s="256"/>
      <c r="R104" s="256"/>
      <c r="S104" s="221"/>
      <c r="T104" s="221"/>
      <c r="U104" s="221"/>
      <c r="V104" s="221"/>
      <c r="W104" s="221"/>
      <c r="X104" s="221"/>
      <c r="Y104" s="221"/>
      <c r="Z104" s="221"/>
    </row>
    <row r="105" customFormat="false" ht="12" hidden="false" customHeight="true" outlineLevel="0" collapsed="false">
      <c r="A105" s="256"/>
      <c r="B105" s="256"/>
      <c r="C105" s="256"/>
      <c r="D105" s="256"/>
      <c r="E105" s="256"/>
      <c r="F105" s="256"/>
      <c r="G105" s="256"/>
      <c r="H105" s="256"/>
      <c r="I105" s="256"/>
      <c r="J105" s="256"/>
      <c r="K105" s="256"/>
      <c r="L105" s="256"/>
      <c r="M105" s="256"/>
      <c r="N105" s="256"/>
      <c r="O105" s="256"/>
      <c r="P105" s="256"/>
      <c r="Q105" s="256"/>
      <c r="R105" s="256"/>
      <c r="S105" s="221"/>
      <c r="T105" s="221"/>
      <c r="U105" s="221"/>
      <c r="V105" s="221"/>
      <c r="W105" s="221"/>
      <c r="X105" s="221"/>
      <c r="Y105" s="221"/>
      <c r="Z105" s="221"/>
    </row>
    <row r="106" customFormat="false" ht="12" hidden="false" customHeight="true" outlineLevel="0" collapsed="false">
      <c r="A106" s="256"/>
      <c r="B106" s="256"/>
      <c r="C106" s="256"/>
      <c r="D106" s="256"/>
      <c r="E106" s="256"/>
      <c r="F106" s="256"/>
      <c r="G106" s="256"/>
      <c r="H106" s="256"/>
      <c r="I106" s="256"/>
      <c r="J106" s="256"/>
      <c r="K106" s="256"/>
      <c r="L106" s="256"/>
      <c r="M106" s="256"/>
      <c r="N106" s="256"/>
      <c r="O106" s="256"/>
      <c r="P106" s="256"/>
      <c r="Q106" s="256"/>
      <c r="R106" s="256"/>
      <c r="S106" s="221"/>
      <c r="T106" s="221"/>
      <c r="U106" s="221"/>
      <c r="V106" s="221"/>
      <c r="W106" s="221"/>
      <c r="X106" s="221"/>
      <c r="Y106" s="221"/>
      <c r="Z106" s="221"/>
    </row>
    <row r="107" customFormat="false" ht="12" hidden="false" customHeight="true" outlineLevel="0" collapsed="false">
      <c r="A107" s="256"/>
      <c r="B107" s="256"/>
      <c r="C107" s="256"/>
      <c r="D107" s="256"/>
      <c r="E107" s="256"/>
      <c r="F107" s="256"/>
      <c r="G107" s="256"/>
      <c r="H107" s="256"/>
      <c r="I107" s="256"/>
      <c r="J107" s="256"/>
      <c r="K107" s="256"/>
      <c r="L107" s="256"/>
      <c r="M107" s="256"/>
      <c r="N107" s="256"/>
      <c r="O107" s="256"/>
      <c r="P107" s="256"/>
      <c r="Q107" s="256"/>
      <c r="R107" s="256"/>
      <c r="S107" s="221"/>
      <c r="T107" s="221"/>
      <c r="U107" s="221"/>
      <c r="V107" s="221"/>
      <c r="W107" s="221"/>
      <c r="X107" s="221"/>
      <c r="Y107" s="221"/>
      <c r="Z107" s="221"/>
    </row>
    <row r="108" customFormat="false" ht="12" hidden="false" customHeight="true" outlineLevel="0" collapsed="false">
      <c r="A108" s="256"/>
      <c r="B108" s="256"/>
      <c r="C108" s="256"/>
      <c r="D108" s="256"/>
      <c r="E108" s="256"/>
      <c r="F108" s="256"/>
      <c r="G108" s="256"/>
      <c r="H108" s="256"/>
      <c r="I108" s="256"/>
      <c r="J108" s="256"/>
      <c r="K108" s="256"/>
      <c r="L108" s="256"/>
      <c r="M108" s="256"/>
      <c r="N108" s="256"/>
      <c r="O108" s="256"/>
      <c r="P108" s="256"/>
      <c r="Q108" s="256"/>
      <c r="R108" s="256"/>
      <c r="S108" s="221"/>
      <c r="T108" s="221"/>
      <c r="U108" s="221"/>
      <c r="V108" s="221"/>
      <c r="W108" s="221"/>
      <c r="X108" s="221"/>
      <c r="Y108" s="221"/>
      <c r="Z108" s="221"/>
    </row>
    <row r="109" customFormat="false" ht="12" hidden="false" customHeight="true" outlineLevel="0" collapsed="false">
      <c r="A109" s="256"/>
      <c r="B109" s="256"/>
      <c r="C109" s="256"/>
      <c r="D109" s="256"/>
      <c r="E109" s="256"/>
      <c r="F109" s="256"/>
      <c r="G109" s="256"/>
      <c r="H109" s="256"/>
      <c r="I109" s="256"/>
      <c r="J109" s="256"/>
      <c r="K109" s="256"/>
      <c r="L109" s="256"/>
      <c r="M109" s="256"/>
      <c r="N109" s="256"/>
      <c r="O109" s="256"/>
      <c r="P109" s="256"/>
      <c r="Q109" s="256"/>
      <c r="R109" s="256"/>
      <c r="S109" s="221"/>
      <c r="T109" s="221"/>
      <c r="U109" s="221"/>
      <c r="V109" s="221"/>
      <c r="W109" s="221"/>
      <c r="X109" s="221"/>
      <c r="Y109" s="221"/>
      <c r="Z109" s="221"/>
    </row>
    <row r="110" customFormat="false" ht="12" hidden="false" customHeight="true" outlineLevel="0" collapsed="false">
      <c r="A110" s="256"/>
      <c r="B110" s="256"/>
      <c r="C110" s="256"/>
      <c r="D110" s="256"/>
      <c r="E110" s="256"/>
      <c r="F110" s="256"/>
      <c r="G110" s="256"/>
      <c r="H110" s="256"/>
      <c r="I110" s="256"/>
      <c r="J110" s="256"/>
      <c r="K110" s="256"/>
      <c r="L110" s="256"/>
      <c r="M110" s="256"/>
      <c r="N110" s="256"/>
      <c r="O110" s="256"/>
      <c r="P110" s="256"/>
      <c r="Q110" s="256"/>
      <c r="R110" s="256"/>
      <c r="S110" s="221"/>
      <c r="T110" s="221"/>
      <c r="U110" s="221"/>
      <c r="V110" s="221"/>
      <c r="W110" s="221"/>
      <c r="X110" s="221"/>
      <c r="Y110" s="221"/>
      <c r="Z110" s="221"/>
    </row>
    <row r="111" customFormat="false" ht="12" hidden="false" customHeight="true" outlineLevel="0" collapsed="false">
      <c r="A111" s="256"/>
      <c r="B111" s="256"/>
      <c r="C111" s="256"/>
      <c r="D111" s="256"/>
      <c r="E111" s="256"/>
      <c r="F111" s="256"/>
      <c r="G111" s="256"/>
      <c r="H111" s="256"/>
      <c r="I111" s="256"/>
      <c r="J111" s="256"/>
      <c r="K111" s="256"/>
      <c r="L111" s="256"/>
      <c r="M111" s="256"/>
      <c r="N111" s="256"/>
      <c r="O111" s="256"/>
      <c r="P111" s="256"/>
      <c r="Q111" s="256"/>
      <c r="R111" s="256"/>
      <c r="S111" s="221"/>
      <c r="T111" s="221"/>
      <c r="U111" s="221"/>
      <c r="V111" s="221"/>
      <c r="W111" s="221"/>
      <c r="X111" s="221"/>
      <c r="Y111" s="221"/>
      <c r="Z111" s="221"/>
    </row>
    <row r="112" customFormat="false" ht="12" hidden="false" customHeight="true" outlineLevel="0" collapsed="false">
      <c r="A112" s="256"/>
      <c r="B112" s="256"/>
      <c r="C112" s="256"/>
      <c r="D112" s="256"/>
      <c r="E112" s="256"/>
      <c r="F112" s="256"/>
      <c r="G112" s="256"/>
      <c r="H112" s="256"/>
      <c r="I112" s="256"/>
      <c r="J112" s="256"/>
      <c r="K112" s="256"/>
      <c r="L112" s="256"/>
      <c r="M112" s="256"/>
      <c r="N112" s="256"/>
      <c r="O112" s="256"/>
      <c r="P112" s="256"/>
      <c r="Q112" s="256"/>
      <c r="R112" s="256"/>
      <c r="S112" s="221"/>
      <c r="T112" s="221"/>
      <c r="U112" s="221"/>
      <c r="V112" s="221"/>
      <c r="W112" s="221"/>
      <c r="X112" s="221"/>
      <c r="Y112" s="221"/>
      <c r="Z112" s="221"/>
    </row>
    <row r="113" customFormat="false" ht="12" hidden="false" customHeight="true" outlineLevel="0" collapsed="false">
      <c r="A113" s="256"/>
      <c r="B113" s="256"/>
      <c r="C113" s="256"/>
      <c r="D113" s="256"/>
      <c r="E113" s="256"/>
      <c r="F113" s="256"/>
      <c r="G113" s="256"/>
      <c r="H113" s="256"/>
      <c r="I113" s="256"/>
      <c r="J113" s="256"/>
      <c r="K113" s="256"/>
      <c r="L113" s="256"/>
      <c r="M113" s="256"/>
      <c r="N113" s="256"/>
      <c r="O113" s="256"/>
      <c r="P113" s="256"/>
      <c r="Q113" s="256"/>
      <c r="R113" s="256"/>
      <c r="S113" s="221"/>
      <c r="T113" s="221"/>
      <c r="U113" s="221"/>
      <c r="V113" s="221"/>
      <c r="W113" s="221"/>
      <c r="X113" s="221"/>
      <c r="Y113" s="221"/>
      <c r="Z113" s="221"/>
    </row>
    <row r="114" customFormat="false" ht="12" hidden="false" customHeight="true" outlineLevel="0" collapsed="false">
      <c r="A114" s="256"/>
      <c r="B114" s="256"/>
      <c r="C114" s="256"/>
      <c r="D114" s="256"/>
      <c r="E114" s="256"/>
      <c r="F114" s="256"/>
      <c r="G114" s="256"/>
      <c r="H114" s="256"/>
      <c r="I114" s="256"/>
      <c r="J114" s="256"/>
      <c r="K114" s="256"/>
      <c r="L114" s="256"/>
      <c r="M114" s="256"/>
      <c r="N114" s="256"/>
      <c r="O114" s="256"/>
      <c r="P114" s="256"/>
      <c r="Q114" s="256"/>
      <c r="R114" s="256"/>
      <c r="S114" s="221"/>
      <c r="T114" s="221"/>
      <c r="U114" s="221"/>
      <c r="V114" s="221"/>
      <c r="W114" s="221"/>
      <c r="X114" s="221"/>
      <c r="Y114" s="221"/>
      <c r="Z114" s="221"/>
    </row>
    <row r="115" customFormat="false" ht="12" hidden="false" customHeight="true" outlineLevel="0" collapsed="false">
      <c r="A115" s="256"/>
      <c r="B115" s="256"/>
      <c r="C115" s="256"/>
      <c r="D115" s="256"/>
      <c r="E115" s="256"/>
      <c r="F115" s="256"/>
      <c r="G115" s="256"/>
      <c r="H115" s="256"/>
      <c r="I115" s="256"/>
      <c r="J115" s="256"/>
      <c r="K115" s="256"/>
      <c r="L115" s="256"/>
      <c r="M115" s="256"/>
      <c r="N115" s="256"/>
      <c r="O115" s="256"/>
      <c r="P115" s="256"/>
      <c r="Q115" s="256"/>
      <c r="R115" s="256"/>
      <c r="S115" s="221"/>
      <c r="T115" s="221"/>
      <c r="U115" s="221"/>
      <c r="V115" s="221"/>
      <c r="W115" s="221"/>
      <c r="X115" s="221"/>
      <c r="Y115" s="221"/>
      <c r="Z115" s="221"/>
    </row>
    <row r="116" customFormat="false" ht="12" hidden="false" customHeight="true" outlineLevel="0" collapsed="false">
      <c r="A116" s="256"/>
      <c r="B116" s="256"/>
      <c r="C116" s="256"/>
      <c r="D116" s="256"/>
      <c r="E116" s="256"/>
      <c r="F116" s="256"/>
      <c r="G116" s="256"/>
      <c r="H116" s="256"/>
      <c r="I116" s="256"/>
      <c r="J116" s="256"/>
      <c r="K116" s="256"/>
      <c r="L116" s="256"/>
      <c r="M116" s="256"/>
      <c r="N116" s="256"/>
      <c r="O116" s="256"/>
      <c r="P116" s="256"/>
      <c r="Q116" s="256"/>
      <c r="R116" s="256"/>
      <c r="S116" s="221"/>
      <c r="T116" s="221"/>
      <c r="U116" s="221"/>
      <c r="V116" s="221"/>
      <c r="W116" s="221"/>
      <c r="X116" s="221"/>
      <c r="Y116" s="221"/>
      <c r="Z116" s="221"/>
    </row>
    <row r="117" customFormat="false" ht="12" hidden="false" customHeight="true" outlineLevel="0" collapsed="false">
      <c r="A117" s="256"/>
      <c r="B117" s="256"/>
      <c r="C117" s="256"/>
      <c r="D117" s="256"/>
      <c r="E117" s="256"/>
      <c r="F117" s="256"/>
      <c r="G117" s="256"/>
      <c r="H117" s="256"/>
      <c r="I117" s="256"/>
      <c r="J117" s="256"/>
      <c r="K117" s="256"/>
      <c r="L117" s="256"/>
      <c r="M117" s="256"/>
      <c r="N117" s="256"/>
      <c r="O117" s="256"/>
      <c r="P117" s="256"/>
      <c r="Q117" s="256"/>
      <c r="R117" s="256"/>
      <c r="S117" s="221"/>
      <c r="T117" s="221"/>
      <c r="U117" s="221"/>
      <c r="V117" s="221"/>
      <c r="W117" s="221"/>
      <c r="X117" s="221"/>
      <c r="Y117" s="221"/>
      <c r="Z117" s="221"/>
    </row>
    <row r="118" customFormat="false" ht="12" hidden="false" customHeight="true" outlineLevel="0" collapsed="false">
      <c r="A118" s="256"/>
      <c r="B118" s="256"/>
      <c r="C118" s="256"/>
      <c r="D118" s="256"/>
      <c r="E118" s="256"/>
      <c r="F118" s="256"/>
      <c r="G118" s="256"/>
      <c r="H118" s="256"/>
      <c r="I118" s="256"/>
      <c r="J118" s="256"/>
      <c r="K118" s="256"/>
      <c r="L118" s="256"/>
      <c r="M118" s="256"/>
      <c r="N118" s="256"/>
      <c r="O118" s="256"/>
      <c r="P118" s="256"/>
      <c r="Q118" s="256"/>
      <c r="R118" s="256"/>
      <c r="S118" s="221"/>
      <c r="T118" s="221"/>
      <c r="U118" s="221"/>
      <c r="V118" s="221"/>
      <c r="W118" s="221"/>
      <c r="X118" s="221"/>
      <c r="Y118" s="221"/>
      <c r="Z118" s="221"/>
    </row>
    <row r="119" customFormat="false" ht="12" hidden="false" customHeight="true" outlineLevel="0" collapsed="false">
      <c r="A119" s="256"/>
      <c r="B119" s="256"/>
      <c r="C119" s="256"/>
      <c r="D119" s="256"/>
      <c r="E119" s="256"/>
      <c r="F119" s="256"/>
      <c r="G119" s="256"/>
      <c r="H119" s="256"/>
      <c r="I119" s="256"/>
      <c r="J119" s="256"/>
      <c r="K119" s="256"/>
      <c r="L119" s="256"/>
      <c r="M119" s="256"/>
      <c r="N119" s="256"/>
      <c r="O119" s="256"/>
      <c r="P119" s="256"/>
      <c r="Q119" s="256"/>
      <c r="R119" s="256"/>
      <c r="S119" s="221"/>
      <c r="T119" s="221"/>
      <c r="U119" s="221"/>
      <c r="V119" s="221"/>
      <c r="W119" s="221"/>
      <c r="X119" s="221"/>
      <c r="Y119" s="221"/>
      <c r="Z119" s="221"/>
    </row>
    <row r="120" customFormat="false" ht="12" hidden="false" customHeight="true" outlineLevel="0" collapsed="false">
      <c r="A120" s="256"/>
      <c r="B120" s="256"/>
      <c r="C120" s="256"/>
      <c r="D120" s="256"/>
      <c r="E120" s="256"/>
      <c r="F120" s="256"/>
      <c r="G120" s="256"/>
      <c r="H120" s="256"/>
      <c r="I120" s="256"/>
      <c r="J120" s="256"/>
      <c r="K120" s="256"/>
      <c r="L120" s="256"/>
      <c r="M120" s="256"/>
      <c r="N120" s="256"/>
      <c r="O120" s="256"/>
      <c r="P120" s="256"/>
      <c r="Q120" s="256"/>
      <c r="R120" s="256"/>
      <c r="S120" s="221"/>
      <c r="T120" s="221"/>
      <c r="U120" s="221"/>
      <c r="V120" s="221"/>
      <c r="W120" s="221"/>
      <c r="X120" s="221"/>
      <c r="Y120" s="221"/>
      <c r="Z120" s="221"/>
    </row>
    <row r="121" customFormat="false" ht="12" hidden="false" customHeight="true" outlineLevel="0" collapsed="false">
      <c r="A121" s="256"/>
      <c r="B121" s="256"/>
      <c r="C121" s="256"/>
      <c r="D121" s="256"/>
      <c r="E121" s="256"/>
      <c r="F121" s="256"/>
      <c r="G121" s="256"/>
      <c r="H121" s="256"/>
      <c r="I121" s="256"/>
      <c r="J121" s="256"/>
      <c r="K121" s="256"/>
      <c r="L121" s="256"/>
      <c r="M121" s="256"/>
      <c r="N121" s="256"/>
      <c r="O121" s="256"/>
      <c r="P121" s="256"/>
      <c r="Q121" s="256"/>
      <c r="R121" s="256"/>
      <c r="S121" s="221"/>
      <c r="T121" s="221"/>
      <c r="U121" s="221"/>
      <c r="V121" s="221"/>
      <c r="W121" s="221"/>
      <c r="X121" s="221"/>
      <c r="Y121" s="221"/>
      <c r="Z121" s="221"/>
    </row>
    <row r="122" customFormat="false" ht="12" hidden="false" customHeight="true" outlineLevel="0" collapsed="false">
      <c r="A122" s="256"/>
      <c r="B122" s="256"/>
      <c r="C122" s="256"/>
      <c r="D122" s="256"/>
      <c r="E122" s="256"/>
      <c r="F122" s="256"/>
      <c r="G122" s="256"/>
      <c r="H122" s="256"/>
      <c r="I122" s="256"/>
      <c r="J122" s="256"/>
      <c r="K122" s="256"/>
      <c r="L122" s="256"/>
      <c r="M122" s="256"/>
      <c r="N122" s="256"/>
      <c r="O122" s="256"/>
      <c r="P122" s="256"/>
      <c r="Q122" s="256"/>
      <c r="R122" s="256"/>
      <c r="S122" s="221"/>
      <c r="T122" s="221"/>
      <c r="U122" s="221"/>
      <c r="V122" s="221"/>
      <c r="W122" s="221"/>
      <c r="X122" s="221"/>
      <c r="Y122" s="221"/>
      <c r="Z122" s="221"/>
    </row>
    <row r="123" customFormat="false" ht="12" hidden="false" customHeight="true" outlineLevel="0" collapsed="false">
      <c r="A123" s="256"/>
      <c r="B123" s="256"/>
      <c r="C123" s="256"/>
      <c r="D123" s="256"/>
      <c r="E123" s="256"/>
      <c r="F123" s="256"/>
      <c r="G123" s="256"/>
      <c r="H123" s="256"/>
      <c r="I123" s="256"/>
      <c r="J123" s="256"/>
      <c r="K123" s="256"/>
      <c r="L123" s="256"/>
      <c r="M123" s="256"/>
      <c r="N123" s="256"/>
      <c r="O123" s="256"/>
      <c r="P123" s="256"/>
      <c r="Q123" s="256"/>
      <c r="R123" s="256"/>
      <c r="S123" s="221"/>
      <c r="T123" s="221"/>
      <c r="U123" s="221"/>
      <c r="V123" s="221"/>
      <c r="W123" s="221"/>
      <c r="X123" s="221"/>
      <c r="Y123" s="221"/>
      <c r="Z123" s="221"/>
    </row>
    <row r="124" customFormat="false" ht="12" hidden="false" customHeight="true" outlineLevel="0" collapsed="false">
      <c r="A124" s="256"/>
      <c r="B124" s="256"/>
      <c r="C124" s="256"/>
      <c r="D124" s="256"/>
      <c r="E124" s="256"/>
      <c r="F124" s="256"/>
      <c r="G124" s="256"/>
      <c r="H124" s="256"/>
      <c r="I124" s="256"/>
      <c r="J124" s="256"/>
      <c r="K124" s="256"/>
      <c r="L124" s="256"/>
      <c r="M124" s="256"/>
      <c r="N124" s="256"/>
      <c r="O124" s="256"/>
      <c r="P124" s="256"/>
      <c r="Q124" s="256"/>
      <c r="R124" s="256"/>
      <c r="S124" s="221"/>
      <c r="T124" s="221"/>
      <c r="U124" s="221"/>
      <c r="V124" s="221"/>
      <c r="W124" s="221"/>
      <c r="X124" s="221"/>
      <c r="Y124" s="221"/>
      <c r="Z124" s="221"/>
    </row>
    <row r="125" customFormat="false" ht="12" hidden="false" customHeight="true" outlineLevel="0" collapsed="false">
      <c r="A125" s="256"/>
      <c r="B125" s="256"/>
      <c r="C125" s="256"/>
      <c r="D125" s="256"/>
      <c r="E125" s="256"/>
      <c r="F125" s="256"/>
      <c r="G125" s="256"/>
      <c r="H125" s="256"/>
      <c r="I125" s="256"/>
      <c r="J125" s="256"/>
      <c r="K125" s="256"/>
      <c r="L125" s="256"/>
      <c r="M125" s="256"/>
      <c r="N125" s="256"/>
      <c r="O125" s="256"/>
      <c r="P125" s="256"/>
      <c r="Q125" s="256"/>
      <c r="R125" s="256"/>
      <c r="S125" s="221"/>
      <c r="T125" s="221"/>
      <c r="U125" s="221"/>
      <c r="V125" s="221"/>
      <c r="W125" s="221"/>
      <c r="X125" s="221"/>
      <c r="Y125" s="221"/>
      <c r="Z125" s="221"/>
    </row>
    <row r="126" customFormat="false" ht="12" hidden="false" customHeight="true" outlineLevel="0" collapsed="false">
      <c r="A126" s="256"/>
      <c r="B126" s="256"/>
      <c r="C126" s="256"/>
      <c r="D126" s="256"/>
      <c r="E126" s="256"/>
      <c r="F126" s="256"/>
      <c r="G126" s="256"/>
      <c r="H126" s="256"/>
      <c r="I126" s="256"/>
      <c r="J126" s="256"/>
      <c r="K126" s="256"/>
      <c r="L126" s="256"/>
      <c r="M126" s="256"/>
      <c r="N126" s="256"/>
      <c r="O126" s="256"/>
      <c r="P126" s="256"/>
      <c r="Q126" s="256"/>
      <c r="R126" s="256"/>
      <c r="S126" s="221"/>
      <c r="T126" s="221"/>
      <c r="U126" s="221"/>
      <c r="V126" s="221"/>
      <c r="W126" s="221"/>
      <c r="X126" s="221"/>
      <c r="Y126" s="221"/>
      <c r="Z126" s="221"/>
    </row>
    <row r="127" customFormat="false" ht="12" hidden="false" customHeight="true" outlineLevel="0" collapsed="false">
      <c r="A127" s="256"/>
      <c r="B127" s="256"/>
      <c r="C127" s="256"/>
      <c r="D127" s="256"/>
      <c r="E127" s="256"/>
      <c r="F127" s="256"/>
      <c r="G127" s="256"/>
      <c r="H127" s="256"/>
      <c r="I127" s="256"/>
      <c r="J127" s="256"/>
      <c r="K127" s="256"/>
      <c r="L127" s="256"/>
      <c r="M127" s="256"/>
      <c r="N127" s="256"/>
      <c r="O127" s="256"/>
      <c r="P127" s="256"/>
      <c r="Q127" s="256"/>
      <c r="R127" s="256"/>
      <c r="S127" s="221"/>
      <c r="T127" s="221"/>
      <c r="U127" s="221"/>
      <c r="V127" s="221"/>
      <c r="W127" s="221"/>
      <c r="X127" s="221"/>
      <c r="Y127" s="221"/>
      <c r="Z127" s="221"/>
    </row>
    <row r="128" customFormat="false" ht="12" hidden="false" customHeight="true" outlineLevel="0" collapsed="false">
      <c r="A128" s="256"/>
      <c r="B128" s="256"/>
      <c r="C128" s="256"/>
      <c r="D128" s="256"/>
      <c r="E128" s="256"/>
      <c r="F128" s="256"/>
      <c r="G128" s="256"/>
      <c r="H128" s="256"/>
      <c r="I128" s="256"/>
      <c r="J128" s="256"/>
      <c r="K128" s="256"/>
      <c r="L128" s="256"/>
      <c r="M128" s="256"/>
      <c r="N128" s="256"/>
      <c r="O128" s="256"/>
      <c r="P128" s="256"/>
      <c r="Q128" s="256"/>
      <c r="R128" s="256"/>
      <c r="S128" s="221"/>
      <c r="T128" s="221"/>
      <c r="U128" s="221"/>
      <c r="V128" s="221"/>
      <c r="W128" s="221"/>
      <c r="X128" s="221"/>
      <c r="Y128" s="221"/>
      <c r="Z128" s="221"/>
    </row>
    <row r="129" customFormat="false" ht="12" hidden="false" customHeight="true" outlineLevel="0" collapsed="false">
      <c r="A129" s="256"/>
      <c r="B129" s="256"/>
      <c r="C129" s="256"/>
      <c r="D129" s="256"/>
      <c r="E129" s="256"/>
      <c r="F129" s="256"/>
      <c r="G129" s="256"/>
      <c r="H129" s="256"/>
      <c r="I129" s="256"/>
      <c r="J129" s="256"/>
      <c r="K129" s="256"/>
      <c r="L129" s="256"/>
      <c r="M129" s="256"/>
      <c r="N129" s="256"/>
      <c r="O129" s="256"/>
      <c r="P129" s="256"/>
      <c r="Q129" s="256"/>
      <c r="R129" s="256"/>
      <c r="S129" s="221"/>
      <c r="T129" s="221"/>
      <c r="U129" s="221"/>
      <c r="V129" s="221"/>
      <c r="W129" s="221"/>
      <c r="X129" s="221"/>
      <c r="Y129" s="221"/>
      <c r="Z129" s="221"/>
    </row>
    <row r="130" customFormat="false" ht="12" hidden="false" customHeight="true" outlineLevel="0" collapsed="false">
      <c r="A130" s="256"/>
      <c r="B130" s="256"/>
      <c r="C130" s="256"/>
      <c r="D130" s="256"/>
      <c r="E130" s="256"/>
      <c r="F130" s="256"/>
      <c r="G130" s="256"/>
      <c r="H130" s="256"/>
      <c r="I130" s="256"/>
      <c r="J130" s="256"/>
      <c r="K130" s="256"/>
      <c r="L130" s="256"/>
      <c r="M130" s="256"/>
      <c r="N130" s="256"/>
      <c r="O130" s="256"/>
      <c r="P130" s="256"/>
      <c r="Q130" s="256"/>
      <c r="R130" s="256"/>
      <c r="S130" s="221"/>
      <c r="T130" s="221"/>
      <c r="U130" s="221"/>
      <c r="V130" s="221"/>
      <c r="W130" s="221"/>
      <c r="X130" s="221"/>
      <c r="Y130" s="221"/>
      <c r="Z130" s="221"/>
    </row>
    <row r="131" customFormat="false" ht="12" hidden="false" customHeight="true" outlineLevel="0" collapsed="false">
      <c r="A131" s="256"/>
      <c r="B131" s="256"/>
      <c r="C131" s="256"/>
      <c r="D131" s="256"/>
      <c r="E131" s="256"/>
      <c r="F131" s="256"/>
      <c r="G131" s="256"/>
      <c r="H131" s="256"/>
      <c r="I131" s="256"/>
      <c r="J131" s="256"/>
      <c r="K131" s="256"/>
      <c r="L131" s="256"/>
      <c r="M131" s="256"/>
      <c r="N131" s="256"/>
      <c r="O131" s="256"/>
      <c r="P131" s="256"/>
      <c r="Q131" s="256"/>
      <c r="R131" s="256"/>
      <c r="S131" s="221"/>
      <c r="T131" s="221"/>
      <c r="U131" s="221"/>
      <c r="V131" s="221"/>
      <c r="W131" s="221"/>
      <c r="X131" s="221"/>
      <c r="Y131" s="221"/>
      <c r="Z131" s="221"/>
    </row>
    <row r="132" customFormat="false" ht="12" hidden="false" customHeight="true" outlineLevel="0" collapsed="false">
      <c r="A132" s="256"/>
      <c r="B132" s="256"/>
      <c r="C132" s="256"/>
      <c r="D132" s="256"/>
      <c r="E132" s="256"/>
      <c r="F132" s="256"/>
      <c r="G132" s="256"/>
      <c r="H132" s="256"/>
      <c r="I132" s="256"/>
      <c r="J132" s="256"/>
      <c r="K132" s="256"/>
      <c r="L132" s="256"/>
      <c r="M132" s="256"/>
      <c r="N132" s="256"/>
      <c r="O132" s="256"/>
      <c r="P132" s="256"/>
      <c r="Q132" s="256"/>
      <c r="R132" s="256"/>
      <c r="S132" s="221"/>
      <c r="T132" s="221"/>
      <c r="U132" s="221"/>
      <c r="V132" s="221"/>
      <c r="W132" s="221"/>
      <c r="X132" s="221"/>
      <c r="Y132" s="221"/>
      <c r="Z132" s="221"/>
    </row>
    <row r="133" customFormat="false" ht="12" hidden="false" customHeight="true" outlineLevel="0" collapsed="false">
      <c r="A133" s="256"/>
      <c r="B133" s="256"/>
      <c r="C133" s="256"/>
      <c r="D133" s="256"/>
      <c r="E133" s="256"/>
      <c r="F133" s="256"/>
      <c r="G133" s="256"/>
      <c r="H133" s="256"/>
      <c r="I133" s="256"/>
      <c r="J133" s="256"/>
      <c r="K133" s="256"/>
      <c r="L133" s="256"/>
      <c r="M133" s="256"/>
      <c r="N133" s="256"/>
      <c r="O133" s="256"/>
      <c r="P133" s="256"/>
      <c r="Q133" s="256"/>
      <c r="R133" s="256"/>
      <c r="S133" s="221"/>
      <c r="T133" s="221"/>
      <c r="U133" s="221"/>
      <c r="V133" s="221"/>
      <c r="W133" s="221"/>
      <c r="X133" s="221"/>
      <c r="Y133" s="221"/>
      <c r="Z133" s="221"/>
    </row>
    <row r="134" customFormat="false" ht="12" hidden="false" customHeight="true" outlineLevel="0" collapsed="false">
      <c r="A134" s="256"/>
      <c r="B134" s="256"/>
      <c r="C134" s="256"/>
      <c r="D134" s="256"/>
      <c r="E134" s="256"/>
      <c r="F134" s="256"/>
      <c r="G134" s="256"/>
      <c r="H134" s="256"/>
      <c r="I134" s="256"/>
      <c r="J134" s="256"/>
      <c r="K134" s="256"/>
      <c r="L134" s="256"/>
      <c r="M134" s="256"/>
      <c r="N134" s="256"/>
      <c r="O134" s="256"/>
      <c r="P134" s="256"/>
      <c r="Q134" s="256"/>
      <c r="R134" s="256"/>
      <c r="S134" s="221"/>
      <c r="T134" s="221"/>
      <c r="U134" s="221"/>
      <c r="V134" s="221"/>
      <c r="W134" s="221"/>
      <c r="X134" s="221"/>
      <c r="Y134" s="221"/>
      <c r="Z134" s="221"/>
    </row>
    <row r="135" customFormat="false" ht="12" hidden="false" customHeight="true" outlineLevel="0" collapsed="false">
      <c r="A135" s="256"/>
      <c r="B135" s="256"/>
      <c r="C135" s="256"/>
      <c r="D135" s="256"/>
      <c r="E135" s="256"/>
      <c r="F135" s="256"/>
      <c r="G135" s="256"/>
      <c r="H135" s="256"/>
      <c r="I135" s="256"/>
      <c r="J135" s="256"/>
      <c r="K135" s="256"/>
      <c r="L135" s="256"/>
      <c r="M135" s="256"/>
      <c r="N135" s="256"/>
      <c r="O135" s="256"/>
      <c r="P135" s="256"/>
      <c r="Q135" s="256"/>
      <c r="R135" s="256"/>
      <c r="S135" s="221"/>
      <c r="T135" s="221"/>
      <c r="U135" s="221"/>
      <c r="V135" s="221"/>
      <c r="W135" s="221"/>
      <c r="X135" s="221"/>
      <c r="Y135" s="221"/>
      <c r="Z135" s="221"/>
    </row>
    <row r="136" customFormat="false" ht="12" hidden="false" customHeight="true" outlineLevel="0" collapsed="false">
      <c r="A136" s="256"/>
      <c r="B136" s="256"/>
      <c r="C136" s="256"/>
      <c r="D136" s="256"/>
      <c r="E136" s="256"/>
      <c r="F136" s="256"/>
      <c r="G136" s="256"/>
      <c r="H136" s="256"/>
      <c r="I136" s="256"/>
      <c r="J136" s="256"/>
      <c r="K136" s="256"/>
      <c r="L136" s="256"/>
      <c r="M136" s="256"/>
      <c r="N136" s="256"/>
      <c r="O136" s="256"/>
      <c r="P136" s="256"/>
      <c r="Q136" s="256"/>
      <c r="R136" s="256"/>
      <c r="S136" s="221"/>
      <c r="T136" s="221"/>
      <c r="U136" s="221"/>
      <c r="V136" s="221"/>
      <c r="W136" s="221"/>
      <c r="X136" s="221"/>
      <c r="Y136" s="221"/>
      <c r="Z136" s="221"/>
    </row>
    <row r="137" customFormat="false" ht="12" hidden="false" customHeight="true" outlineLevel="0" collapsed="false">
      <c r="A137" s="256"/>
      <c r="B137" s="256"/>
      <c r="C137" s="256"/>
      <c r="D137" s="256"/>
      <c r="E137" s="256"/>
      <c r="F137" s="256"/>
      <c r="G137" s="256"/>
      <c r="H137" s="256"/>
      <c r="I137" s="256"/>
      <c r="J137" s="256"/>
      <c r="K137" s="256"/>
      <c r="L137" s="256"/>
      <c r="M137" s="256"/>
      <c r="N137" s="256"/>
      <c r="O137" s="256"/>
      <c r="P137" s="256"/>
      <c r="Q137" s="256"/>
      <c r="R137" s="256"/>
      <c r="S137" s="221"/>
      <c r="T137" s="221"/>
      <c r="U137" s="221"/>
      <c r="V137" s="221"/>
      <c r="W137" s="221"/>
      <c r="X137" s="221"/>
      <c r="Y137" s="221"/>
      <c r="Z137" s="221"/>
    </row>
    <row r="138" customFormat="false" ht="12" hidden="false" customHeight="true" outlineLevel="0" collapsed="false">
      <c r="A138" s="256"/>
      <c r="B138" s="256"/>
      <c r="C138" s="256"/>
      <c r="D138" s="256"/>
      <c r="E138" s="256"/>
      <c r="F138" s="256"/>
      <c r="G138" s="256"/>
      <c r="H138" s="256"/>
      <c r="I138" s="256"/>
      <c r="J138" s="256"/>
      <c r="K138" s="256"/>
      <c r="L138" s="256"/>
      <c r="M138" s="256"/>
      <c r="N138" s="256"/>
      <c r="O138" s="256"/>
      <c r="P138" s="256"/>
      <c r="Q138" s="256"/>
      <c r="R138" s="256"/>
      <c r="S138" s="221"/>
      <c r="T138" s="221"/>
      <c r="U138" s="221"/>
      <c r="V138" s="221"/>
      <c r="W138" s="221"/>
      <c r="X138" s="221"/>
      <c r="Y138" s="221"/>
      <c r="Z138" s="221"/>
    </row>
    <row r="139" customFormat="false" ht="12" hidden="false" customHeight="true" outlineLevel="0" collapsed="false">
      <c r="A139" s="256"/>
      <c r="B139" s="256"/>
      <c r="C139" s="256"/>
      <c r="D139" s="256"/>
      <c r="E139" s="256"/>
      <c r="F139" s="256"/>
      <c r="G139" s="256"/>
      <c r="H139" s="256"/>
      <c r="I139" s="256"/>
      <c r="J139" s="256"/>
      <c r="K139" s="256"/>
      <c r="L139" s="256"/>
      <c r="M139" s="256"/>
      <c r="N139" s="256"/>
      <c r="O139" s="256"/>
      <c r="P139" s="256"/>
      <c r="Q139" s="256"/>
      <c r="R139" s="256"/>
      <c r="S139" s="221"/>
      <c r="T139" s="221"/>
      <c r="U139" s="221"/>
      <c r="V139" s="221"/>
      <c r="W139" s="221"/>
      <c r="X139" s="221"/>
      <c r="Y139" s="221"/>
      <c r="Z139" s="221"/>
    </row>
    <row r="140" customFormat="false" ht="12" hidden="false" customHeight="true" outlineLevel="0" collapsed="false">
      <c r="A140" s="256"/>
      <c r="B140" s="256"/>
      <c r="C140" s="256"/>
      <c r="D140" s="256"/>
      <c r="E140" s="256"/>
      <c r="F140" s="256"/>
      <c r="G140" s="256"/>
      <c r="H140" s="256"/>
      <c r="I140" s="256"/>
      <c r="J140" s="256"/>
      <c r="K140" s="256"/>
      <c r="L140" s="256"/>
      <c r="M140" s="256"/>
      <c r="N140" s="256"/>
      <c r="O140" s="256"/>
      <c r="P140" s="256"/>
      <c r="Q140" s="256"/>
      <c r="R140" s="256"/>
      <c r="S140" s="221"/>
      <c r="T140" s="221"/>
      <c r="U140" s="221"/>
      <c r="V140" s="221"/>
      <c r="W140" s="221"/>
      <c r="X140" s="221"/>
      <c r="Y140" s="221"/>
      <c r="Z140" s="221"/>
    </row>
    <row r="141" customFormat="false" ht="12" hidden="false" customHeight="true" outlineLevel="0" collapsed="false">
      <c r="A141" s="256"/>
      <c r="B141" s="256"/>
      <c r="C141" s="256"/>
      <c r="D141" s="256"/>
      <c r="E141" s="256"/>
      <c r="F141" s="256"/>
      <c r="G141" s="256"/>
      <c r="H141" s="256"/>
      <c r="I141" s="256"/>
      <c r="J141" s="256"/>
      <c r="K141" s="256"/>
      <c r="L141" s="256"/>
      <c r="M141" s="256"/>
      <c r="N141" s="256"/>
      <c r="O141" s="256"/>
      <c r="P141" s="256"/>
      <c r="Q141" s="256"/>
      <c r="R141" s="256"/>
      <c r="S141" s="221"/>
      <c r="T141" s="221"/>
      <c r="U141" s="221"/>
      <c r="V141" s="221"/>
      <c r="W141" s="221"/>
      <c r="X141" s="221"/>
      <c r="Y141" s="221"/>
      <c r="Z141" s="221"/>
    </row>
    <row r="142" customFormat="false" ht="12" hidden="false" customHeight="true" outlineLevel="0" collapsed="false">
      <c r="A142" s="256"/>
      <c r="B142" s="256"/>
      <c r="C142" s="256"/>
      <c r="D142" s="256"/>
      <c r="E142" s="256"/>
      <c r="F142" s="256"/>
      <c r="G142" s="256"/>
      <c r="H142" s="256"/>
      <c r="I142" s="256"/>
      <c r="J142" s="256"/>
      <c r="K142" s="256"/>
      <c r="L142" s="256"/>
      <c r="M142" s="256"/>
      <c r="N142" s="256"/>
      <c r="O142" s="256"/>
      <c r="P142" s="256"/>
      <c r="Q142" s="256"/>
      <c r="R142" s="256"/>
      <c r="S142" s="221"/>
      <c r="T142" s="221"/>
      <c r="U142" s="221"/>
      <c r="V142" s="221"/>
      <c r="W142" s="221"/>
      <c r="X142" s="221"/>
      <c r="Y142" s="221"/>
      <c r="Z142" s="221"/>
    </row>
    <row r="143" customFormat="false" ht="12" hidden="false" customHeight="true" outlineLevel="0" collapsed="false">
      <c r="A143" s="256"/>
      <c r="B143" s="256"/>
      <c r="C143" s="256"/>
      <c r="D143" s="256"/>
      <c r="E143" s="256"/>
      <c r="F143" s="256"/>
      <c r="G143" s="256"/>
      <c r="H143" s="256"/>
      <c r="I143" s="256"/>
      <c r="J143" s="256"/>
      <c r="K143" s="256"/>
      <c r="L143" s="256"/>
      <c r="M143" s="256"/>
      <c r="N143" s="256"/>
      <c r="O143" s="256"/>
      <c r="P143" s="256"/>
      <c r="Q143" s="256"/>
      <c r="R143" s="256"/>
      <c r="S143" s="221"/>
      <c r="T143" s="221"/>
      <c r="U143" s="221"/>
      <c r="V143" s="221"/>
      <c r="W143" s="221"/>
      <c r="X143" s="221"/>
      <c r="Y143" s="221"/>
      <c r="Z143" s="221"/>
    </row>
    <row r="144" customFormat="false" ht="12" hidden="false" customHeight="true" outlineLevel="0" collapsed="false">
      <c r="A144" s="256"/>
      <c r="B144" s="256"/>
      <c r="C144" s="256"/>
      <c r="D144" s="256"/>
      <c r="E144" s="256"/>
      <c r="F144" s="256"/>
      <c r="G144" s="256"/>
      <c r="H144" s="256"/>
      <c r="I144" s="256"/>
      <c r="J144" s="256"/>
      <c r="K144" s="256"/>
      <c r="L144" s="256"/>
      <c r="M144" s="256"/>
      <c r="N144" s="256"/>
      <c r="O144" s="256"/>
      <c r="P144" s="256"/>
      <c r="Q144" s="256"/>
      <c r="R144" s="256"/>
      <c r="S144" s="221"/>
      <c r="T144" s="221"/>
      <c r="U144" s="221"/>
      <c r="V144" s="221"/>
      <c r="W144" s="221"/>
      <c r="X144" s="221"/>
      <c r="Y144" s="221"/>
      <c r="Z144" s="221"/>
    </row>
    <row r="145" customFormat="false" ht="12" hidden="false" customHeight="true" outlineLevel="0" collapsed="false">
      <c r="A145" s="256"/>
      <c r="B145" s="256"/>
      <c r="C145" s="256"/>
      <c r="D145" s="256"/>
      <c r="E145" s="256"/>
      <c r="F145" s="256"/>
      <c r="G145" s="256"/>
      <c r="H145" s="256"/>
      <c r="I145" s="256"/>
      <c r="J145" s="256"/>
      <c r="K145" s="256"/>
      <c r="L145" s="256"/>
      <c r="M145" s="256"/>
      <c r="N145" s="256"/>
      <c r="O145" s="256"/>
      <c r="P145" s="256"/>
      <c r="Q145" s="256"/>
      <c r="R145" s="256"/>
      <c r="S145" s="221"/>
      <c r="T145" s="221"/>
      <c r="U145" s="221"/>
      <c r="V145" s="221"/>
      <c r="W145" s="221"/>
      <c r="X145" s="221"/>
      <c r="Y145" s="221"/>
      <c r="Z145" s="221"/>
    </row>
    <row r="146" customFormat="false" ht="12" hidden="false" customHeight="true" outlineLevel="0" collapsed="false">
      <c r="A146" s="256"/>
      <c r="B146" s="256"/>
      <c r="C146" s="256"/>
      <c r="D146" s="256"/>
      <c r="E146" s="256"/>
      <c r="F146" s="256"/>
      <c r="G146" s="256"/>
      <c r="H146" s="256"/>
      <c r="I146" s="256"/>
      <c r="J146" s="256"/>
      <c r="K146" s="256"/>
      <c r="L146" s="256"/>
      <c r="M146" s="256"/>
      <c r="N146" s="256"/>
      <c r="O146" s="256"/>
      <c r="P146" s="256"/>
      <c r="Q146" s="256"/>
      <c r="R146" s="256"/>
      <c r="S146" s="221"/>
      <c r="T146" s="221"/>
      <c r="U146" s="221"/>
      <c r="V146" s="221"/>
      <c r="W146" s="221"/>
      <c r="X146" s="221"/>
      <c r="Y146" s="221"/>
      <c r="Z146" s="221"/>
    </row>
    <row r="147" customFormat="false" ht="12" hidden="false" customHeight="true" outlineLevel="0" collapsed="false">
      <c r="A147" s="256"/>
      <c r="B147" s="256"/>
      <c r="C147" s="256"/>
      <c r="D147" s="256"/>
      <c r="E147" s="256"/>
      <c r="F147" s="256"/>
      <c r="G147" s="256"/>
      <c r="H147" s="256"/>
      <c r="I147" s="256"/>
      <c r="J147" s="256"/>
      <c r="K147" s="256"/>
      <c r="L147" s="256"/>
      <c r="M147" s="256"/>
      <c r="N147" s="256"/>
      <c r="O147" s="256"/>
      <c r="P147" s="256"/>
      <c r="Q147" s="256"/>
      <c r="R147" s="256"/>
      <c r="S147" s="221"/>
      <c r="T147" s="221"/>
      <c r="U147" s="221"/>
      <c r="V147" s="221"/>
      <c r="W147" s="221"/>
      <c r="X147" s="221"/>
      <c r="Y147" s="221"/>
      <c r="Z147" s="221"/>
    </row>
    <row r="148" customFormat="false" ht="12" hidden="false" customHeight="true" outlineLevel="0" collapsed="false">
      <c r="A148" s="256"/>
      <c r="B148" s="256"/>
      <c r="C148" s="256"/>
      <c r="D148" s="256"/>
      <c r="E148" s="256"/>
      <c r="F148" s="256"/>
      <c r="G148" s="256"/>
      <c r="H148" s="256"/>
      <c r="I148" s="256"/>
      <c r="J148" s="256"/>
      <c r="K148" s="256"/>
      <c r="L148" s="256"/>
      <c r="M148" s="256"/>
      <c r="N148" s="256"/>
      <c r="O148" s="256"/>
      <c r="P148" s="256"/>
      <c r="Q148" s="256"/>
      <c r="R148" s="256"/>
      <c r="S148" s="221"/>
      <c r="T148" s="221"/>
      <c r="U148" s="221"/>
      <c r="V148" s="221"/>
      <c r="W148" s="221"/>
      <c r="X148" s="221"/>
      <c r="Y148" s="221"/>
      <c r="Z148" s="221"/>
    </row>
    <row r="149" customFormat="false" ht="12" hidden="false" customHeight="true" outlineLevel="0" collapsed="false">
      <c r="A149" s="256"/>
      <c r="B149" s="256"/>
      <c r="C149" s="256"/>
      <c r="D149" s="256"/>
      <c r="E149" s="256"/>
      <c r="F149" s="256"/>
      <c r="G149" s="256"/>
      <c r="H149" s="256"/>
      <c r="I149" s="256"/>
      <c r="J149" s="256"/>
      <c r="K149" s="256"/>
      <c r="L149" s="256"/>
      <c r="M149" s="256"/>
      <c r="N149" s="256"/>
      <c r="O149" s="256"/>
      <c r="P149" s="256"/>
      <c r="Q149" s="256"/>
      <c r="R149" s="256"/>
      <c r="S149" s="221"/>
      <c r="T149" s="221"/>
      <c r="U149" s="221"/>
      <c r="V149" s="221"/>
      <c r="W149" s="221"/>
      <c r="X149" s="221"/>
      <c r="Y149" s="221"/>
      <c r="Z149" s="221"/>
    </row>
    <row r="150" customFormat="false" ht="12" hidden="false" customHeight="true" outlineLevel="0" collapsed="false">
      <c r="A150" s="256"/>
      <c r="B150" s="256"/>
      <c r="C150" s="256"/>
      <c r="D150" s="256"/>
      <c r="E150" s="256"/>
      <c r="F150" s="256"/>
      <c r="G150" s="256"/>
      <c r="H150" s="256"/>
      <c r="I150" s="256"/>
      <c r="J150" s="256"/>
      <c r="K150" s="256"/>
      <c r="L150" s="256"/>
      <c r="M150" s="256"/>
      <c r="N150" s="256"/>
      <c r="O150" s="256"/>
      <c r="P150" s="256"/>
      <c r="Q150" s="256"/>
      <c r="R150" s="256"/>
      <c r="S150" s="221"/>
      <c r="T150" s="221"/>
      <c r="U150" s="221"/>
      <c r="V150" s="221"/>
      <c r="W150" s="221"/>
      <c r="X150" s="221"/>
      <c r="Y150" s="221"/>
      <c r="Z150" s="221"/>
    </row>
    <row r="151" customFormat="false" ht="12" hidden="false" customHeight="true" outlineLevel="0" collapsed="false">
      <c r="A151" s="256"/>
      <c r="B151" s="256"/>
      <c r="C151" s="256"/>
      <c r="D151" s="256"/>
      <c r="E151" s="256"/>
      <c r="F151" s="256"/>
      <c r="G151" s="256"/>
      <c r="H151" s="256"/>
      <c r="I151" s="256"/>
      <c r="J151" s="256"/>
      <c r="K151" s="256"/>
      <c r="L151" s="256"/>
      <c r="M151" s="256"/>
      <c r="N151" s="256"/>
      <c r="O151" s="256"/>
      <c r="P151" s="256"/>
      <c r="Q151" s="256"/>
      <c r="R151" s="256"/>
      <c r="S151" s="221"/>
      <c r="T151" s="221"/>
      <c r="U151" s="221"/>
      <c r="V151" s="221"/>
      <c r="W151" s="221"/>
      <c r="X151" s="221"/>
      <c r="Y151" s="221"/>
      <c r="Z151" s="221"/>
    </row>
    <row r="152" customFormat="false" ht="12" hidden="false" customHeight="true" outlineLevel="0" collapsed="false">
      <c r="A152" s="256"/>
      <c r="B152" s="256"/>
      <c r="C152" s="256"/>
      <c r="D152" s="256"/>
      <c r="E152" s="256"/>
      <c r="F152" s="256"/>
      <c r="G152" s="256"/>
      <c r="H152" s="256"/>
      <c r="I152" s="256"/>
      <c r="J152" s="256"/>
      <c r="K152" s="256"/>
      <c r="L152" s="256"/>
      <c r="M152" s="256"/>
      <c r="N152" s="256"/>
      <c r="O152" s="256"/>
      <c r="P152" s="256"/>
      <c r="Q152" s="256"/>
      <c r="R152" s="256"/>
      <c r="S152" s="221"/>
      <c r="T152" s="221"/>
      <c r="U152" s="221"/>
      <c r="V152" s="221"/>
      <c r="W152" s="221"/>
      <c r="X152" s="221"/>
      <c r="Y152" s="221"/>
      <c r="Z152" s="221"/>
    </row>
    <row r="153" customFormat="false" ht="12" hidden="false" customHeight="true" outlineLevel="0" collapsed="false">
      <c r="A153" s="256"/>
      <c r="B153" s="256"/>
      <c r="C153" s="256"/>
      <c r="D153" s="256"/>
      <c r="E153" s="256"/>
      <c r="F153" s="256"/>
      <c r="G153" s="256"/>
      <c r="H153" s="256"/>
      <c r="I153" s="256"/>
      <c r="J153" s="256"/>
      <c r="K153" s="256"/>
      <c r="L153" s="256"/>
      <c r="M153" s="256"/>
      <c r="N153" s="256"/>
      <c r="O153" s="256"/>
      <c r="P153" s="256"/>
      <c r="Q153" s="256"/>
      <c r="R153" s="256"/>
      <c r="S153" s="221"/>
      <c r="T153" s="221"/>
      <c r="U153" s="221"/>
      <c r="V153" s="221"/>
      <c r="W153" s="221"/>
      <c r="X153" s="221"/>
      <c r="Y153" s="221"/>
      <c r="Z153" s="221"/>
    </row>
    <row r="154" customFormat="false" ht="12" hidden="false" customHeight="true" outlineLevel="0" collapsed="false">
      <c r="A154" s="256"/>
      <c r="B154" s="256"/>
      <c r="C154" s="256"/>
      <c r="D154" s="256"/>
      <c r="E154" s="256"/>
      <c r="F154" s="256"/>
      <c r="G154" s="256"/>
      <c r="H154" s="256"/>
      <c r="I154" s="256"/>
      <c r="J154" s="256"/>
      <c r="K154" s="256"/>
      <c r="L154" s="256"/>
      <c r="M154" s="256"/>
      <c r="N154" s="256"/>
      <c r="O154" s="256"/>
      <c r="P154" s="256"/>
      <c r="Q154" s="256"/>
      <c r="R154" s="256"/>
      <c r="S154" s="221"/>
      <c r="T154" s="221"/>
      <c r="U154" s="221"/>
      <c r="V154" s="221"/>
      <c r="W154" s="221"/>
      <c r="X154" s="221"/>
      <c r="Y154" s="221"/>
      <c r="Z154" s="221"/>
    </row>
    <row r="155" customFormat="false" ht="12" hidden="false" customHeight="true" outlineLevel="0" collapsed="false">
      <c r="A155" s="256"/>
      <c r="B155" s="256"/>
      <c r="C155" s="256"/>
      <c r="D155" s="256"/>
      <c r="E155" s="256"/>
      <c r="F155" s="256"/>
      <c r="G155" s="256"/>
      <c r="H155" s="256"/>
      <c r="I155" s="256"/>
      <c r="J155" s="256"/>
      <c r="K155" s="256"/>
      <c r="L155" s="256"/>
      <c r="M155" s="256"/>
      <c r="N155" s="256"/>
      <c r="O155" s="256"/>
      <c r="P155" s="256"/>
      <c r="Q155" s="256"/>
      <c r="R155" s="256"/>
      <c r="S155" s="221"/>
      <c r="T155" s="221"/>
      <c r="U155" s="221"/>
      <c r="V155" s="221"/>
      <c r="W155" s="221"/>
      <c r="X155" s="221"/>
      <c r="Y155" s="221"/>
      <c r="Z155" s="221"/>
    </row>
    <row r="156" customFormat="false" ht="12" hidden="false" customHeight="true" outlineLevel="0" collapsed="false">
      <c r="A156" s="256"/>
      <c r="B156" s="256"/>
      <c r="C156" s="256"/>
      <c r="D156" s="256"/>
      <c r="E156" s="256"/>
      <c r="F156" s="256"/>
      <c r="G156" s="256"/>
      <c r="H156" s="256"/>
      <c r="I156" s="256"/>
      <c r="J156" s="256"/>
      <c r="K156" s="256"/>
      <c r="L156" s="256"/>
      <c r="M156" s="256"/>
      <c r="N156" s="256"/>
      <c r="O156" s="256"/>
      <c r="P156" s="256"/>
      <c r="Q156" s="256"/>
      <c r="R156" s="256"/>
      <c r="S156" s="221"/>
      <c r="T156" s="221"/>
      <c r="U156" s="221"/>
      <c r="V156" s="221"/>
      <c r="W156" s="221"/>
      <c r="X156" s="221"/>
      <c r="Y156" s="221"/>
      <c r="Z156" s="221"/>
    </row>
    <row r="157" customFormat="false" ht="12" hidden="false" customHeight="true" outlineLevel="0" collapsed="false">
      <c r="A157" s="256"/>
      <c r="B157" s="256"/>
      <c r="C157" s="256"/>
      <c r="D157" s="256"/>
      <c r="E157" s="256"/>
      <c r="F157" s="256"/>
      <c r="G157" s="256"/>
      <c r="H157" s="256"/>
      <c r="I157" s="256"/>
      <c r="J157" s="256"/>
      <c r="K157" s="256"/>
      <c r="L157" s="256"/>
      <c r="M157" s="256"/>
      <c r="N157" s="256"/>
      <c r="O157" s="256"/>
      <c r="P157" s="256"/>
      <c r="Q157" s="256"/>
      <c r="R157" s="256"/>
      <c r="S157" s="221"/>
      <c r="T157" s="221"/>
      <c r="U157" s="221"/>
      <c r="V157" s="221"/>
      <c r="W157" s="221"/>
      <c r="X157" s="221"/>
      <c r="Y157" s="221"/>
      <c r="Z157" s="221"/>
    </row>
    <row r="158" customFormat="false" ht="12" hidden="false" customHeight="true" outlineLevel="0" collapsed="false">
      <c r="A158" s="256"/>
      <c r="B158" s="256"/>
      <c r="C158" s="256"/>
      <c r="D158" s="256"/>
      <c r="E158" s="256"/>
      <c r="F158" s="256"/>
      <c r="G158" s="256"/>
      <c r="H158" s="256"/>
      <c r="I158" s="256"/>
      <c r="J158" s="256"/>
      <c r="K158" s="256"/>
      <c r="L158" s="256"/>
      <c r="M158" s="256"/>
      <c r="N158" s="256"/>
      <c r="O158" s="256"/>
      <c r="P158" s="256"/>
      <c r="Q158" s="256"/>
      <c r="R158" s="256"/>
      <c r="S158" s="221"/>
      <c r="T158" s="221"/>
      <c r="U158" s="221"/>
      <c r="V158" s="221"/>
      <c r="W158" s="221"/>
      <c r="X158" s="221"/>
      <c r="Y158" s="221"/>
      <c r="Z158" s="221"/>
    </row>
    <row r="159" customFormat="false" ht="12" hidden="false" customHeight="true" outlineLevel="0" collapsed="false">
      <c r="A159" s="256"/>
      <c r="B159" s="256"/>
      <c r="C159" s="256"/>
      <c r="D159" s="256"/>
      <c r="E159" s="256"/>
      <c r="F159" s="256"/>
      <c r="G159" s="256"/>
      <c r="H159" s="256"/>
      <c r="I159" s="256"/>
      <c r="J159" s="256"/>
      <c r="K159" s="256"/>
      <c r="L159" s="256"/>
      <c r="M159" s="256"/>
      <c r="N159" s="256"/>
      <c r="O159" s="256"/>
      <c r="P159" s="256"/>
      <c r="Q159" s="256"/>
      <c r="R159" s="256"/>
      <c r="S159" s="221"/>
      <c r="T159" s="221"/>
      <c r="U159" s="221"/>
      <c r="V159" s="221"/>
      <c r="W159" s="221"/>
      <c r="X159" s="221"/>
      <c r="Y159" s="221"/>
      <c r="Z159" s="221"/>
    </row>
    <row r="160" customFormat="false" ht="12" hidden="false" customHeight="true" outlineLevel="0" collapsed="false">
      <c r="A160" s="256"/>
      <c r="B160" s="256"/>
      <c r="C160" s="256"/>
      <c r="D160" s="256"/>
      <c r="E160" s="256"/>
      <c r="F160" s="256"/>
      <c r="G160" s="256"/>
      <c r="H160" s="256"/>
      <c r="I160" s="256"/>
      <c r="J160" s="256"/>
      <c r="K160" s="256"/>
      <c r="L160" s="256"/>
      <c r="M160" s="256"/>
      <c r="N160" s="256"/>
      <c r="O160" s="256"/>
      <c r="P160" s="256"/>
      <c r="Q160" s="256"/>
      <c r="R160" s="256"/>
      <c r="S160" s="221"/>
      <c r="T160" s="221"/>
      <c r="U160" s="221"/>
      <c r="V160" s="221"/>
      <c r="W160" s="221"/>
      <c r="X160" s="221"/>
      <c r="Y160" s="221"/>
      <c r="Z160" s="221"/>
    </row>
    <row r="161" customFormat="false" ht="12" hidden="false" customHeight="true" outlineLevel="0" collapsed="false">
      <c r="A161" s="256"/>
      <c r="B161" s="256"/>
      <c r="C161" s="256"/>
      <c r="D161" s="256"/>
      <c r="E161" s="256"/>
      <c r="F161" s="256"/>
      <c r="G161" s="256"/>
      <c r="H161" s="256"/>
      <c r="I161" s="256"/>
      <c r="J161" s="256"/>
      <c r="K161" s="256"/>
      <c r="L161" s="256"/>
      <c r="M161" s="256"/>
      <c r="N161" s="256"/>
      <c r="O161" s="256"/>
      <c r="P161" s="256"/>
      <c r="Q161" s="256"/>
      <c r="R161" s="256"/>
      <c r="S161" s="221"/>
      <c r="T161" s="221"/>
      <c r="U161" s="221"/>
      <c r="V161" s="221"/>
      <c r="W161" s="221"/>
      <c r="X161" s="221"/>
      <c r="Y161" s="221"/>
      <c r="Z161" s="221"/>
    </row>
    <row r="162" customFormat="false" ht="12" hidden="false" customHeight="true" outlineLevel="0" collapsed="false">
      <c r="A162" s="256"/>
      <c r="B162" s="256"/>
      <c r="C162" s="256"/>
      <c r="D162" s="256"/>
      <c r="E162" s="256"/>
      <c r="F162" s="256"/>
      <c r="G162" s="256"/>
      <c r="H162" s="256"/>
      <c r="I162" s="256"/>
      <c r="J162" s="256"/>
      <c r="K162" s="256"/>
      <c r="L162" s="256"/>
      <c r="M162" s="256"/>
      <c r="N162" s="256"/>
      <c r="O162" s="256"/>
      <c r="P162" s="256"/>
      <c r="Q162" s="256"/>
      <c r="R162" s="256"/>
      <c r="S162" s="221"/>
      <c r="T162" s="221"/>
      <c r="U162" s="221"/>
      <c r="V162" s="221"/>
      <c r="W162" s="221"/>
      <c r="X162" s="221"/>
      <c r="Y162" s="221"/>
      <c r="Z162" s="221"/>
    </row>
    <row r="163" customFormat="false" ht="12" hidden="false" customHeight="true" outlineLevel="0" collapsed="false">
      <c r="A163" s="256"/>
      <c r="B163" s="256"/>
      <c r="C163" s="256"/>
      <c r="D163" s="256"/>
      <c r="E163" s="256"/>
      <c r="F163" s="256"/>
      <c r="G163" s="256"/>
      <c r="H163" s="256"/>
      <c r="I163" s="256"/>
      <c r="J163" s="256"/>
      <c r="K163" s="256"/>
      <c r="L163" s="256"/>
      <c r="M163" s="256"/>
      <c r="N163" s="256"/>
      <c r="O163" s="256"/>
      <c r="P163" s="256"/>
      <c r="Q163" s="256"/>
      <c r="R163" s="256"/>
      <c r="S163" s="221"/>
      <c r="T163" s="221"/>
      <c r="U163" s="221"/>
      <c r="V163" s="221"/>
      <c r="W163" s="221"/>
      <c r="X163" s="221"/>
      <c r="Y163" s="221"/>
      <c r="Z163" s="221"/>
    </row>
    <row r="164" customFormat="false" ht="12" hidden="false" customHeight="true" outlineLevel="0" collapsed="false">
      <c r="A164" s="256"/>
      <c r="B164" s="256"/>
      <c r="C164" s="256"/>
      <c r="D164" s="256"/>
      <c r="E164" s="256"/>
      <c r="F164" s="256"/>
      <c r="G164" s="256"/>
      <c r="H164" s="256"/>
      <c r="I164" s="256"/>
      <c r="J164" s="256"/>
      <c r="K164" s="256"/>
      <c r="L164" s="256"/>
      <c r="M164" s="256"/>
      <c r="N164" s="256"/>
      <c r="O164" s="256"/>
      <c r="P164" s="256"/>
      <c r="Q164" s="256"/>
      <c r="R164" s="256"/>
      <c r="S164" s="221"/>
      <c r="T164" s="221"/>
      <c r="U164" s="221"/>
      <c r="V164" s="221"/>
      <c r="W164" s="221"/>
      <c r="X164" s="221"/>
      <c r="Y164" s="221"/>
      <c r="Z164" s="221"/>
    </row>
    <row r="165" customFormat="false" ht="12" hidden="false" customHeight="true" outlineLevel="0" collapsed="false">
      <c r="A165" s="256"/>
      <c r="B165" s="256"/>
      <c r="C165" s="256"/>
      <c r="D165" s="256"/>
      <c r="E165" s="256"/>
      <c r="F165" s="256"/>
      <c r="G165" s="256"/>
      <c r="H165" s="256"/>
      <c r="I165" s="256"/>
      <c r="J165" s="256"/>
      <c r="K165" s="256"/>
      <c r="L165" s="256"/>
      <c r="M165" s="256"/>
      <c r="N165" s="256"/>
      <c r="O165" s="256"/>
      <c r="P165" s="256"/>
      <c r="Q165" s="256"/>
      <c r="R165" s="256"/>
      <c r="S165" s="221"/>
      <c r="T165" s="221"/>
      <c r="U165" s="221"/>
      <c r="V165" s="221"/>
      <c r="W165" s="221"/>
      <c r="X165" s="221"/>
      <c r="Y165" s="221"/>
      <c r="Z165" s="221"/>
    </row>
    <row r="166" customFormat="false" ht="12" hidden="false" customHeight="true" outlineLevel="0" collapsed="false">
      <c r="A166" s="256"/>
      <c r="B166" s="256"/>
      <c r="C166" s="256"/>
      <c r="D166" s="256"/>
      <c r="E166" s="256"/>
      <c r="F166" s="256"/>
      <c r="G166" s="256"/>
      <c r="H166" s="256"/>
      <c r="I166" s="256"/>
      <c r="J166" s="256"/>
      <c r="K166" s="256"/>
      <c r="L166" s="256"/>
      <c r="M166" s="256"/>
      <c r="N166" s="256"/>
      <c r="O166" s="256"/>
      <c r="P166" s="256"/>
      <c r="Q166" s="256"/>
      <c r="R166" s="256"/>
      <c r="S166" s="221"/>
      <c r="T166" s="221"/>
      <c r="U166" s="221"/>
      <c r="V166" s="221"/>
      <c r="W166" s="221"/>
      <c r="X166" s="221"/>
      <c r="Y166" s="221"/>
      <c r="Z166" s="221"/>
    </row>
    <row r="167" customFormat="false" ht="12" hidden="false" customHeight="true" outlineLevel="0" collapsed="false">
      <c r="A167" s="256"/>
      <c r="B167" s="256"/>
      <c r="C167" s="256"/>
      <c r="D167" s="256"/>
      <c r="E167" s="256"/>
      <c r="F167" s="256"/>
      <c r="G167" s="256"/>
      <c r="H167" s="256"/>
      <c r="I167" s="256"/>
      <c r="J167" s="256"/>
      <c r="K167" s="256"/>
      <c r="L167" s="256"/>
      <c r="M167" s="256"/>
      <c r="N167" s="256"/>
      <c r="O167" s="256"/>
      <c r="P167" s="256"/>
      <c r="Q167" s="256"/>
      <c r="R167" s="256"/>
      <c r="S167" s="221"/>
      <c r="T167" s="221"/>
      <c r="U167" s="221"/>
      <c r="V167" s="221"/>
      <c r="W167" s="221"/>
      <c r="X167" s="221"/>
      <c r="Y167" s="221"/>
      <c r="Z167" s="221"/>
    </row>
    <row r="168" customFormat="false" ht="12" hidden="false" customHeight="true" outlineLevel="0" collapsed="false">
      <c r="A168" s="256"/>
      <c r="B168" s="256"/>
      <c r="C168" s="256"/>
      <c r="D168" s="256"/>
      <c r="E168" s="256"/>
      <c r="F168" s="256"/>
      <c r="G168" s="256"/>
      <c r="H168" s="256"/>
      <c r="I168" s="256"/>
      <c r="J168" s="256"/>
      <c r="K168" s="256"/>
      <c r="L168" s="256"/>
      <c r="M168" s="256"/>
      <c r="N168" s="256"/>
      <c r="O168" s="256"/>
      <c r="P168" s="256"/>
      <c r="Q168" s="256"/>
      <c r="R168" s="256"/>
      <c r="S168" s="221"/>
      <c r="T168" s="221"/>
      <c r="U168" s="221"/>
      <c r="V168" s="221"/>
      <c r="W168" s="221"/>
      <c r="X168" s="221"/>
      <c r="Y168" s="221"/>
      <c r="Z168" s="221"/>
    </row>
    <row r="169" customFormat="false" ht="12" hidden="false" customHeight="true" outlineLevel="0" collapsed="false">
      <c r="A169" s="256"/>
      <c r="B169" s="256"/>
      <c r="C169" s="256"/>
      <c r="D169" s="256"/>
      <c r="E169" s="256"/>
      <c r="F169" s="256"/>
      <c r="G169" s="256"/>
      <c r="H169" s="256"/>
      <c r="I169" s="256"/>
      <c r="J169" s="256"/>
      <c r="K169" s="256"/>
      <c r="L169" s="256"/>
      <c r="M169" s="256"/>
      <c r="N169" s="256"/>
      <c r="O169" s="256"/>
      <c r="P169" s="256"/>
      <c r="Q169" s="256"/>
      <c r="R169" s="256"/>
      <c r="S169" s="221"/>
      <c r="T169" s="221"/>
      <c r="U169" s="221"/>
      <c r="V169" s="221"/>
      <c r="W169" s="221"/>
      <c r="X169" s="221"/>
      <c r="Y169" s="221"/>
      <c r="Z169" s="221"/>
    </row>
    <row r="170" customFormat="false" ht="12" hidden="false" customHeight="true" outlineLevel="0" collapsed="false">
      <c r="A170" s="256"/>
      <c r="B170" s="256"/>
      <c r="C170" s="256"/>
      <c r="D170" s="256"/>
      <c r="E170" s="256"/>
      <c r="F170" s="256"/>
      <c r="G170" s="256"/>
      <c r="H170" s="256"/>
      <c r="I170" s="256"/>
      <c r="J170" s="256"/>
      <c r="K170" s="256"/>
      <c r="L170" s="256"/>
      <c r="M170" s="256"/>
      <c r="N170" s="256"/>
      <c r="O170" s="256"/>
      <c r="P170" s="256"/>
      <c r="Q170" s="256"/>
      <c r="R170" s="256"/>
      <c r="S170" s="221"/>
      <c r="T170" s="221"/>
      <c r="U170" s="221"/>
      <c r="V170" s="221"/>
      <c r="W170" s="221"/>
      <c r="X170" s="221"/>
      <c r="Y170" s="221"/>
      <c r="Z170" s="221"/>
    </row>
    <row r="171" customFormat="false" ht="12" hidden="false" customHeight="true" outlineLevel="0" collapsed="false">
      <c r="A171" s="256"/>
      <c r="B171" s="256"/>
      <c r="C171" s="256"/>
      <c r="D171" s="256"/>
      <c r="E171" s="256"/>
      <c r="F171" s="256"/>
      <c r="G171" s="256"/>
      <c r="H171" s="256"/>
      <c r="I171" s="256"/>
      <c r="J171" s="256"/>
      <c r="K171" s="256"/>
      <c r="L171" s="256"/>
      <c r="M171" s="256"/>
      <c r="N171" s="256"/>
      <c r="O171" s="256"/>
      <c r="P171" s="256"/>
      <c r="Q171" s="256"/>
      <c r="R171" s="256"/>
      <c r="S171" s="221"/>
      <c r="T171" s="221"/>
      <c r="U171" s="221"/>
      <c r="V171" s="221"/>
      <c r="W171" s="221"/>
      <c r="X171" s="221"/>
      <c r="Y171" s="221"/>
      <c r="Z171" s="221"/>
    </row>
    <row r="172" customFormat="false" ht="12" hidden="false" customHeight="true" outlineLevel="0" collapsed="false">
      <c r="A172" s="256"/>
      <c r="B172" s="256"/>
      <c r="C172" s="256"/>
      <c r="D172" s="256"/>
      <c r="E172" s="256"/>
      <c r="F172" s="256"/>
      <c r="G172" s="256"/>
      <c r="H172" s="256"/>
      <c r="I172" s="256"/>
      <c r="J172" s="256"/>
      <c r="K172" s="256"/>
      <c r="L172" s="256"/>
      <c r="M172" s="256"/>
      <c r="N172" s="256"/>
      <c r="O172" s="256"/>
      <c r="P172" s="256"/>
      <c r="Q172" s="256"/>
      <c r="R172" s="256"/>
      <c r="S172" s="221"/>
      <c r="T172" s="221"/>
      <c r="U172" s="221"/>
      <c r="V172" s="221"/>
      <c r="W172" s="221"/>
      <c r="X172" s="221"/>
      <c r="Y172" s="221"/>
      <c r="Z172" s="221"/>
    </row>
    <row r="173" customFormat="false" ht="12" hidden="false" customHeight="true" outlineLevel="0" collapsed="false">
      <c r="A173" s="256"/>
      <c r="B173" s="256"/>
      <c r="C173" s="256"/>
      <c r="D173" s="256"/>
      <c r="E173" s="256"/>
      <c r="F173" s="256"/>
      <c r="G173" s="256"/>
      <c r="H173" s="256"/>
      <c r="I173" s="256"/>
      <c r="J173" s="256"/>
      <c r="K173" s="256"/>
      <c r="L173" s="256"/>
      <c r="M173" s="256"/>
      <c r="N173" s="256"/>
      <c r="O173" s="256"/>
      <c r="P173" s="256"/>
      <c r="Q173" s="256"/>
      <c r="R173" s="256"/>
      <c r="S173" s="221"/>
      <c r="T173" s="221"/>
      <c r="U173" s="221"/>
      <c r="V173" s="221"/>
      <c r="W173" s="221"/>
      <c r="X173" s="221"/>
      <c r="Y173" s="221"/>
      <c r="Z173" s="221"/>
    </row>
    <row r="174" customFormat="false" ht="12" hidden="false" customHeight="true" outlineLevel="0" collapsed="false">
      <c r="A174" s="256"/>
      <c r="B174" s="256"/>
      <c r="C174" s="256"/>
      <c r="D174" s="256"/>
      <c r="E174" s="256"/>
      <c r="F174" s="256"/>
      <c r="G174" s="256"/>
      <c r="H174" s="256"/>
      <c r="I174" s="256"/>
      <c r="J174" s="256"/>
      <c r="K174" s="256"/>
      <c r="L174" s="256"/>
      <c r="M174" s="256"/>
      <c r="N174" s="256"/>
      <c r="O174" s="256"/>
      <c r="P174" s="256"/>
      <c r="Q174" s="256"/>
      <c r="R174" s="256"/>
      <c r="S174" s="221"/>
      <c r="T174" s="221"/>
      <c r="U174" s="221"/>
      <c r="V174" s="221"/>
      <c r="W174" s="221"/>
      <c r="X174" s="221"/>
      <c r="Y174" s="221"/>
      <c r="Z174" s="221"/>
    </row>
    <row r="175" customFormat="false" ht="12" hidden="false" customHeight="true" outlineLevel="0" collapsed="false">
      <c r="A175" s="256"/>
      <c r="B175" s="256"/>
      <c r="C175" s="256"/>
      <c r="D175" s="256"/>
      <c r="E175" s="256"/>
      <c r="F175" s="256"/>
      <c r="G175" s="256"/>
      <c r="H175" s="256"/>
      <c r="I175" s="256"/>
      <c r="J175" s="256"/>
      <c r="K175" s="256"/>
      <c r="L175" s="256"/>
      <c r="M175" s="256"/>
      <c r="N175" s="256"/>
      <c r="O175" s="256"/>
      <c r="P175" s="256"/>
      <c r="Q175" s="256"/>
      <c r="R175" s="256"/>
      <c r="S175" s="221"/>
      <c r="T175" s="221"/>
      <c r="U175" s="221"/>
      <c r="V175" s="221"/>
      <c r="W175" s="221"/>
      <c r="X175" s="221"/>
      <c r="Y175" s="221"/>
      <c r="Z175" s="221"/>
    </row>
    <row r="176" customFormat="false" ht="12" hidden="false" customHeight="true" outlineLevel="0" collapsed="false">
      <c r="A176" s="256"/>
      <c r="B176" s="256"/>
      <c r="C176" s="256"/>
      <c r="D176" s="256"/>
      <c r="E176" s="256"/>
      <c r="F176" s="256"/>
      <c r="G176" s="256"/>
      <c r="H176" s="256"/>
      <c r="I176" s="256"/>
      <c r="J176" s="256"/>
      <c r="K176" s="256"/>
      <c r="L176" s="256"/>
      <c r="M176" s="256"/>
      <c r="N176" s="256"/>
      <c r="O176" s="256"/>
      <c r="P176" s="256"/>
      <c r="Q176" s="256"/>
      <c r="R176" s="256"/>
      <c r="S176" s="221"/>
      <c r="T176" s="221"/>
      <c r="U176" s="221"/>
      <c r="V176" s="221"/>
      <c r="W176" s="221"/>
      <c r="X176" s="221"/>
      <c r="Y176" s="221"/>
      <c r="Z176" s="221"/>
    </row>
    <row r="177" customFormat="false" ht="12" hidden="false" customHeight="true" outlineLevel="0" collapsed="false">
      <c r="A177" s="256"/>
      <c r="B177" s="256"/>
      <c r="C177" s="256"/>
      <c r="D177" s="256"/>
      <c r="E177" s="256"/>
      <c r="F177" s="256"/>
      <c r="G177" s="256"/>
      <c r="H177" s="256"/>
      <c r="I177" s="256"/>
      <c r="J177" s="256"/>
      <c r="K177" s="256"/>
      <c r="L177" s="256"/>
      <c r="M177" s="256"/>
      <c r="N177" s="256"/>
      <c r="O177" s="256"/>
      <c r="P177" s="256"/>
      <c r="Q177" s="256"/>
      <c r="R177" s="256"/>
      <c r="S177" s="221"/>
      <c r="T177" s="221"/>
      <c r="U177" s="221"/>
      <c r="V177" s="221"/>
      <c r="W177" s="221"/>
      <c r="X177" s="221"/>
      <c r="Y177" s="221"/>
      <c r="Z177" s="221"/>
    </row>
    <row r="178" customFormat="false" ht="12" hidden="false" customHeight="true" outlineLevel="0" collapsed="false">
      <c r="A178" s="256"/>
      <c r="B178" s="256"/>
      <c r="C178" s="256"/>
      <c r="D178" s="256"/>
      <c r="E178" s="256"/>
      <c r="F178" s="256"/>
      <c r="G178" s="256"/>
      <c r="H178" s="256"/>
      <c r="I178" s="256"/>
      <c r="J178" s="256"/>
      <c r="K178" s="256"/>
      <c r="L178" s="256"/>
      <c r="M178" s="256"/>
      <c r="N178" s="256"/>
      <c r="O178" s="256"/>
      <c r="P178" s="256"/>
      <c r="Q178" s="256"/>
      <c r="R178" s="256"/>
      <c r="S178" s="221"/>
      <c r="T178" s="221"/>
      <c r="U178" s="221"/>
      <c r="V178" s="221"/>
      <c r="W178" s="221"/>
      <c r="X178" s="221"/>
      <c r="Y178" s="221"/>
      <c r="Z178" s="221"/>
    </row>
    <row r="179" customFormat="false" ht="12" hidden="false" customHeight="true" outlineLevel="0" collapsed="false">
      <c r="A179" s="256"/>
      <c r="B179" s="256"/>
      <c r="C179" s="256"/>
      <c r="D179" s="256"/>
      <c r="E179" s="256"/>
      <c r="F179" s="256"/>
      <c r="G179" s="256"/>
      <c r="H179" s="256"/>
      <c r="I179" s="256"/>
      <c r="J179" s="256"/>
      <c r="K179" s="256"/>
      <c r="L179" s="256"/>
      <c r="M179" s="256"/>
      <c r="N179" s="256"/>
      <c r="O179" s="256"/>
      <c r="P179" s="256"/>
      <c r="Q179" s="256"/>
      <c r="R179" s="256"/>
      <c r="S179" s="221"/>
      <c r="T179" s="221"/>
      <c r="U179" s="221"/>
      <c r="V179" s="221"/>
      <c r="W179" s="221"/>
      <c r="X179" s="221"/>
      <c r="Y179" s="221"/>
      <c r="Z179" s="221"/>
    </row>
    <row r="180" customFormat="false" ht="12" hidden="false" customHeight="true" outlineLevel="0" collapsed="false">
      <c r="A180" s="256"/>
      <c r="B180" s="256"/>
      <c r="C180" s="256"/>
      <c r="D180" s="256"/>
      <c r="E180" s="256"/>
      <c r="F180" s="256"/>
      <c r="G180" s="256"/>
      <c r="H180" s="256"/>
      <c r="I180" s="256"/>
      <c r="J180" s="256"/>
      <c r="K180" s="256"/>
      <c r="L180" s="256"/>
      <c r="M180" s="256"/>
      <c r="N180" s="256"/>
      <c r="O180" s="256"/>
      <c r="P180" s="256"/>
      <c r="Q180" s="256"/>
      <c r="R180" s="256"/>
      <c r="S180" s="221"/>
      <c r="T180" s="221"/>
      <c r="U180" s="221"/>
      <c r="V180" s="221"/>
      <c r="W180" s="221"/>
      <c r="X180" s="221"/>
      <c r="Y180" s="221"/>
      <c r="Z180" s="221"/>
    </row>
    <row r="181" customFormat="false" ht="12" hidden="false" customHeight="true" outlineLevel="0" collapsed="false">
      <c r="A181" s="256"/>
      <c r="B181" s="256"/>
      <c r="C181" s="256"/>
      <c r="D181" s="256"/>
      <c r="E181" s="256"/>
      <c r="F181" s="256"/>
      <c r="G181" s="256"/>
      <c r="H181" s="256"/>
      <c r="I181" s="256"/>
      <c r="J181" s="256"/>
      <c r="K181" s="256"/>
      <c r="L181" s="256"/>
      <c r="M181" s="256"/>
      <c r="N181" s="256"/>
      <c r="O181" s="256"/>
      <c r="P181" s="256"/>
      <c r="Q181" s="256"/>
      <c r="R181" s="256"/>
      <c r="S181" s="221"/>
      <c r="T181" s="221"/>
      <c r="U181" s="221"/>
      <c r="V181" s="221"/>
      <c r="W181" s="221"/>
      <c r="X181" s="221"/>
      <c r="Y181" s="221"/>
      <c r="Z181" s="221"/>
    </row>
    <row r="182" customFormat="false" ht="12" hidden="false" customHeight="true" outlineLevel="0" collapsed="false">
      <c r="A182" s="256"/>
      <c r="B182" s="256"/>
      <c r="C182" s="256"/>
      <c r="D182" s="256"/>
      <c r="E182" s="256"/>
      <c r="F182" s="256"/>
      <c r="G182" s="256"/>
      <c r="H182" s="256"/>
      <c r="I182" s="256"/>
      <c r="J182" s="256"/>
      <c r="K182" s="256"/>
      <c r="L182" s="256"/>
      <c r="M182" s="256"/>
      <c r="N182" s="256"/>
      <c r="O182" s="256"/>
      <c r="P182" s="256"/>
      <c r="Q182" s="256"/>
      <c r="R182" s="256"/>
      <c r="S182" s="221"/>
      <c r="T182" s="221"/>
      <c r="U182" s="221"/>
      <c r="V182" s="221"/>
      <c r="W182" s="221"/>
      <c r="X182" s="221"/>
      <c r="Y182" s="221"/>
      <c r="Z182" s="221"/>
    </row>
    <row r="183" customFormat="false" ht="12" hidden="false" customHeight="true" outlineLevel="0" collapsed="false">
      <c r="A183" s="256"/>
      <c r="B183" s="256"/>
      <c r="C183" s="256"/>
      <c r="D183" s="256"/>
      <c r="E183" s="256"/>
      <c r="F183" s="256"/>
      <c r="G183" s="256"/>
      <c r="H183" s="256"/>
      <c r="I183" s="256"/>
      <c r="J183" s="256"/>
      <c r="K183" s="256"/>
      <c r="L183" s="256"/>
      <c r="M183" s="256"/>
      <c r="N183" s="256"/>
      <c r="O183" s="256"/>
      <c r="P183" s="256"/>
      <c r="Q183" s="256"/>
      <c r="R183" s="256"/>
      <c r="S183" s="221"/>
      <c r="T183" s="221"/>
      <c r="U183" s="221"/>
      <c r="V183" s="221"/>
      <c r="W183" s="221"/>
      <c r="X183" s="221"/>
      <c r="Y183" s="221"/>
      <c r="Z183" s="221"/>
    </row>
    <row r="184" customFormat="false" ht="12" hidden="false" customHeight="true" outlineLevel="0" collapsed="false">
      <c r="A184" s="256"/>
      <c r="B184" s="256"/>
      <c r="C184" s="256"/>
      <c r="D184" s="256"/>
      <c r="E184" s="256"/>
      <c r="F184" s="256"/>
      <c r="G184" s="256"/>
      <c r="H184" s="256"/>
      <c r="I184" s="256"/>
      <c r="J184" s="256"/>
      <c r="K184" s="256"/>
      <c r="L184" s="256"/>
      <c r="M184" s="256"/>
      <c r="N184" s="256"/>
      <c r="O184" s="256"/>
      <c r="P184" s="256"/>
      <c r="Q184" s="256"/>
      <c r="R184" s="256"/>
      <c r="S184" s="221"/>
      <c r="T184" s="221"/>
      <c r="U184" s="221"/>
      <c r="V184" s="221"/>
      <c r="W184" s="221"/>
      <c r="X184" s="221"/>
      <c r="Y184" s="221"/>
      <c r="Z184" s="221"/>
    </row>
    <row r="185" customFormat="false" ht="12" hidden="false" customHeight="true" outlineLevel="0" collapsed="false">
      <c r="A185" s="256"/>
      <c r="B185" s="256"/>
      <c r="C185" s="256"/>
      <c r="D185" s="256"/>
      <c r="E185" s="256"/>
      <c r="F185" s="256"/>
      <c r="G185" s="256"/>
      <c r="H185" s="256"/>
      <c r="I185" s="256"/>
      <c r="J185" s="256"/>
      <c r="K185" s="256"/>
      <c r="L185" s="256"/>
      <c r="M185" s="256"/>
      <c r="N185" s="256"/>
      <c r="O185" s="256"/>
      <c r="P185" s="256"/>
      <c r="Q185" s="256"/>
      <c r="R185" s="256"/>
      <c r="S185" s="221"/>
      <c r="T185" s="221"/>
      <c r="U185" s="221"/>
      <c r="V185" s="221"/>
      <c r="W185" s="221"/>
      <c r="X185" s="221"/>
      <c r="Y185" s="221"/>
      <c r="Z185" s="221"/>
    </row>
    <row r="186" customFormat="false" ht="12" hidden="false" customHeight="true" outlineLevel="0" collapsed="false">
      <c r="A186" s="256"/>
      <c r="B186" s="256"/>
      <c r="C186" s="256"/>
      <c r="D186" s="256"/>
      <c r="E186" s="256"/>
      <c r="F186" s="256"/>
      <c r="G186" s="256"/>
      <c r="H186" s="256"/>
      <c r="I186" s="256"/>
      <c r="J186" s="256"/>
      <c r="K186" s="256"/>
      <c r="L186" s="256"/>
      <c r="M186" s="256"/>
      <c r="N186" s="256"/>
      <c r="O186" s="256"/>
      <c r="P186" s="256"/>
      <c r="Q186" s="256"/>
      <c r="R186" s="256"/>
      <c r="S186" s="221"/>
      <c r="T186" s="221"/>
      <c r="U186" s="221"/>
      <c r="V186" s="221"/>
      <c r="W186" s="221"/>
      <c r="X186" s="221"/>
      <c r="Y186" s="221"/>
      <c r="Z186" s="221"/>
    </row>
    <row r="187" customFormat="false" ht="12" hidden="false" customHeight="true" outlineLevel="0" collapsed="false">
      <c r="A187" s="256"/>
      <c r="B187" s="256"/>
      <c r="C187" s="256"/>
      <c r="D187" s="256"/>
      <c r="E187" s="256"/>
      <c r="F187" s="256"/>
      <c r="G187" s="256"/>
      <c r="H187" s="256"/>
      <c r="I187" s="256"/>
      <c r="J187" s="256"/>
      <c r="K187" s="256"/>
      <c r="L187" s="256"/>
      <c r="M187" s="256"/>
      <c r="N187" s="256"/>
      <c r="O187" s="256"/>
      <c r="P187" s="256"/>
      <c r="Q187" s="256"/>
      <c r="R187" s="256"/>
      <c r="S187" s="221"/>
      <c r="T187" s="221"/>
      <c r="U187" s="221"/>
      <c r="V187" s="221"/>
      <c r="W187" s="221"/>
      <c r="X187" s="221"/>
      <c r="Y187" s="221"/>
      <c r="Z187" s="221"/>
    </row>
    <row r="188" customFormat="false" ht="12" hidden="false" customHeight="true" outlineLevel="0" collapsed="false">
      <c r="A188" s="256"/>
      <c r="B188" s="256"/>
      <c r="C188" s="256"/>
      <c r="D188" s="256"/>
      <c r="E188" s="256"/>
      <c r="F188" s="256"/>
      <c r="G188" s="256"/>
      <c r="H188" s="256"/>
      <c r="I188" s="256"/>
      <c r="J188" s="256"/>
      <c r="K188" s="256"/>
      <c r="L188" s="256"/>
      <c r="M188" s="256"/>
      <c r="N188" s="256"/>
      <c r="O188" s="256"/>
      <c r="P188" s="256"/>
      <c r="Q188" s="256"/>
      <c r="R188" s="256"/>
      <c r="S188" s="221"/>
      <c r="T188" s="221"/>
      <c r="U188" s="221"/>
      <c r="V188" s="221"/>
      <c r="W188" s="221"/>
      <c r="X188" s="221"/>
      <c r="Y188" s="221"/>
      <c r="Z188" s="221"/>
    </row>
    <row r="189" customFormat="false" ht="12" hidden="false" customHeight="true" outlineLevel="0" collapsed="false">
      <c r="A189" s="256"/>
      <c r="B189" s="256"/>
      <c r="C189" s="256"/>
      <c r="D189" s="256"/>
      <c r="E189" s="256"/>
      <c r="F189" s="256"/>
      <c r="G189" s="256"/>
      <c r="H189" s="256"/>
      <c r="I189" s="256"/>
      <c r="J189" s="256"/>
      <c r="K189" s="256"/>
      <c r="L189" s="256"/>
      <c r="M189" s="256"/>
      <c r="N189" s="256"/>
      <c r="O189" s="256"/>
      <c r="P189" s="256"/>
      <c r="Q189" s="256"/>
      <c r="R189" s="256"/>
      <c r="S189" s="221"/>
      <c r="T189" s="221"/>
      <c r="U189" s="221"/>
      <c r="V189" s="221"/>
      <c r="W189" s="221"/>
      <c r="X189" s="221"/>
      <c r="Y189" s="221"/>
      <c r="Z189" s="221"/>
    </row>
    <row r="190" customFormat="false" ht="12" hidden="false" customHeight="true" outlineLevel="0" collapsed="false">
      <c r="A190" s="256"/>
      <c r="B190" s="256"/>
      <c r="C190" s="256"/>
      <c r="D190" s="256"/>
      <c r="E190" s="256"/>
      <c r="F190" s="256"/>
      <c r="G190" s="256"/>
      <c r="H190" s="256"/>
      <c r="I190" s="256"/>
      <c r="J190" s="256"/>
      <c r="K190" s="256"/>
      <c r="L190" s="256"/>
      <c r="M190" s="256"/>
      <c r="N190" s="256"/>
      <c r="O190" s="256"/>
      <c r="P190" s="256"/>
      <c r="Q190" s="256"/>
      <c r="R190" s="256"/>
      <c r="S190" s="221"/>
      <c r="T190" s="221"/>
      <c r="U190" s="221"/>
      <c r="V190" s="221"/>
      <c r="W190" s="221"/>
      <c r="X190" s="221"/>
      <c r="Y190" s="221"/>
      <c r="Z190" s="221"/>
    </row>
    <row r="191" customFormat="false" ht="12" hidden="false" customHeight="true" outlineLevel="0" collapsed="false">
      <c r="A191" s="256"/>
      <c r="B191" s="256"/>
      <c r="C191" s="256"/>
      <c r="D191" s="256"/>
      <c r="E191" s="256"/>
      <c r="F191" s="256"/>
      <c r="G191" s="256"/>
      <c r="H191" s="256"/>
      <c r="I191" s="256"/>
      <c r="J191" s="256"/>
      <c r="K191" s="256"/>
      <c r="L191" s="256"/>
      <c r="M191" s="256"/>
      <c r="N191" s="256"/>
      <c r="O191" s="256"/>
      <c r="P191" s="256"/>
      <c r="Q191" s="256"/>
      <c r="R191" s="256"/>
      <c r="S191" s="221"/>
      <c r="T191" s="221"/>
      <c r="U191" s="221"/>
      <c r="V191" s="221"/>
      <c r="W191" s="221"/>
      <c r="X191" s="221"/>
      <c r="Y191" s="221"/>
      <c r="Z191" s="221"/>
    </row>
    <row r="192" customFormat="false" ht="12" hidden="false" customHeight="true" outlineLevel="0" collapsed="false">
      <c r="A192" s="256"/>
      <c r="B192" s="256"/>
      <c r="C192" s="256"/>
      <c r="D192" s="256"/>
      <c r="E192" s="256"/>
      <c r="F192" s="256"/>
      <c r="G192" s="256"/>
      <c r="H192" s="256"/>
      <c r="I192" s="256"/>
      <c r="J192" s="256"/>
      <c r="K192" s="256"/>
      <c r="L192" s="256"/>
      <c r="M192" s="256"/>
      <c r="N192" s="256"/>
      <c r="O192" s="256"/>
      <c r="P192" s="256"/>
      <c r="Q192" s="256"/>
      <c r="R192" s="256"/>
      <c r="S192" s="221"/>
      <c r="T192" s="221"/>
      <c r="U192" s="221"/>
      <c r="V192" s="221"/>
      <c r="W192" s="221"/>
      <c r="X192" s="221"/>
      <c r="Y192" s="221"/>
      <c r="Z192" s="221"/>
    </row>
    <row r="193" customFormat="false" ht="12" hidden="false" customHeight="true" outlineLevel="0" collapsed="false">
      <c r="A193" s="256"/>
      <c r="B193" s="256"/>
      <c r="C193" s="256"/>
      <c r="D193" s="256"/>
      <c r="E193" s="256"/>
      <c r="F193" s="256"/>
      <c r="G193" s="256"/>
      <c r="H193" s="256"/>
      <c r="I193" s="256"/>
      <c r="J193" s="256"/>
      <c r="K193" s="256"/>
      <c r="L193" s="256"/>
      <c r="M193" s="256"/>
      <c r="N193" s="256"/>
      <c r="O193" s="256"/>
      <c r="P193" s="256"/>
      <c r="Q193" s="256"/>
      <c r="R193" s="256"/>
      <c r="S193" s="221"/>
      <c r="T193" s="221"/>
      <c r="U193" s="221"/>
      <c r="V193" s="221"/>
      <c r="W193" s="221"/>
      <c r="X193" s="221"/>
      <c r="Y193" s="221"/>
      <c r="Z193" s="221"/>
    </row>
    <row r="194" customFormat="false" ht="12" hidden="false" customHeight="true" outlineLevel="0" collapsed="false">
      <c r="A194" s="256"/>
      <c r="B194" s="256"/>
      <c r="C194" s="256"/>
      <c r="D194" s="256"/>
      <c r="E194" s="256"/>
      <c r="F194" s="256"/>
      <c r="G194" s="256"/>
      <c r="H194" s="256"/>
      <c r="I194" s="256"/>
      <c r="J194" s="256"/>
      <c r="K194" s="256"/>
      <c r="L194" s="256"/>
      <c r="M194" s="256"/>
      <c r="N194" s="256"/>
      <c r="O194" s="256"/>
      <c r="P194" s="256"/>
      <c r="Q194" s="256"/>
      <c r="R194" s="256"/>
      <c r="S194" s="221"/>
      <c r="T194" s="221"/>
      <c r="U194" s="221"/>
      <c r="V194" s="221"/>
      <c r="W194" s="221"/>
      <c r="X194" s="221"/>
      <c r="Y194" s="221"/>
      <c r="Z194" s="221"/>
    </row>
    <row r="195" customFormat="false" ht="12" hidden="false" customHeight="true" outlineLevel="0" collapsed="false">
      <c r="A195" s="256"/>
      <c r="B195" s="256"/>
      <c r="C195" s="256"/>
      <c r="D195" s="256"/>
      <c r="E195" s="256"/>
      <c r="F195" s="256"/>
      <c r="G195" s="256"/>
      <c r="H195" s="256"/>
      <c r="I195" s="256"/>
      <c r="J195" s="256"/>
      <c r="K195" s="256"/>
      <c r="L195" s="256"/>
      <c r="M195" s="256"/>
      <c r="N195" s="256"/>
      <c r="O195" s="256"/>
      <c r="P195" s="256"/>
      <c r="Q195" s="256"/>
      <c r="R195" s="256"/>
      <c r="S195" s="221"/>
      <c r="T195" s="221"/>
      <c r="U195" s="221"/>
      <c r="V195" s="221"/>
      <c r="W195" s="221"/>
      <c r="X195" s="221"/>
      <c r="Y195" s="221"/>
      <c r="Z195" s="221"/>
    </row>
    <row r="196" customFormat="false" ht="12" hidden="false" customHeight="true" outlineLevel="0" collapsed="false">
      <c r="A196" s="256"/>
      <c r="B196" s="256"/>
      <c r="C196" s="256"/>
      <c r="D196" s="256"/>
      <c r="E196" s="256"/>
      <c r="F196" s="256"/>
      <c r="G196" s="256"/>
      <c r="H196" s="256"/>
      <c r="I196" s="256"/>
      <c r="J196" s="256"/>
      <c r="K196" s="256"/>
      <c r="L196" s="256"/>
      <c r="M196" s="256"/>
      <c r="N196" s="256"/>
      <c r="O196" s="256"/>
      <c r="P196" s="256"/>
      <c r="Q196" s="256"/>
      <c r="R196" s="256"/>
      <c r="S196" s="221"/>
      <c r="T196" s="221"/>
      <c r="U196" s="221"/>
      <c r="V196" s="221"/>
      <c r="W196" s="221"/>
      <c r="X196" s="221"/>
      <c r="Y196" s="221"/>
      <c r="Z196" s="221"/>
    </row>
    <row r="197" customFormat="false" ht="12" hidden="false" customHeight="true" outlineLevel="0" collapsed="false">
      <c r="A197" s="256"/>
      <c r="B197" s="256"/>
      <c r="C197" s="256"/>
      <c r="D197" s="256"/>
      <c r="E197" s="256"/>
      <c r="F197" s="256"/>
      <c r="G197" s="256"/>
      <c r="H197" s="256"/>
      <c r="I197" s="256"/>
      <c r="J197" s="256"/>
      <c r="K197" s="256"/>
      <c r="L197" s="256"/>
      <c r="M197" s="256"/>
      <c r="N197" s="256"/>
      <c r="O197" s="256"/>
      <c r="P197" s="256"/>
      <c r="Q197" s="256"/>
      <c r="R197" s="256"/>
      <c r="S197" s="221"/>
      <c r="T197" s="221"/>
      <c r="U197" s="221"/>
      <c r="V197" s="221"/>
      <c r="W197" s="221"/>
      <c r="X197" s="221"/>
      <c r="Y197" s="221"/>
      <c r="Z197" s="221"/>
    </row>
    <row r="198" customFormat="false" ht="12" hidden="false" customHeight="true" outlineLevel="0" collapsed="false">
      <c r="A198" s="256"/>
      <c r="B198" s="256"/>
      <c r="C198" s="256"/>
      <c r="D198" s="256"/>
      <c r="E198" s="256"/>
      <c r="F198" s="256"/>
      <c r="G198" s="256"/>
      <c r="H198" s="256"/>
      <c r="I198" s="256"/>
      <c r="J198" s="256"/>
      <c r="K198" s="256"/>
      <c r="L198" s="256"/>
      <c r="M198" s="256"/>
      <c r="N198" s="256"/>
      <c r="O198" s="256"/>
      <c r="P198" s="256"/>
      <c r="Q198" s="256"/>
      <c r="R198" s="256"/>
      <c r="S198" s="221"/>
      <c r="T198" s="221"/>
      <c r="U198" s="221"/>
      <c r="V198" s="221"/>
      <c r="W198" s="221"/>
      <c r="X198" s="221"/>
      <c r="Y198" s="221"/>
      <c r="Z198" s="221"/>
    </row>
    <row r="199" customFormat="false" ht="12" hidden="false" customHeight="true" outlineLevel="0" collapsed="false">
      <c r="A199" s="256"/>
      <c r="B199" s="256"/>
      <c r="C199" s="256"/>
      <c r="D199" s="256"/>
      <c r="E199" s="256"/>
      <c r="F199" s="256"/>
      <c r="G199" s="256"/>
      <c r="H199" s="256"/>
      <c r="I199" s="256"/>
      <c r="J199" s="256"/>
      <c r="K199" s="256"/>
      <c r="L199" s="256"/>
      <c r="M199" s="256"/>
      <c r="N199" s="256"/>
      <c r="O199" s="256"/>
      <c r="P199" s="256"/>
      <c r="Q199" s="256"/>
      <c r="R199" s="256"/>
      <c r="S199" s="221"/>
      <c r="T199" s="221"/>
      <c r="U199" s="221"/>
      <c r="V199" s="221"/>
      <c r="W199" s="221"/>
      <c r="X199" s="221"/>
      <c r="Y199" s="221"/>
      <c r="Z199" s="221"/>
    </row>
    <row r="200" customFormat="false" ht="12" hidden="false" customHeight="true" outlineLevel="0" collapsed="false">
      <c r="A200" s="256"/>
      <c r="B200" s="256"/>
      <c r="C200" s="256"/>
      <c r="D200" s="256"/>
      <c r="E200" s="256"/>
      <c r="F200" s="256"/>
      <c r="G200" s="256"/>
      <c r="H200" s="256"/>
      <c r="I200" s="256"/>
      <c r="J200" s="256"/>
      <c r="K200" s="256"/>
      <c r="L200" s="256"/>
      <c r="M200" s="256"/>
      <c r="N200" s="256"/>
      <c r="O200" s="256"/>
      <c r="P200" s="256"/>
      <c r="Q200" s="256"/>
      <c r="R200" s="256"/>
      <c r="S200" s="221"/>
      <c r="T200" s="221"/>
      <c r="U200" s="221"/>
      <c r="V200" s="221"/>
      <c r="W200" s="221"/>
      <c r="X200" s="221"/>
      <c r="Y200" s="221"/>
      <c r="Z200" s="221"/>
    </row>
    <row r="201" customFormat="false" ht="12" hidden="false" customHeight="true" outlineLevel="0" collapsed="false">
      <c r="A201" s="256"/>
      <c r="B201" s="256"/>
      <c r="C201" s="256"/>
      <c r="D201" s="256"/>
      <c r="E201" s="256"/>
      <c r="F201" s="256"/>
      <c r="G201" s="256"/>
      <c r="H201" s="256"/>
      <c r="I201" s="256"/>
      <c r="J201" s="256"/>
      <c r="K201" s="256"/>
      <c r="L201" s="256"/>
      <c r="M201" s="256"/>
      <c r="N201" s="256"/>
      <c r="O201" s="256"/>
      <c r="P201" s="256"/>
      <c r="Q201" s="256"/>
      <c r="R201" s="256"/>
      <c r="S201" s="221"/>
      <c r="T201" s="221"/>
      <c r="U201" s="221"/>
      <c r="V201" s="221"/>
      <c r="W201" s="221"/>
      <c r="X201" s="221"/>
      <c r="Y201" s="221"/>
      <c r="Z201" s="221"/>
    </row>
    <row r="202" customFormat="false" ht="12" hidden="false" customHeight="true" outlineLevel="0" collapsed="false">
      <c r="A202" s="256"/>
      <c r="B202" s="256"/>
      <c r="C202" s="256"/>
      <c r="D202" s="256"/>
      <c r="E202" s="256"/>
      <c r="F202" s="256"/>
      <c r="G202" s="256"/>
      <c r="H202" s="256"/>
      <c r="I202" s="256"/>
      <c r="J202" s="256"/>
      <c r="K202" s="256"/>
      <c r="L202" s="256"/>
      <c r="M202" s="256"/>
      <c r="N202" s="256"/>
      <c r="O202" s="256"/>
      <c r="P202" s="256"/>
      <c r="Q202" s="256"/>
      <c r="R202" s="256"/>
      <c r="S202" s="221"/>
      <c r="T202" s="221"/>
      <c r="U202" s="221"/>
      <c r="V202" s="221"/>
      <c r="W202" s="221"/>
      <c r="X202" s="221"/>
      <c r="Y202" s="221"/>
      <c r="Z202" s="221"/>
    </row>
    <row r="203" customFormat="false" ht="12" hidden="false" customHeight="true" outlineLevel="0" collapsed="false">
      <c r="A203" s="256"/>
      <c r="B203" s="256"/>
      <c r="C203" s="256"/>
      <c r="D203" s="256"/>
      <c r="E203" s="256"/>
      <c r="F203" s="256"/>
      <c r="G203" s="256"/>
      <c r="H203" s="256"/>
      <c r="I203" s="256"/>
      <c r="J203" s="256"/>
      <c r="K203" s="256"/>
      <c r="L203" s="256"/>
      <c r="M203" s="256"/>
      <c r="N203" s="256"/>
      <c r="O203" s="256"/>
      <c r="P203" s="256"/>
      <c r="Q203" s="256"/>
      <c r="R203" s="256"/>
      <c r="S203" s="221"/>
      <c r="T203" s="221"/>
      <c r="U203" s="221"/>
      <c r="V203" s="221"/>
      <c r="W203" s="221"/>
      <c r="X203" s="221"/>
      <c r="Y203" s="221"/>
      <c r="Z203" s="221"/>
    </row>
    <row r="204" customFormat="false" ht="12" hidden="false" customHeight="true" outlineLevel="0" collapsed="false">
      <c r="A204" s="256"/>
      <c r="B204" s="256"/>
      <c r="C204" s="256"/>
      <c r="D204" s="256"/>
      <c r="E204" s="256"/>
      <c r="F204" s="256"/>
      <c r="G204" s="256"/>
      <c r="H204" s="256"/>
      <c r="I204" s="256"/>
      <c r="J204" s="256"/>
      <c r="K204" s="256"/>
      <c r="L204" s="256"/>
      <c r="M204" s="256"/>
      <c r="N204" s="256"/>
      <c r="O204" s="256"/>
      <c r="P204" s="256"/>
      <c r="Q204" s="256"/>
      <c r="R204" s="256"/>
      <c r="S204" s="221"/>
      <c r="T204" s="221"/>
      <c r="U204" s="221"/>
      <c r="V204" s="221"/>
      <c r="W204" s="221"/>
      <c r="X204" s="221"/>
      <c r="Y204" s="221"/>
      <c r="Z204" s="221"/>
    </row>
    <row r="205" customFormat="false" ht="12" hidden="false" customHeight="true" outlineLevel="0" collapsed="false">
      <c r="A205" s="256"/>
      <c r="B205" s="256"/>
      <c r="C205" s="256"/>
      <c r="D205" s="256"/>
      <c r="E205" s="256"/>
      <c r="F205" s="256"/>
      <c r="G205" s="256"/>
      <c r="H205" s="256"/>
      <c r="I205" s="256"/>
      <c r="J205" s="256"/>
      <c r="K205" s="256"/>
      <c r="L205" s="256"/>
      <c r="M205" s="256"/>
      <c r="N205" s="256"/>
      <c r="O205" s="256"/>
      <c r="P205" s="256"/>
      <c r="Q205" s="256"/>
      <c r="R205" s="256"/>
      <c r="S205" s="221"/>
      <c r="T205" s="221"/>
      <c r="U205" s="221"/>
      <c r="V205" s="221"/>
      <c r="W205" s="221"/>
      <c r="X205" s="221"/>
      <c r="Y205" s="221"/>
      <c r="Z205" s="221"/>
    </row>
    <row r="206" customFormat="false" ht="12" hidden="false" customHeight="true" outlineLevel="0" collapsed="false">
      <c r="A206" s="256"/>
      <c r="B206" s="256"/>
      <c r="C206" s="256"/>
      <c r="D206" s="256"/>
      <c r="E206" s="256"/>
      <c r="F206" s="256"/>
      <c r="G206" s="256"/>
      <c r="H206" s="256"/>
      <c r="I206" s="256"/>
      <c r="J206" s="256"/>
      <c r="K206" s="256"/>
      <c r="L206" s="256"/>
      <c r="M206" s="256"/>
      <c r="N206" s="256"/>
      <c r="O206" s="256"/>
      <c r="P206" s="256"/>
      <c r="Q206" s="256"/>
      <c r="R206" s="256"/>
      <c r="S206" s="221"/>
      <c r="T206" s="221"/>
      <c r="U206" s="221"/>
      <c r="V206" s="221"/>
      <c r="W206" s="221"/>
      <c r="X206" s="221"/>
      <c r="Y206" s="221"/>
      <c r="Z206" s="221"/>
    </row>
    <row r="207" customFormat="false" ht="12" hidden="false" customHeight="true" outlineLevel="0" collapsed="false">
      <c r="A207" s="256"/>
      <c r="B207" s="256"/>
      <c r="C207" s="256"/>
      <c r="D207" s="256"/>
      <c r="E207" s="256"/>
      <c r="F207" s="256"/>
      <c r="G207" s="256"/>
      <c r="H207" s="256"/>
      <c r="I207" s="256"/>
      <c r="J207" s="256"/>
      <c r="K207" s="256"/>
      <c r="L207" s="256"/>
      <c r="M207" s="256"/>
      <c r="N207" s="256"/>
      <c r="O207" s="256"/>
      <c r="P207" s="256"/>
      <c r="Q207" s="256"/>
      <c r="R207" s="256"/>
      <c r="S207" s="221"/>
      <c r="T207" s="221"/>
      <c r="U207" s="221"/>
      <c r="V207" s="221"/>
      <c r="W207" s="221"/>
      <c r="X207" s="221"/>
      <c r="Y207" s="221"/>
      <c r="Z207" s="221"/>
    </row>
    <row r="208" customFormat="false" ht="12" hidden="false" customHeight="true" outlineLevel="0" collapsed="false">
      <c r="A208" s="256"/>
      <c r="B208" s="256"/>
      <c r="C208" s="256"/>
      <c r="D208" s="256"/>
      <c r="E208" s="256"/>
      <c r="F208" s="256"/>
      <c r="G208" s="256"/>
      <c r="H208" s="256"/>
      <c r="I208" s="256"/>
      <c r="J208" s="256"/>
      <c r="K208" s="256"/>
      <c r="L208" s="256"/>
      <c r="M208" s="256"/>
      <c r="N208" s="256"/>
      <c r="O208" s="256"/>
      <c r="P208" s="256"/>
      <c r="Q208" s="256"/>
      <c r="R208" s="256"/>
      <c r="S208" s="221"/>
      <c r="T208" s="221"/>
      <c r="U208" s="221"/>
      <c r="V208" s="221"/>
      <c r="W208" s="221"/>
      <c r="X208" s="221"/>
      <c r="Y208" s="221"/>
      <c r="Z208" s="221"/>
    </row>
    <row r="209" customFormat="false" ht="12" hidden="false" customHeight="true" outlineLevel="0" collapsed="false">
      <c r="A209" s="256"/>
      <c r="B209" s="256"/>
      <c r="C209" s="256"/>
      <c r="D209" s="256"/>
      <c r="E209" s="256"/>
      <c r="F209" s="256"/>
      <c r="G209" s="256"/>
      <c r="H209" s="256"/>
      <c r="I209" s="256"/>
      <c r="J209" s="256"/>
      <c r="K209" s="256"/>
      <c r="L209" s="256"/>
      <c r="M209" s="256"/>
      <c r="N209" s="256"/>
      <c r="O209" s="256"/>
      <c r="P209" s="256"/>
      <c r="Q209" s="256"/>
      <c r="R209" s="256"/>
      <c r="S209" s="221"/>
      <c r="T209" s="221"/>
      <c r="U209" s="221"/>
      <c r="V209" s="221"/>
      <c r="W209" s="221"/>
      <c r="X209" s="221"/>
      <c r="Y209" s="221"/>
      <c r="Z209" s="221"/>
    </row>
    <row r="210" customFormat="false" ht="12" hidden="false" customHeight="true" outlineLevel="0" collapsed="false">
      <c r="A210" s="256"/>
      <c r="B210" s="256"/>
      <c r="C210" s="256"/>
      <c r="D210" s="256"/>
      <c r="E210" s="256"/>
      <c r="F210" s="256"/>
      <c r="G210" s="256"/>
      <c r="H210" s="256"/>
      <c r="I210" s="256"/>
      <c r="J210" s="256"/>
      <c r="K210" s="256"/>
      <c r="L210" s="256"/>
      <c r="M210" s="256"/>
      <c r="N210" s="256"/>
      <c r="O210" s="256"/>
      <c r="P210" s="256"/>
      <c r="Q210" s="256"/>
      <c r="R210" s="256"/>
      <c r="S210" s="221"/>
      <c r="T210" s="221"/>
      <c r="U210" s="221"/>
      <c r="V210" s="221"/>
      <c r="W210" s="221"/>
      <c r="X210" s="221"/>
      <c r="Y210" s="221"/>
      <c r="Z210" s="221"/>
    </row>
    <row r="211" customFormat="false" ht="12" hidden="false" customHeight="true" outlineLevel="0" collapsed="false">
      <c r="A211" s="256"/>
      <c r="B211" s="256"/>
      <c r="C211" s="256"/>
      <c r="D211" s="256"/>
      <c r="E211" s="256"/>
      <c r="F211" s="256"/>
      <c r="G211" s="256"/>
      <c r="H211" s="256"/>
      <c r="I211" s="256"/>
      <c r="J211" s="256"/>
      <c r="K211" s="256"/>
      <c r="L211" s="256"/>
      <c r="M211" s="256"/>
      <c r="N211" s="256"/>
      <c r="O211" s="256"/>
      <c r="P211" s="256"/>
      <c r="Q211" s="256"/>
      <c r="R211" s="256"/>
      <c r="S211" s="221"/>
      <c r="T211" s="221"/>
      <c r="U211" s="221"/>
      <c r="V211" s="221"/>
      <c r="W211" s="221"/>
      <c r="X211" s="221"/>
      <c r="Y211" s="221"/>
      <c r="Z211" s="221"/>
    </row>
    <row r="212" customFormat="false" ht="12" hidden="false" customHeight="true" outlineLevel="0" collapsed="false">
      <c r="A212" s="256"/>
      <c r="B212" s="256"/>
      <c r="C212" s="256"/>
      <c r="D212" s="256"/>
      <c r="E212" s="256"/>
      <c r="F212" s="256"/>
      <c r="G212" s="256"/>
      <c r="H212" s="256"/>
      <c r="I212" s="256"/>
      <c r="J212" s="256"/>
      <c r="K212" s="256"/>
      <c r="L212" s="256"/>
      <c r="M212" s="256"/>
      <c r="N212" s="256"/>
      <c r="O212" s="256"/>
      <c r="P212" s="256"/>
      <c r="Q212" s="256"/>
      <c r="R212" s="256"/>
      <c r="S212" s="221"/>
      <c r="T212" s="221"/>
      <c r="U212" s="221"/>
      <c r="V212" s="221"/>
      <c r="W212" s="221"/>
      <c r="X212" s="221"/>
      <c r="Y212" s="221"/>
      <c r="Z212" s="221"/>
    </row>
    <row r="213" customFormat="false" ht="12" hidden="false" customHeight="true" outlineLevel="0" collapsed="false">
      <c r="A213" s="256"/>
      <c r="B213" s="256"/>
      <c r="C213" s="256"/>
      <c r="D213" s="256"/>
      <c r="E213" s="256"/>
      <c r="F213" s="256"/>
      <c r="G213" s="256"/>
      <c r="H213" s="256"/>
      <c r="I213" s="256"/>
      <c r="J213" s="256"/>
      <c r="K213" s="256"/>
      <c r="L213" s="256"/>
      <c r="M213" s="256"/>
      <c r="N213" s="256"/>
      <c r="O213" s="256"/>
      <c r="P213" s="256"/>
      <c r="Q213" s="256"/>
      <c r="R213" s="256"/>
      <c r="S213" s="221"/>
      <c r="T213" s="221"/>
      <c r="U213" s="221"/>
      <c r="V213" s="221"/>
      <c r="W213" s="221"/>
      <c r="X213" s="221"/>
      <c r="Y213" s="221"/>
      <c r="Z213" s="221"/>
    </row>
    <row r="214" customFormat="false" ht="12" hidden="false" customHeight="true" outlineLevel="0" collapsed="false">
      <c r="A214" s="256"/>
      <c r="B214" s="256"/>
      <c r="C214" s="256"/>
      <c r="D214" s="256"/>
      <c r="E214" s="256"/>
      <c r="F214" s="256"/>
      <c r="G214" s="256"/>
      <c r="H214" s="256"/>
      <c r="I214" s="256"/>
      <c r="J214" s="256"/>
      <c r="K214" s="256"/>
      <c r="L214" s="256"/>
      <c r="M214" s="256"/>
      <c r="N214" s="256"/>
      <c r="O214" s="256"/>
      <c r="P214" s="256"/>
      <c r="Q214" s="256"/>
      <c r="R214" s="256"/>
      <c r="S214" s="221"/>
      <c r="T214" s="221"/>
      <c r="U214" s="221"/>
      <c r="V214" s="221"/>
      <c r="W214" s="221"/>
      <c r="X214" s="221"/>
      <c r="Y214" s="221"/>
      <c r="Z214" s="221"/>
    </row>
    <row r="215" customFormat="false" ht="12" hidden="false" customHeight="true" outlineLevel="0" collapsed="false">
      <c r="A215" s="256"/>
      <c r="B215" s="256"/>
      <c r="C215" s="256"/>
      <c r="D215" s="256"/>
      <c r="E215" s="256"/>
      <c r="F215" s="256"/>
      <c r="G215" s="256"/>
      <c r="H215" s="256"/>
      <c r="I215" s="256"/>
      <c r="J215" s="256"/>
      <c r="K215" s="256"/>
      <c r="L215" s="256"/>
      <c r="M215" s="256"/>
      <c r="N215" s="256"/>
      <c r="O215" s="256"/>
      <c r="P215" s="256"/>
      <c r="Q215" s="256"/>
      <c r="R215" s="256"/>
      <c r="S215" s="221"/>
      <c r="T215" s="221"/>
      <c r="U215" s="221"/>
      <c r="V215" s="221"/>
      <c r="W215" s="221"/>
      <c r="X215" s="221"/>
      <c r="Y215" s="221"/>
      <c r="Z215" s="221"/>
    </row>
    <row r="216" customFormat="false" ht="12" hidden="false" customHeight="true" outlineLevel="0" collapsed="false">
      <c r="A216" s="256"/>
      <c r="B216" s="256"/>
      <c r="C216" s="256"/>
      <c r="D216" s="256"/>
      <c r="E216" s="256"/>
      <c r="F216" s="256"/>
      <c r="G216" s="256"/>
      <c r="H216" s="256"/>
      <c r="I216" s="256"/>
      <c r="J216" s="256"/>
      <c r="K216" s="256"/>
      <c r="L216" s="256"/>
      <c r="M216" s="256"/>
      <c r="N216" s="256"/>
      <c r="O216" s="256"/>
      <c r="P216" s="256"/>
      <c r="Q216" s="256"/>
      <c r="R216" s="256"/>
      <c r="S216" s="221"/>
      <c r="T216" s="221"/>
      <c r="U216" s="221"/>
      <c r="V216" s="221"/>
      <c r="W216" s="221"/>
      <c r="X216" s="221"/>
      <c r="Y216" s="221"/>
      <c r="Z216" s="221"/>
    </row>
    <row r="217" customFormat="false" ht="12" hidden="false" customHeight="true" outlineLevel="0" collapsed="false">
      <c r="A217" s="256"/>
      <c r="B217" s="256"/>
      <c r="C217" s="256"/>
      <c r="D217" s="256"/>
      <c r="E217" s="256"/>
      <c r="F217" s="256"/>
      <c r="G217" s="256"/>
      <c r="H217" s="256"/>
      <c r="I217" s="256"/>
      <c r="J217" s="256"/>
      <c r="K217" s="256"/>
      <c r="L217" s="256"/>
      <c r="M217" s="256"/>
      <c r="N217" s="256"/>
      <c r="O217" s="256"/>
      <c r="P217" s="256"/>
      <c r="Q217" s="256"/>
      <c r="R217" s="256"/>
      <c r="S217" s="221"/>
      <c r="T217" s="221"/>
      <c r="U217" s="221"/>
      <c r="V217" s="221"/>
      <c r="W217" s="221"/>
      <c r="X217" s="221"/>
      <c r="Y217" s="221"/>
      <c r="Z217" s="221"/>
    </row>
    <row r="218" customFormat="false" ht="12" hidden="false" customHeight="true" outlineLevel="0" collapsed="false">
      <c r="A218" s="256"/>
      <c r="B218" s="256"/>
      <c r="C218" s="256"/>
      <c r="D218" s="256"/>
      <c r="E218" s="256"/>
      <c r="F218" s="256"/>
      <c r="G218" s="256"/>
      <c r="H218" s="256"/>
      <c r="I218" s="256"/>
      <c r="J218" s="256"/>
      <c r="K218" s="256"/>
      <c r="L218" s="256"/>
      <c r="M218" s="256"/>
      <c r="N218" s="256"/>
      <c r="O218" s="256"/>
      <c r="P218" s="256"/>
      <c r="Q218" s="256"/>
      <c r="R218" s="256"/>
      <c r="S218" s="221"/>
      <c r="T218" s="221"/>
      <c r="U218" s="221"/>
      <c r="V218" s="221"/>
      <c r="W218" s="221"/>
      <c r="X218" s="221"/>
      <c r="Y218" s="221"/>
      <c r="Z218" s="221"/>
    </row>
    <row r="219" customFormat="false" ht="12" hidden="false" customHeight="true" outlineLevel="0" collapsed="false">
      <c r="A219" s="256"/>
      <c r="B219" s="256"/>
      <c r="C219" s="256"/>
      <c r="D219" s="256"/>
      <c r="E219" s="256"/>
      <c r="F219" s="256"/>
      <c r="G219" s="256"/>
      <c r="H219" s="256"/>
      <c r="I219" s="256"/>
      <c r="J219" s="256"/>
      <c r="K219" s="256"/>
      <c r="L219" s="256"/>
      <c r="M219" s="256"/>
      <c r="N219" s="256"/>
      <c r="O219" s="256"/>
      <c r="P219" s="256"/>
      <c r="Q219" s="256"/>
      <c r="R219" s="256"/>
      <c r="S219" s="221"/>
      <c r="T219" s="221"/>
      <c r="U219" s="221"/>
      <c r="V219" s="221"/>
      <c r="W219" s="221"/>
      <c r="X219" s="221"/>
      <c r="Y219" s="221"/>
      <c r="Z219" s="221"/>
    </row>
    <row r="220" customFormat="false" ht="12" hidden="false" customHeight="true" outlineLevel="0" collapsed="false">
      <c r="A220" s="256"/>
      <c r="B220" s="256"/>
      <c r="C220" s="256"/>
      <c r="D220" s="256"/>
      <c r="E220" s="256"/>
      <c r="F220" s="256"/>
      <c r="G220" s="256"/>
      <c r="H220" s="256"/>
      <c r="I220" s="256"/>
      <c r="J220" s="256"/>
      <c r="K220" s="256"/>
      <c r="L220" s="256"/>
      <c r="M220" s="256"/>
      <c r="N220" s="256"/>
      <c r="O220" s="256"/>
      <c r="P220" s="256"/>
      <c r="Q220" s="256"/>
      <c r="R220" s="256"/>
      <c r="S220" s="221"/>
      <c r="T220" s="221"/>
      <c r="U220" s="221"/>
      <c r="V220" s="221"/>
      <c r="W220" s="221"/>
      <c r="X220" s="221"/>
      <c r="Y220" s="221"/>
      <c r="Z220" s="221"/>
    </row>
    <row r="221" customFormat="false" ht="12" hidden="false" customHeight="true" outlineLevel="0" collapsed="false">
      <c r="A221" s="256"/>
      <c r="B221" s="256"/>
      <c r="C221" s="256"/>
      <c r="D221" s="256"/>
      <c r="E221" s="256"/>
      <c r="F221" s="256"/>
      <c r="G221" s="256"/>
      <c r="H221" s="256"/>
      <c r="I221" s="256"/>
      <c r="J221" s="256"/>
      <c r="K221" s="256"/>
      <c r="L221" s="256"/>
      <c r="M221" s="256"/>
      <c r="N221" s="256"/>
      <c r="O221" s="256"/>
      <c r="P221" s="256"/>
      <c r="Q221" s="256"/>
      <c r="R221" s="256"/>
      <c r="S221" s="221"/>
      <c r="T221" s="221"/>
      <c r="U221" s="221"/>
      <c r="V221" s="221"/>
      <c r="W221" s="221"/>
      <c r="X221" s="221"/>
      <c r="Y221" s="221"/>
      <c r="Z221" s="221"/>
    </row>
    <row r="222" customFormat="false" ht="12" hidden="false" customHeight="true" outlineLevel="0" collapsed="false">
      <c r="A222" s="256"/>
      <c r="B222" s="256"/>
      <c r="C222" s="256"/>
      <c r="D222" s="256"/>
      <c r="E222" s="256"/>
      <c r="F222" s="256"/>
      <c r="G222" s="256"/>
      <c r="H222" s="256"/>
      <c r="I222" s="256"/>
      <c r="J222" s="256"/>
      <c r="K222" s="256"/>
      <c r="L222" s="256"/>
      <c r="M222" s="256"/>
      <c r="N222" s="256"/>
      <c r="O222" s="256"/>
      <c r="P222" s="256"/>
      <c r="Q222" s="256"/>
      <c r="R222" s="256"/>
      <c r="S222" s="221"/>
      <c r="T222" s="221"/>
      <c r="U222" s="221"/>
      <c r="V222" s="221"/>
      <c r="W222" s="221"/>
      <c r="X222" s="221"/>
      <c r="Y222" s="221"/>
      <c r="Z222" s="221"/>
    </row>
    <row r="223" customFormat="false" ht="12" hidden="false" customHeight="true" outlineLevel="0" collapsed="false">
      <c r="A223" s="256"/>
      <c r="B223" s="256"/>
      <c r="C223" s="256"/>
      <c r="D223" s="256"/>
      <c r="E223" s="256"/>
      <c r="F223" s="256"/>
      <c r="G223" s="256"/>
      <c r="H223" s="256"/>
      <c r="I223" s="256"/>
      <c r="J223" s="256"/>
      <c r="K223" s="256"/>
      <c r="L223" s="256"/>
      <c r="M223" s="256"/>
      <c r="N223" s="256"/>
      <c r="O223" s="256"/>
      <c r="P223" s="256"/>
      <c r="Q223" s="256"/>
      <c r="R223" s="256"/>
      <c r="S223" s="221"/>
      <c r="T223" s="221"/>
      <c r="U223" s="221"/>
      <c r="V223" s="221"/>
      <c r="W223" s="221"/>
      <c r="X223" s="221"/>
      <c r="Y223" s="221"/>
      <c r="Z223" s="221"/>
    </row>
    <row r="224" customFormat="false" ht="12" hidden="false" customHeight="true" outlineLevel="0" collapsed="false">
      <c r="A224" s="256"/>
      <c r="B224" s="256"/>
      <c r="C224" s="256"/>
      <c r="D224" s="256"/>
      <c r="E224" s="256"/>
      <c r="F224" s="256"/>
      <c r="G224" s="256"/>
      <c r="H224" s="256"/>
      <c r="I224" s="256"/>
      <c r="J224" s="256"/>
      <c r="K224" s="256"/>
      <c r="L224" s="256"/>
      <c r="M224" s="256"/>
      <c r="N224" s="256"/>
      <c r="O224" s="256"/>
      <c r="P224" s="256"/>
      <c r="Q224" s="256"/>
      <c r="R224" s="256"/>
      <c r="S224" s="221"/>
      <c r="T224" s="221"/>
      <c r="U224" s="221"/>
      <c r="V224" s="221"/>
      <c r="W224" s="221"/>
      <c r="X224" s="221"/>
      <c r="Y224" s="221"/>
      <c r="Z224" s="221"/>
    </row>
    <row r="225" customFormat="false" ht="12" hidden="false" customHeight="true" outlineLevel="0" collapsed="false">
      <c r="A225" s="256"/>
      <c r="B225" s="256"/>
      <c r="C225" s="256"/>
      <c r="D225" s="256"/>
      <c r="E225" s="256"/>
      <c r="F225" s="256"/>
      <c r="G225" s="256"/>
      <c r="H225" s="256"/>
      <c r="I225" s="256"/>
      <c r="J225" s="256"/>
      <c r="K225" s="256"/>
      <c r="L225" s="256"/>
      <c r="M225" s="256"/>
      <c r="N225" s="256"/>
      <c r="O225" s="256"/>
      <c r="P225" s="256"/>
      <c r="Q225" s="256"/>
      <c r="R225" s="256"/>
      <c r="S225" s="221"/>
      <c r="T225" s="221"/>
      <c r="U225" s="221"/>
      <c r="V225" s="221"/>
      <c r="W225" s="221"/>
      <c r="X225" s="221"/>
      <c r="Y225" s="221"/>
      <c r="Z225" s="221"/>
    </row>
    <row r="226" customFormat="false" ht="12" hidden="false" customHeight="true" outlineLevel="0" collapsed="false">
      <c r="A226" s="256"/>
      <c r="B226" s="256"/>
      <c r="C226" s="256"/>
      <c r="D226" s="256"/>
      <c r="E226" s="256"/>
      <c r="F226" s="256"/>
      <c r="G226" s="256"/>
      <c r="H226" s="256"/>
      <c r="I226" s="256"/>
      <c r="J226" s="256"/>
      <c r="K226" s="256"/>
      <c r="L226" s="256"/>
      <c r="M226" s="256"/>
      <c r="N226" s="256"/>
      <c r="O226" s="256"/>
      <c r="P226" s="256"/>
      <c r="Q226" s="256"/>
      <c r="R226" s="256"/>
      <c r="S226" s="221"/>
      <c r="T226" s="221"/>
      <c r="U226" s="221"/>
      <c r="V226" s="221"/>
      <c r="W226" s="221"/>
      <c r="X226" s="221"/>
      <c r="Y226" s="221"/>
      <c r="Z226" s="221"/>
    </row>
    <row r="227" customFormat="false" ht="12" hidden="false" customHeight="true" outlineLevel="0" collapsed="false">
      <c r="A227" s="256"/>
      <c r="B227" s="256"/>
      <c r="C227" s="256"/>
      <c r="D227" s="256"/>
      <c r="E227" s="256"/>
      <c r="F227" s="256"/>
      <c r="G227" s="256"/>
      <c r="H227" s="256"/>
      <c r="I227" s="256"/>
      <c r="J227" s="256"/>
      <c r="K227" s="256"/>
      <c r="L227" s="256"/>
      <c r="M227" s="256"/>
      <c r="N227" s="256"/>
      <c r="O227" s="256"/>
      <c r="P227" s="256"/>
      <c r="Q227" s="256"/>
      <c r="R227" s="256"/>
      <c r="S227" s="221"/>
      <c r="T227" s="221"/>
      <c r="U227" s="221"/>
      <c r="V227" s="221"/>
      <c r="W227" s="221"/>
      <c r="X227" s="221"/>
      <c r="Y227" s="221"/>
      <c r="Z227" s="221"/>
    </row>
    <row r="228" customFormat="false" ht="12" hidden="false" customHeight="true" outlineLevel="0" collapsed="false">
      <c r="A228" s="256"/>
      <c r="B228" s="256"/>
      <c r="C228" s="256"/>
      <c r="D228" s="256"/>
      <c r="E228" s="256"/>
      <c r="F228" s="256"/>
      <c r="G228" s="256"/>
      <c r="H228" s="256"/>
      <c r="I228" s="256"/>
      <c r="J228" s="256"/>
      <c r="K228" s="256"/>
      <c r="L228" s="256"/>
      <c r="M228" s="256"/>
      <c r="N228" s="256"/>
      <c r="O228" s="256"/>
      <c r="P228" s="256"/>
      <c r="Q228" s="256"/>
      <c r="R228" s="256"/>
      <c r="S228" s="221"/>
      <c r="T228" s="221"/>
      <c r="U228" s="221"/>
      <c r="V228" s="221"/>
      <c r="W228" s="221"/>
      <c r="X228" s="221"/>
      <c r="Y228" s="221"/>
      <c r="Z228" s="221"/>
    </row>
    <row r="229" customFormat="false" ht="12" hidden="false" customHeight="true" outlineLevel="0" collapsed="false">
      <c r="A229" s="256"/>
      <c r="B229" s="256"/>
      <c r="C229" s="256"/>
      <c r="D229" s="256"/>
      <c r="E229" s="256"/>
      <c r="F229" s="256"/>
      <c r="G229" s="256"/>
      <c r="H229" s="256"/>
      <c r="I229" s="256"/>
      <c r="J229" s="256"/>
      <c r="K229" s="256"/>
      <c r="L229" s="256"/>
      <c r="M229" s="256"/>
      <c r="N229" s="256"/>
      <c r="O229" s="256"/>
      <c r="P229" s="256"/>
      <c r="Q229" s="256"/>
      <c r="R229" s="256"/>
      <c r="S229" s="221"/>
      <c r="T229" s="221"/>
      <c r="U229" s="221"/>
      <c r="V229" s="221"/>
      <c r="W229" s="221"/>
      <c r="X229" s="221"/>
      <c r="Y229" s="221"/>
      <c r="Z229" s="221"/>
    </row>
    <row r="230" customFormat="false" ht="12" hidden="false" customHeight="true" outlineLevel="0" collapsed="false">
      <c r="A230" s="256"/>
      <c r="B230" s="256"/>
      <c r="C230" s="256"/>
      <c r="D230" s="256"/>
      <c r="E230" s="256"/>
      <c r="F230" s="256"/>
      <c r="G230" s="256"/>
      <c r="H230" s="256"/>
      <c r="I230" s="256"/>
      <c r="J230" s="256"/>
      <c r="K230" s="256"/>
      <c r="L230" s="256"/>
      <c r="M230" s="256"/>
      <c r="N230" s="256"/>
      <c r="O230" s="256"/>
      <c r="P230" s="256"/>
      <c r="Q230" s="256"/>
      <c r="R230" s="256"/>
      <c r="S230" s="221"/>
      <c r="T230" s="221"/>
      <c r="U230" s="221"/>
      <c r="V230" s="221"/>
      <c r="W230" s="221"/>
      <c r="X230" s="221"/>
      <c r="Y230" s="221"/>
      <c r="Z230" s="221"/>
    </row>
    <row r="231" customFormat="false" ht="12" hidden="false" customHeight="true" outlineLevel="0" collapsed="false">
      <c r="A231" s="256"/>
      <c r="B231" s="256"/>
      <c r="C231" s="256"/>
      <c r="D231" s="256"/>
      <c r="E231" s="256"/>
      <c r="F231" s="256"/>
      <c r="G231" s="256"/>
      <c r="H231" s="256"/>
      <c r="I231" s="256"/>
      <c r="J231" s="256"/>
      <c r="K231" s="256"/>
      <c r="L231" s="256"/>
      <c r="M231" s="256"/>
      <c r="N231" s="256"/>
      <c r="O231" s="256"/>
      <c r="P231" s="256"/>
      <c r="Q231" s="256"/>
      <c r="R231" s="256"/>
      <c r="S231" s="221"/>
      <c r="T231" s="221"/>
      <c r="U231" s="221"/>
      <c r="V231" s="221"/>
      <c r="W231" s="221"/>
      <c r="X231" s="221"/>
      <c r="Y231" s="221"/>
      <c r="Z231" s="221"/>
    </row>
    <row r="232" customFormat="false" ht="12" hidden="false" customHeight="true" outlineLevel="0" collapsed="false">
      <c r="A232" s="256"/>
      <c r="B232" s="256"/>
      <c r="C232" s="256"/>
      <c r="D232" s="256"/>
      <c r="E232" s="256"/>
      <c r="F232" s="256"/>
      <c r="G232" s="256"/>
      <c r="H232" s="256"/>
      <c r="I232" s="256"/>
      <c r="J232" s="256"/>
      <c r="K232" s="256"/>
      <c r="L232" s="256"/>
      <c r="M232" s="256"/>
      <c r="N232" s="256"/>
      <c r="O232" s="256"/>
      <c r="P232" s="256"/>
      <c r="Q232" s="256"/>
      <c r="R232" s="256"/>
      <c r="S232" s="221"/>
      <c r="T232" s="221"/>
      <c r="U232" s="221"/>
      <c r="V232" s="221"/>
      <c r="W232" s="221"/>
      <c r="X232" s="221"/>
      <c r="Y232" s="221"/>
      <c r="Z232" s="221"/>
    </row>
    <row r="233" customFormat="false" ht="12" hidden="false" customHeight="true" outlineLevel="0" collapsed="false">
      <c r="A233" s="256"/>
      <c r="B233" s="256"/>
      <c r="C233" s="256"/>
      <c r="D233" s="256"/>
      <c r="E233" s="256"/>
      <c r="F233" s="256"/>
      <c r="G233" s="256"/>
      <c r="H233" s="256"/>
      <c r="I233" s="256"/>
      <c r="J233" s="256"/>
      <c r="K233" s="256"/>
      <c r="L233" s="256"/>
      <c r="M233" s="256"/>
      <c r="N233" s="256"/>
      <c r="O233" s="256"/>
      <c r="P233" s="256"/>
      <c r="Q233" s="256"/>
      <c r="R233" s="256"/>
      <c r="S233" s="221"/>
      <c r="T233" s="221"/>
      <c r="U233" s="221"/>
      <c r="V233" s="221"/>
      <c r="W233" s="221"/>
      <c r="X233" s="221"/>
      <c r="Y233" s="221"/>
      <c r="Z233" s="221"/>
    </row>
    <row r="234" customFormat="false" ht="12" hidden="false" customHeight="true" outlineLevel="0" collapsed="false">
      <c r="A234" s="256"/>
      <c r="B234" s="256"/>
      <c r="C234" s="256"/>
      <c r="D234" s="256"/>
      <c r="E234" s="256"/>
      <c r="F234" s="256"/>
      <c r="G234" s="256"/>
      <c r="H234" s="256"/>
      <c r="I234" s="256"/>
      <c r="J234" s="256"/>
      <c r="K234" s="256"/>
      <c r="L234" s="256"/>
      <c r="M234" s="256"/>
      <c r="N234" s="256"/>
      <c r="O234" s="256"/>
      <c r="P234" s="256"/>
      <c r="Q234" s="256"/>
      <c r="R234" s="256"/>
      <c r="S234" s="221"/>
      <c r="T234" s="221"/>
      <c r="U234" s="221"/>
      <c r="V234" s="221"/>
      <c r="W234" s="221"/>
      <c r="X234" s="221"/>
      <c r="Y234" s="221"/>
      <c r="Z234" s="221"/>
    </row>
    <row r="235" customFormat="false" ht="12" hidden="false" customHeight="true" outlineLevel="0" collapsed="false">
      <c r="A235" s="256"/>
      <c r="B235" s="256"/>
      <c r="C235" s="256"/>
      <c r="D235" s="256"/>
      <c r="E235" s="256"/>
      <c r="F235" s="256"/>
      <c r="G235" s="256"/>
      <c r="H235" s="256"/>
      <c r="I235" s="256"/>
      <c r="J235" s="256"/>
      <c r="K235" s="256"/>
      <c r="L235" s="256"/>
      <c r="M235" s="256"/>
      <c r="N235" s="256"/>
      <c r="O235" s="256"/>
      <c r="P235" s="256"/>
      <c r="Q235" s="256"/>
      <c r="R235" s="256"/>
      <c r="S235" s="221"/>
      <c r="T235" s="221"/>
      <c r="U235" s="221"/>
      <c r="V235" s="221"/>
      <c r="W235" s="221"/>
      <c r="X235" s="221"/>
      <c r="Y235" s="221"/>
      <c r="Z235" s="221"/>
    </row>
    <row r="236" customFormat="false" ht="12" hidden="false" customHeight="true" outlineLevel="0" collapsed="false">
      <c r="A236" s="256"/>
      <c r="B236" s="256"/>
      <c r="C236" s="256"/>
      <c r="D236" s="256"/>
      <c r="E236" s="256"/>
      <c r="F236" s="256"/>
      <c r="G236" s="256"/>
      <c r="H236" s="256"/>
      <c r="I236" s="256"/>
      <c r="J236" s="256"/>
      <c r="K236" s="256"/>
      <c r="L236" s="256"/>
      <c r="M236" s="256"/>
      <c r="N236" s="256"/>
      <c r="O236" s="256"/>
      <c r="P236" s="256"/>
      <c r="Q236" s="256"/>
      <c r="R236" s="256"/>
      <c r="S236" s="221"/>
      <c r="T236" s="221"/>
      <c r="U236" s="221"/>
      <c r="V236" s="221"/>
      <c r="W236" s="221"/>
      <c r="X236" s="221"/>
      <c r="Y236" s="221"/>
      <c r="Z236" s="221"/>
    </row>
    <row r="237" customFormat="false" ht="12" hidden="false" customHeight="true" outlineLevel="0" collapsed="false">
      <c r="A237" s="256"/>
      <c r="B237" s="256"/>
      <c r="C237" s="256"/>
      <c r="D237" s="256"/>
      <c r="E237" s="256"/>
      <c r="F237" s="256"/>
      <c r="G237" s="256"/>
      <c r="H237" s="256"/>
      <c r="I237" s="256"/>
      <c r="J237" s="256"/>
      <c r="K237" s="256"/>
      <c r="L237" s="256"/>
      <c r="M237" s="256"/>
      <c r="N237" s="256"/>
      <c r="O237" s="256"/>
      <c r="P237" s="256"/>
      <c r="Q237" s="256"/>
      <c r="R237" s="256"/>
      <c r="S237" s="221"/>
      <c r="T237" s="221"/>
      <c r="U237" s="221"/>
      <c r="V237" s="221"/>
      <c r="W237" s="221"/>
      <c r="X237" s="221"/>
      <c r="Y237" s="221"/>
      <c r="Z237" s="221"/>
    </row>
    <row r="238" customFormat="false" ht="12" hidden="false" customHeight="true" outlineLevel="0" collapsed="false">
      <c r="A238" s="256"/>
      <c r="B238" s="256"/>
      <c r="C238" s="256"/>
      <c r="D238" s="256"/>
      <c r="E238" s="256"/>
      <c r="F238" s="256"/>
      <c r="G238" s="256"/>
      <c r="H238" s="256"/>
      <c r="I238" s="256"/>
      <c r="J238" s="256"/>
      <c r="K238" s="256"/>
      <c r="L238" s="256"/>
      <c r="M238" s="256"/>
      <c r="N238" s="256"/>
      <c r="O238" s="256"/>
      <c r="P238" s="256"/>
      <c r="Q238" s="256"/>
      <c r="R238" s="256"/>
      <c r="S238" s="221"/>
      <c r="T238" s="221"/>
      <c r="U238" s="221"/>
      <c r="V238" s="221"/>
      <c r="W238" s="221"/>
      <c r="X238" s="221"/>
      <c r="Y238" s="221"/>
      <c r="Z238" s="221"/>
    </row>
    <row r="239" customFormat="false" ht="12" hidden="false" customHeight="true" outlineLevel="0" collapsed="false">
      <c r="A239" s="256"/>
      <c r="B239" s="256"/>
      <c r="C239" s="256"/>
      <c r="D239" s="256"/>
      <c r="E239" s="256"/>
      <c r="F239" s="256"/>
      <c r="G239" s="256"/>
      <c r="H239" s="256"/>
      <c r="I239" s="256"/>
      <c r="J239" s="256"/>
      <c r="K239" s="256"/>
      <c r="L239" s="256"/>
      <c r="M239" s="256"/>
      <c r="N239" s="256"/>
      <c r="O239" s="256"/>
      <c r="P239" s="256"/>
      <c r="Q239" s="256"/>
      <c r="R239" s="256"/>
      <c r="S239" s="221"/>
      <c r="T239" s="221"/>
      <c r="U239" s="221"/>
      <c r="V239" s="221"/>
      <c r="W239" s="221"/>
      <c r="X239" s="221"/>
      <c r="Y239" s="221"/>
      <c r="Z239" s="221"/>
    </row>
    <row r="240" customFormat="false" ht="12" hidden="false" customHeight="true" outlineLevel="0" collapsed="false">
      <c r="A240" s="256"/>
      <c r="B240" s="256"/>
      <c r="C240" s="256"/>
      <c r="D240" s="256"/>
      <c r="E240" s="256"/>
      <c r="F240" s="256"/>
      <c r="G240" s="256"/>
      <c r="H240" s="256"/>
      <c r="I240" s="256"/>
      <c r="J240" s="256"/>
      <c r="K240" s="256"/>
      <c r="L240" s="256"/>
      <c r="M240" s="256"/>
      <c r="N240" s="256"/>
      <c r="O240" s="256"/>
      <c r="P240" s="256"/>
      <c r="Q240" s="256"/>
      <c r="R240" s="256"/>
      <c r="S240" s="221"/>
      <c r="T240" s="221"/>
      <c r="U240" s="221"/>
      <c r="V240" s="221"/>
      <c r="W240" s="221"/>
      <c r="X240" s="221"/>
      <c r="Y240" s="221"/>
      <c r="Z240" s="221"/>
    </row>
    <row r="241" customFormat="false" ht="12" hidden="false" customHeight="true" outlineLevel="0" collapsed="false">
      <c r="A241" s="256"/>
      <c r="B241" s="256"/>
      <c r="C241" s="256"/>
      <c r="D241" s="256"/>
      <c r="E241" s="256"/>
      <c r="F241" s="256"/>
      <c r="G241" s="256"/>
      <c r="H241" s="256"/>
      <c r="I241" s="256"/>
      <c r="J241" s="256"/>
      <c r="K241" s="256"/>
      <c r="L241" s="256"/>
      <c r="M241" s="256"/>
      <c r="N241" s="256"/>
      <c r="O241" s="256"/>
      <c r="P241" s="256"/>
      <c r="Q241" s="256"/>
      <c r="R241" s="256"/>
      <c r="S241" s="221"/>
      <c r="T241" s="221"/>
      <c r="U241" s="221"/>
      <c r="V241" s="221"/>
      <c r="W241" s="221"/>
      <c r="X241" s="221"/>
      <c r="Y241" s="221"/>
      <c r="Z241" s="221"/>
    </row>
    <row r="242" customFormat="false" ht="12" hidden="false" customHeight="true" outlineLevel="0" collapsed="false">
      <c r="A242" s="256"/>
      <c r="B242" s="256"/>
      <c r="C242" s="256"/>
      <c r="D242" s="256"/>
      <c r="E242" s="256"/>
      <c r="F242" s="256"/>
      <c r="G242" s="256"/>
      <c r="H242" s="256"/>
      <c r="I242" s="256"/>
      <c r="J242" s="256"/>
      <c r="K242" s="256"/>
      <c r="L242" s="256"/>
      <c r="M242" s="256"/>
      <c r="N242" s="256"/>
      <c r="O242" s="256"/>
      <c r="P242" s="256"/>
      <c r="Q242" s="256"/>
      <c r="R242" s="256"/>
      <c r="S242" s="221"/>
      <c r="T242" s="221"/>
      <c r="U242" s="221"/>
      <c r="V242" s="221"/>
      <c r="W242" s="221"/>
      <c r="X242" s="221"/>
      <c r="Y242" s="221"/>
      <c r="Z242" s="221"/>
    </row>
    <row r="243" customFormat="false" ht="12" hidden="false" customHeight="true" outlineLevel="0" collapsed="false">
      <c r="A243" s="256"/>
      <c r="B243" s="256"/>
      <c r="C243" s="256"/>
      <c r="D243" s="256"/>
      <c r="E243" s="256"/>
      <c r="F243" s="256"/>
      <c r="G243" s="256"/>
      <c r="H243" s="256"/>
      <c r="I243" s="256"/>
      <c r="J243" s="256"/>
      <c r="K243" s="256"/>
      <c r="L243" s="256"/>
      <c r="M243" s="256"/>
      <c r="N243" s="256"/>
      <c r="O243" s="256"/>
      <c r="P243" s="256"/>
      <c r="Q243" s="256"/>
      <c r="R243" s="256"/>
      <c r="S243" s="221"/>
      <c r="T243" s="221"/>
      <c r="U243" s="221"/>
      <c r="V243" s="221"/>
      <c r="W243" s="221"/>
      <c r="X243" s="221"/>
      <c r="Y243" s="221"/>
      <c r="Z243" s="221"/>
    </row>
    <row r="244" customFormat="false" ht="12" hidden="false" customHeight="true" outlineLevel="0" collapsed="false">
      <c r="A244" s="256"/>
      <c r="B244" s="256"/>
      <c r="C244" s="256"/>
      <c r="D244" s="256"/>
      <c r="E244" s="256"/>
      <c r="F244" s="256"/>
      <c r="G244" s="256"/>
      <c r="H244" s="256"/>
      <c r="I244" s="256"/>
      <c r="J244" s="256"/>
      <c r="K244" s="256"/>
      <c r="L244" s="256"/>
      <c r="M244" s="256"/>
      <c r="N244" s="256"/>
      <c r="O244" s="256"/>
      <c r="P244" s="256"/>
      <c r="Q244" s="256"/>
      <c r="R244" s="256"/>
      <c r="S244" s="221"/>
      <c r="T244" s="221"/>
      <c r="U244" s="221"/>
      <c r="V244" s="221"/>
      <c r="W244" s="221"/>
      <c r="X244" s="221"/>
      <c r="Y244" s="221"/>
      <c r="Z244" s="221"/>
    </row>
    <row r="245" customFormat="false" ht="12" hidden="false" customHeight="true" outlineLevel="0" collapsed="false">
      <c r="A245" s="256"/>
      <c r="B245" s="256"/>
      <c r="C245" s="256"/>
      <c r="D245" s="256"/>
      <c r="E245" s="256"/>
      <c r="F245" s="256"/>
      <c r="G245" s="256"/>
      <c r="H245" s="256"/>
      <c r="I245" s="256"/>
      <c r="J245" s="256"/>
      <c r="K245" s="256"/>
      <c r="L245" s="256"/>
      <c r="M245" s="256"/>
      <c r="N245" s="256"/>
      <c r="O245" s="256"/>
      <c r="P245" s="256"/>
      <c r="Q245" s="256"/>
      <c r="R245" s="256"/>
      <c r="S245" s="221"/>
      <c r="T245" s="221"/>
      <c r="U245" s="221"/>
      <c r="V245" s="221"/>
      <c r="W245" s="221"/>
      <c r="X245" s="221"/>
      <c r="Y245" s="221"/>
      <c r="Z245" s="221"/>
    </row>
    <row r="246" customFormat="false" ht="12" hidden="false" customHeight="true" outlineLevel="0" collapsed="false">
      <c r="A246" s="256"/>
      <c r="B246" s="256"/>
      <c r="C246" s="256"/>
      <c r="D246" s="256"/>
      <c r="E246" s="256"/>
      <c r="F246" s="256"/>
      <c r="G246" s="256"/>
      <c r="H246" s="256"/>
      <c r="I246" s="256"/>
      <c r="J246" s="256"/>
      <c r="K246" s="256"/>
      <c r="L246" s="256"/>
      <c r="M246" s="256"/>
      <c r="N246" s="256"/>
      <c r="O246" s="256"/>
      <c r="P246" s="256"/>
      <c r="Q246" s="256"/>
      <c r="R246" s="256"/>
      <c r="S246" s="221"/>
      <c r="T246" s="221"/>
      <c r="U246" s="221"/>
      <c r="V246" s="221"/>
      <c r="W246" s="221"/>
      <c r="X246" s="221"/>
      <c r="Y246" s="221"/>
      <c r="Z246" s="221"/>
    </row>
    <row r="247" customFormat="false" ht="12" hidden="false" customHeight="true" outlineLevel="0" collapsed="false">
      <c r="A247" s="256"/>
      <c r="B247" s="256"/>
      <c r="C247" s="256"/>
      <c r="D247" s="256"/>
      <c r="E247" s="256"/>
      <c r="F247" s="256"/>
      <c r="G247" s="256"/>
      <c r="H247" s="256"/>
      <c r="I247" s="256"/>
      <c r="J247" s="256"/>
      <c r="K247" s="256"/>
      <c r="L247" s="256"/>
      <c r="M247" s="256"/>
      <c r="N247" s="256"/>
      <c r="O247" s="256"/>
      <c r="P247" s="256"/>
      <c r="Q247" s="256"/>
      <c r="R247" s="256"/>
      <c r="S247" s="221"/>
      <c r="T247" s="221"/>
      <c r="U247" s="221"/>
      <c r="V247" s="221"/>
      <c r="W247" s="221"/>
      <c r="X247" s="221"/>
      <c r="Y247" s="221"/>
      <c r="Z247" s="221"/>
    </row>
    <row r="248" customFormat="false" ht="12" hidden="false" customHeight="true" outlineLevel="0" collapsed="false">
      <c r="A248" s="256"/>
      <c r="B248" s="256"/>
      <c r="C248" s="256"/>
      <c r="D248" s="256"/>
      <c r="E248" s="256"/>
      <c r="F248" s="256"/>
      <c r="G248" s="256"/>
      <c r="H248" s="256"/>
      <c r="I248" s="256"/>
      <c r="J248" s="256"/>
      <c r="K248" s="256"/>
      <c r="L248" s="256"/>
      <c r="M248" s="256"/>
      <c r="N248" s="256"/>
      <c r="O248" s="256"/>
      <c r="P248" s="256"/>
      <c r="Q248" s="256"/>
      <c r="R248" s="256"/>
      <c r="S248" s="221"/>
      <c r="T248" s="221"/>
      <c r="U248" s="221"/>
      <c r="V248" s="221"/>
      <c r="W248" s="221"/>
      <c r="X248" s="221"/>
      <c r="Y248" s="221"/>
      <c r="Z248" s="221"/>
    </row>
    <row r="249" customFormat="false" ht="12" hidden="false" customHeight="true" outlineLevel="0" collapsed="false">
      <c r="A249" s="256"/>
      <c r="B249" s="256"/>
      <c r="C249" s="256"/>
      <c r="D249" s="256"/>
      <c r="E249" s="256"/>
      <c r="F249" s="256"/>
      <c r="G249" s="256"/>
      <c r="H249" s="256"/>
      <c r="I249" s="256"/>
      <c r="J249" s="256"/>
      <c r="K249" s="256"/>
      <c r="L249" s="256"/>
      <c r="M249" s="256"/>
      <c r="N249" s="256"/>
      <c r="O249" s="256"/>
      <c r="P249" s="256"/>
      <c r="Q249" s="256"/>
      <c r="R249" s="256"/>
      <c r="S249" s="221"/>
      <c r="T249" s="221"/>
      <c r="U249" s="221"/>
      <c r="V249" s="221"/>
      <c r="W249" s="221"/>
      <c r="X249" s="221"/>
      <c r="Y249" s="221"/>
      <c r="Z249" s="221"/>
    </row>
    <row r="250" customFormat="false" ht="12" hidden="false" customHeight="true" outlineLevel="0" collapsed="false">
      <c r="A250" s="256"/>
      <c r="B250" s="256"/>
      <c r="C250" s="256"/>
      <c r="D250" s="256"/>
      <c r="E250" s="256"/>
      <c r="F250" s="256"/>
      <c r="G250" s="256"/>
      <c r="H250" s="256"/>
      <c r="I250" s="256"/>
      <c r="J250" s="256"/>
      <c r="K250" s="256"/>
      <c r="L250" s="256"/>
      <c r="M250" s="256"/>
      <c r="N250" s="256"/>
      <c r="O250" s="256"/>
      <c r="P250" s="256"/>
      <c r="Q250" s="256"/>
      <c r="R250" s="256"/>
      <c r="S250" s="221"/>
      <c r="T250" s="221"/>
      <c r="U250" s="221"/>
      <c r="V250" s="221"/>
      <c r="W250" s="221"/>
      <c r="X250" s="221"/>
      <c r="Y250" s="221"/>
      <c r="Z250" s="221"/>
    </row>
    <row r="251" customFormat="false" ht="12" hidden="false" customHeight="true" outlineLevel="0" collapsed="false">
      <c r="A251" s="256"/>
      <c r="B251" s="256"/>
      <c r="C251" s="256"/>
      <c r="D251" s="256"/>
      <c r="E251" s="256"/>
      <c r="F251" s="256"/>
      <c r="G251" s="256"/>
      <c r="H251" s="256"/>
      <c r="I251" s="256"/>
      <c r="J251" s="256"/>
      <c r="K251" s="256"/>
      <c r="L251" s="256"/>
      <c r="M251" s="256"/>
      <c r="N251" s="256"/>
      <c r="O251" s="256"/>
      <c r="P251" s="256"/>
      <c r="Q251" s="256"/>
      <c r="R251" s="256"/>
      <c r="S251" s="221"/>
      <c r="T251" s="221"/>
      <c r="U251" s="221"/>
      <c r="V251" s="221"/>
      <c r="W251" s="221"/>
      <c r="X251" s="221"/>
      <c r="Y251" s="221"/>
      <c r="Z251" s="221"/>
    </row>
    <row r="252" customFormat="false" ht="12" hidden="false" customHeight="true" outlineLevel="0" collapsed="false">
      <c r="A252" s="256"/>
      <c r="B252" s="256"/>
      <c r="C252" s="256"/>
      <c r="D252" s="256"/>
      <c r="E252" s="256"/>
      <c r="F252" s="256"/>
      <c r="G252" s="256"/>
      <c r="H252" s="256"/>
      <c r="I252" s="256"/>
      <c r="J252" s="256"/>
      <c r="K252" s="256"/>
      <c r="L252" s="256"/>
      <c r="M252" s="256"/>
      <c r="N252" s="256"/>
      <c r="O252" s="256"/>
      <c r="P252" s="256"/>
      <c r="Q252" s="256"/>
      <c r="R252" s="256"/>
      <c r="S252" s="221"/>
      <c r="T252" s="221"/>
      <c r="U252" s="221"/>
      <c r="V252" s="221"/>
      <c r="W252" s="221"/>
      <c r="X252" s="221"/>
      <c r="Y252" s="221"/>
      <c r="Z252" s="221"/>
    </row>
    <row r="253" customFormat="false" ht="12" hidden="false" customHeight="true" outlineLevel="0" collapsed="false">
      <c r="A253" s="256"/>
      <c r="B253" s="256"/>
      <c r="C253" s="256"/>
      <c r="D253" s="256"/>
      <c r="E253" s="256"/>
      <c r="F253" s="256"/>
      <c r="G253" s="256"/>
      <c r="H253" s="256"/>
      <c r="I253" s="256"/>
      <c r="J253" s="256"/>
      <c r="K253" s="256"/>
      <c r="L253" s="256"/>
      <c r="M253" s="256"/>
      <c r="N253" s="256"/>
      <c r="O253" s="256"/>
      <c r="P253" s="256"/>
      <c r="Q253" s="256"/>
      <c r="R253" s="256"/>
      <c r="S253" s="221"/>
      <c r="T253" s="221"/>
      <c r="U253" s="221"/>
      <c r="V253" s="221"/>
      <c r="W253" s="221"/>
      <c r="X253" s="221"/>
      <c r="Y253" s="221"/>
      <c r="Z253" s="221"/>
    </row>
    <row r="254" customFormat="false" ht="12" hidden="false" customHeight="true" outlineLevel="0" collapsed="false">
      <c r="A254" s="256"/>
      <c r="B254" s="256"/>
      <c r="C254" s="256"/>
      <c r="D254" s="256"/>
      <c r="E254" s="256"/>
      <c r="F254" s="256"/>
      <c r="G254" s="256"/>
      <c r="H254" s="256"/>
      <c r="I254" s="256"/>
      <c r="J254" s="256"/>
      <c r="K254" s="256"/>
      <c r="L254" s="256"/>
      <c r="M254" s="256"/>
      <c r="N254" s="256"/>
      <c r="O254" s="256"/>
      <c r="P254" s="256"/>
      <c r="Q254" s="256"/>
      <c r="R254" s="256"/>
      <c r="S254" s="221"/>
      <c r="T254" s="221"/>
      <c r="U254" s="221"/>
      <c r="V254" s="221"/>
      <c r="W254" s="221"/>
      <c r="X254" s="221"/>
      <c r="Y254" s="221"/>
      <c r="Z254" s="221"/>
    </row>
    <row r="255" customFormat="false" ht="12" hidden="false" customHeight="true" outlineLevel="0" collapsed="false">
      <c r="A255" s="256"/>
      <c r="B255" s="256"/>
      <c r="C255" s="256"/>
      <c r="D255" s="256"/>
      <c r="E255" s="256"/>
      <c r="F255" s="256"/>
      <c r="G255" s="256"/>
      <c r="H255" s="256"/>
      <c r="I255" s="256"/>
      <c r="J255" s="256"/>
      <c r="K255" s="256"/>
      <c r="L255" s="256"/>
      <c r="M255" s="256"/>
      <c r="N255" s="256"/>
      <c r="O255" s="256"/>
      <c r="P255" s="256"/>
      <c r="Q255" s="256"/>
      <c r="R255" s="256"/>
      <c r="S255" s="221"/>
      <c r="T255" s="221"/>
      <c r="U255" s="221"/>
      <c r="V255" s="221"/>
      <c r="W255" s="221"/>
      <c r="X255" s="221"/>
      <c r="Y255" s="221"/>
      <c r="Z255" s="221"/>
    </row>
    <row r="256" customFormat="false" ht="12" hidden="false" customHeight="true" outlineLevel="0" collapsed="false">
      <c r="A256" s="256"/>
      <c r="B256" s="256"/>
      <c r="C256" s="256"/>
      <c r="D256" s="256"/>
      <c r="E256" s="256"/>
      <c r="F256" s="256"/>
      <c r="G256" s="256"/>
      <c r="H256" s="256"/>
      <c r="I256" s="256"/>
      <c r="J256" s="256"/>
      <c r="K256" s="256"/>
      <c r="L256" s="256"/>
      <c r="M256" s="256"/>
      <c r="N256" s="256"/>
      <c r="O256" s="256"/>
      <c r="P256" s="256"/>
      <c r="Q256" s="256"/>
      <c r="R256" s="256"/>
      <c r="S256" s="221"/>
      <c r="T256" s="221"/>
      <c r="U256" s="221"/>
      <c r="V256" s="221"/>
      <c r="W256" s="221"/>
      <c r="X256" s="221"/>
      <c r="Y256" s="221"/>
      <c r="Z256" s="221"/>
    </row>
    <row r="257" customFormat="false" ht="12" hidden="false" customHeight="true" outlineLevel="0" collapsed="false">
      <c r="A257" s="256"/>
      <c r="B257" s="256"/>
      <c r="C257" s="256"/>
      <c r="D257" s="256"/>
      <c r="E257" s="256"/>
      <c r="F257" s="256"/>
      <c r="G257" s="256"/>
      <c r="H257" s="256"/>
      <c r="I257" s="256"/>
      <c r="J257" s="256"/>
      <c r="K257" s="256"/>
      <c r="L257" s="256"/>
      <c r="M257" s="256"/>
      <c r="N257" s="256"/>
      <c r="O257" s="256"/>
      <c r="P257" s="256"/>
      <c r="Q257" s="256"/>
      <c r="R257" s="256"/>
      <c r="S257" s="221"/>
      <c r="T257" s="221"/>
      <c r="U257" s="221"/>
      <c r="V257" s="221"/>
      <c r="W257" s="221"/>
      <c r="X257" s="221"/>
      <c r="Y257" s="221"/>
      <c r="Z257" s="221"/>
    </row>
    <row r="258" customFormat="false" ht="12" hidden="false" customHeight="true" outlineLevel="0" collapsed="false">
      <c r="A258" s="256"/>
      <c r="B258" s="256"/>
      <c r="C258" s="256"/>
      <c r="D258" s="256"/>
      <c r="E258" s="256"/>
      <c r="F258" s="256"/>
      <c r="G258" s="256"/>
      <c r="H258" s="256"/>
      <c r="I258" s="256"/>
      <c r="J258" s="256"/>
      <c r="K258" s="256"/>
      <c r="L258" s="256"/>
      <c r="M258" s="256"/>
      <c r="N258" s="256"/>
      <c r="O258" s="256"/>
      <c r="P258" s="256"/>
      <c r="Q258" s="256"/>
      <c r="R258" s="256"/>
      <c r="S258" s="221"/>
      <c r="T258" s="221"/>
      <c r="U258" s="221"/>
      <c r="V258" s="221"/>
      <c r="W258" s="221"/>
      <c r="X258" s="221"/>
      <c r="Y258" s="221"/>
      <c r="Z258" s="221"/>
    </row>
    <row r="259" customFormat="false" ht="12" hidden="false" customHeight="true" outlineLevel="0" collapsed="false">
      <c r="A259" s="256"/>
      <c r="B259" s="256"/>
      <c r="C259" s="256"/>
      <c r="D259" s="256"/>
      <c r="E259" s="256"/>
      <c r="F259" s="256"/>
      <c r="G259" s="256"/>
      <c r="H259" s="256"/>
      <c r="I259" s="256"/>
      <c r="J259" s="256"/>
      <c r="K259" s="256"/>
      <c r="L259" s="256"/>
      <c r="M259" s="256"/>
      <c r="N259" s="256"/>
      <c r="O259" s="256"/>
      <c r="P259" s="256"/>
      <c r="Q259" s="256"/>
      <c r="R259" s="256"/>
      <c r="S259" s="221"/>
      <c r="T259" s="221"/>
      <c r="U259" s="221"/>
      <c r="V259" s="221"/>
      <c r="W259" s="221"/>
      <c r="X259" s="221"/>
      <c r="Y259" s="221"/>
      <c r="Z259" s="221"/>
    </row>
    <row r="260" customFormat="false" ht="12" hidden="false" customHeight="true" outlineLevel="0" collapsed="false">
      <c r="A260" s="256"/>
      <c r="B260" s="256"/>
      <c r="C260" s="256"/>
      <c r="D260" s="256"/>
      <c r="E260" s="256"/>
      <c r="F260" s="256"/>
      <c r="G260" s="256"/>
      <c r="H260" s="256"/>
      <c r="I260" s="256"/>
      <c r="J260" s="256"/>
      <c r="K260" s="256"/>
      <c r="L260" s="256"/>
      <c r="M260" s="256"/>
      <c r="N260" s="256"/>
      <c r="O260" s="256"/>
      <c r="P260" s="256"/>
      <c r="Q260" s="256"/>
      <c r="R260" s="256"/>
      <c r="S260" s="221"/>
      <c r="T260" s="221"/>
      <c r="U260" s="221"/>
      <c r="V260" s="221"/>
      <c r="W260" s="221"/>
      <c r="X260" s="221"/>
      <c r="Y260" s="221"/>
      <c r="Z260" s="221"/>
    </row>
    <row r="261" customFormat="false" ht="12" hidden="false" customHeight="true" outlineLevel="0" collapsed="false">
      <c r="A261" s="256"/>
      <c r="B261" s="256"/>
      <c r="C261" s="256"/>
      <c r="D261" s="256"/>
      <c r="E261" s="256"/>
      <c r="F261" s="256"/>
      <c r="G261" s="256"/>
      <c r="H261" s="256"/>
      <c r="I261" s="256"/>
      <c r="J261" s="256"/>
      <c r="K261" s="256"/>
      <c r="L261" s="256"/>
      <c r="M261" s="256"/>
      <c r="N261" s="256"/>
      <c r="O261" s="256"/>
      <c r="P261" s="256"/>
      <c r="Q261" s="256"/>
      <c r="R261" s="256"/>
      <c r="S261" s="221"/>
      <c r="T261" s="221"/>
      <c r="U261" s="221"/>
      <c r="V261" s="221"/>
      <c r="W261" s="221"/>
      <c r="X261" s="221"/>
      <c r="Y261" s="221"/>
      <c r="Z261" s="221"/>
    </row>
    <row r="262" customFormat="false" ht="12" hidden="false" customHeight="true" outlineLevel="0" collapsed="false">
      <c r="A262" s="256"/>
      <c r="B262" s="256"/>
      <c r="C262" s="256"/>
      <c r="D262" s="256"/>
      <c r="E262" s="256"/>
      <c r="F262" s="256"/>
      <c r="G262" s="256"/>
      <c r="H262" s="256"/>
      <c r="I262" s="256"/>
      <c r="J262" s="256"/>
      <c r="K262" s="256"/>
      <c r="L262" s="256"/>
      <c r="M262" s="256"/>
      <c r="N262" s="256"/>
      <c r="O262" s="256"/>
      <c r="P262" s="256"/>
      <c r="Q262" s="256"/>
      <c r="R262" s="256"/>
      <c r="S262" s="221"/>
      <c r="T262" s="221"/>
      <c r="U262" s="221"/>
      <c r="V262" s="221"/>
      <c r="W262" s="221"/>
      <c r="X262" s="221"/>
      <c r="Y262" s="221"/>
      <c r="Z262" s="221"/>
    </row>
    <row r="263" customFormat="false" ht="12" hidden="false" customHeight="true" outlineLevel="0" collapsed="false">
      <c r="A263" s="256"/>
      <c r="B263" s="256"/>
      <c r="C263" s="256"/>
      <c r="D263" s="256"/>
      <c r="E263" s="256"/>
      <c r="F263" s="256"/>
      <c r="G263" s="256"/>
      <c r="H263" s="256"/>
      <c r="I263" s="256"/>
      <c r="J263" s="256"/>
      <c r="K263" s="256"/>
      <c r="L263" s="256"/>
      <c r="M263" s="256"/>
      <c r="N263" s="256"/>
      <c r="O263" s="256"/>
      <c r="P263" s="256"/>
      <c r="Q263" s="256"/>
      <c r="R263" s="256"/>
      <c r="S263" s="221"/>
      <c r="T263" s="221"/>
      <c r="U263" s="221"/>
      <c r="V263" s="221"/>
      <c r="W263" s="221"/>
      <c r="X263" s="221"/>
      <c r="Y263" s="221"/>
      <c r="Z263" s="221"/>
    </row>
    <row r="264" customFormat="false" ht="12" hidden="false" customHeight="true" outlineLevel="0" collapsed="false">
      <c r="A264" s="256"/>
      <c r="B264" s="256"/>
      <c r="C264" s="256"/>
      <c r="D264" s="256"/>
      <c r="E264" s="256"/>
      <c r="F264" s="256"/>
      <c r="G264" s="256"/>
      <c r="H264" s="256"/>
      <c r="I264" s="256"/>
      <c r="J264" s="256"/>
      <c r="K264" s="256"/>
      <c r="L264" s="256"/>
      <c r="M264" s="256"/>
      <c r="N264" s="256"/>
      <c r="O264" s="256"/>
      <c r="P264" s="256"/>
      <c r="Q264" s="256"/>
      <c r="R264" s="256"/>
      <c r="S264" s="221"/>
      <c r="T264" s="221"/>
      <c r="U264" s="221"/>
      <c r="V264" s="221"/>
      <c r="W264" s="221"/>
      <c r="X264" s="221"/>
      <c r="Y264" s="221"/>
      <c r="Z264" s="221"/>
    </row>
    <row r="265" customFormat="false" ht="12" hidden="false" customHeight="true" outlineLevel="0" collapsed="false">
      <c r="A265" s="256"/>
      <c r="B265" s="256"/>
      <c r="C265" s="256"/>
      <c r="D265" s="256"/>
      <c r="E265" s="256"/>
      <c r="F265" s="256"/>
      <c r="G265" s="256"/>
      <c r="H265" s="256"/>
      <c r="I265" s="256"/>
      <c r="J265" s="256"/>
      <c r="K265" s="256"/>
      <c r="L265" s="256"/>
      <c r="M265" s="256"/>
      <c r="N265" s="256"/>
      <c r="O265" s="256"/>
      <c r="P265" s="256"/>
      <c r="Q265" s="256"/>
      <c r="R265" s="256"/>
      <c r="S265" s="221"/>
      <c r="T265" s="221"/>
      <c r="U265" s="221"/>
      <c r="V265" s="221"/>
      <c r="W265" s="221"/>
      <c r="X265" s="221"/>
      <c r="Y265" s="221"/>
      <c r="Z265" s="221"/>
    </row>
    <row r="266" customFormat="false" ht="12" hidden="false" customHeight="true" outlineLevel="0" collapsed="false">
      <c r="A266" s="256"/>
      <c r="B266" s="256"/>
      <c r="C266" s="256"/>
      <c r="D266" s="256"/>
      <c r="E266" s="256"/>
      <c r="F266" s="256"/>
      <c r="G266" s="256"/>
      <c r="H266" s="256"/>
      <c r="I266" s="256"/>
      <c r="J266" s="256"/>
      <c r="K266" s="256"/>
      <c r="L266" s="256"/>
      <c r="M266" s="256"/>
      <c r="N266" s="256"/>
      <c r="O266" s="256"/>
      <c r="P266" s="256"/>
      <c r="Q266" s="256"/>
      <c r="R266" s="256"/>
      <c r="S266" s="221"/>
      <c r="T266" s="221"/>
      <c r="U266" s="221"/>
      <c r="V266" s="221"/>
      <c r="W266" s="221"/>
      <c r="X266" s="221"/>
      <c r="Y266" s="221"/>
      <c r="Z266" s="221"/>
    </row>
    <row r="267" customFormat="false" ht="12" hidden="false" customHeight="true" outlineLevel="0" collapsed="false">
      <c r="A267" s="256"/>
      <c r="B267" s="256"/>
      <c r="C267" s="256"/>
      <c r="D267" s="256"/>
      <c r="E267" s="256"/>
      <c r="F267" s="256"/>
      <c r="G267" s="256"/>
      <c r="H267" s="256"/>
      <c r="I267" s="256"/>
      <c r="J267" s="256"/>
      <c r="K267" s="256"/>
      <c r="L267" s="256"/>
      <c r="M267" s="256"/>
      <c r="N267" s="256"/>
      <c r="O267" s="256"/>
      <c r="P267" s="256"/>
      <c r="Q267" s="256"/>
      <c r="R267" s="256"/>
      <c r="S267" s="221"/>
      <c r="T267" s="221"/>
      <c r="U267" s="221"/>
      <c r="V267" s="221"/>
      <c r="W267" s="221"/>
      <c r="X267" s="221"/>
      <c r="Y267" s="221"/>
      <c r="Z267" s="221"/>
    </row>
    <row r="268" customFormat="false" ht="12" hidden="false" customHeight="true" outlineLevel="0" collapsed="false">
      <c r="A268" s="256"/>
      <c r="B268" s="256"/>
      <c r="C268" s="256"/>
      <c r="D268" s="256"/>
      <c r="E268" s="256"/>
      <c r="F268" s="256"/>
      <c r="G268" s="256"/>
      <c r="H268" s="256"/>
      <c r="I268" s="256"/>
      <c r="J268" s="256"/>
      <c r="K268" s="256"/>
      <c r="L268" s="256"/>
      <c r="M268" s="256"/>
      <c r="N268" s="256"/>
      <c r="O268" s="256"/>
      <c r="P268" s="256"/>
      <c r="Q268" s="256"/>
      <c r="R268" s="256"/>
      <c r="S268" s="221"/>
      <c r="T268" s="221"/>
      <c r="U268" s="221"/>
      <c r="V268" s="221"/>
      <c r="W268" s="221"/>
      <c r="X268" s="221"/>
      <c r="Y268" s="221"/>
      <c r="Z268" s="221"/>
    </row>
    <row r="269" customFormat="false" ht="12" hidden="false" customHeight="true" outlineLevel="0" collapsed="false">
      <c r="A269" s="256"/>
      <c r="B269" s="256"/>
      <c r="C269" s="256"/>
      <c r="D269" s="256"/>
      <c r="E269" s="256"/>
      <c r="F269" s="256"/>
      <c r="G269" s="256"/>
      <c r="H269" s="256"/>
      <c r="I269" s="256"/>
      <c r="J269" s="256"/>
      <c r="K269" s="256"/>
      <c r="L269" s="256"/>
      <c r="M269" s="256"/>
      <c r="N269" s="256"/>
      <c r="O269" s="256"/>
      <c r="P269" s="256"/>
      <c r="Q269" s="256"/>
      <c r="R269" s="256"/>
      <c r="S269" s="221"/>
      <c r="T269" s="221"/>
      <c r="U269" s="221"/>
      <c r="V269" s="221"/>
      <c r="W269" s="221"/>
      <c r="X269" s="221"/>
      <c r="Y269" s="221"/>
      <c r="Z269" s="221"/>
    </row>
    <row r="270" customFormat="false" ht="12" hidden="false" customHeight="true" outlineLevel="0" collapsed="false">
      <c r="A270" s="256"/>
      <c r="B270" s="256"/>
      <c r="C270" s="256"/>
      <c r="D270" s="256"/>
      <c r="E270" s="256"/>
      <c r="F270" s="256"/>
      <c r="G270" s="256"/>
      <c r="H270" s="256"/>
      <c r="I270" s="256"/>
      <c r="J270" s="256"/>
      <c r="K270" s="256"/>
      <c r="L270" s="256"/>
      <c r="M270" s="256"/>
      <c r="N270" s="256"/>
      <c r="O270" s="256"/>
      <c r="P270" s="256"/>
      <c r="Q270" s="256"/>
      <c r="R270" s="256"/>
      <c r="S270" s="221"/>
      <c r="T270" s="221"/>
      <c r="U270" s="221"/>
      <c r="V270" s="221"/>
      <c r="W270" s="221"/>
      <c r="X270" s="221"/>
      <c r="Y270" s="221"/>
      <c r="Z270" s="221"/>
    </row>
    <row r="271" customFormat="false" ht="12" hidden="false" customHeight="true" outlineLevel="0" collapsed="false">
      <c r="A271" s="256"/>
      <c r="B271" s="256"/>
      <c r="C271" s="256"/>
      <c r="D271" s="256"/>
      <c r="E271" s="256"/>
      <c r="F271" s="256"/>
      <c r="G271" s="256"/>
      <c r="H271" s="256"/>
      <c r="I271" s="256"/>
      <c r="J271" s="256"/>
      <c r="K271" s="256"/>
      <c r="L271" s="256"/>
      <c r="M271" s="256"/>
      <c r="N271" s="256"/>
      <c r="O271" s="256"/>
      <c r="P271" s="256"/>
      <c r="Q271" s="256"/>
      <c r="R271" s="256"/>
      <c r="S271" s="221"/>
      <c r="T271" s="221"/>
      <c r="U271" s="221"/>
      <c r="V271" s="221"/>
      <c r="W271" s="221"/>
      <c r="X271" s="221"/>
      <c r="Y271" s="221"/>
      <c r="Z271" s="221"/>
    </row>
    <row r="272" customFormat="false" ht="12" hidden="false" customHeight="true" outlineLevel="0" collapsed="false">
      <c r="A272" s="256"/>
      <c r="B272" s="256"/>
      <c r="C272" s="256"/>
      <c r="D272" s="256"/>
      <c r="E272" s="256"/>
      <c r="F272" s="256"/>
      <c r="G272" s="256"/>
      <c r="H272" s="256"/>
      <c r="I272" s="256"/>
      <c r="J272" s="256"/>
      <c r="K272" s="256"/>
      <c r="L272" s="256"/>
      <c r="M272" s="256"/>
      <c r="N272" s="256"/>
      <c r="O272" s="256"/>
      <c r="P272" s="256"/>
      <c r="Q272" s="256"/>
      <c r="R272" s="256"/>
      <c r="S272" s="221"/>
      <c r="T272" s="221"/>
      <c r="U272" s="221"/>
      <c r="V272" s="221"/>
      <c r="W272" s="221"/>
      <c r="X272" s="221"/>
      <c r="Y272" s="221"/>
      <c r="Z272" s="221"/>
    </row>
    <row r="273" customFormat="false" ht="12" hidden="false" customHeight="true" outlineLevel="0" collapsed="false">
      <c r="A273" s="256"/>
      <c r="B273" s="256"/>
      <c r="C273" s="256"/>
      <c r="D273" s="256"/>
      <c r="E273" s="256"/>
      <c r="F273" s="256"/>
      <c r="G273" s="256"/>
      <c r="H273" s="256"/>
      <c r="I273" s="256"/>
      <c r="J273" s="256"/>
      <c r="K273" s="256"/>
      <c r="L273" s="256"/>
      <c r="M273" s="256"/>
      <c r="N273" s="256"/>
      <c r="O273" s="256"/>
      <c r="P273" s="256"/>
      <c r="Q273" s="256"/>
      <c r="R273" s="256"/>
      <c r="S273" s="221"/>
      <c r="T273" s="221"/>
      <c r="U273" s="221"/>
      <c r="V273" s="221"/>
      <c r="W273" s="221"/>
      <c r="X273" s="221"/>
      <c r="Y273" s="221"/>
      <c r="Z273" s="221"/>
    </row>
    <row r="274" customFormat="false" ht="12" hidden="false" customHeight="true" outlineLevel="0" collapsed="false">
      <c r="A274" s="256"/>
      <c r="B274" s="256"/>
      <c r="C274" s="256"/>
      <c r="D274" s="256"/>
      <c r="E274" s="256"/>
      <c r="F274" s="256"/>
      <c r="G274" s="256"/>
      <c r="H274" s="256"/>
      <c r="I274" s="256"/>
      <c r="J274" s="256"/>
      <c r="K274" s="256"/>
      <c r="L274" s="256"/>
      <c r="M274" s="256"/>
      <c r="N274" s="256"/>
      <c r="O274" s="256"/>
      <c r="P274" s="256"/>
      <c r="Q274" s="256"/>
      <c r="R274" s="256"/>
      <c r="S274" s="221"/>
      <c r="T274" s="221"/>
      <c r="U274" s="221"/>
      <c r="V274" s="221"/>
      <c r="W274" s="221"/>
      <c r="X274" s="221"/>
      <c r="Y274" s="221"/>
      <c r="Z274" s="221"/>
    </row>
    <row r="275" customFormat="false" ht="12" hidden="false" customHeight="true" outlineLevel="0" collapsed="false">
      <c r="A275" s="256"/>
      <c r="B275" s="256"/>
      <c r="C275" s="256"/>
      <c r="D275" s="256"/>
      <c r="E275" s="256"/>
      <c r="F275" s="256"/>
      <c r="G275" s="256"/>
      <c r="H275" s="256"/>
      <c r="I275" s="256"/>
      <c r="J275" s="256"/>
      <c r="K275" s="256"/>
      <c r="L275" s="256"/>
      <c r="M275" s="256"/>
      <c r="N275" s="256"/>
      <c r="O275" s="256"/>
      <c r="P275" s="256"/>
      <c r="Q275" s="256"/>
      <c r="R275" s="256"/>
      <c r="S275" s="221"/>
      <c r="T275" s="221"/>
      <c r="U275" s="221"/>
      <c r="V275" s="221"/>
      <c r="W275" s="221"/>
      <c r="X275" s="221"/>
      <c r="Y275" s="221"/>
      <c r="Z275" s="221"/>
    </row>
    <row r="276" customFormat="false" ht="12" hidden="false" customHeight="true" outlineLevel="0" collapsed="false">
      <c r="A276" s="256"/>
      <c r="B276" s="256"/>
      <c r="C276" s="256"/>
      <c r="D276" s="256"/>
      <c r="E276" s="256"/>
      <c r="F276" s="256"/>
      <c r="G276" s="256"/>
      <c r="H276" s="256"/>
      <c r="I276" s="256"/>
      <c r="J276" s="256"/>
      <c r="K276" s="256"/>
      <c r="L276" s="256"/>
      <c r="M276" s="256"/>
      <c r="N276" s="256"/>
      <c r="O276" s="256"/>
      <c r="P276" s="256"/>
      <c r="Q276" s="256"/>
      <c r="R276" s="256"/>
      <c r="S276" s="221"/>
      <c r="T276" s="221"/>
      <c r="U276" s="221"/>
      <c r="V276" s="221"/>
      <c r="W276" s="221"/>
      <c r="X276" s="221"/>
      <c r="Y276" s="221"/>
      <c r="Z276" s="221"/>
    </row>
    <row r="277" customFormat="false" ht="12" hidden="false" customHeight="true" outlineLevel="0" collapsed="false">
      <c r="A277" s="256"/>
      <c r="B277" s="256"/>
      <c r="C277" s="256"/>
      <c r="D277" s="256"/>
      <c r="E277" s="256"/>
      <c r="F277" s="256"/>
      <c r="G277" s="256"/>
      <c r="H277" s="256"/>
      <c r="I277" s="256"/>
      <c r="J277" s="256"/>
      <c r="K277" s="256"/>
      <c r="L277" s="256"/>
      <c r="M277" s="256"/>
      <c r="N277" s="256"/>
      <c r="O277" s="256"/>
      <c r="P277" s="256"/>
      <c r="Q277" s="256"/>
      <c r="R277" s="256"/>
      <c r="S277" s="221"/>
      <c r="T277" s="221"/>
      <c r="U277" s="221"/>
      <c r="V277" s="221"/>
      <c r="W277" s="221"/>
      <c r="X277" s="221"/>
      <c r="Y277" s="221"/>
      <c r="Z277" s="221"/>
    </row>
    <row r="278" customFormat="false" ht="12" hidden="false" customHeight="true" outlineLevel="0" collapsed="false">
      <c r="A278" s="256"/>
      <c r="B278" s="256"/>
      <c r="C278" s="256"/>
      <c r="D278" s="256"/>
      <c r="E278" s="256"/>
      <c r="F278" s="256"/>
      <c r="G278" s="256"/>
      <c r="H278" s="256"/>
      <c r="I278" s="256"/>
      <c r="J278" s="256"/>
      <c r="K278" s="256"/>
      <c r="L278" s="256"/>
      <c r="M278" s="256"/>
      <c r="N278" s="256"/>
      <c r="O278" s="256"/>
      <c r="P278" s="256"/>
      <c r="Q278" s="256"/>
      <c r="R278" s="256"/>
      <c r="S278" s="221"/>
      <c r="T278" s="221"/>
      <c r="U278" s="221"/>
      <c r="V278" s="221"/>
      <c r="W278" s="221"/>
      <c r="X278" s="221"/>
      <c r="Y278" s="221"/>
      <c r="Z278" s="221"/>
    </row>
    <row r="279" customFormat="false" ht="12" hidden="false" customHeight="true" outlineLevel="0" collapsed="false">
      <c r="A279" s="256"/>
      <c r="B279" s="256"/>
      <c r="C279" s="256"/>
      <c r="D279" s="256"/>
      <c r="E279" s="256"/>
      <c r="F279" s="256"/>
      <c r="G279" s="256"/>
      <c r="H279" s="256"/>
      <c r="I279" s="256"/>
      <c r="J279" s="256"/>
      <c r="K279" s="256"/>
      <c r="L279" s="256"/>
      <c r="M279" s="256"/>
      <c r="N279" s="256"/>
      <c r="O279" s="256"/>
      <c r="P279" s="256"/>
      <c r="Q279" s="256"/>
      <c r="R279" s="256"/>
      <c r="S279" s="221"/>
      <c r="T279" s="221"/>
      <c r="U279" s="221"/>
      <c r="V279" s="221"/>
      <c r="W279" s="221"/>
      <c r="X279" s="221"/>
      <c r="Y279" s="221"/>
      <c r="Z279" s="221"/>
    </row>
    <row r="280" customFormat="false" ht="12" hidden="false" customHeight="true" outlineLevel="0" collapsed="false">
      <c r="A280" s="256"/>
      <c r="B280" s="256"/>
      <c r="C280" s="256"/>
      <c r="D280" s="256"/>
      <c r="E280" s="256"/>
      <c r="F280" s="256"/>
      <c r="G280" s="256"/>
      <c r="H280" s="256"/>
      <c r="I280" s="256"/>
      <c r="J280" s="256"/>
      <c r="K280" s="256"/>
      <c r="L280" s="256"/>
      <c r="M280" s="256"/>
      <c r="N280" s="256"/>
      <c r="O280" s="256"/>
      <c r="P280" s="256"/>
      <c r="Q280" s="256"/>
      <c r="R280" s="256"/>
      <c r="S280" s="221"/>
      <c r="T280" s="221"/>
      <c r="U280" s="221"/>
      <c r="V280" s="221"/>
      <c r="W280" s="221"/>
      <c r="X280" s="221"/>
      <c r="Y280" s="221"/>
      <c r="Z280" s="221"/>
    </row>
    <row r="281" customFormat="false" ht="12" hidden="false" customHeight="true" outlineLevel="0" collapsed="false">
      <c r="A281" s="256"/>
      <c r="B281" s="256"/>
      <c r="C281" s="256"/>
      <c r="D281" s="256"/>
      <c r="E281" s="256"/>
      <c r="F281" s="256"/>
      <c r="G281" s="256"/>
      <c r="H281" s="256"/>
      <c r="I281" s="256"/>
      <c r="J281" s="256"/>
      <c r="K281" s="256"/>
      <c r="L281" s="256"/>
      <c r="M281" s="256"/>
      <c r="N281" s="256"/>
      <c r="O281" s="256"/>
      <c r="P281" s="256"/>
      <c r="Q281" s="256"/>
      <c r="R281" s="256"/>
      <c r="S281" s="221"/>
      <c r="T281" s="221"/>
      <c r="U281" s="221"/>
      <c r="V281" s="221"/>
      <c r="W281" s="221"/>
      <c r="X281" s="221"/>
      <c r="Y281" s="221"/>
      <c r="Z281" s="221"/>
    </row>
    <row r="282" customFormat="false" ht="12" hidden="false" customHeight="true" outlineLevel="0" collapsed="false">
      <c r="A282" s="256"/>
      <c r="B282" s="256"/>
      <c r="C282" s="256"/>
      <c r="D282" s="256"/>
      <c r="E282" s="256"/>
      <c r="F282" s="256"/>
      <c r="G282" s="256"/>
      <c r="H282" s="256"/>
      <c r="I282" s="256"/>
      <c r="J282" s="256"/>
      <c r="K282" s="256"/>
      <c r="L282" s="256"/>
      <c r="M282" s="256"/>
      <c r="N282" s="256"/>
      <c r="O282" s="256"/>
      <c r="P282" s="256"/>
      <c r="Q282" s="256"/>
      <c r="R282" s="256"/>
      <c r="S282" s="221"/>
      <c r="T282" s="221"/>
      <c r="U282" s="221"/>
      <c r="V282" s="221"/>
      <c r="W282" s="221"/>
      <c r="X282" s="221"/>
      <c r="Y282" s="221"/>
      <c r="Z282" s="221"/>
    </row>
    <row r="283" customFormat="false" ht="12" hidden="false" customHeight="true" outlineLevel="0" collapsed="false">
      <c r="A283" s="256"/>
      <c r="B283" s="256"/>
      <c r="C283" s="256"/>
      <c r="D283" s="256"/>
      <c r="E283" s="256"/>
      <c r="F283" s="256"/>
      <c r="G283" s="256"/>
      <c r="H283" s="256"/>
      <c r="I283" s="256"/>
      <c r="J283" s="256"/>
      <c r="K283" s="256"/>
      <c r="L283" s="256"/>
      <c r="M283" s="256"/>
      <c r="N283" s="256"/>
      <c r="O283" s="256"/>
      <c r="P283" s="256"/>
      <c r="Q283" s="256"/>
      <c r="R283" s="256"/>
      <c r="S283" s="221"/>
      <c r="T283" s="221"/>
      <c r="U283" s="221"/>
      <c r="V283" s="221"/>
      <c r="W283" s="221"/>
      <c r="X283" s="221"/>
      <c r="Y283" s="221"/>
      <c r="Z283" s="221"/>
    </row>
    <row r="284" customFormat="false" ht="12" hidden="false" customHeight="true" outlineLevel="0" collapsed="false">
      <c r="A284" s="256"/>
      <c r="B284" s="256"/>
      <c r="C284" s="256"/>
      <c r="D284" s="256"/>
      <c r="E284" s="256"/>
      <c r="F284" s="256"/>
      <c r="G284" s="256"/>
      <c r="H284" s="256"/>
      <c r="I284" s="256"/>
      <c r="J284" s="256"/>
      <c r="K284" s="256"/>
      <c r="L284" s="256"/>
      <c r="M284" s="256"/>
      <c r="N284" s="256"/>
      <c r="O284" s="256"/>
      <c r="P284" s="256"/>
      <c r="Q284" s="256"/>
      <c r="R284" s="256"/>
      <c r="S284" s="221"/>
      <c r="T284" s="221"/>
      <c r="U284" s="221"/>
      <c r="V284" s="221"/>
      <c r="W284" s="221"/>
      <c r="X284" s="221"/>
      <c r="Y284" s="221"/>
      <c r="Z284" s="221"/>
    </row>
    <row r="285" customFormat="false" ht="12" hidden="false" customHeight="true" outlineLevel="0" collapsed="false">
      <c r="A285" s="256"/>
      <c r="B285" s="256"/>
      <c r="C285" s="256"/>
      <c r="D285" s="256"/>
      <c r="E285" s="256"/>
      <c r="F285" s="256"/>
      <c r="G285" s="256"/>
      <c r="H285" s="256"/>
      <c r="I285" s="256"/>
      <c r="J285" s="256"/>
      <c r="K285" s="256"/>
      <c r="L285" s="256"/>
      <c r="M285" s="256"/>
      <c r="N285" s="256"/>
      <c r="O285" s="256"/>
      <c r="P285" s="256"/>
      <c r="Q285" s="256"/>
      <c r="R285" s="256"/>
      <c r="S285" s="221"/>
      <c r="T285" s="221"/>
      <c r="U285" s="221"/>
      <c r="V285" s="221"/>
      <c r="W285" s="221"/>
      <c r="X285" s="221"/>
      <c r="Y285" s="221"/>
      <c r="Z285" s="221"/>
    </row>
    <row r="286" customFormat="false" ht="12" hidden="false" customHeight="true" outlineLevel="0" collapsed="false">
      <c r="A286" s="256"/>
      <c r="B286" s="256"/>
      <c r="C286" s="256"/>
      <c r="D286" s="256"/>
      <c r="E286" s="256"/>
      <c r="F286" s="256"/>
      <c r="G286" s="256"/>
      <c r="H286" s="256"/>
      <c r="I286" s="256"/>
      <c r="J286" s="256"/>
      <c r="K286" s="256"/>
      <c r="L286" s="256"/>
      <c r="M286" s="256"/>
      <c r="N286" s="256"/>
      <c r="O286" s="256"/>
      <c r="P286" s="256"/>
      <c r="Q286" s="256"/>
      <c r="R286" s="256"/>
      <c r="S286" s="221"/>
      <c r="T286" s="221"/>
      <c r="U286" s="221"/>
      <c r="V286" s="221"/>
      <c r="W286" s="221"/>
      <c r="X286" s="221"/>
      <c r="Y286" s="221"/>
      <c r="Z286" s="221"/>
    </row>
    <row r="287" customFormat="false" ht="12" hidden="false" customHeight="true" outlineLevel="0" collapsed="false">
      <c r="A287" s="256"/>
      <c r="B287" s="256"/>
      <c r="C287" s="256"/>
      <c r="D287" s="256"/>
      <c r="E287" s="256"/>
      <c r="F287" s="256"/>
      <c r="G287" s="256"/>
      <c r="H287" s="256"/>
      <c r="I287" s="256"/>
      <c r="J287" s="256"/>
      <c r="K287" s="256"/>
      <c r="L287" s="256"/>
      <c r="M287" s="256"/>
      <c r="N287" s="256"/>
      <c r="O287" s="256"/>
      <c r="P287" s="256"/>
      <c r="Q287" s="256"/>
      <c r="R287" s="256"/>
      <c r="S287" s="221"/>
      <c r="T287" s="221"/>
      <c r="U287" s="221"/>
      <c r="V287" s="221"/>
      <c r="W287" s="221"/>
      <c r="X287" s="221"/>
      <c r="Y287" s="221"/>
      <c r="Z287" s="221"/>
    </row>
    <row r="288" customFormat="false" ht="12" hidden="false" customHeight="true" outlineLevel="0" collapsed="false">
      <c r="A288" s="256"/>
      <c r="B288" s="256"/>
      <c r="C288" s="256"/>
      <c r="D288" s="256"/>
      <c r="E288" s="256"/>
      <c r="F288" s="256"/>
      <c r="G288" s="256"/>
      <c r="H288" s="256"/>
      <c r="I288" s="256"/>
      <c r="J288" s="256"/>
      <c r="K288" s="256"/>
      <c r="L288" s="256"/>
      <c r="M288" s="256"/>
      <c r="N288" s="256"/>
      <c r="O288" s="256"/>
      <c r="P288" s="256"/>
      <c r="Q288" s="256"/>
      <c r="R288" s="256"/>
      <c r="S288" s="221"/>
      <c r="T288" s="221"/>
      <c r="U288" s="221"/>
      <c r="V288" s="221"/>
      <c r="W288" s="221"/>
      <c r="X288" s="221"/>
      <c r="Y288" s="221"/>
      <c r="Z288" s="221"/>
    </row>
    <row r="289" customFormat="false" ht="12" hidden="false" customHeight="true" outlineLevel="0" collapsed="false">
      <c r="A289" s="256"/>
      <c r="B289" s="256"/>
      <c r="C289" s="256"/>
      <c r="D289" s="256"/>
      <c r="E289" s="256"/>
      <c r="F289" s="256"/>
      <c r="G289" s="256"/>
      <c r="H289" s="256"/>
      <c r="I289" s="256"/>
      <c r="J289" s="256"/>
      <c r="K289" s="256"/>
      <c r="L289" s="256"/>
      <c r="M289" s="256"/>
      <c r="N289" s="256"/>
      <c r="O289" s="256"/>
      <c r="P289" s="256"/>
      <c r="Q289" s="256"/>
      <c r="R289" s="256"/>
      <c r="S289" s="221"/>
      <c r="T289" s="221"/>
      <c r="U289" s="221"/>
      <c r="V289" s="221"/>
      <c r="W289" s="221"/>
      <c r="X289" s="221"/>
      <c r="Y289" s="221"/>
      <c r="Z289" s="221"/>
    </row>
    <row r="290" customFormat="false" ht="12" hidden="false" customHeight="true" outlineLevel="0" collapsed="false">
      <c r="A290" s="256"/>
      <c r="B290" s="256"/>
      <c r="C290" s="256"/>
      <c r="D290" s="256"/>
      <c r="E290" s="256"/>
      <c r="F290" s="256"/>
      <c r="G290" s="256"/>
      <c r="H290" s="256"/>
      <c r="I290" s="256"/>
      <c r="J290" s="256"/>
      <c r="K290" s="256"/>
      <c r="L290" s="256"/>
      <c r="M290" s="256"/>
      <c r="N290" s="256"/>
      <c r="O290" s="256"/>
      <c r="P290" s="256"/>
      <c r="Q290" s="256"/>
      <c r="R290" s="256"/>
      <c r="S290" s="221"/>
      <c r="T290" s="221"/>
      <c r="U290" s="221"/>
      <c r="V290" s="221"/>
      <c r="W290" s="221"/>
      <c r="X290" s="221"/>
      <c r="Y290" s="221"/>
      <c r="Z290" s="221"/>
    </row>
    <row r="291" customFormat="false" ht="12" hidden="false" customHeight="true" outlineLevel="0" collapsed="false">
      <c r="A291" s="256"/>
      <c r="B291" s="256"/>
      <c r="C291" s="256"/>
      <c r="D291" s="256"/>
      <c r="E291" s="256"/>
      <c r="F291" s="256"/>
      <c r="G291" s="256"/>
      <c r="H291" s="256"/>
      <c r="I291" s="256"/>
      <c r="J291" s="256"/>
      <c r="K291" s="256"/>
      <c r="L291" s="256"/>
      <c r="M291" s="256"/>
      <c r="N291" s="256"/>
      <c r="O291" s="256"/>
      <c r="P291" s="256"/>
      <c r="Q291" s="256"/>
      <c r="R291" s="256"/>
      <c r="S291" s="221"/>
      <c r="T291" s="221"/>
      <c r="U291" s="221"/>
      <c r="V291" s="221"/>
      <c r="W291" s="221"/>
      <c r="X291" s="221"/>
      <c r="Y291" s="221"/>
      <c r="Z291" s="221"/>
    </row>
    <row r="292" customFormat="false" ht="12" hidden="false" customHeight="true" outlineLevel="0" collapsed="false">
      <c r="A292" s="256"/>
      <c r="B292" s="256"/>
      <c r="C292" s="256"/>
      <c r="D292" s="256"/>
      <c r="E292" s="256"/>
      <c r="F292" s="256"/>
      <c r="G292" s="256"/>
      <c r="H292" s="256"/>
      <c r="I292" s="256"/>
      <c r="J292" s="256"/>
      <c r="K292" s="256"/>
      <c r="L292" s="256"/>
      <c r="M292" s="256"/>
      <c r="N292" s="256"/>
      <c r="O292" s="256"/>
      <c r="P292" s="256"/>
      <c r="Q292" s="256"/>
      <c r="R292" s="256"/>
      <c r="S292" s="221"/>
      <c r="T292" s="221"/>
      <c r="U292" s="221"/>
      <c r="V292" s="221"/>
      <c r="W292" s="221"/>
      <c r="X292" s="221"/>
      <c r="Y292" s="221"/>
      <c r="Z292" s="221"/>
    </row>
    <row r="293" customFormat="false" ht="12" hidden="false" customHeight="true" outlineLevel="0" collapsed="false">
      <c r="A293" s="256"/>
      <c r="B293" s="256"/>
      <c r="C293" s="256"/>
      <c r="D293" s="256"/>
      <c r="E293" s="256"/>
      <c r="F293" s="256"/>
      <c r="G293" s="256"/>
      <c r="H293" s="256"/>
      <c r="I293" s="256"/>
      <c r="J293" s="256"/>
      <c r="K293" s="256"/>
      <c r="L293" s="256"/>
      <c r="M293" s="256"/>
      <c r="N293" s="256"/>
      <c r="O293" s="256"/>
      <c r="P293" s="256"/>
      <c r="Q293" s="256"/>
      <c r="R293" s="256"/>
      <c r="S293" s="221"/>
      <c r="T293" s="221"/>
      <c r="U293" s="221"/>
      <c r="V293" s="221"/>
      <c r="W293" s="221"/>
      <c r="X293" s="221"/>
      <c r="Y293" s="221"/>
      <c r="Z293" s="221"/>
    </row>
    <row r="294" customFormat="false" ht="12" hidden="false" customHeight="true" outlineLevel="0" collapsed="false">
      <c r="A294" s="256"/>
      <c r="B294" s="256"/>
      <c r="C294" s="256"/>
      <c r="D294" s="256"/>
      <c r="E294" s="256"/>
      <c r="F294" s="256"/>
      <c r="G294" s="256"/>
      <c r="H294" s="256"/>
      <c r="I294" s="256"/>
      <c r="J294" s="256"/>
      <c r="K294" s="256"/>
      <c r="L294" s="256"/>
      <c r="M294" s="256"/>
      <c r="N294" s="256"/>
      <c r="O294" s="256"/>
      <c r="P294" s="256"/>
      <c r="Q294" s="256"/>
      <c r="R294" s="256"/>
      <c r="S294" s="221"/>
      <c r="T294" s="221"/>
      <c r="U294" s="221"/>
      <c r="V294" s="221"/>
      <c r="W294" s="221"/>
      <c r="X294" s="221"/>
      <c r="Y294" s="221"/>
      <c r="Z294" s="221"/>
    </row>
    <row r="295" customFormat="false" ht="12" hidden="false" customHeight="true" outlineLevel="0" collapsed="false">
      <c r="A295" s="256"/>
      <c r="B295" s="256"/>
      <c r="C295" s="256"/>
      <c r="D295" s="256"/>
      <c r="E295" s="256"/>
      <c r="F295" s="256"/>
      <c r="G295" s="256"/>
      <c r="H295" s="256"/>
      <c r="I295" s="256"/>
      <c r="J295" s="256"/>
      <c r="K295" s="256"/>
      <c r="L295" s="256"/>
      <c r="M295" s="256"/>
      <c r="N295" s="256"/>
      <c r="O295" s="256"/>
      <c r="P295" s="256"/>
      <c r="Q295" s="256"/>
      <c r="R295" s="256"/>
      <c r="S295" s="221"/>
      <c r="T295" s="221"/>
      <c r="U295" s="221"/>
      <c r="V295" s="221"/>
      <c r="W295" s="221"/>
      <c r="X295" s="221"/>
      <c r="Y295" s="221"/>
      <c r="Z295" s="221"/>
    </row>
    <row r="296" customFormat="false" ht="12" hidden="false" customHeight="true" outlineLevel="0" collapsed="false">
      <c r="A296" s="256"/>
      <c r="B296" s="256"/>
      <c r="C296" s="256"/>
      <c r="D296" s="256"/>
      <c r="E296" s="256"/>
      <c r="F296" s="256"/>
      <c r="G296" s="256"/>
      <c r="H296" s="256"/>
      <c r="I296" s="256"/>
      <c r="J296" s="256"/>
      <c r="K296" s="256"/>
      <c r="L296" s="256"/>
      <c r="M296" s="256"/>
      <c r="N296" s="256"/>
      <c r="O296" s="256"/>
      <c r="P296" s="256"/>
      <c r="Q296" s="256"/>
      <c r="R296" s="256"/>
      <c r="S296" s="221"/>
      <c r="T296" s="221"/>
      <c r="U296" s="221"/>
      <c r="V296" s="221"/>
      <c r="W296" s="221"/>
      <c r="X296" s="221"/>
      <c r="Y296" s="221"/>
      <c r="Z296" s="221"/>
    </row>
    <row r="297" customFormat="false" ht="12" hidden="false" customHeight="true" outlineLevel="0" collapsed="false">
      <c r="A297" s="256"/>
      <c r="B297" s="256"/>
      <c r="C297" s="256"/>
      <c r="D297" s="256"/>
      <c r="E297" s="256"/>
      <c r="F297" s="256"/>
      <c r="G297" s="256"/>
      <c r="H297" s="256"/>
      <c r="I297" s="256"/>
      <c r="J297" s="256"/>
      <c r="K297" s="256"/>
      <c r="L297" s="256"/>
      <c r="M297" s="256"/>
      <c r="N297" s="256"/>
      <c r="O297" s="256"/>
      <c r="P297" s="256"/>
      <c r="Q297" s="256"/>
      <c r="R297" s="256"/>
      <c r="S297" s="221"/>
      <c r="T297" s="221"/>
      <c r="U297" s="221"/>
      <c r="V297" s="221"/>
      <c r="W297" s="221"/>
      <c r="X297" s="221"/>
      <c r="Y297" s="221"/>
      <c r="Z297" s="221"/>
    </row>
    <row r="298" customFormat="false" ht="12" hidden="false" customHeight="true" outlineLevel="0" collapsed="false">
      <c r="A298" s="256"/>
      <c r="B298" s="256"/>
      <c r="C298" s="256"/>
      <c r="D298" s="256"/>
      <c r="E298" s="256"/>
      <c r="F298" s="256"/>
      <c r="G298" s="256"/>
      <c r="H298" s="256"/>
      <c r="I298" s="256"/>
      <c r="J298" s="256"/>
      <c r="K298" s="256"/>
      <c r="L298" s="256"/>
      <c r="M298" s="256"/>
      <c r="N298" s="256"/>
      <c r="O298" s="256"/>
      <c r="P298" s="256"/>
      <c r="Q298" s="256"/>
      <c r="R298" s="256"/>
      <c r="S298" s="221"/>
      <c r="T298" s="221"/>
      <c r="U298" s="221"/>
      <c r="V298" s="221"/>
      <c r="W298" s="221"/>
      <c r="X298" s="221"/>
      <c r="Y298" s="221"/>
      <c r="Z298" s="221"/>
    </row>
    <row r="299" customFormat="false" ht="12" hidden="false" customHeight="true" outlineLevel="0" collapsed="false">
      <c r="A299" s="256"/>
      <c r="B299" s="256"/>
      <c r="C299" s="256"/>
      <c r="D299" s="256"/>
      <c r="E299" s="256"/>
      <c r="F299" s="256"/>
      <c r="G299" s="256"/>
      <c r="H299" s="256"/>
      <c r="I299" s="256"/>
      <c r="J299" s="256"/>
      <c r="K299" s="256"/>
      <c r="L299" s="256"/>
      <c r="M299" s="256"/>
      <c r="N299" s="256"/>
      <c r="O299" s="256"/>
      <c r="P299" s="256"/>
      <c r="Q299" s="256"/>
      <c r="R299" s="256"/>
      <c r="S299" s="221"/>
      <c r="T299" s="221"/>
      <c r="U299" s="221"/>
      <c r="V299" s="221"/>
      <c r="W299" s="221"/>
      <c r="X299" s="221"/>
      <c r="Y299" s="221"/>
      <c r="Z299" s="221"/>
    </row>
    <row r="300" customFormat="false" ht="12" hidden="false" customHeight="true" outlineLevel="0" collapsed="false">
      <c r="A300" s="256"/>
      <c r="B300" s="256"/>
      <c r="C300" s="256"/>
      <c r="D300" s="256"/>
      <c r="E300" s="256"/>
      <c r="F300" s="256"/>
      <c r="G300" s="256"/>
      <c r="H300" s="256"/>
      <c r="I300" s="256"/>
      <c r="J300" s="256"/>
      <c r="K300" s="256"/>
      <c r="L300" s="256"/>
      <c r="M300" s="256"/>
      <c r="N300" s="256"/>
      <c r="O300" s="256"/>
      <c r="P300" s="256"/>
      <c r="Q300" s="256"/>
      <c r="R300" s="256"/>
      <c r="S300" s="221"/>
      <c r="T300" s="221"/>
      <c r="U300" s="221"/>
      <c r="V300" s="221"/>
      <c r="W300" s="221"/>
      <c r="X300" s="221"/>
      <c r="Y300" s="221"/>
      <c r="Z300" s="221"/>
    </row>
    <row r="301" customFormat="false" ht="12" hidden="false" customHeight="true" outlineLevel="0" collapsed="false">
      <c r="A301" s="256"/>
      <c r="B301" s="256"/>
      <c r="C301" s="256"/>
      <c r="D301" s="256"/>
      <c r="E301" s="256"/>
      <c r="F301" s="256"/>
      <c r="G301" s="256"/>
      <c r="H301" s="256"/>
      <c r="I301" s="256"/>
      <c r="J301" s="256"/>
      <c r="K301" s="256"/>
      <c r="L301" s="256"/>
      <c r="M301" s="256"/>
      <c r="N301" s="256"/>
      <c r="O301" s="256"/>
      <c r="P301" s="256"/>
      <c r="Q301" s="256"/>
      <c r="R301" s="256"/>
      <c r="S301" s="221"/>
      <c r="T301" s="221"/>
      <c r="U301" s="221"/>
      <c r="V301" s="221"/>
      <c r="W301" s="221"/>
      <c r="X301" s="221"/>
      <c r="Y301" s="221"/>
      <c r="Z301" s="221"/>
    </row>
    <row r="302" customFormat="false" ht="12" hidden="false" customHeight="true" outlineLevel="0" collapsed="false">
      <c r="A302" s="256"/>
      <c r="B302" s="256"/>
      <c r="C302" s="256"/>
      <c r="D302" s="256"/>
      <c r="E302" s="256"/>
      <c r="F302" s="256"/>
      <c r="G302" s="256"/>
      <c r="H302" s="256"/>
      <c r="I302" s="256"/>
      <c r="J302" s="256"/>
      <c r="K302" s="256"/>
      <c r="L302" s="256"/>
      <c r="M302" s="256"/>
      <c r="N302" s="256"/>
      <c r="O302" s="256"/>
      <c r="P302" s="256"/>
      <c r="Q302" s="256"/>
      <c r="R302" s="256"/>
      <c r="S302" s="221"/>
      <c r="T302" s="221"/>
      <c r="U302" s="221"/>
      <c r="V302" s="221"/>
      <c r="W302" s="221"/>
      <c r="X302" s="221"/>
      <c r="Y302" s="221"/>
      <c r="Z302" s="221"/>
    </row>
    <row r="303" customFormat="false" ht="12" hidden="false" customHeight="true" outlineLevel="0" collapsed="false">
      <c r="A303" s="256"/>
      <c r="B303" s="256"/>
      <c r="C303" s="256"/>
      <c r="D303" s="256"/>
      <c r="E303" s="256"/>
      <c r="F303" s="256"/>
      <c r="G303" s="256"/>
      <c r="H303" s="256"/>
      <c r="I303" s="256"/>
      <c r="J303" s="256"/>
      <c r="K303" s="256"/>
      <c r="L303" s="256"/>
      <c r="M303" s="256"/>
      <c r="N303" s="256"/>
      <c r="O303" s="256"/>
      <c r="P303" s="256"/>
      <c r="Q303" s="256"/>
      <c r="R303" s="256"/>
      <c r="S303" s="221"/>
      <c r="T303" s="221"/>
      <c r="U303" s="221"/>
      <c r="V303" s="221"/>
      <c r="W303" s="221"/>
      <c r="X303" s="221"/>
      <c r="Y303" s="221"/>
      <c r="Z303" s="221"/>
    </row>
    <row r="304" customFormat="false" ht="12" hidden="false" customHeight="true" outlineLevel="0" collapsed="false">
      <c r="A304" s="256"/>
      <c r="B304" s="256"/>
      <c r="C304" s="256"/>
      <c r="D304" s="256"/>
      <c r="E304" s="256"/>
      <c r="F304" s="256"/>
      <c r="G304" s="256"/>
      <c r="H304" s="256"/>
      <c r="I304" s="256"/>
      <c r="J304" s="256"/>
      <c r="K304" s="256"/>
      <c r="L304" s="256"/>
      <c r="M304" s="256"/>
      <c r="N304" s="256"/>
      <c r="O304" s="256"/>
      <c r="P304" s="256"/>
      <c r="Q304" s="256"/>
      <c r="R304" s="256"/>
      <c r="S304" s="221"/>
      <c r="T304" s="221"/>
      <c r="U304" s="221"/>
      <c r="V304" s="221"/>
      <c r="W304" s="221"/>
      <c r="X304" s="221"/>
      <c r="Y304" s="221"/>
      <c r="Z304" s="221"/>
    </row>
    <row r="305" customFormat="false" ht="12" hidden="false" customHeight="true" outlineLevel="0" collapsed="false">
      <c r="A305" s="256"/>
      <c r="B305" s="256"/>
      <c r="C305" s="256"/>
      <c r="D305" s="256"/>
      <c r="E305" s="256"/>
      <c r="F305" s="256"/>
      <c r="G305" s="256"/>
      <c r="H305" s="256"/>
      <c r="I305" s="256"/>
      <c r="J305" s="256"/>
      <c r="K305" s="256"/>
      <c r="L305" s="256"/>
      <c r="M305" s="256"/>
      <c r="N305" s="256"/>
      <c r="O305" s="256"/>
      <c r="P305" s="256"/>
      <c r="Q305" s="256"/>
      <c r="R305" s="256"/>
      <c r="S305" s="221"/>
      <c r="T305" s="221"/>
      <c r="U305" s="221"/>
      <c r="V305" s="221"/>
      <c r="W305" s="221"/>
      <c r="X305" s="221"/>
      <c r="Y305" s="221"/>
      <c r="Z305" s="221"/>
    </row>
    <row r="306" customFormat="false" ht="12" hidden="false" customHeight="true" outlineLevel="0" collapsed="false">
      <c r="A306" s="256"/>
      <c r="B306" s="256"/>
      <c r="C306" s="256"/>
      <c r="D306" s="256"/>
      <c r="E306" s="256"/>
      <c r="F306" s="256"/>
      <c r="G306" s="256"/>
      <c r="H306" s="256"/>
      <c r="I306" s="256"/>
      <c r="J306" s="256"/>
      <c r="K306" s="256"/>
      <c r="L306" s="256"/>
      <c r="M306" s="256"/>
      <c r="N306" s="256"/>
      <c r="O306" s="256"/>
      <c r="P306" s="256"/>
      <c r="Q306" s="256"/>
      <c r="R306" s="256"/>
      <c r="S306" s="221"/>
      <c r="T306" s="221"/>
      <c r="U306" s="221"/>
      <c r="V306" s="221"/>
      <c r="W306" s="221"/>
      <c r="X306" s="221"/>
      <c r="Y306" s="221"/>
      <c r="Z306" s="221"/>
    </row>
    <row r="307" customFormat="false" ht="12" hidden="false" customHeight="true" outlineLevel="0" collapsed="false">
      <c r="A307" s="256"/>
      <c r="B307" s="256"/>
      <c r="C307" s="256"/>
      <c r="D307" s="256"/>
      <c r="E307" s="256"/>
      <c r="F307" s="256"/>
      <c r="G307" s="256"/>
      <c r="H307" s="256"/>
      <c r="I307" s="256"/>
      <c r="J307" s="256"/>
      <c r="K307" s="256"/>
      <c r="L307" s="256"/>
      <c r="M307" s="256"/>
      <c r="N307" s="256"/>
      <c r="O307" s="256"/>
      <c r="P307" s="256"/>
      <c r="Q307" s="256"/>
      <c r="R307" s="256"/>
      <c r="S307" s="221"/>
      <c r="T307" s="221"/>
      <c r="U307" s="221"/>
      <c r="V307" s="221"/>
      <c r="W307" s="221"/>
      <c r="X307" s="221"/>
      <c r="Y307" s="221"/>
      <c r="Z307" s="221"/>
    </row>
    <row r="308" customFormat="false" ht="12" hidden="false" customHeight="true" outlineLevel="0" collapsed="false">
      <c r="A308" s="256"/>
      <c r="B308" s="256"/>
      <c r="C308" s="256"/>
      <c r="D308" s="256"/>
      <c r="E308" s="256"/>
      <c r="F308" s="256"/>
      <c r="G308" s="256"/>
      <c r="H308" s="256"/>
      <c r="I308" s="256"/>
      <c r="J308" s="256"/>
      <c r="K308" s="256"/>
      <c r="L308" s="256"/>
      <c r="M308" s="256"/>
      <c r="N308" s="256"/>
      <c r="O308" s="256"/>
      <c r="P308" s="256"/>
      <c r="Q308" s="256"/>
      <c r="R308" s="256"/>
      <c r="S308" s="221"/>
      <c r="T308" s="221"/>
      <c r="U308" s="221"/>
      <c r="V308" s="221"/>
      <c r="W308" s="221"/>
      <c r="X308" s="221"/>
      <c r="Y308" s="221"/>
      <c r="Z308" s="221"/>
    </row>
    <row r="309" customFormat="false" ht="12" hidden="false" customHeight="true" outlineLevel="0" collapsed="false">
      <c r="A309" s="256"/>
      <c r="B309" s="256"/>
      <c r="C309" s="256"/>
      <c r="D309" s="256"/>
      <c r="E309" s="256"/>
      <c r="F309" s="256"/>
      <c r="G309" s="256"/>
      <c r="H309" s="256"/>
      <c r="I309" s="256"/>
      <c r="J309" s="256"/>
      <c r="K309" s="256"/>
      <c r="L309" s="256"/>
      <c r="M309" s="256"/>
      <c r="N309" s="256"/>
      <c r="O309" s="256"/>
      <c r="P309" s="256"/>
      <c r="Q309" s="256"/>
      <c r="R309" s="256"/>
      <c r="S309" s="221"/>
      <c r="T309" s="221"/>
      <c r="U309" s="221"/>
      <c r="V309" s="221"/>
      <c r="W309" s="221"/>
      <c r="X309" s="221"/>
      <c r="Y309" s="221"/>
      <c r="Z309" s="221"/>
    </row>
    <row r="310" customFormat="false" ht="12" hidden="false" customHeight="true" outlineLevel="0" collapsed="false">
      <c r="A310" s="256"/>
      <c r="B310" s="256"/>
      <c r="C310" s="256"/>
      <c r="D310" s="256"/>
      <c r="E310" s="256"/>
      <c r="F310" s="256"/>
      <c r="G310" s="256"/>
      <c r="H310" s="256"/>
      <c r="I310" s="256"/>
      <c r="J310" s="256"/>
      <c r="K310" s="256"/>
      <c r="L310" s="256"/>
      <c r="M310" s="256"/>
      <c r="N310" s="256"/>
      <c r="O310" s="256"/>
      <c r="P310" s="256"/>
      <c r="Q310" s="256"/>
      <c r="R310" s="256"/>
      <c r="S310" s="221"/>
      <c r="T310" s="221"/>
      <c r="U310" s="221"/>
      <c r="V310" s="221"/>
      <c r="W310" s="221"/>
      <c r="X310" s="221"/>
      <c r="Y310" s="221"/>
      <c r="Z310" s="221"/>
    </row>
    <row r="311" customFormat="false" ht="12" hidden="false" customHeight="true" outlineLevel="0" collapsed="false">
      <c r="A311" s="256"/>
      <c r="B311" s="256"/>
      <c r="C311" s="256"/>
      <c r="D311" s="256"/>
      <c r="E311" s="256"/>
      <c r="F311" s="256"/>
      <c r="G311" s="256"/>
      <c r="H311" s="256"/>
      <c r="I311" s="256"/>
      <c r="J311" s="256"/>
      <c r="K311" s="256"/>
      <c r="L311" s="256"/>
      <c r="M311" s="256"/>
      <c r="N311" s="256"/>
      <c r="O311" s="256"/>
      <c r="P311" s="256"/>
      <c r="Q311" s="256"/>
      <c r="R311" s="256"/>
      <c r="S311" s="221"/>
      <c r="T311" s="221"/>
      <c r="U311" s="221"/>
      <c r="V311" s="221"/>
      <c r="W311" s="221"/>
      <c r="X311" s="221"/>
      <c r="Y311" s="221"/>
      <c r="Z311" s="221"/>
    </row>
    <row r="312" customFormat="false" ht="12" hidden="false" customHeight="true" outlineLevel="0" collapsed="false">
      <c r="A312" s="256"/>
      <c r="B312" s="256"/>
      <c r="C312" s="256"/>
      <c r="D312" s="256"/>
      <c r="E312" s="256"/>
      <c r="F312" s="256"/>
      <c r="G312" s="256"/>
      <c r="H312" s="256"/>
      <c r="I312" s="256"/>
      <c r="J312" s="256"/>
      <c r="K312" s="256"/>
      <c r="L312" s="256"/>
      <c r="M312" s="256"/>
      <c r="N312" s="256"/>
      <c r="O312" s="256"/>
      <c r="P312" s="256"/>
      <c r="Q312" s="256"/>
      <c r="R312" s="256"/>
      <c r="S312" s="221"/>
      <c r="T312" s="221"/>
      <c r="U312" s="221"/>
      <c r="V312" s="221"/>
      <c r="W312" s="221"/>
      <c r="X312" s="221"/>
      <c r="Y312" s="221"/>
      <c r="Z312" s="221"/>
    </row>
    <row r="313" customFormat="false" ht="12" hidden="false" customHeight="true" outlineLevel="0" collapsed="false">
      <c r="A313" s="256"/>
      <c r="B313" s="256"/>
      <c r="C313" s="256"/>
      <c r="D313" s="256"/>
      <c r="E313" s="256"/>
      <c r="F313" s="256"/>
      <c r="G313" s="256"/>
      <c r="H313" s="256"/>
      <c r="I313" s="256"/>
      <c r="J313" s="256"/>
      <c r="K313" s="256"/>
      <c r="L313" s="256"/>
      <c r="M313" s="256"/>
      <c r="N313" s="256"/>
      <c r="O313" s="256"/>
      <c r="P313" s="256"/>
      <c r="Q313" s="256"/>
      <c r="R313" s="256"/>
      <c r="S313" s="221"/>
      <c r="T313" s="221"/>
      <c r="U313" s="221"/>
      <c r="V313" s="221"/>
      <c r="W313" s="221"/>
      <c r="X313" s="221"/>
      <c r="Y313" s="221"/>
      <c r="Z313" s="221"/>
    </row>
    <row r="314" customFormat="false" ht="12" hidden="false" customHeight="true" outlineLevel="0" collapsed="false">
      <c r="A314" s="256"/>
      <c r="B314" s="256"/>
      <c r="C314" s="256"/>
      <c r="D314" s="256"/>
      <c r="E314" s="256"/>
      <c r="F314" s="256"/>
      <c r="G314" s="256"/>
      <c r="H314" s="256"/>
      <c r="I314" s="256"/>
      <c r="J314" s="256"/>
      <c r="K314" s="256"/>
      <c r="L314" s="256"/>
      <c r="M314" s="256"/>
      <c r="N314" s="256"/>
      <c r="O314" s="256"/>
      <c r="P314" s="256"/>
      <c r="Q314" s="256"/>
      <c r="R314" s="256"/>
      <c r="S314" s="221"/>
      <c r="T314" s="221"/>
      <c r="U314" s="221"/>
      <c r="V314" s="221"/>
      <c r="W314" s="221"/>
      <c r="X314" s="221"/>
      <c r="Y314" s="221"/>
      <c r="Z314" s="221"/>
    </row>
    <row r="315" customFormat="false" ht="12" hidden="false" customHeight="true" outlineLevel="0" collapsed="false">
      <c r="A315" s="256"/>
      <c r="B315" s="256"/>
      <c r="C315" s="256"/>
      <c r="D315" s="256"/>
      <c r="E315" s="256"/>
      <c r="F315" s="256"/>
      <c r="G315" s="256"/>
      <c r="H315" s="256"/>
      <c r="I315" s="256"/>
      <c r="J315" s="256"/>
      <c r="K315" s="256"/>
      <c r="L315" s="256"/>
      <c r="M315" s="256"/>
      <c r="N315" s="256"/>
      <c r="O315" s="256"/>
      <c r="P315" s="256"/>
      <c r="Q315" s="256"/>
      <c r="R315" s="256"/>
      <c r="S315" s="221"/>
      <c r="T315" s="221"/>
      <c r="U315" s="221"/>
      <c r="V315" s="221"/>
      <c r="W315" s="221"/>
      <c r="X315" s="221"/>
      <c r="Y315" s="221"/>
      <c r="Z315" s="221"/>
    </row>
    <row r="316" customFormat="false" ht="12" hidden="false" customHeight="true" outlineLevel="0" collapsed="false">
      <c r="A316" s="256"/>
      <c r="B316" s="256"/>
      <c r="C316" s="256"/>
      <c r="D316" s="256"/>
      <c r="E316" s="256"/>
      <c r="F316" s="256"/>
      <c r="G316" s="256"/>
      <c r="H316" s="256"/>
      <c r="I316" s="256"/>
      <c r="J316" s="256"/>
      <c r="K316" s="256"/>
      <c r="L316" s="256"/>
      <c r="M316" s="256"/>
      <c r="N316" s="256"/>
      <c r="O316" s="256"/>
      <c r="P316" s="256"/>
      <c r="Q316" s="256"/>
      <c r="R316" s="256"/>
      <c r="S316" s="221"/>
      <c r="T316" s="221"/>
      <c r="U316" s="221"/>
      <c r="V316" s="221"/>
      <c r="W316" s="221"/>
      <c r="X316" s="221"/>
      <c r="Y316" s="221"/>
      <c r="Z316" s="221"/>
    </row>
    <row r="317" customFormat="false" ht="12" hidden="false" customHeight="true" outlineLevel="0" collapsed="false">
      <c r="A317" s="256"/>
      <c r="B317" s="256"/>
      <c r="C317" s="256"/>
      <c r="D317" s="256"/>
      <c r="E317" s="256"/>
      <c r="F317" s="256"/>
      <c r="G317" s="256"/>
      <c r="H317" s="256"/>
      <c r="I317" s="256"/>
      <c r="J317" s="256"/>
      <c r="K317" s="256"/>
      <c r="L317" s="256"/>
      <c r="M317" s="256"/>
      <c r="N317" s="256"/>
      <c r="O317" s="256"/>
      <c r="P317" s="256"/>
      <c r="Q317" s="256"/>
      <c r="R317" s="256"/>
      <c r="S317" s="221"/>
      <c r="T317" s="221"/>
      <c r="U317" s="221"/>
      <c r="V317" s="221"/>
      <c r="W317" s="221"/>
      <c r="X317" s="221"/>
      <c r="Y317" s="221"/>
      <c r="Z317" s="221"/>
    </row>
    <row r="318" customFormat="false" ht="12" hidden="false" customHeight="true" outlineLevel="0" collapsed="false">
      <c r="A318" s="256"/>
      <c r="B318" s="256"/>
      <c r="C318" s="256"/>
      <c r="D318" s="256"/>
      <c r="E318" s="256"/>
      <c r="F318" s="256"/>
      <c r="G318" s="256"/>
      <c r="H318" s="256"/>
      <c r="I318" s="256"/>
      <c r="J318" s="256"/>
      <c r="K318" s="256"/>
      <c r="L318" s="256"/>
      <c r="M318" s="256"/>
      <c r="N318" s="256"/>
      <c r="O318" s="256"/>
      <c r="P318" s="256"/>
      <c r="Q318" s="256"/>
      <c r="R318" s="256"/>
      <c r="S318" s="221"/>
      <c r="T318" s="221"/>
      <c r="U318" s="221"/>
      <c r="V318" s="221"/>
      <c r="W318" s="221"/>
      <c r="X318" s="221"/>
      <c r="Y318" s="221"/>
      <c r="Z318" s="221"/>
    </row>
    <row r="319" customFormat="false" ht="12" hidden="false" customHeight="true" outlineLevel="0" collapsed="false">
      <c r="A319" s="256"/>
      <c r="B319" s="256"/>
      <c r="C319" s="256"/>
      <c r="D319" s="256"/>
      <c r="E319" s="256"/>
      <c r="F319" s="256"/>
      <c r="G319" s="256"/>
      <c r="H319" s="256"/>
      <c r="I319" s="256"/>
      <c r="J319" s="256"/>
      <c r="K319" s="256"/>
      <c r="L319" s="256"/>
      <c r="M319" s="256"/>
      <c r="N319" s="256"/>
      <c r="O319" s="256"/>
      <c r="P319" s="256"/>
      <c r="Q319" s="256"/>
      <c r="R319" s="256"/>
      <c r="S319" s="221"/>
      <c r="T319" s="221"/>
      <c r="U319" s="221"/>
      <c r="V319" s="221"/>
      <c r="W319" s="221"/>
      <c r="X319" s="221"/>
      <c r="Y319" s="221"/>
      <c r="Z319" s="221"/>
    </row>
    <row r="320" customFormat="false" ht="12" hidden="false" customHeight="true" outlineLevel="0" collapsed="false">
      <c r="A320" s="256"/>
      <c r="B320" s="256"/>
      <c r="C320" s="256"/>
      <c r="D320" s="256"/>
      <c r="E320" s="256"/>
      <c r="F320" s="256"/>
      <c r="G320" s="256"/>
      <c r="H320" s="256"/>
      <c r="I320" s="256"/>
      <c r="J320" s="256"/>
      <c r="K320" s="256"/>
      <c r="L320" s="256"/>
      <c r="M320" s="256"/>
      <c r="N320" s="256"/>
      <c r="O320" s="256"/>
      <c r="P320" s="256"/>
      <c r="Q320" s="256"/>
      <c r="R320" s="256"/>
      <c r="S320" s="221"/>
      <c r="T320" s="221"/>
      <c r="U320" s="221"/>
      <c r="V320" s="221"/>
      <c r="W320" s="221"/>
      <c r="X320" s="221"/>
      <c r="Y320" s="221"/>
      <c r="Z320" s="221"/>
    </row>
    <row r="321" customFormat="false" ht="12" hidden="false" customHeight="true" outlineLevel="0" collapsed="false">
      <c r="A321" s="256"/>
      <c r="B321" s="256"/>
      <c r="C321" s="256"/>
      <c r="D321" s="256"/>
      <c r="E321" s="256"/>
      <c r="F321" s="256"/>
      <c r="G321" s="256"/>
      <c r="H321" s="256"/>
      <c r="I321" s="256"/>
      <c r="J321" s="256"/>
      <c r="K321" s="256"/>
      <c r="L321" s="256"/>
      <c r="M321" s="256"/>
      <c r="N321" s="256"/>
      <c r="O321" s="256"/>
      <c r="P321" s="256"/>
      <c r="Q321" s="256"/>
      <c r="R321" s="256"/>
      <c r="S321" s="221"/>
      <c r="T321" s="221"/>
      <c r="U321" s="221"/>
      <c r="V321" s="221"/>
      <c r="W321" s="221"/>
      <c r="X321" s="221"/>
      <c r="Y321" s="221"/>
      <c r="Z321" s="221"/>
    </row>
    <row r="322" customFormat="false" ht="12" hidden="false" customHeight="true" outlineLevel="0" collapsed="false">
      <c r="A322" s="256"/>
      <c r="B322" s="256"/>
      <c r="C322" s="256"/>
      <c r="D322" s="256"/>
      <c r="E322" s="256"/>
      <c r="F322" s="256"/>
      <c r="G322" s="256"/>
      <c r="H322" s="256"/>
      <c r="I322" s="256"/>
      <c r="J322" s="256"/>
      <c r="K322" s="256"/>
      <c r="L322" s="256"/>
      <c r="M322" s="256"/>
      <c r="N322" s="256"/>
      <c r="O322" s="256"/>
      <c r="P322" s="256"/>
      <c r="Q322" s="256"/>
      <c r="R322" s="256"/>
      <c r="S322" s="221"/>
      <c r="T322" s="221"/>
      <c r="U322" s="221"/>
      <c r="V322" s="221"/>
      <c r="W322" s="221"/>
      <c r="X322" s="221"/>
      <c r="Y322" s="221"/>
      <c r="Z322" s="221"/>
    </row>
    <row r="323" customFormat="false" ht="12" hidden="false" customHeight="true" outlineLevel="0" collapsed="false">
      <c r="A323" s="256"/>
      <c r="B323" s="256"/>
      <c r="C323" s="256"/>
      <c r="D323" s="256"/>
      <c r="E323" s="256"/>
      <c r="F323" s="256"/>
      <c r="G323" s="256"/>
      <c r="H323" s="256"/>
      <c r="I323" s="256"/>
      <c r="J323" s="256"/>
      <c r="K323" s="256"/>
      <c r="L323" s="256"/>
      <c r="M323" s="256"/>
      <c r="N323" s="256"/>
      <c r="O323" s="256"/>
      <c r="P323" s="256"/>
      <c r="Q323" s="256"/>
      <c r="R323" s="256"/>
      <c r="S323" s="221"/>
      <c r="T323" s="221"/>
      <c r="U323" s="221"/>
      <c r="V323" s="221"/>
      <c r="W323" s="221"/>
      <c r="X323" s="221"/>
      <c r="Y323" s="221"/>
      <c r="Z323" s="221"/>
    </row>
    <row r="324" customFormat="false" ht="12" hidden="false" customHeight="true" outlineLevel="0" collapsed="false">
      <c r="A324" s="256"/>
      <c r="B324" s="256"/>
      <c r="C324" s="256"/>
      <c r="D324" s="256"/>
      <c r="E324" s="256"/>
      <c r="F324" s="256"/>
      <c r="G324" s="256"/>
      <c r="H324" s="256"/>
      <c r="I324" s="256"/>
      <c r="J324" s="256"/>
      <c r="K324" s="256"/>
      <c r="L324" s="256"/>
      <c r="M324" s="256"/>
      <c r="N324" s="256"/>
      <c r="O324" s="256"/>
      <c r="P324" s="256"/>
      <c r="Q324" s="256"/>
      <c r="R324" s="256"/>
      <c r="S324" s="221"/>
      <c r="T324" s="221"/>
      <c r="U324" s="221"/>
      <c r="V324" s="221"/>
      <c r="W324" s="221"/>
      <c r="X324" s="221"/>
      <c r="Y324" s="221"/>
      <c r="Z324" s="221"/>
    </row>
    <row r="325" customFormat="false" ht="12" hidden="false" customHeight="true" outlineLevel="0" collapsed="false">
      <c r="A325" s="256"/>
      <c r="B325" s="256"/>
      <c r="C325" s="256"/>
      <c r="D325" s="256"/>
      <c r="E325" s="256"/>
      <c r="F325" s="256"/>
      <c r="G325" s="256"/>
      <c r="H325" s="256"/>
      <c r="I325" s="256"/>
      <c r="J325" s="256"/>
      <c r="K325" s="256"/>
      <c r="L325" s="256"/>
      <c r="M325" s="256"/>
      <c r="N325" s="256"/>
      <c r="O325" s="256"/>
      <c r="P325" s="256"/>
      <c r="Q325" s="256"/>
      <c r="R325" s="256"/>
      <c r="S325" s="221"/>
      <c r="T325" s="221"/>
      <c r="U325" s="221"/>
      <c r="V325" s="221"/>
      <c r="W325" s="221"/>
      <c r="X325" s="221"/>
      <c r="Y325" s="221"/>
      <c r="Z325" s="221"/>
    </row>
    <row r="326" customFormat="false" ht="12" hidden="false" customHeight="true" outlineLevel="0" collapsed="false">
      <c r="A326" s="256"/>
      <c r="B326" s="256"/>
      <c r="C326" s="256"/>
      <c r="D326" s="256"/>
      <c r="E326" s="256"/>
      <c r="F326" s="256"/>
      <c r="G326" s="256"/>
      <c r="H326" s="256"/>
      <c r="I326" s="256"/>
      <c r="J326" s="256"/>
      <c r="K326" s="256"/>
      <c r="L326" s="256"/>
      <c r="M326" s="256"/>
      <c r="N326" s="256"/>
      <c r="O326" s="256"/>
      <c r="P326" s="256"/>
      <c r="Q326" s="256"/>
      <c r="R326" s="256"/>
      <c r="S326" s="221"/>
      <c r="T326" s="221"/>
      <c r="U326" s="221"/>
      <c r="V326" s="221"/>
      <c r="W326" s="221"/>
      <c r="X326" s="221"/>
      <c r="Y326" s="221"/>
      <c r="Z326" s="221"/>
    </row>
    <row r="327" customFormat="false" ht="12" hidden="false" customHeight="true" outlineLevel="0" collapsed="false">
      <c r="A327" s="256"/>
      <c r="B327" s="256"/>
      <c r="C327" s="256"/>
      <c r="D327" s="256"/>
      <c r="E327" s="256"/>
      <c r="F327" s="256"/>
      <c r="G327" s="256"/>
      <c r="H327" s="256"/>
      <c r="I327" s="256"/>
      <c r="J327" s="256"/>
      <c r="K327" s="256"/>
      <c r="L327" s="256"/>
      <c r="M327" s="256"/>
      <c r="N327" s="256"/>
      <c r="O327" s="256"/>
      <c r="P327" s="256"/>
      <c r="Q327" s="256"/>
      <c r="R327" s="256"/>
      <c r="S327" s="221"/>
      <c r="T327" s="221"/>
      <c r="U327" s="221"/>
      <c r="V327" s="221"/>
      <c r="W327" s="221"/>
      <c r="X327" s="221"/>
      <c r="Y327" s="221"/>
      <c r="Z327" s="221"/>
    </row>
    <row r="328" customFormat="false" ht="12" hidden="false" customHeight="true" outlineLevel="0" collapsed="false">
      <c r="A328" s="256"/>
      <c r="B328" s="256"/>
      <c r="C328" s="256"/>
      <c r="D328" s="256"/>
      <c r="E328" s="256"/>
      <c r="F328" s="256"/>
      <c r="G328" s="256"/>
      <c r="H328" s="256"/>
      <c r="I328" s="256"/>
      <c r="J328" s="256"/>
      <c r="K328" s="256"/>
      <c r="L328" s="256"/>
      <c r="M328" s="256"/>
      <c r="N328" s="256"/>
      <c r="O328" s="256"/>
      <c r="P328" s="256"/>
      <c r="Q328" s="256"/>
      <c r="R328" s="256"/>
      <c r="S328" s="221"/>
      <c r="T328" s="221"/>
      <c r="U328" s="221"/>
      <c r="V328" s="221"/>
      <c r="W328" s="221"/>
      <c r="X328" s="221"/>
      <c r="Y328" s="221"/>
      <c r="Z328" s="221"/>
    </row>
    <row r="329" customFormat="false" ht="12" hidden="false" customHeight="true" outlineLevel="0" collapsed="false">
      <c r="A329" s="256"/>
      <c r="B329" s="256"/>
      <c r="C329" s="256"/>
      <c r="D329" s="256"/>
      <c r="E329" s="256"/>
      <c r="F329" s="256"/>
      <c r="G329" s="256"/>
      <c r="H329" s="256"/>
      <c r="I329" s="256"/>
      <c r="J329" s="256"/>
      <c r="K329" s="256"/>
      <c r="L329" s="256"/>
      <c r="M329" s="256"/>
      <c r="N329" s="256"/>
      <c r="O329" s="256"/>
      <c r="P329" s="256"/>
      <c r="Q329" s="256"/>
      <c r="R329" s="256"/>
      <c r="S329" s="221"/>
      <c r="T329" s="221"/>
      <c r="U329" s="221"/>
      <c r="V329" s="221"/>
      <c r="W329" s="221"/>
      <c r="X329" s="221"/>
      <c r="Y329" s="221"/>
      <c r="Z329" s="221"/>
    </row>
    <row r="330" customFormat="false" ht="12" hidden="false" customHeight="true" outlineLevel="0" collapsed="false">
      <c r="A330" s="256"/>
      <c r="B330" s="256"/>
      <c r="C330" s="256"/>
      <c r="D330" s="256"/>
      <c r="E330" s="256"/>
      <c r="F330" s="256"/>
      <c r="G330" s="256"/>
      <c r="H330" s="256"/>
      <c r="I330" s="256"/>
      <c r="J330" s="256"/>
      <c r="K330" s="256"/>
      <c r="L330" s="256"/>
      <c r="M330" s="256"/>
      <c r="N330" s="256"/>
      <c r="O330" s="256"/>
      <c r="P330" s="256"/>
      <c r="Q330" s="256"/>
      <c r="R330" s="256"/>
      <c r="S330" s="221"/>
      <c r="T330" s="221"/>
      <c r="U330" s="221"/>
      <c r="V330" s="221"/>
      <c r="W330" s="221"/>
      <c r="X330" s="221"/>
      <c r="Y330" s="221"/>
      <c r="Z330" s="221"/>
    </row>
    <row r="331" customFormat="false" ht="12" hidden="false" customHeight="true" outlineLevel="0" collapsed="false">
      <c r="A331" s="256"/>
      <c r="B331" s="256"/>
      <c r="C331" s="256"/>
      <c r="D331" s="256"/>
      <c r="E331" s="256"/>
      <c r="F331" s="256"/>
      <c r="G331" s="256"/>
      <c r="H331" s="256"/>
      <c r="I331" s="256"/>
      <c r="J331" s="256"/>
      <c r="K331" s="256"/>
      <c r="L331" s="256"/>
      <c r="M331" s="256"/>
      <c r="N331" s="256"/>
      <c r="O331" s="256"/>
      <c r="P331" s="256"/>
      <c r="Q331" s="256"/>
      <c r="R331" s="256"/>
      <c r="S331" s="221"/>
      <c r="T331" s="221"/>
      <c r="U331" s="221"/>
      <c r="V331" s="221"/>
      <c r="W331" s="221"/>
      <c r="X331" s="221"/>
      <c r="Y331" s="221"/>
      <c r="Z331" s="221"/>
    </row>
    <row r="332" customFormat="false" ht="12" hidden="false" customHeight="true" outlineLevel="0" collapsed="false">
      <c r="A332" s="256"/>
      <c r="B332" s="256"/>
      <c r="C332" s="256"/>
      <c r="D332" s="256"/>
      <c r="E332" s="256"/>
      <c r="F332" s="256"/>
      <c r="G332" s="256"/>
      <c r="H332" s="256"/>
      <c r="I332" s="256"/>
      <c r="J332" s="256"/>
      <c r="K332" s="256"/>
      <c r="L332" s="256"/>
      <c r="M332" s="256"/>
      <c r="N332" s="256"/>
      <c r="O332" s="256"/>
      <c r="P332" s="256"/>
      <c r="Q332" s="256"/>
      <c r="R332" s="256"/>
      <c r="S332" s="221"/>
      <c r="T332" s="221"/>
      <c r="U332" s="221"/>
      <c r="V332" s="221"/>
      <c r="W332" s="221"/>
      <c r="X332" s="221"/>
      <c r="Y332" s="221"/>
      <c r="Z332" s="221"/>
    </row>
    <row r="333" customFormat="false" ht="12" hidden="false" customHeight="true" outlineLevel="0" collapsed="false">
      <c r="A333" s="256"/>
      <c r="B333" s="256"/>
      <c r="C333" s="256"/>
      <c r="D333" s="256"/>
      <c r="E333" s="256"/>
      <c r="F333" s="256"/>
      <c r="G333" s="256"/>
      <c r="H333" s="256"/>
      <c r="I333" s="256"/>
      <c r="J333" s="256"/>
      <c r="K333" s="256"/>
      <c r="L333" s="256"/>
      <c r="M333" s="256"/>
      <c r="N333" s="256"/>
      <c r="O333" s="256"/>
      <c r="P333" s="256"/>
      <c r="Q333" s="256"/>
      <c r="R333" s="256"/>
      <c r="S333" s="221"/>
      <c r="T333" s="221"/>
      <c r="U333" s="221"/>
      <c r="V333" s="221"/>
      <c r="W333" s="221"/>
      <c r="X333" s="221"/>
      <c r="Y333" s="221"/>
      <c r="Z333" s="221"/>
    </row>
    <row r="334" customFormat="false" ht="12" hidden="false" customHeight="true" outlineLevel="0" collapsed="false">
      <c r="A334" s="256"/>
      <c r="B334" s="256"/>
      <c r="C334" s="256"/>
      <c r="D334" s="256"/>
      <c r="E334" s="256"/>
      <c r="F334" s="256"/>
      <c r="G334" s="256"/>
      <c r="H334" s="256"/>
      <c r="I334" s="256"/>
      <c r="J334" s="256"/>
      <c r="K334" s="256"/>
      <c r="L334" s="256"/>
      <c r="M334" s="256"/>
      <c r="N334" s="256"/>
      <c r="O334" s="256"/>
      <c r="P334" s="256"/>
      <c r="Q334" s="256"/>
      <c r="R334" s="256"/>
      <c r="S334" s="221"/>
      <c r="T334" s="221"/>
      <c r="U334" s="221"/>
      <c r="V334" s="221"/>
      <c r="W334" s="221"/>
      <c r="X334" s="221"/>
      <c r="Y334" s="221"/>
      <c r="Z334" s="221"/>
    </row>
    <row r="335" customFormat="false" ht="12" hidden="false" customHeight="true" outlineLevel="0" collapsed="false">
      <c r="A335" s="256"/>
      <c r="B335" s="256"/>
      <c r="C335" s="256"/>
      <c r="D335" s="256"/>
      <c r="E335" s="256"/>
      <c r="F335" s="256"/>
      <c r="G335" s="256"/>
      <c r="H335" s="256"/>
      <c r="I335" s="256"/>
      <c r="J335" s="256"/>
      <c r="K335" s="256"/>
      <c r="L335" s="256"/>
      <c r="M335" s="256"/>
      <c r="N335" s="256"/>
      <c r="O335" s="256"/>
      <c r="P335" s="256"/>
      <c r="Q335" s="256"/>
      <c r="R335" s="256"/>
      <c r="S335" s="221"/>
      <c r="T335" s="221"/>
      <c r="U335" s="221"/>
      <c r="V335" s="221"/>
      <c r="W335" s="221"/>
      <c r="X335" s="221"/>
      <c r="Y335" s="221"/>
      <c r="Z335" s="221"/>
    </row>
    <row r="336" customFormat="false" ht="12" hidden="false" customHeight="true" outlineLevel="0" collapsed="false">
      <c r="A336" s="256"/>
      <c r="B336" s="256"/>
      <c r="C336" s="256"/>
      <c r="D336" s="256"/>
      <c r="E336" s="256"/>
      <c r="F336" s="256"/>
      <c r="G336" s="256"/>
      <c r="H336" s="256"/>
      <c r="I336" s="256"/>
      <c r="J336" s="256"/>
      <c r="K336" s="256"/>
      <c r="L336" s="256"/>
      <c r="M336" s="256"/>
      <c r="N336" s="256"/>
      <c r="O336" s="256"/>
      <c r="P336" s="256"/>
      <c r="Q336" s="256"/>
      <c r="R336" s="256"/>
      <c r="S336" s="221"/>
      <c r="T336" s="221"/>
      <c r="U336" s="221"/>
      <c r="V336" s="221"/>
      <c r="W336" s="221"/>
      <c r="X336" s="221"/>
      <c r="Y336" s="221"/>
      <c r="Z336" s="221"/>
    </row>
    <row r="337" customFormat="false" ht="12" hidden="false" customHeight="true" outlineLevel="0" collapsed="false">
      <c r="A337" s="256"/>
      <c r="B337" s="256"/>
      <c r="C337" s="256"/>
      <c r="D337" s="256"/>
      <c r="E337" s="256"/>
      <c r="F337" s="256"/>
      <c r="G337" s="256"/>
      <c r="H337" s="256"/>
      <c r="I337" s="256"/>
      <c r="J337" s="256"/>
      <c r="K337" s="256"/>
      <c r="L337" s="256"/>
      <c r="M337" s="256"/>
      <c r="N337" s="256"/>
      <c r="O337" s="256"/>
      <c r="P337" s="256"/>
      <c r="Q337" s="256"/>
      <c r="R337" s="256"/>
      <c r="S337" s="221"/>
      <c r="T337" s="221"/>
      <c r="U337" s="221"/>
      <c r="V337" s="221"/>
      <c r="W337" s="221"/>
      <c r="X337" s="221"/>
      <c r="Y337" s="221"/>
      <c r="Z337" s="221"/>
    </row>
    <row r="338" customFormat="false" ht="12" hidden="false" customHeight="true" outlineLevel="0" collapsed="false">
      <c r="A338" s="256"/>
      <c r="B338" s="256"/>
      <c r="C338" s="256"/>
      <c r="D338" s="256"/>
      <c r="E338" s="256"/>
      <c r="F338" s="256"/>
      <c r="G338" s="256"/>
      <c r="H338" s="256"/>
      <c r="I338" s="256"/>
      <c r="J338" s="256"/>
      <c r="K338" s="256"/>
      <c r="L338" s="256"/>
      <c r="M338" s="256"/>
      <c r="N338" s="256"/>
      <c r="O338" s="256"/>
      <c r="P338" s="256"/>
      <c r="Q338" s="256"/>
      <c r="R338" s="256"/>
      <c r="S338" s="221"/>
      <c r="T338" s="221"/>
      <c r="U338" s="221"/>
      <c r="V338" s="221"/>
      <c r="W338" s="221"/>
      <c r="X338" s="221"/>
      <c r="Y338" s="221"/>
      <c r="Z338" s="221"/>
    </row>
    <row r="339" customFormat="false" ht="12" hidden="false" customHeight="true" outlineLevel="0" collapsed="false">
      <c r="A339" s="256"/>
      <c r="B339" s="256"/>
      <c r="C339" s="256"/>
      <c r="D339" s="256"/>
      <c r="E339" s="256"/>
      <c r="F339" s="256"/>
      <c r="G339" s="256"/>
      <c r="H339" s="256"/>
      <c r="I339" s="256"/>
      <c r="J339" s="256"/>
      <c r="K339" s="256"/>
      <c r="L339" s="256"/>
      <c r="M339" s="256"/>
      <c r="N339" s="256"/>
      <c r="O339" s="256"/>
      <c r="P339" s="256"/>
      <c r="Q339" s="256"/>
      <c r="R339" s="256"/>
      <c r="S339" s="221"/>
      <c r="T339" s="221"/>
      <c r="U339" s="221"/>
      <c r="V339" s="221"/>
      <c r="W339" s="221"/>
      <c r="X339" s="221"/>
      <c r="Y339" s="221"/>
      <c r="Z339" s="221"/>
    </row>
    <row r="340" customFormat="false" ht="12" hidden="false" customHeight="true" outlineLevel="0" collapsed="false">
      <c r="A340" s="256"/>
      <c r="B340" s="256"/>
      <c r="C340" s="256"/>
      <c r="D340" s="256"/>
      <c r="E340" s="256"/>
      <c r="F340" s="256"/>
      <c r="G340" s="256"/>
      <c r="H340" s="256"/>
      <c r="I340" s="256"/>
      <c r="J340" s="256"/>
      <c r="K340" s="256"/>
      <c r="L340" s="256"/>
      <c r="M340" s="256"/>
      <c r="N340" s="256"/>
      <c r="O340" s="256"/>
      <c r="P340" s="256"/>
      <c r="Q340" s="256"/>
      <c r="R340" s="256"/>
      <c r="S340" s="221"/>
      <c r="T340" s="221"/>
      <c r="U340" s="221"/>
      <c r="V340" s="221"/>
      <c r="W340" s="221"/>
      <c r="X340" s="221"/>
      <c r="Y340" s="221"/>
      <c r="Z340" s="221"/>
    </row>
    <row r="341" customFormat="false" ht="12" hidden="false" customHeight="true" outlineLevel="0" collapsed="false">
      <c r="A341" s="256"/>
      <c r="B341" s="256"/>
      <c r="C341" s="256"/>
      <c r="D341" s="256"/>
      <c r="E341" s="256"/>
      <c r="F341" s="256"/>
      <c r="G341" s="256"/>
      <c r="H341" s="256"/>
      <c r="I341" s="256"/>
      <c r="J341" s="256"/>
      <c r="K341" s="256"/>
      <c r="L341" s="256"/>
      <c r="M341" s="256"/>
      <c r="N341" s="256"/>
      <c r="O341" s="256"/>
      <c r="P341" s="256"/>
      <c r="Q341" s="256"/>
      <c r="R341" s="256"/>
      <c r="S341" s="221"/>
      <c r="T341" s="221"/>
      <c r="U341" s="221"/>
      <c r="V341" s="221"/>
      <c r="W341" s="221"/>
      <c r="X341" s="221"/>
      <c r="Y341" s="221"/>
      <c r="Z341" s="221"/>
    </row>
    <row r="342" customFormat="false" ht="12" hidden="false" customHeight="true" outlineLevel="0" collapsed="false">
      <c r="A342" s="256"/>
      <c r="B342" s="256"/>
      <c r="C342" s="256"/>
      <c r="D342" s="256"/>
      <c r="E342" s="256"/>
      <c r="F342" s="256"/>
      <c r="G342" s="256"/>
      <c r="H342" s="256"/>
      <c r="I342" s="256"/>
      <c r="J342" s="256"/>
      <c r="K342" s="256"/>
      <c r="L342" s="256"/>
      <c r="M342" s="256"/>
      <c r="N342" s="256"/>
      <c r="O342" s="256"/>
      <c r="P342" s="256"/>
      <c r="Q342" s="256"/>
      <c r="R342" s="256"/>
      <c r="S342" s="221"/>
      <c r="T342" s="221"/>
      <c r="U342" s="221"/>
      <c r="V342" s="221"/>
      <c r="W342" s="221"/>
      <c r="X342" s="221"/>
      <c r="Y342" s="221"/>
      <c r="Z342" s="221"/>
    </row>
    <row r="343" customFormat="false" ht="12" hidden="false" customHeight="true" outlineLevel="0" collapsed="false">
      <c r="A343" s="256"/>
      <c r="B343" s="256"/>
      <c r="C343" s="256"/>
      <c r="D343" s="256"/>
      <c r="E343" s="256"/>
      <c r="F343" s="256"/>
      <c r="G343" s="256"/>
      <c r="H343" s="256"/>
      <c r="I343" s="256"/>
      <c r="J343" s="256"/>
      <c r="K343" s="256"/>
      <c r="L343" s="256"/>
      <c r="M343" s="256"/>
      <c r="N343" s="256"/>
      <c r="O343" s="256"/>
      <c r="P343" s="256"/>
      <c r="Q343" s="256"/>
      <c r="R343" s="256"/>
      <c r="S343" s="221"/>
      <c r="T343" s="221"/>
      <c r="U343" s="221"/>
      <c r="V343" s="221"/>
      <c r="W343" s="221"/>
      <c r="X343" s="221"/>
      <c r="Y343" s="221"/>
      <c r="Z343" s="221"/>
    </row>
    <row r="344" customFormat="false" ht="12" hidden="false" customHeight="true" outlineLevel="0" collapsed="false">
      <c r="A344" s="256"/>
      <c r="B344" s="256"/>
      <c r="C344" s="256"/>
      <c r="D344" s="256"/>
      <c r="E344" s="256"/>
      <c r="F344" s="256"/>
      <c r="G344" s="256"/>
      <c r="H344" s="256"/>
      <c r="I344" s="256"/>
      <c r="J344" s="256"/>
      <c r="K344" s="256"/>
      <c r="L344" s="256"/>
      <c r="M344" s="256"/>
      <c r="N344" s="256"/>
      <c r="O344" s="256"/>
      <c r="P344" s="256"/>
      <c r="Q344" s="256"/>
      <c r="R344" s="256"/>
      <c r="S344" s="221"/>
      <c r="T344" s="221"/>
      <c r="U344" s="221"/>
      <c r="V344" s="221"/>
      <c r="W344" s="221"/>
      <c r="X344" s="221"/>
      <c r="Y344" s="221"/>
      <c r="Z344" s="221"/>
    </row>
    <row r="345" customFormat="false" ht="12" hidden="false" customHeight="true" outlineLevel="0" collapsed="false">
      <c r="A345" s="256"/>
      <c r="B345" s="256"/>
      <c r="C345" s="256"/>
      <c r="D345" s="256"/>
      <c r="E345" s="256"/>
      <c r="F345" s="256"/>
      <c r="G345" s="256"/>
      <c r="H345" s="256"/>
      <c r="I345" s="256"/>
      <c r="J345" s="256"/>
      <c r="K345" s="256"/>
      <c r="L345" s="256"/>
      <c r="M345" s="256"/>
      <c r="N345" s="256"/>
      <c r="O345" s="256"/>
      <c r="P345" s="256"/>
      <c r="Q345" s="256"/>
      <c r="R345" s="256"/>
      <c r="S345" s="221"/>
      <c r="T345" s="221"/>
      <c r="U345" s="221"/>
      <c r="V345" s="221"/>
      <c r="W345" s="221"/>
      <c r="X345" s="221"/>
      <c r="Y345" s="221"/>
      <c r="Z345" s="221"/>
    </row>
    <row r="346" customFormat="false" ht="12" hidden="false" customHeight="true" outlineLevel="0" collapsed="false">
      <c r="A346" s="256"/>
      <c r="B346" s="256"/>
      <c r="C346" s="256"/>
      <c r="D346" s="256"/>
      <c r="E346" s="256"/>
      <c r="F346" s="256"/>
      <c r="G346" s="256"/>
      <c r="H346" s="256"/>
      <c r="I346" s="256"/>
      <c r="J346" s="256"/>
      <c r="K346" s="256"/>
      <c r="L346" s="256"/>
      <c r="M346" s="256"/>
      <c r="N346" s="256"/>
      <c r="O346" s="256"/>
      <c r="P346" s="256"/>
      <c r="Q346" s="256"/>
      <c r="R346" s="256"/>
      <c r="S346" s="221"/>
      <c r="T346" s="221"/>
      <c r="U346" s="221"/>
      <c r="V346" s="221"/>
      <c r="W346" s="221"/>
      <c r="X346" s="221"/>
      <c r="Y346" s="221"/>
      <c r="Z346" s="221"/>
    </row>
    <row r="347" customFormat="false" ht="12" hidden="false" customHeight="true" outlineLevel="0" collapsed="false">
      <c r="A347" s="256"/>
      <c r="B347" s="256"/>
      <c r="C347" s="256"/>
      <c r="D347" s="256"/>
      <c r="E347" s="256"/>
      <c r="F347" s="256"/>
      <c r="G347" s="256"/>
      <c r="H347" s="256"/>
      <c r="I347" s="256"/>
      <c r="J347" s="256"/>
      <c r="K347" s="256"/>
      <c r="L347" s="256"/>
      <c r="M347" s="256"/>
      <c r="N347" s="256"/>
      <c r="O347" s="256"/>
      <c r="P347" s="256"/>
      <c r="Q347" s="256"/>
      <c r="R347" s="256"/>
      <c r="S347" s="221"/>
      <c r="T347" s="221"/>
      <c r="U347" s="221"/>
      <c r="V347" s="221"/>
      <c r="W347" s="221"/>
      <c r="X347" s="221"/>
      <c r="Y347" s="221"/>
      <c r="Z347" s="221"/>
    </row>
    <row r="348" customFormat="false" ht="12" hidden="false" customHeight="true" outlineLevel="0" collapsed="false">
      <c r="A348" s="256"/>
      <c r="B348" s="256"/>
      <c r="C348" s="256"/>
      <c r="D348" s="256"/>
      <c r="E348" s="256"/>
      <c r="F348" s="256"/>
      <c r="G348" s="256"/>
      <c r="H348" s="256"/>
      <c r="I348" s="256"/>
      <c r="J348" s="256"/>
      <c r="K348" s="256"/>
      <c r="L348" s="256"/>
      <c r="M348" s="256"/>
      <c r="N348" s="256"/>
      <c r="O348" s="256"/>
      <c r="P348" s="256"/>
      <c r="Q348" s="256"/>
      <c r="R348" s="256"/>
      <c r="S348" s="221"/>
      <c r="T348" s="221"/>
      <c r="U348" s="221"/>
      <c r="V348" s="221"/>
      <c r="W348" s="221"/>
      <c r="X348" s="221"/>
      <c r="Y348" s="221"/>
      <c r="Z348" s="221"/>
    </row>
    <row r="349" customFormat="false" ht="12" hidden="false" customHeight="true" outlineLevel="0" collapsed="false">
      <c r="A349" s="256"/>
      <c r="B349" s="256"/>
      <c r="C349" s="256"/>
      <c r="D349" s="256"/>
      <c r="E349" s="256"/>
      <c r="F349" s="256"/>
      <c r="G349" s="256"/>
      <c r="H349" s="256"/>
      <c r="I349" s="256"/>
      <c r="J349" s="256"/>
      <c r="K349" s="256"/>
      <c r="L349" s="256"/>
      <c r="M349" s="256"/>
      <c r="N349" s="256"/>
      <c r="O349" s="256"/>
      <c r="P349" s="256"/>
      <c r="Q349" s="256"/>
      <c r="R349" s="256"/>
      <c r="S349" s="221"/>
      <c r="T349" s="221"/>
      <c r="U349" s="221"/>
      <c r="V349" s="221"/>
      <c r="W349" s="221"/>
      <c r="X349" s="221"/>
      <c r="Y349" s="221"/>
      <c r="Z349" s="221"/>
    </row>
    <row r="350" customFormat="false" ht="12" hidden="false" customHeight="true" outlineLevel="0" collapsed="false">
      <c r="A350" s="256"/>
      <c r="B350" s="256"/>
      <c r="C350" s="256"/>
      <c r="D350" s="256"/>
      <c r="E350" s="256"/>
      <c r="F350" s="256"/>
      <c r="G350" s="256"/>
      <c r="H350" s="256"/>
      <c r="I350" s="256"/>
      <c r="J350" s="256"/>
      <c r="K350" s="256"/>
      <c r="L350" s="256"/>
      <c r="M350" s="256"/>
      <c r="N350" s="256"/>
      <c r="O350" s="256"/>
      <c r="P350" s="256"/>
      <c r="Q350" s="256"/>
      <c r="R350" s="256"/>
      <c r="S350" s="221"/>
      <c r="T350" s="221"/>
      <c r="U350" s="221"/>
      <c r="V350" s="221"/>
      <c r="W350" s="221"/>
      <c r="X350" s="221"/>
      <c r="Y350" s="221"/>
      <c r="Z350" s="221"/>
    </row>
    <row r="351" customFormat="false" ht="12" hidden="false" customHeight="true" outlineLevel="0" collapsed="false">
      <c r="A351" s="256"/>
      <c r="B351" s="256"/>
      <c r="C351" s="256"/>
      <c r="D351" s="256"/>
      <c r="E351" s="256"/>
      <c r="F351" s="256"/>
      <c r="G351" s="256"/>
      <c r="H351" s="256"/>
      <c r="I351" s="256"/>
      <c r="J351" s="256"/>
      <c r="K351" s="256"/>
      <c r="L351" s="256"/>
      <c r="M351" s="256"/>
      <c r="N351" s="256"/>
      <c r="O351" s="256"/>
      <c r="P351" s="256"/>
      <c r="Q351" s="256"/>
      <c r="R351" s="256"/>
      <c r="S351" s="221"/>
      <c r="T351" s="221"/>
      <c r="U351" s="221"/>
      <c r="V351" s="221"/>
      <c r="W351" s="221"/>
      <c r="X351" s="221"/>
      <c r="Y351" s="221"/>
      <c r="Z351" s="221"/>
    </row>
    <row r="352" customFormat="false" ht="12" hidden="false" customHeight="true" outlineLevel="0" collapsed="false">
      <c r="A352" s="256"/>
      <c r="B352" s="256"/>
      <c r="C352" s="256"/>
      <c r="D352" s="256"/>
      <c r="E352" s="256"/>
      <c r="F352" s="256"/>
      <c r="G352" s="256"/>
      <c r="H352" s="256"/>
      <c r="I352" s="256"/>
      <c r="J352" s="256"/>
      <c r="K352" s="256"/>
      <c r="L352" s="256"/>
      <c r="M352" s="256"/>
      <c r="N352" s="256"/>
      <c r="O352" s="256"/>
      <c r="P352" s="256"/>
      <c r="Q352" s="256"/>
      <c r="R352" s="256"/>
      <c r="S352" s="221"/>
      <c r="T352" s="221"/>
      <c r="U352" s="221"/>
      <c r="V352" s="221"/>
      <c r="W352" s="221"/>
      <c r="X352" s="221"/>
      <c r="Y352" s="221"/>
      <c r="Z352" s="221"/>
    </row>
    <row r="353" customFormat="false" ht="12" hidden="false" customHeight="true" outlineLevel="0" collapsed="false">
      <c r="A353" s="256"/>
      <c r="B353" s="256"/>
      <c r="C353" s="256"/>
      <c r="D353" s="256"/>
      <c r="E353" s="256"/>
      <c r="F353" s="256"/>
      <c r="G353" s="256"/>
      <c r="H353" s="256"/>
      <c r="I353" s="256"/>
      <c r="J353" s="256"/>
      <c r="K353" s="256"/>
      <c r="L353" s="256"/>
      <c r="M353" s="256"/>
      <c r="N353" s="256"/>
      <c r="O353" s="256"/>
      <c r="P353" s="256"/>
      <c r="Q353" s="256"/>
      <c r="R353" s="256"/>
      <c r="S353" s="221"/>
      <c r="T353" s="221"/>
      <c r="U353" s="221"/>
      <c r="V353" s="221"/>
      <c r="W353" s="221"/>
      <c r="X353" s="221"/>
      <c r="Y353" s="221"/>
      <c r="Z353" s="221"/>
    </row>
    <row r="354" customFormat="false" ht="12" hidden="false" customHeight="true" outlineLevel="0" collapsed="false">
      <c r="A354" s="256"/>
      <c r="B354" s="256"/>
      <c r="C354" s="256"/>
      <c r="D354" s="256"/>
      <c r="E354" s="256"/>
      <c r="F354" s="256"/>
      <c r="G354" s="256"/>
      <c r="H354" s="256"/>
      <c r="I354" s="256"/>
      <c r="J354" s="256"/>
      <c r="K354" s="256"/>
      <c r="L354" s="256"/>
      <c r="M354" s="256"/>
      <c r="N354" s="256"/>
      <c r="O354" s="256"/>
      <c r="P354" s="256"/>
      <c r="Q354" s="256"/>
      <c r="R354" s="256"/>
      <c r="S354" s="221"/>
      <c r="T354" s="221"/>
      <c r="U354" s="221"/>
      <c r="V354" s="221"/>
      <c r="W354" s="221"/>
      <c r="X354" s="221"/>
      <c r="Y354" s="221"/>
      <c r="Z354" s="221"/>
    </row>
    <row r="355" customFormat="false" ht="12" hidden="false" customHeight="true" outlineLevel="0" collapsed="false">
      <c r="A355" s="256"/>
      <c r="B355" s="256"/>
      <c r="C355" s="256"/>
      <c r="D355" s="256"/>
      <c r="E355" s="256"/>
      <c r="F355" s="256"/>
      <c r="G355" s="256"/>
      <c r="H355" s="256"/>
      <c r="I355" s="256"/>
      <c r="J355" s="256"/>
      <c r="K355" s="256"/>
      <c r="L355" s="256"/>
      <c r="M355" s="256"/>
      <c r="N355" s="256"/>
      <c r="O355" s="256"/>
      <c r="P355" s="256"/>
      <c r="Q355" s="256"/>
      <c r="R355" s="256"/>
      <c r="S355" s="221"/>
      <c r="T355" s="221"/>
      <c r="U355" s="221"/>
      <c r="V355" s="221"/>
      <c r="W355" s="221"/>
      <c r="X355" s="221"/>
      <c r="Y355" s="221"/>
      <c r="Z355" s="221"/>
    </row>
    <row r="356" customFormat="false" ht="12" hidden="false" customHeight="true" outlineLevel="0" collapsed="false">
      <c r="A356" s="256"/>
      <c r="B356" s="256"/>
      <c r="C356" s="256"/>
      <c r="D356" s="256"/>
      <c r="E356" s="256"/>
      <c r="F356" s="256"/>
      <c r="G356" s="256"/>
      <c r="H356" s="256"/>
      <c r="I356" s="256"/>
      <c r="J356" s="256"/>
      <c r="K356" s="256"/>
      <c r="L356" s="256"/>
      <c r="M356" s="256"/>
      <c r="N356" s="256"/>
      <c r="O356" s="256"/>
      <c r="P356" s="256"/>
      <c r="Q356" s="256"/>
      <c r="R356" s="256"/>
      <c r="S356" s="221"/>
      <c r="T356" s="221"/>
      <c r="U356" s="221"/>
      <c r="V356" s="221"/>
      <c r="W356" s="221"/>
      <c r="X356" s="221"/>
      <c r="Y356" s="221"/>
      <c r="Z356" s="221"/>
    </row>
    <row r="357" customFormat="false" ht="12" hidden="false" customHeight="true" outlineLevel="0" collapsed="false">
      <c r="A357" s="256"/>
      <c r="B357" s="256"/>
      <c r="C357" s="256"/>
      <c r="D357" s="256"/>
      <c r="E357" s="256"/>
      <c r="F357" s="256"/>
      <c r="G357" s="256"/>
      <c r="H357" s="256"/>
      <c r="I357" s="256"/>
      <c r="J357" s="256"/>
      <c r="K357" s="256"/>
      <c r="L357" s="256"/>
      <c r="M357" s="256"/>
      <c r="N357" s="256"/>
      <c r="O357" s="256"/>
      <c r="P357" s="256"/>
      <c r="Q357" s="256"/>
      <c r="R357" s="256"/>
      <c r="S357" s="221"/>
      <c r="T357" s="221"/>
      <c r="U357" s="221"/>
      <c r="V357" s="221"/>
      <c r="W357" s="221"/>
      <c r="X357" s="221"/>
      <c r="Y357" s="221"/>
      <c r="Z357" s="221"/>
    </row>
    <row r="358" customFormat="false" ht="12" hidden="false" customHeight="true" outlineLevel="0" collapsed="false">
      <c r="A358" s="256"/>
      <c r="B358" s="256"/>
      <c r="C358" s="256"/>
      <c r="D358" s="256"/>
      <c r="E358" s="256"/>
      <c r="F358" s="256"/>
      <c r="G358" s="256"/>
      <c r="H358" s="256"/>
      <c r="I358" s="256"/>
      <c r="J358" s="256"/>
      <c r="K358" s="256"/>
      <c r="L358" s="256"/>
      <c r="M358" s="256"/>
      <c r="N358" s="256"/>
      <c r="O358" s="256"/>
      <c r="P358" s="256"/>
      <c r="Q358" s="256"/>
      <c r="R358" s="256"/>
      <c r="S358" s="221"/>
      <c r="T358" s="221"/>
      <c r="U358" s="221"/>
      <c r="V358" s="221"/>
      <c r="W358" s="221"/>
      <c r="X358" s="221"/>
      <c r="Y358" s="221"/>
      <c r="Z358" s="221"/>
    </row>
    <row r="359" customFormat="false" ht="12" hidden="false" customHeight="true" outlineLevel="0" collapsed="false">
      <c r="A359" s="256"/>
      <c r="B359" s="256"/>
      <c r="C359" s="256"/>
      <c r="D359" s="256"/>
      <c r="E359" s="256"/>
      <c r="F359" s="256"/>
      <c r="G359" s="256"/>
      <c r="H359" s="256"/>
      <c r="I359" s="256"/>
      <c r="J359" s="256"/>
      <c r="K359" s="256"/>
      <c r="L359" s="256"/>
      <c r="M359" s="256"/>
      <c r="N359" s="256"/>
      <c r="O359" s="256"/>
      <c r="P359" s="256"/>
      <c r="Q359" s="256"/>
      <c r="R359" s="256"/>
      <c r="S359" s="221"/>
      <c r="T359" s="221"/>
      <c r="U359" s="221"/>
      <c r="V359" s="221"/>
      <c r="W359" s="221"/>
      <c r="X359" s="221"/>
      <c r="Y359" s="221"/>
      <c r="Z359" s="221"/>
    </row>
    <row r="360" customFormat="false" ht="12" hidden="false" customHeight="true" outlineLevel="0" collapsed="false">
      <c r="A360" s="256"/>
      <c r="B360" s="256"/>
      <c r="C360" s="256"/>
      <c r="D360" s="256"/>
      <c r="E360" s="256"/>
      <c r="F360" s="256"/>
      <c r="G360" s="256"/>
      <c r="H360" s="256"/>
      <c r="I360" s="256"/>
      <c r="J360" s="256"/>
      <c r="K360" s="256"/>
      <c r="L360" s="256"/>
      <c r="M360" s="256"/>
      <c r="N360" s="256"/>
      <c r="O360" s="256"/>
      <c r="P360" s="256"/>
      <c r="Q360" s="256"/>
      <c r="R360" s="256"/>
      <c r="S360" s="221"/>
      <c r="T360" s="221"/>
      <c r="U360" s="221"/>
      <c r="V360" s="221"/>
      <c r="W360" s="221"/>
      <c r="X360" s="221"/>
      <c r="Y360" s="221"/>
      <c r="Z360" s="221"/>
    </row>
    <row r="361" customFormat="false" ht="12" hidden="false" customHeight="true" outlineLevel="0" collapsed="false">
      <c r="A361" s="256"/>
      <c r="B361" s="256"/>
      <c r="C361" s="256"/>
      <c r="D361" s="256"/>
      <c r="E361" s="256"/>
      <c r="F361" s="256"/>
      <c r="G361" s="256"/>
      <c r="H361" s="256"/>
      <c r="I361" s="256"/>
      <c r="J361" s="256"/>
      <c r="K361" s="256"/>
      <c r="L361" s="256"/>
      <c r="M361" s="256"/>
      <c r="N361" s="256"/>
      <c r="O361" s="256"/>
      <c r="P361" s="256"/>
      <c r="Q361" s="256"/>
      <c r="R361" s="256"/>
      <c r="S361" s="221"/>
      <c r="T361" s="221"/>
      <c r="U361" s="221"/>
      <c r="V361" s="221"/>
      <c r="W361" s="221"/>
      <c r="X361" s="221"/>
      <c r="Y361" s="221"/>
      <c r="Z361" s="221"/>
    </row>
    <row r="362" customFormat="false" ht="12" hidden="false" customHeight="true" outlineLevel="0" collapsed="false">
      <c r="A362" s="256"/>
      <c r="B362" s="256"/>
      <c r="C362" s="256"/>
      <c r="D362" s="256"/>
      <c r="E362" s="256"/>
      <c r="F362" s="256"/>
      <c r="G362" s="256"/>
      <c r="H362" s="256"/>
      <c r="I362" s="256"/>
      <c r="J362" s="256"/>
      <c r="K362" s="256"/>
      <c r="L362" s="256"/>
      <c r="M362" s="256"/>
      <c r="N362" s="256"/>
      <c r="O362" s="256"/>
      <c r="P362" s="256"/>
      <c r="Q362" s="256"/>
      <c r="R362" s="256"/>
      <c r="S362" s="221"/>
      <c r="T362" s="221"/>
      <c r="U362" s="221"/>
      <c r="V362" s="221"/>
      <c r="W362" s="221"/>
      <c r="X362" s="221"/>
      <c r="Y362" s="221"/>
      <c r="Z362" s="221"/>
    </row>
    <row r="363" customFormat="false" ht="12" hidden="false" customHeight="true" outlineLevel="0" collapsed="false">
      <c r="A363" s="256"/>
      <c r="B363" s="256"/>
      <c r="C363" s="256"/>
      <c r="D363" s="256"/>
      <c r="E363" s="256"/>
      <c r="F363" s="256"/>
      <c r="G363" s="256"/>
      <c r="H363" s="256"/>
      <c r="I363" s="256"/>
      <c r="J363" s="256"/>
      <c r="K363" s="256"/>
      <c r="L363" s="256"/>
      <c r="M363" s="256"/>
      <c r="N363" s="256"/>
      <c r="O363" s="256"/>
      <c r="P363" s="256"/>
      <c r="Q363" s="256"/>
      <c r="R363" s="256"/>
      <c r="S363" s="221"/>
      <c r="T363" s="221"/>
      <c r="U363" s="221"/>
      <c r="V363" s="221"/>
      <c r="W363" s="221"/>
      <c r="X363" s="221"/>
      <c r="Y363" s="221"/>
      <c r="Z363" s="221"/>
    </row>
    <row r="364" customFormat="false" ht="12" hidden="false" customHeight="true" outlineLevel="0" collapsed="false">
      <c r="A364" s="256"/>
      <c r="B364" s="256"/>
      <c r="C364" s="256"/>
      <c r="D364" s="256"/>
      <c r="E364" s="256"/>
      <c r="F364" s="256"/>
      <c r="G364" s="256"/>
      <c r="H364" s="256"/>
      <c r="I364" s="256"/>
      <c r="J364" s="256"/>
      <c r="K364" s="256"/>
      <c r="L364" s="256"/>
      <c r="M364" s="256"/>
      <c r="N364" s="256"/>
      <c r="O364" s="256"/>
      <c r="P364" s="256"/>
      <c r="Q364" s="256"/>
      <c r="R364" s="256"/>
      <c r="S364" s="221"/>
      <c r="T364" s="221"/>
      <c r="U364" s="221"/>
      <c r="V364" s="221"/>
      <c r="W364" s="221"/>
      <c r="X364" s="221"/>
      <c r="Y364" s="221"/>
      <c r="Z364" s="221"/>
    </row>
    <row r="365" customFormat="false" ht="12" hidden="false" customHeight="true" outlineLevel="0" collapsed="false">
      <c r="A365" s="256"/>
      <c r="B365" s="256"/>
      <c r="C365" s="256"/>
      <c r="D365" s="256"/>
      <c r="E365" s="256"/>
      <c r="F365" s="256"/>
      <c r="G365" s="256"/>
      <c r="H365" s="256"/>
      <c r="I365" s="256"/>
      <c r="J365" s="256"/>
      <c r="K365" s="256"/>
      <c r="L365" s="256"/>
      <c r="M365" s="256"/>
      <c r="N365" s="256"/>
      <c r="O365" s="256"/>
      <c r="P365" s="256"/>
      <c r="Q365" s="256"/>
      <c r="R365" s="256"/>
      <c r="S365" s="221"/>
      <c r="T365" s="221"/>
      <c r="U365" s="221"/>
      <c r="V365" s="221"/>
      <c r="W365" s="221"/>
      <c r="X365" s="221"/>
      <c r="Y365" s="221"/>
      <c r="Z365" s="221"/>
    </row>
    <row r="366" customFormat="false" ht="12" hidden="false" customHeight="true" outlineLevel="0" collapsed="false">
      <c r="A366" s="256"/>
      <c r="B366" s="256"/>
      <c r="C366" s="256"/>
      <c r="D366" s="256"/>
      <c r="E366" s="256"/>
      <c r="F366" s="256"/>
      <c r="G366" s="256"/>
      <c r="H366" s="256"/>
      <c r="I366" s="256"/>
      <c r="J366" s="256"/>
      <c r="K366" s="256"/>
      <c r="L366" s="256"/>
      <c r="M366" s="256"/>
      <c r="N366" s="256"/>
      <c r="O366" s="256"/>
      <c r="P366" s="256"/>
      <c r="Q366" s="256"/>
      <c r="R366" s="256"/>
      <c r="S366" s="221"/>
      <c r="T366" s="221"/>
      <c r="U366" s="221"/>
      <c r="V366" s="221"/>
      <c r="W366" s="221"/>
      <c r="X366" s="221"/>
      <c r="Y366" s="221"/>
      <c r="Z366" s="221"/>
    </row>
    <row r="367" customFormat="false" ht="12" hidden="false" customHeight="true" outlineLevel="0" collapsed="false">
      <c r="A367" s="256"/>
      <c r="B367" s="256"/>
      <c r="C367" s="256"/>
      <c r="D367" s="256"/>
      <c r="E367" s="256"/>
      <c r="F367" s="256"/>
      <c r="G367" s="256"/>
      <c r="H367" s="256"/>
      <c r="I367" s="256"/>
      <c r="J367" s="256"/>
      <c r="K367" s="256"/>
      <c r="L367" s="256"/>
      <c r="M367" s="256"/>
      <c r="N367" s="256"/>
      <c r="O367" s="256"/>
      <c r="P367" s="256"/>
      <c r="Q367" s="256"/>
      <c r="R367" s="256"/>
      <c r="S367" s="221"/>
      <c r="T367" s="221"/>
      <c r="U367" s="221"/>
      <c r="V367" s="221"/>
      <c r="W367" s="221"/>
      <c r="X367" s="221"/>
      <c r="Y367" s="221"/>
      <c r="Z367" s="221"/>
    </row>
    <row r="368" customFormat="false" ht="12" hidden="false" customHeight="true" outlineLevel="0" collapsed="false">
      <c r="A368" s="256"/>
      <c r="B368" s="256"/>
      <c r="C368" s="256"/>
      <c r="D368" s="256"/>
      <c r="E368" s="256"/>
      <c r="F368" s="256"/>
      <c r="G368" s="256"/>
      <c r="H368" s="256"/>
      <c r="I368" s="256"/>
      <c r="J368" s="256"/>
      <c r="K368" s="256"/>
      <c r="L368" s="256"/>
      <c r="M368" s="256"/>
      <c r="N368" s="256"/>
      <c r="O368" s="256"/>
      <c r="P368" s="256"/>
      <c r="Q368" s="256"/>
      <c r="R368" s="256"/>
      <c r="S368" s="221"/>
      <c r="T368" s="221"/>
      <c r="U368" s="221"/>
      <c r="V368" s="221"/>
      <c r="W368" s="221"/>
      <c r="X368" s="221"/>
      <c r="Y368" s="221"/>
      <c r="Z368" s="221"/>
    </row>
    <row r="369" customFormat="false" ht="12" hidden="false" customHeight="true" outlineLevel="0" collapsed="false">
      <c r="A369" s="256"/>
      <c r="B369" s="256"/>
      <c r="C369" s="256"/>
      <c r="D369" s="256"/>
      <c r="E369" s="256"/>
      <c r="F369" s="256"/>
      <c r="G369" s="256"/>
      <c r="H369" s="256"/>
      <c r="I369" s="256"/>
      <c r="J369" s="256"/>
      <c r="K369" s="256"/>
      <c r="L369" s="256"/>
      <c r="M369" s="256"/>
      <c r="N369" s="256"/>
      <c r="O369" s="256"/>
      <c r="P369" s="256"/>
      <c r="Q369" s="256"/>
      <c r="R369" s="256"/>
      <c r="S369" s="221"/>
      <c r="T369" s="221"/>
      <c r="U369" s="221"/>
      <c r="V369" s="221"/>
      <c r="W369" s="221"/>
      <c r="X369" s="221"/>
      <c r="Y369" s="221"/>
      <c r="Z369" s="221"/>
    </row>
    <row r="370" customFormat="false" ht="12" hidden="false" customHeight="true" outlineLevel="0" collapsed="false">
      <c r="A370" s="256"/>
      <c r="B370" s="256"/>
      <c r="C370" s="256"/>
      <c r="D370" s="256"/>
      <c r="E370" s="256"/>
      <c r="F370" s="256"/>
      <c r="G370" s="256"/>
      <c r="H370" s="256"/>
      <c r="I370" s="256"/>
      <c r="J370" s="256"/>
      <c r="K370" s="256"/>
      <c r="L370" s="256"/>
      <c r="M370" s="256"/>
      <c r="N370" s="256"/>
      <c r="O370" s="256"/>
      <c r="P370" s="256"/>
      <c r="Q370" s="256"/>
      <c r="R370" s="256"/>
      <c r="S370" s="221"/>
      <c r="T370" s="221"/>
      <c r="U370" s="221"/>
      <c r="V370" s="221"/>
      <c r="W370" s="221"/>
      <c r="X370" s="221"/>
      <c r="Y370" s="221"/>
      <c r="Z370" s="221"/>
    </row>
    <row r="371" customFormat="false" ht="12" hidden="false" customHeight="true" outlineLevel="0" collapsed="false">
      <c r="A371" s="256"/>
      <c r="B371" s="256"/>
      <c r="C371" s="256"/>
      <c r="D371" s="256"/>
      <c r="E371" s="256"/>
      <c r="F371" s="256"/>
      <c r="G371" s="256"/>
      <c r="H371" s="256"/>
      <c r="I371" s="256"/>
      <c r="J371" s="256"/>
      <c r="K371" s="256"/>
      <c r="L371" s="256"/>
      <c r="M371" s="256"/>
      <c r="N371" s="256"/>
      <c r="O371" s="256"/>
      <c r="P371" s="256"/>
      <c r="Q371" s="256"/>
      <c r="R371" s="256"/>
      <c r="S371" s="221"/>
      <c r="T371" s="221"/>
      <c r="U371" s="221"/>
      <c r="V371" s="221"/>
      <c r="W371" s="221"/>
      <c r="X371" s="221"/>
      <c r="Y371" s="221"/>
      <c r="Z371" s="221"/>
    </row>
    <row r="372" customFormat="false" ht="12" hidden="false" customHeight="true" outlineLevel="0" collapsed="false">
      <c r="A372" s="256"/>
      <c r="B372" s="256"/>
      <c r="C372" s="256"/>
      <c r="D372" s="256"/>
      <c r="E372" s="256"/>
      <c r="F372" s="256"/>
      <c r="G372" s="256"/>
      <c r="H372" s="256"/>
      <c r="I372" s="256"/>
      <c r="J372" s="256"/>
      <c r="K372" s="256"/>
      <c r="L372" s="256"/>
      <c r="M372" s="256"/>
      <c r="N372" s="256"/>
      <c r="O372" s="256"/>
      <c r="P372" s="256"/>
      <c r="Q372" s="256"/>
      <c r="R372" s="256"/>
      <c r="S372" s="221"/>
      <c r="T372" s="221"/>
      <c r="U372" s="221"/>
      <c r="V372" s="221"/>
      <c r="W372" s="221"/>
      <c r="X372" s="221"/>
      <c r="Y372" s="221"/>
      <c r="Z372" s="221"/>
    </row>
    <row r="373" customFormat="false" ht="12" hidden="false" customHeight="true" outlineLevel="0" collapsed="false">
      <c r="A373" s="256"/>
      <c r="B373" s="256"/>
      <c r="C373" s="256"/>
      <c r="D373" s="256"/>
      <c r="E373" s="256"/>
      <c r="F373" s="256"/>
      <c r="G373" s="256"/>
      <c r="H373" s="256"/>
      <c r="I373" s="256"/>
      <c r="J373" s="256"/>
      <c r="K373" s="256"/>
      <c r="L373" s="256"/>
      <c r="M373" s="256"/>
      <c r="N373" s="256"/>
      <c r="O373" s="256"/>
      <c r="P373" s="256"/>
      <c r="Q373" s="256"/>
      <c r="R373" s="256"/>
      <c r="S373" s="221"/>
      <c r="T373" s="221"/>
      <c r="U373" s="221"/>
      <c r="V373" s="221"/>
      <c r="W373" s="221"/>
      <c r="X373" s="221"/>
      <c r="Y373" s="221"/>
      <c r="Z373" s="221"/>
    </row>
    <row r="374" customFormat="false" ht="12" hidden="false" customHeight="true" outlineLevel="0" collapsed="false">
      <c r="A374" s="256"/>
      <c r="B374" s="256"/>
      <c r="C374" s="256"/>
      <c r="D374" s="256"/>
      <c r="E374" s="256"/>
      <c r="F374" s="256"/>
      <c r="G374" s="256"/>
      <c r="H374" s="256"/>
      <c r="I374" s="256"/>
      <c r="J374" s="256"/>
      <c r="K374" s="256"/>
      <c r="L374" s="256"/>
      <c r="M374" s="256"/>
      <c r="N374" s="256"/>
      <c r="O374" s="256"/>
      <c r="P374" s="256"/>
      <c r="Q374" s="256"/>
      <c r="R374" s="256"/>
      <c r="S374" s="221"/>
      <c r="T374" s="221"/>
      <c r="U374" s="221"/>
      <c r="V374" s="221"/>
      <c r="W374" s="221"/>
      <c r="X374" s="221"/>
      <c r="Y374" s="221"/>
      <c r="Z374" s="221"/>
    </row>
    <row r="375" customFormat="false" ht="12" hidden="false" customHeight="true" outlineLevel="0" collapsed="false">
      <c r="A375" s="256"/>
      <c r="B375" s="256"/>
      <c r="C375" s="256"/>
      <c r="D375" s="256"/>
      <c r="E375" s="256"/>
      <c r="F375" s="256"/>
      <c r="G375" s="256"/>
      <c r="H375" s="256"/>
      <c r="I375" s="256"/>
      <c r="J375" s="256"/>
      <c r="K375" s="256"/>
      <c r="L375" s="256"/>
      <c r="M375" s="256"/>
      <c r="N375" s="256"/>
      <c r="O375" s="256"/>
      <c r="P375" s="256"/>
      <c r="Q375" s="256"/>
      <c r="R375" s="256"/>
      <c r="S375" s="221"/>
      <c r="T375" s="221"/>
      <c r="U375" s="221"/>
      <c r="V375" s="221"/>
      <c r="W375" s="221"/>
      <c r="X375" s="221"/>
      <c r="Y375" s="221"/>
      <c r="Z375" s="221"/>
    </row>
    <row r="376" customFormat="false" ht="12" hidden="false" customHeight="true" outlineLevel="0" collapsed="false">
      <c r="A376" s="256"/>
      <c r="B376" s="256"/>
      <c r="C376" s="256"/>
      <c r="D376" s="256"/>
      <c r="E376" s="256"/>
      <c r="F376" s="256"/>
      <c r="G376" s="256"/>
      <c r="H376" s="256"/>
      <c r="I376" s="256"/>
      <c r="J376" s="256"/>
      <c r="K376" s="256"/>
      <c r="L376" s="256"/>
      <c r="M376" s="256"/>
      <c r="N376" s="256"/>
      <c r="O376" s="256"/>
      <c r="P376" s="256"/>
      <c r="Q376" s="256"/>
      <c r="R376" s="256"/>
      <c r="S376" s="221"/>
      <c r="T376" s="221"/>
      <c r="U376" s="221"/>
      <c r="V376" s="221"/>
      <c r="W376" s="221"/>
      <c r="X376" s="221"/>
      <c r="Y376" s="221"/>
      <c r="Z376" s="221"/>
    </row>
    <row r="377" customFormat="false" ht="12" hidden="false" customHeight="true" outlineLevel="0" collapsed="false">
      <c r="A377" s="256"/>
      <c r="B377" s="256"/>
      <c r="C377" s="256"/>
      <c r="D377" s="256"/>
      <c r="E377" s="256"/>
      <c r="F377" s="256"/>
      <c r="G377" s="256"/>
      <c r="H377" s="256"/>
      <c r="I377" s="256"/>
      <c r="J377" s="256"/>
      <c r="K377" s="256"/>
      <c r="L377" s="256"/>
      <c r="M377" s="256"/>
      <c r="N377" s="256"/>
      <c r="O377" s="256"/>
      <c r="P377" s="256"/>
      <c r="Q377" s="256"/>
      <c r="R377" s="256"/>
      <c r="S377" s="221"/>
      <c r="T377" s="221"/>
      <c r="U377" s="221"/>
      <c r="V377" s="221"/>
      <c r="W377" s="221"/>
      <c r="X377" s="221"/>
      <c r="Y377" s="221"/>
      <c r="Z377" s="221"/>
    </row>
    <row r="378" customFormat="false" ht="12" hidden="false" customHeight="true" outlineLevel="0" collapsed="false">
      <c r="A378" s="256"/>
      <c r="B378" s="256"/>
      <c r="C378" s="256"/>
      <c r="D378" s="256"/>
      <c r="E378" s="256"/>
      <c r="F378" s="256"/>
      <c r="G378" s="256"/>
      <c r="H378" s="256"/>
      <c r="I378" s="256"/>
      <c r="J378" s="256"/>
      <c r="K378" s="256"/>
      <c r="L378" s="256"/>
      <c r="M378" s="256"/>
      <c r="N378" s="256"/>
      <c r="O378" s="256"/>
      <c r="P378" s="256"/>
      <c r="Q378" s="256"/>
      <c r="R378" s="256"/>
      <c r="S378" s="221"/>
      <c r="T378" s="221"/>
      <c r="U378" s="221"/>
      <c r="V378" s="221"/>
      <c r="W378" s="221"/>
      <c r="X378" s="221"/>
      <c r="Y378" s="221"/>
      <c r="Z378" s="221"/>
    </row>
    <row r="379" customFormat="false" ht="12" hidden="false" customHeight="true" outlineLevel="0" collapsed="false">
      <c r="A379" s="256"/>
      <c r="B379" s="256"/>
      <c r="C379" s="256"/>
      <c r="D379" s="256"/>
      <c r="E379" s="256"/>
      <c r="F379" s="256"/>
      <c r="G379" s="256"/>
      <c r="H379" s="256"/>
      <c r="I379" s="256"/>
      <c r="J379" s="256"/>
      <c r="K379" s="256"/>
      <c r="L379" s="256"/>
      <c r="M379" s="256"/>
      <c r="N379" s="256"/>
      <c r="O379" s="256"/>
      <c r="P379" s="256"/>
      <c r="Q379" s="256"/>
      <c r="R379" s="256"/>
      <c r="S379" s="221"/>
      <c r="T379" s="221"/>
      <c r="U379" s="221"/>
      <c r="V379" s="221"/>
      <c r="W379" s="221"/>
      <c r="X379" s="221"/>
      <c r="Y379" s="221"/>
      <c r="Z379" s="221"/>
    </row>
    <row r="380" customFormat="false" ht="12" hidden="false" customHeight="true" outlineLevel="0" collapsed="false">
      <c r="A380" s="256"/>
      <c r="B380" s="256"/>
      <c r="C380" s="256"/>
      <c r="D380" s="256"/>
      <c r="E380" s="256"/>
      <c r="F380" s="256"/>
      <c r="G380" s="256"/>
      <c r="H380" s="256"/>
      <c r="I380" s="256"/>
      <c r="J380" s="256"/>
      <c r="K380" s="256"/>
      <c r="L380" s="256"/>
      <c r="M380" s="256"/>
      <c r="N380" s="256"/>
      <c r="O380" s="256"/>
      <c r="P380" s="256"/>
      <c r="Q380" s="256"/>
      <c r="R380" s="256"/>
      <c r="S380" s="221"/>
      <c r="T380" s="221"/>
      <c r="U380" s="221"/>
      <c r="V380" s="221"/>
      <c r="W380" s="221"/>
      <c r="X380" s="221"/>
      <c r="Y380" s="221"/>
      <c r="Z380" s="221"/>
    </row>
    <row r="381" customFormat="false" ht="12" hidden="false" customHeight="true" outlineLevel="0" collapsed="false">
      <c r="A381" s="256"/>
      <c r="B381" s="256"/>
      <c r="C381" s="256"/>
      <c r="D381" s="256"/>
      <c r="E381" s="256"/>
      <c r="F381" s="256"/>
      <c r="G381" s="256"/>
      <c r="H381" s="256"/>
      <c r="I381" s="256"/>
      <c r="J381" s="256"/>
      <c r="K381" s="256"/>
      <c r="L381" s="256"/>
      <c r="M381" s="256"/>
      <c r="N381" s="256"/>
      <c r="O381" s="256"/>
      <c r="P381" s="256"/>
      <c r="Q381" s="256"/>
      <c r="R381" s="256"/>
      <c r="S381" s="221"/>
      <c r="T381" s="221"/>
      <c r="U381" s="221"/>
      <c r="V381" s="221"/>
      <c r="W381" s="221"/>
      <c r="X381" s="221"/>
      <c r="Y381" s="221"/>
      <c r="Z381" s="221"/>
    </row>
    <row r="382" customFormat="false" ht="12" hidden="false" customHeight="true" outlineLevel="0" collapsed="false">
      <c r="A382" s="256"/>
      <c r="B382" s="256"/>
      <c r="C382" s="256"/>
      <c r="D382" s="256"/>
      <c r="E382" s="256"/>
      <c r="F382" s="256"/>
      <c r="G382" s="256"/>
      <c r="H382" s="256"/>
      <c r="I382" s="256"/>
      <c r="J382" s="256"/>
      <c r="K382" s="256"/>
      <c r="L382" s="256"/>
      <c r="M382" s="256"/>
      <c r="N382" s="256"/>
      <c r="O382" s="256"/>
      <c r="P382" s="256"/>
      <c r="Q382" s="256"/>
      <c r="R382" s="256"/>
      <c r="S382" s="221"/>
      <c r="T382" s="221"/>
      <c r="U382" s="221"/>
      <c r="V382" s="221"/>
      <c r="W382" s="221"/>
      <c r="X382" s="221"/>
      <c r="Y382" s="221"/>
      <c r="Z382" s="221"/>
    </row>
    <row r="383" customFormat="false" ht="12" hidden="false" customHeight="true" outlineLevel="0" collapsed="false">
      <c r="A383" s="256"/>
      <c r="B383" s="256"/>
      <c r="C383" s="256"/>
      <c r="D383" s="256"/>
      <c r="E383" s="256"/>
      <c r="F383" s="256"/>
      <c r="G383" s="256"/>
      <c r="H383" s="256"/>
      <c r="I383" s="256"/>
      <c r="J383" s="256"/>
      <c r="K383" s="256"/>
      <c r="L383" s="256"/>
      <c r="M383" s="256"/>
      <c r="N383" s="256"/>
      <c r="O383" s="256"/>
      <c r="P383" s="256"/>
      <c r="Q383" s="256"/>
      <c r="R383" s="256"/>
      <c r="S383" s="221"/>
      <c r="T383" s="221"/>
      <c r="U383" s="221"/>
      <c r="V383" s="221"/>
      <c r="W383" s="221"/>
      <c r="X383" s="221"/>
      <c r="Y383" s="221"/>
      <c r="Z383" s="221"/>
    </row>
    <row r="384" customFormat="false" ht="12" hidden="false" customHeight="true" outlineLevel="0" collapsed="false">
      <c r="A384" s="256"/>
      <c r="B384" s="256"/>
      <c r="C384" s="256"/>
      <c r="D384" s="256"/>
      <c r="E384" s="256"/>
      <c r="F384" s="256"/>
      <c r="G384" s="256"/>
      <c r="H384" s="256"/>
      <c r="I384" s="256"/>
      <c r="J384" s="256"/>
      <c r="K384" s="256"/>
      <c r="L384" s="256"/>
      <c r="M384" s="256"/>
      <c r="N384" s="256"/>
      <c r="O384" s="256"/>
      <c r="P384" s="256"/>
      <c r="Q384" s="256"/>
      <c r="R384" s="256"/>
      <c r="S384" s="221"/>
      <c r="T384" s="221"/>
      <c r="U384" s="221"/>
      <c r="V384" s="221"/>
      <c r="W384" s="221"/>
      <c r="X384" s="221"/>
      <c r="Y384" s="221"/>
      <c r="Z384" s="221"/>
    </row>
    <row r="385" customFormat="false" ht="12" hidden="false" customHeight="true" outlineLevel="0" collapsed="false">
      <c r="A385" s="256"/>
      <c r="B385" s="256"/>
      <c r="C385" s="256"/>
      <c r="D385" s="256"/>
      <c r="E385" s="256"/>
      <c r="F385" s="256"/>
      <c r="G385" s="256"/>
      <c r="H385" s="256"/>
      <c r="I385" s="256"/>
      <c r="J385" s="256"/>
      <c r="K385" s="256"/>
      <c r="L385" s="256"/>
      <c r="M385" s="256"/>
      <c r="N385" s="256"/>
      <c r="O385" s="256"/>
      <c r="P385" s="256"/>
      <c r="Q385" s="256"/>
      <c r="R385" s="256"/>
      <c r="S385" s="221"/>
      <c r="T385" s="221"/>
      <c r="U385" s="221"/>
      <c r="V385" s="221"/>
      <c r="W385" s="221"/>
      <c r="X385" s="221"/>
      <c r="Y385" s="221"/>
      <c r="Z385" s="221"/>
    </row>
    <row r="386" customFormat="false" ht="12" hidden="false" customHeight="true" outlineLevel="0" collapsed="false">
      <c r="A386" s="256"/>
      <c r="B386" s="256"/>
      <c r="C386" s="256"/>
      <c r="D386" s="256"/>
      <c r="E386" s="256"/>
      <c r="F386" s="256"/>
      <c r="G386" s="256"/>
      <c r="H386" s="256"/>
      <c r="I386" s="256"/>
      <c r="J386" s="256"/>
      <c r="K386" s="256"/>
      <c r="L386" s="256"/>
      <c r="M386" s="256"/>
      <c r="N386" s="256"/>
      <c r="O386" s="256"/>
      <c r="P386" s="256"/>
      <c r="Q386" s="256"/>
      <c r="R386" s="256"/>
      <c r="S386" s="221"/>
      <c r="T386" s="221"/>
      <c r="U386" s="221"/>
      <c r="V386" s="221"/>
      <c r="W386" s="221"/>
      <c r="X386" s="221"/>
      <c r="Y386" s="221"/>
      <c r="Z386" s="221"/>
    </row>
    <row r="387" customFormat="false" ht="12" hidden="false" customHeight="true" outlineLevel="0" collapsed="false">
      <c r="A387" s="256"/>
      <c r="B387" s="256"/>
      <c r="C387" s="256"/>
      <c r="D387" s="256"/>
      <c r="E387" s="256"/>
      <c r="F387" s="256"/>
      <c r="G387" s="256"/>
      <c r="H387" s="256"/>
      <c r="I387" s="256"/>
      <c r="J387" s="256"/>
      <c r="K387" s="256"/>
      <c r="L387" s="256"/>
      <c r="M387" s="256"/>
      <c r="N387" s="256"/>
      <c r="O387" s="256"/>
      <c r="P387" s="256"/>
      <c r="Q387" s="256"/>
      <c r="R387" s="256"/>
      <c r="S387" s="221"/>
      <c r="T387" s="221"/>
      <c r="U387" s="221"/>
      <c r="V387" s="221"/>
      <c r="W387" s="221"/>
      <c r="X387" s="221"/>
      <c r="Y387" s="221"/>
      <c r="Z387" s="221"/>
    </row>
    <row r="388" customFormat="false" ht="12" hidden="false" customHeight="true" outlineLevel="0" collapsed="false">
      <c r="A388" s="256"/>
      <c r="B388" s="256"/>
      <c r="C388" s="256"/>
      <c r="D388" s="256"/>
      <c r="E388" s="256"/>
      <c r="F388" s="256"/>
      <c r="G388" s="256"/>
      <c r="H388" s="256"/>
      <c r="I388" s="256"/>
      <c r="J388" s="256"/>
      <c r="K388" s="256"/>
      <c r="L388" s="256"/>
      <c r="M388" s="256"/>
      <c r="N388" s="256"/>
      <c r="O388" s="256"/>
      <c r="P388" s="256"/>
      <c r="Q388" s="256"/>
      <c r="R388" s="256"/>
      <c r="S388" s="221"/>
      <c r="T388" s="221"/>
      <c r="U388" s="221"/>
      <c r="V388" s="221"/>
      <c r="W388" s="221"/>
      <c r="X388" s="221"/>
      <c r="Y388" s="221"/>
      <c r="Z388" s="221"/>
    </row>
    <row r="389" customFormat="false" ht="12" hidden="false" customHeight="true" outlineLevel="0" collapsed="false">
      <c r="A389" s="256"/>
      <c r="B389" s="256"/>
      <c r="C389" s="256"/>
      <c r="D389" s="256"/>
      <c r="E389" s="256"/>
      <c r="F389" s="256"/>
      <c r="G389" s="256"/>
      <c r="H389" s="256"/>
      <c r="I389" s="256"/>
      <c r="J389" s="256"/>
      <c r="K389" s="256"/>
      <c r="L389" s="256"/>
      <c r="M389" s="256"/>
      <c r="N389" s="256"/>
      <c r="O389" s="256"/>
      <c r="P389" s="256"/>
      <c r="Q389" s="256"/>
      <c r="R389" s="256"/>
      <c r="S389" s="221"/>
      <c r="T389" s="221"/>
      <c r="U389" s="221"/>
      <c r="V389" s="221"/>
      <c r="W389" s="221"/>
      <c r="X389" s="221"/>
      <c r="Y389" s="221"/>
      <c r="Z389" s="221"/>
    </row>
    <row r="390" customFormat="false" ht="12" hidden="false" customHeight="true" outlineLevel="0" collapsed="false">
      <c r="A390" s="256"/>
      <c r="B390" s="256"/>
      <c r="C390" s="256"/>
      <c r="D390" s="256"/>
      <c r="E390" s="256"/>
      <c r="F390" s="256"/>
      <c r="G390" s="256"/>
      <c r="H390" s="256"/>
      <c r="I390" s="256"/>
      <c r="J390" s="256"/>
      <c r="K390" s="256"/>
      <c r="L390" s="256"/>
      <c r="M390" s="256"/>
      <c r="N390" s="256"/>
      <c r="O390" s="256"/>
      <c r="P390" s="256"/>
      <c r="Q390" s="256"/>
      <c r="R390" s="256"/>
      <c r="S390" s="221"/>
      <c r="T390" s="221"/>
      <c r="U390" s="221"/>
      <c r="V390" s="221"/>
      <c r="W390" s="221"/>
      <c r="X390" s="221"/>
      <c r="Y390" s="221"/>
      <c r="Z390" s="221"/>
    </row>
    <row r="391" customFormat="false" ht="12" hidden="false" customHeight="true" outlineLevel="0" collapsed="false">
      <c r="A391" s="256"/>
      <c r="B391" s="256"/>
      <c r="C391" s="256"/>
      <c r="D391" s="256"/>
      <c r="E391" s="256"/>
      <c r="F391" s="256"/>
      <c r="G391" s="256"/>
      <c r="H391" s="256"/>
      <c r="I391" s="256"/>
      <c r="J391" s="256"/>
      <c r="K391" s="256"/>
      <c r="L391" s="256"/>
      <c r="M391" s="256"/>
      <c r="N391" s="256"/>
      <c r="O391" s="256"/>
      <c r="P391" s="256"/>
      <c r="Q391" s="256"/>
      <c r="R391" s="256"/>
      <c r="S391" s="221"/>
      <c r="T391" s="221"/>
      <c r="U391" s="221"/>
      <c r="V391" s="221"/>
      <c r="W391" s="221"/>
      <c r="X391" s="221"/>
      <c r="Y391" s="221"/>
      <c r="Z391" s="221"/>
    </row>
    <row r="392" customFormat="false" ht="12" hidden="false" customHeight="true" outlineLevel="0" collapsed="false">
      <c r="A392" s="256"/>
      <c r="B392" s="256"/>
      <c r="C392" s="256"/>
      <c r="D392" s="256"/>
      <c r="E392" s="256"/>
      <c r="F392" s="256"/>
      <c r="G392" s="256"/>
      <c r="H392" s="256"/>
      <c r="I392" s="256"/>
      <c r="J392" s="256"/>
      <c r="K392" s="256"/>
      <c r="L392" s="256"/>
      <c r="M392" s="256"/>
      <c r="N392" s="256"/>
      <c r="O392" s="256"/>
      <c r="P392" s="256"/>
      <c r="Q392" s="256"/>
      <c r="R392" s="256"/>
      <c r="S392" s="221"/>
      <c r="T392" s="221"/>
      <c r="U392" s="221"/>
      <c r="V392" s="221"/>
      <c r="W392" s="221"/>
      <c r="X392" s="221"/>
      <c r="Y392" s="221"/>
      <c r="Z392" s="221"/>
    </row>
    <row r="393" customFormat="false" ht="12" hidden="false" customHeight="true" outlineLevel="0" collapsed="false">
      <c r="A393" s="256"/>
      <c r="B393" s="256"/>
      <c r="C393" s="256"/>
      <c r="D393" s="256"/>
      <c r="E393" s="256"/>
      <c r="F393" s="256"/>
      <c r="G393" s="256"/>
      <c r="H393" s="256"/>
      <c r="I393" s="256"/>
      <c r="J393" s="256"/>
      <c r="K393" s="256"/>
      <c r="L393" s="256"/>
      <c r="M393" s="256"/>
      <c r="N393" s="256"/>
      <c r="O393" s="256"/>
      <c r="P393" s="256"/>
      <c r="Q393" s="256"/>
      <c r="R393" s="256"/>
      <c r="S393" s="221"/>
      <c r="T393" s="221"/>
      <c r="U393" s="221"/>
      <c r="V393" s="221"/>
      <c r="W393" s="221"/>
      <c r="X393" s="221"/>
      <c r="Y393" s="221"/>
      <c r="Z393" s="221"/>
    </row>
    <row r="394" customFormat="false" ht="12" hidden="false" customHeight="true" outlineLevel="0" collapsed="false">
      <c r="A394" s="256"/>
      <c r="B394" s="256"/>
      <c r="C394" s="256"/>
      <c r="D394" s="256"/>
      <c r="E394" s="256"/>
      <c r="F394" s="256"/>
      <c r="G394" s="256"/>
      <c r="H394" s="256"/>
      <c r="I394" s="256"/>
      <c r="J394" s="256"/>
      <c r="K394" s="256"/>
      <c r="L394" s="256"/>
      <c r="M394" s="256"/>
      <c r="N394" s="256"/>
      <c r="O394" s="256"/>
      <c r="P394" s="256"/>
      <c r="Q394" s="256"/>
      <c r="R394" s="256"/>
      <c r="S394" s="221"/>
      <c r="T394" s="221"/>
      <c r="U394" s="221"/>
      <c r="V394" s="221"/>
      <c r="W394" s="221"/>
      <c r="X394" s="221"/>
      <c r="Y394" s="221"/>
      <c r="Z394" s="221"/>
    </row>
    <row r="395" customFormat="false" ht="12" hidden="false" customHeight="true" outlineLevel="0" collapsed="false">
      <c r="A395" s="256"/>
      <c r="B395" s="256"/>
      <c r="C395" s="256"/>
      <c r="D395" s="256"/>
      <c r="E395" s="256"/>
      <c r="F395" s="256"/>
      <c r="G395" s="256"/>
      <c r="H395" s="256"/>
      <c r="I395" s="256"/>
      <c r="J395" s="256"/>
      <c r="K395" s="256"/>
      <c r="L395" s="256"/>
      <c r="M395" s="256"/>
      <c r="N395" s="256"/>
      <c r="O395" s="256"/>
      <c r="P395" s="256"/>
      <c r="Q395" s="256"/>
      <c r="R395" s="256"/>
      <c r="S395" s="221"/>
      <c r="T395" s="221"/>
      <c r="U395" s="221"/>
      <c r="V395" s="221"/>
      <c r="W395" s="221"/>
      <c r="X395" s="221"/>
      <c r="Y395" s="221"/>
      <c r="Z395" s="221"/>
    </row>
    <row r="396" customFormat="false" ht="12" hidden="false" customHeight="true" outlineLevel="0" collapsed="false">
      <c r="A396" s="256"/>
      <c r="B396" s="256"/>
      <c r="C396" s="256"/>
      <c r="D396" s="256"/>
      <c r="E396" s="256"/>
      <c r="F396" s="256"/>
      <c r="G396" s="256"/>
      <c r="H396" s="256"/>
      <c r="I396" s="256"/>
      <c r="J396" s="256"/>
      <c r="K396" s="256"/>
      <c r="L396" s="256"/>
      <c r="M396" s="256"/>
      <c r="N396" s="256"/>
      <c r="O396" s="256"/>
      <c r="P396" s="256"/>
      <c r="Q396" s="256"/>
      <c r="R396" s="256"/>
      <c r="S396" s="221"/>
      <c r="T396" s="221"/>
      <c r="U396" s="221"/>
      <c r="V396" s="221"/>
      <c r="W396" s="221"/>
      <c r="X396" s="221"/>
      <c r="Y396" s="221"/>
      <c r="Z396" s="221"/>
    </row>
    <row r="397" customFormat="false" ht="12" hidden="false" customHeight="true" outlineLevel="0" collapsed="false">
      <c r="A397" s="256"/>
      <c r="B397" s="256"/>
      <c r="C397" s="256"/>
      <c r="D397" s="256"/>
      <c r="E397" s="256"/>
      <c r="F397" s="256"/>
      <c r="G397" s="256"/>
      <c r="H397" s="256"/>
      <c r="I397" s="256"/>
      <c r="J397" s="256"/>
      <c r="K397" s="256"/>
      <c r="L397" s="256"/>
      <c r="M397" s="256"/>
      <c r="N397" s="256"/>
      <c r="O397" s="256"/>
      <c r="P397" s="256"/>
      <c r="Q397" s="256"/>
      <c r="R397" s="256"/>
      <c r="S397" s="221"/>
      <c r="T397" s="221"/>
      <c r="U397" s="221"/>
      <c r="V397" s="221"/>
      <c r="W397" s="221"/>
      <c r="X397" s="221"/>
      <c r="Y397" s="221"/>
      <c r="Z397" s="221"/>
    </row>
    <row r="398" customFormat="false" ht="12" hidden="false" customHeight="true" outlineLevel="0" collapsed="false">
      <c r="A398" s="256"/>
      <c r="B398" s="256"/>
      <c r="C398" s="256"/>
      <c r="D398" s="256"/>
      <c r="E398" s="256"/>
      <c r="F398" s="256"/>
      <c r="G398" s="256"/>
      <c r="H398" s="256"/>
      <c r="I398" s="256"/>
      <c r="J398" s="256"/>
      <c r="K398" s="256"/>
      <c r="L398" s="256"/>
      <c r="M398" s="256"/>
      <c r="N398" s="256"/>
      <c r="O398" s="256"/>
      <c r="P398" s="256"/>
      <c r="Q398" s="256"/>
      <c r="R398" s="256"/>
      <c r="S398" s="221"/>
      <c r="T398" s="221"/>
      <c r="U398" s="221"/>
      <c r="V398" s="221"/>
      <c r="W398" s="221"/>
      <c r="X398" s="221"/>
      <c r="Y398" s="221"/>
      <c r="Z398" s="221"/>
    </row>
    <row r="399" customFormat="false" ht="12" hidden="false" customHeight="true" outlineLevel="0" collapsed="false">
      <c r="A399" s="256"/>
      <c r="B399" s="256"/>
      <c r="C399" s="256"/>
      <c r="D399" s="256"/>
      <c r="E399" s="256"/>
      <c r="F399" s="256"/>
      <c r="G399" s="256"/>
      <c r="H399" s="256"/>
      <c r="I399" s="256"/>
      <c r="J399" s="256"/>
      <c r="K399" s="256"/>
      <c r="L399" s="256"/>
      <c r="M399" s="256"/>
      <c r="N399" s="256"/>
      <c r="O399" s="256"/>
      <c r="P399" s="256"/>
      <c r="Q399" s="256"/>
      <c r="R399" s="256"/>
      <c r="S399" s="221"/>
      <c r="T399" s="221"/>
      <c r="U399" s="221"/>
      <c r="V399" s="221"/>
      <c r="W399" s="221"/>
      <c r="X399" s="221"/>
      <c r="Y399" s="221"/>
      <c r="Z399" s="221"/>
    </row>
    <row r="400" customFormat="false" ht="12" hidden="false" customHeight="true" outlineLevel="0" collapsed="false">
      <c r="A400" s="256"/>
      <c r="B400" s="256"/>
      <c r="C400" s="256"/>
      <c r="D400" s="256"/>
      <c r="E400" s="256"/>
      <c r="F400" s="256"/>
      <c r="G400" s="256"/>
      <c r="H400" s="256"/>
      <c r="I400" s="256"/>
      <c r="J400" s="256"/>
      <c r="K400" s="256"/>
      <c r="L400" s="256"/>
      <c r="M400" s="256"/>
      <c r="N400" s="256"/>
      <c r="O400" s="256"/>
      <c r="P400" s="256"/>
      <c r="Q400" s="256"/>
      <c r="R400" s="256"/>
      <c r="S400" s="221"/>
      <c r="T400" s="221"/>
      <c r="U400" s="221"/>
      <c r="V400" s="221"/>
      <c r="W400" s="221"/>
      <c r="X400" s="221"/>
      <c r="Y400" s="221"/>
      <c r="Z400" s="221"/>
    </row>
    <row r="401" customFormat="false" ht="12" hidden="false" customHeight="true" outlineLevel="0" collapsed="false">
      <c r="A401" s="256"/>
      <c r="B401" s="256"/>
      <c r="C401" s="256"/>
      <c r="D401" s="256"/>
      <c r="E401" s="256"/>
      <c r="F401" s="256"/>
      <c r="G401" s="256"/>
      <c r="H401" s="256"/>
      <c r="I401" s="256"/>
      <c r="J401" s="256"/>
      <c r="K401" s="256"/>
      <c r="L401" s="256"/>
      <c r="M401" s="256"/>
      <c r="N401" s="256"/>
      <c r="O401" s="256"/>
      <c r="P401" s="256"/>
      <c r="Q401" s="256"/>
      <c r="R401" s="256"/>
      <c r="S401" s="221"/>
      <c r="T401" s="221"/>
      <c r="U401" s="221"/>
      <c r="V401" s="221"/>
      <c r="W401" s="221"/>
      <c r="X401" s="221"/>
      <c r="Y401" s="221"/>
      <c r="Z401" s="221"/>
    </row>
    <row r="402" customFormat="false" ht="12" hidden="false" customHeight="true" outlineLevel="0" collapsed="false">
      <c r="A402" s="256"/>
      <c r="B402" s="256"/>
      <c r="C402" s="256"/>
      <c r="D402" s="256"/>
      <c r="E402" s="256"/>
      <c r="F402" s="256"/>
      <c r="G402" s="256"/>
      <c r="H402" s="256"/>
      <c r="I402" s="256"/>
      <c r="J402" s="256"/>
      <c r="K402" s="256"/>
      <c r="L402" s="256"/>
      <c r="M402" s="256"/>
      <c r="N402" s="256"/>
      <c r="O402" s="256"/>
      <c r="P402" s="256"/>
      <c r="Q402" s="256"/>
      <c r="R402" s="256"/>
      <c r="S402" s="221"/>
      <c r="T402" s="221"/>
      <c r="U402" s="221"/>
      <c r="V402" s="221"/>
      <c r="W402" s="221"/>
      <c r="X402" s="221"/>
      <c r="Y402" s="221"/>
      <c r="Z402" s="221"/>
    </row>
    <row r="403" customFormat="false" ht="12" hidden="false" customHeight="true" outlineLevel="0" collapsed="false">
      <c r="A403" s="256"/>
      <c r="B403" s="256"/>
      <c r="C403" s="256"/>
      <c r="D403" s="256"/>
      <c r="E403" s="256"/>
      <c r="F403" s="256"/>
      <c r="G403" s="256"/>
      <c r="H403" s="256"/>
      <c r="I403" s="256"/>
      <c r="J403" s="256"/>
      <c r="K403" s="256"/>
      <c r="L403" s="256"/>
      <c r="M403" s="256"/>
      <c r="N403" s="256"/>
      <c r="O403" s="256"/>
      <c r="P403" s="256"/>
      <c r="Q403" s="256"/>
      <c r="R403" s="256"/>
      <c r="S403" s="221"/>
      <c r="T403" s="221"/>
      <c r="U403" s="221"/>
      <c r="V403" s="221"/>
      <c r="W403" s="221"/>
      <c r="X403" s="221"/>
      <c r="Y403" s="221"/>
      <c r="Z403" s="221"/>
    </row>
    <row r="404" customFormat="false" ht="12" hidden="false" customHeight="true" outlineLevel="0" collapsed="false">
      <c r="A404" s="256"/>
      <c r="B404" s="256"/>
      <c r="C404" s="256"/>
      <c r="D404" s="256"/>
      <c r="E404" s="256"/>
      <c r="F404" s="256"/>
      <c r="G404" s="256"/>
      <c r="H404" s="256"/>
      <c r="I404" s="256"/>
      <c r="J404" s="256"/>
      <c r="K404" s="256"/>
      <c r="L404" s="256"/>
      <c r="M404" s="256"/>
      <c r="N404" s="256"/>
      <c r="O404" s="256"/>
      <c r="P404" s="256"/>
      <c r="Q404" s="256"/>
      <c r="R404" s="256"/>
      <c r="S404" s="221"/>
      <c r="T404" s="221"/>
      <c r="U404" s="221"/>
      <c r="V404" s="221"/>
      <c r="W404" s="221"/>
      <c r="X404" s="221"/>
      <c r="Y404" s="221"/>
      <c r="Z404" s="221"/>
    </row>
    <row r="405" customFormat="false" ht="12" hidden="false" customHeight="true" outlineLevel="0" collapsed="false">
      <c r="A405" s="256"/>
      <c r="B405" s="256"/>
      <c r="C405" s="256"/>
      <c r="D405" s="256"/>
      <c r="E405" s="256"/>
      <c r="F405" s="256"/>
      <c r="G405" s="256"/>
      <c r="H405" s="256"/>
      <c r="I405" s="256"/>
      <c r="J405" s="256"/>
      <c r="K405" s="256"/>
      <c r="L405" s="256"/>
      <c r="M405" s="256"/>
      <c r="N405" s="256"/>
      <c r="O405" s="256"/>
      <c r="P405" s="256"/>
      <c r="Q405" s="256"/>
      <c r="R405" s="256"/>
      <c r="S405" s="221"/>
      <c r="T405" s="221"/>
      <c r="U405" s="221"/>
      <c r="V405" s="221"/>
      <c r="W405" s="221"/>
      <c r="X405" s="221"/>
      <c r="Y405" s="221"/>
      <c r="Z405" s="221"/>
    </row>
    <row r="406" customFormat="false" ht="12" hidden="false" customHeight="true" outlineLevel="0" collapsed="false">
      <c r="A406" s="256"/>
      <c r="B406" s="256"/>
      <c r="C406" s="256"/>
      <c r="D406" s="256"/>
      <c r="E406" s="256"/>
      <c r="F406" s="256"/>
      <c r="G406" s="256"/>
      <c r="H406" s="256"/>
      <c r="I406" s="256"/>
      <c r="J406" s="256"/>
      <c r="K406" s="256"/>
      <c r="L406" s="256"/>
      <c r="M406" s="256"/>
      <c r="N406" s="256"/>
      <c r="O406" s="256"/>
      <c r="P406" s="256"/>
      <c r="Q406" s="256"/>
      <c r="R406" s="256"/>
      <c r="S406" s="221"/>
      <c r="T406" s="221"/>
      <c r="U406" s="221"/>
      <c r="V406" s="221"/>
      <c r="W406" s="221"/>
      <c r="X406" s="221"/>
      <c r="Y406" s="221"/>
      <c r="Z406" s="221"/>
    </row>
    <row r="407" customFormat="false" ht="12" hidden="false" customHeight="true" outlineLevel="0" collapsed="false">
      <c r="A407" s="256"/>
      <c r="B407" s="256"/>
      <c r="C407" s="256"/>
      <c r="D407" s="256"/>
      <c r="E407" s="256"/>
      <c r="F407" s="256"/>
      <c r="G407" s="256"/>
      <c r="H407" s="256"/>
      <c r="I407" s="256"/>
      <c r="J407" s="256"/>
      <c r="K407" s="256"/>
      <c r="L407" s="256"/>
      <c r="M407" s="256"/>
      <c r="N407" s="256"/>
      <c r="O407" s="256"/>
      <c r="P407" s="256"/>
      <c r="Q407" s="256"/>
      <c r="R407" s="256"/>
      <c r="S407" s="221"/>
      <c r="T407" s="221"/>
      <c r="U407" s="221"/>
      <c r="V407" s="221"/>
      <c r="W407" s="221"/>
      <c r="X407" s="221"/>
      <c r="Y407" s="221"/>
      <c r="Z407" s="221"/>
    </row>
    <row r="408" customFormat="false" ht="12" hidden="false" customHeight="true" outlineLevel="0" collapsed="false">
      <c r="A408" s="256"/>
      <c r="B408" s="256"/>
      <c r="C408" s="256"/>
      <c r="D408" s="256"/>
      <c r="E408" s="256"/>
      <c r="F408" s="256"/>
      <c r="G408" s="256"/>
      <c r="H408" s="256"/>
      <c r="I408" s="256"/>
      <c r="J408" s="256"/>
      <c r="K408" s="256"/>
      <c r="L408" s="256"/>
      <c r="M408" s="256"/>
      <c r="N408" s="256"/>
      <c r="O408" s="256"/>
      <c r="P408" s="256"/>
      <c r="Q408" s="256"/>
      <c r="R408" s="256"/>
      <c r="S408" s="221"/>
      <c r="T408" s="221"/>
      <c r="U408" s="221"/>
      <c r="V408" s="221"/>
      <c r="W408" s="221"/>
      <c r="X408" s="221"/>
      <c r="Y408" s="221"/>
      <c r="Z408" s="221"/>
    </row>
    <row r="409" customFormat="false" ht="12" hidden="false" customHeight="true" outlineLevel="0" collapsed="false">
      <c r="A409" s="256"/>
      <c r="B409" s="256"/>
      <c r="C409" s="256"/>
      <c r="D409" s="256"/>
      <c r="E409" s="256"/>
      <c r="F409" s="256"/>
      <c r="G409" s="256"/>
      <c r="H409" s="256"/>
      <c r="I409" s="256"/>
      <c r="J409" s="256"/>
      <c r="K409" s="256"/>
      <c r="L409" s="256"/>
      <c r="M409" s="256"/>
      <c r="N409" s="256"/>
      <c r="O409" s="256"/>
      <c r="P409" s="256"/>
      <c r="Q409" s="256"/>
      <c r="R409" s="256"/>
      <c r="S409" s="221"/>
      <c r="T409" s="221"/>
      <c r="U409" s="221"/>
      <c r="V409" s="221"/>
      <c r="W409" s="221"/>
      <c r="X409" s="221"/>
      <c r="Y409" s="221"/>
      <c r="Z409" s="221"/>
    </row>
    <row r="410" customFormat="false" ht="12" hidden="false" customHeight="true" outlineLevel="0" collapsed="false">
      <c r="A410" s="256"/>
      <c r="B410" s="256"/>
      <c r="C410" s="256"/>
      <c r="D410" s="256"/>
      <c r="E410" s="256"/>
      <c r="F410" s="256"/>
      <c r="G410" s="256"/>
      <c r="H410" s="256"/>
      <c r="I410" s="256"/>
      <c r="J410" s="256"/>
      <c r="K410" s="256"/>
      <c r="L410" s="256"/>
      <c r="M410" s="256"/>
      <c r="N410" s="256"/>
      <c r="O410" s="256"/>
      <c r="P410" s="256"/>
      <c r="Q410" s="256"/>
      <c r="R410" s="256"/>
      <c r="S410" s="221"/>
      <c r="T410" s="221"/>
      <c r="U410" s="221"/>
      <c r="V410" s="221"/>
      <c r="W410" s="221"/>
      <c r="X410" s="221"/>
      <c r="Y410" s="221"/>
      <c r="Z410" s="221"/>
    </row>
    <row r="411" customFormat="false" ht="12" hidden="false" customHeight="true" outlineLevel="0" collapsed="false">
      <c r="A411" s="256"/>
      <c r="B411" s="256"/>
      <c r="C411" s="256"/>
      <c r="D411" s="256"/>
      <c r="E411" s="256"/>
      <c r="F411" s="256"/>
      <c r="G411" s="256"/>
      <c r="H411" s="256"/>
      <c r="I411" s="256"/>
      <c r="J411" s="256"/>
      <c r="K411" s="256"/>
      <c r="L411" s="256"/>
      <c r="M411" s="256"/>
      <c r="N411" s="256"/>
      <c r="O411" s="256"/>
      <c r="P411" s="256"/>
      <c r="Q411" s="256"/>
      <c r="R411" s="256"/>
      <c r="S411" s="221"/>
      <c r="T411" s="221"/>
      <c r="U411" s="221"/>
      <c r="V411" s="221"/>
      <c r="W411" s="221"/>
      <c r="X411" s="221"/>
      <c r="Y411" s="221"/>
      <c r="Z411" s="221"/>
    </row>
    <row r="412" customFormat="false" ht="12" hidden="false" customHeight="true" outlineLevel="0" collapsed="false">
      <c r="A412" s="256"/>
      <c r="B412" s="256"/>
      <c r="C412" s="256"/>
      <c r="D412" s="256"/>
      <c r="E412" s="256"/>
      <c r="F412" s="256"/>
      <c r="G412" s="256"/>
      <c r="H412" s="256"/>
      <c r="I412" s="256"/>
      <c r="J412" s="256"/>
      <c r="K412" s="256"/>
      <c r="L412" s="256"/>
      <c r="M412" s="256"/>
      <c r="N412" s="256"/>
      <c r="O412" s="256"/>
      <c r="P412" s="256"/>
      <c r="Q412" s="256"/>
      <c r="R412" s="256"/>
      <c r="S412" s="221"/>
      <c r="T412" s="221"/>
      <c r="U412" s="221"/>
      <c r="V412" s="221"/>
      <c r="W412" s="221"/>
      <c r="X412" s="221"/>
      <c r="Y412" s="221"/>
      <c r="Z412" s="221"/>
    </row>
    <row r="413" customFormat="false" ht="12" hidden="false" customHeight="true" outlineLevel="0" collapsed="false">
      <c r="A413" s="256"/>
      <c r="B413" s="256"/>
      <c r="C413" s="256"/>
      <c r="D413" s="256"/>
      <c r="E413" s="256"/>
      <c r="F413" s="256"/>
      <c r="G413" s="256"/>
      <c r="H413" s="256"/>
      <c r="I413" s="256"/>
      <c r="J413" s="256"/>
      <c r="K413" s="256"/>
      <c r="L413" s="256"/>
      <c r="M413" s="256"/>
      <c r="N413" s="256"/>
      <c r="O413" s="256"/>
      <c r="P413" s="256"/>
      <c r="Q413" s="256"/>
      <c r="R413" s="256"/>
      <c r="S413" s="221"/>
      <c r="T413" s="221"/>
      <c r="U413" s="221"/>
      <c r="V413" s="221"/>
      <c r="W413" s="221"/>
      <c r="X413" s="221"/>
      <c r="Y413" s="221"/>
      <c r="Z413" s="221"/>
    </row>
    <row r="414" customFormat="false" ht="12" hidden="false" customHeight="true" outlineLevel="0" collapsed="false">
      <c r="A414" s="256"/>
      <c r="B414" s="256"/>
      <c r="C414" s="256"/>
      <c r="D414" s="256"/>
      <c r="E414" s="256"/>
      <c r="F414" s="256"/>
      <c r="G414" s="256"/>
      <c r="H414" s="256"/>
      <c r="I414" s="256"/>
      <c r="J414" s="256"/>
      <c r="K414" s="256"/>
      <c r="L414" s="256"/>
      <c r="M414" s="256"/>
      <c r="N414" s="256"/>
      <c r="O414" s="256"/>
      <c r="P414" s="256"/>
      <c r="Q414" s="256"/>
      <c r="R414" s="256"/>
      <c r="S414" s="221"/>
      <c r="T414" s="221"/>
      <c r="U414" s="221"/>
      <c r="V414" s="221"/>
      <c r="W414" s="221"/>
      <c r="X414" s="221"/>
      <c r="Y414" s="221"/>
      <c r="Z414" s="221"/>
    </row>
    <row r="415" customFormat="false" ht="12" hidden="false" customHeight="true" outlineLevel="0" collapsed="false">
      <c r="A415" s="256"/>
      <c r="B415" s="256"/>
      <c r="C415" s="256"/>
      <c r="D415" s="256"/>
      <c r="E415" s="256"/>
      <c r="F415" s="256"/>
      <c r="G415" s="256"/>
      <c r="H415" s="256"/>
      <c r="I415" s="256"/>
      <c r="J415" s="256"/>
      <c r="K415" s="256"/>
      <c r="L415" s="256"/>
      <c r="M415" s="256"/>
      <c r="N415" s="256"/>
      <c r="O415" s="256"/>
      <c r="P415" s="256"/>
      <c r="Q415" s="256"/>
      <c r="R415" s="256"/>
      <c r="S415" s="221"/>
      <c r="T415" s="221"/>
      <c r="U415" s="221"/>
      <c r="V415" s="221"/>
      <c r="W415" s="221"/>
      <c r="X415" s="221"/>
      <c r="Y415" s="221"/>
      <c r="Z415" s="221"/>
    </row>
    <row r="416" customFormat="false" ht="12" hidden="false" customHeight="true" outlineLevel="0" collapsed="false">
      <c r="A416" s="256"/>
      <c r="B416" s="256"/>
      <c r="C416" s="256"/>
      <c r="D416" s="256"/>
      <c r="E416" s="256"/>
      <c r="F416" s="256"/>
      <c r="G416" s="256"/>
      <c r="H416" s="256"/>
      <c r="I416" s="256"/>
      <c r="J416" s="256"/>
      <c r="K416" s="256"/>
      <c r="L416" s="256"/>
      <c r="M416" s="256"/>
      <c r="N416" s="256"/>
      <c r="O416" s="256"/>
      <c r="P416" s="256"/>
      <c r="Q416" s="256"/>
      <c r="R416" s="256"/>
      <c r="S416" s="221"/>
      <c r="T416" s="221"/>
      <c r="U416" s="221"/>
      <c r="V416" s="221"/>
      <c r="W416" s="221"/>
      <c r="X416" s="221"/>
      <c r="Y416" s="221"/>
      <c r="Z416" s="221"/>
    </row>
    <row r="417" customFormat="false" ht="12" hidden="false" customHeight="true" outlineLevel="0" collapsed="false">
      <c r="A417" s="256"/>
      <c r="B417" s="256"/>
      <c r="C417" s="256"/>
      <c r="D417" s="256"/>
      <c r="E417" s="256"/>
      <c r="F417" s="256"/>
      <c r="G417" s="256"/>
      <c r="H417" s="256"/>
      <c r="I417" s="256"/>
      <c r="J417" s="256"/>
      <c r="K417" s="256"/>
      <c r="L417" s="256"/>
      <c r="M417" s="256"/>
      <c r="N417" s="256"/>
      <c r="O417" s="256"/>
      <c r="P417" s="256"/>
      <c r="Q417" s="256"/>
      <c r="R417" s="256"/>
      <c r="S417" s="221"/>
      <c r="T417" s="221"/>
      <c r="U417" s="221"/>
      <c r="V417" s="221"/>
      <c r="W417" s="221"/>
      <c r="X417" s="221"/>
      <c r="Y417" s="221"/>
      <c r="Z417" s="221"/>
    </row>
    <row r="418" customFormat="false" ht="12" hidden="false" customHeight="true" outlineLevel="0" collapsed="false">
      <c r="A418" s="256"/>
      <c r="B418" s="256"/>
      <c r="C418" s="256"/>
      <c r="D418" s="256"/>
      <c r="E418" s="256"/>
      <c r="F418" s="256"/>
      <c r="G418" s="256"/>
      <c r="H418" s="256"/>
      <c r="I418" s="256"/>
      <c r="J418" s="256"/>
      <c r="K418" s="256"/>
      <c r="L418" s="256"/>
      <c r="M418" s="256"/>
      <c r="N418" s="256"/>
      <c r="O418" s="256"/>
      <c r="P418" s="256"/>
      <c r="Q418" s="256"/>
      <c r="R418" s="256"/>
      <c r="S418" s="221"/>
      <c r="T418" s="221"/>
      <c r="U418" s="221"/>
      <c r="V418" s="221"/>
      <c r="W418" s="221"/>
      <c r="X418" s="221"/>
      <c r="Y418" s="221"/>
      <c r="Z418" s="221"/>
    </row>
    <row r="419" customFormat="false" ht="12" hidden="false" customHeight="true" outlineLevel="0" collapsed="false">
      <c r="A419" s="256"/>
      <c r="B419" s="256"/>
      <c r="C419" s="256"/>
      <c r="D419" s="256"/>
      <c r="E419" s="256"/>
      <c r="F419" s="256"/>
      <c r="G419" s="256"/>
      <c r="H419" s="256"/>
      <c r="I419" s="256"/>
      <c r="J419" s="256"/>
      <c r="K419" s="256"/>
      <c r="L419" s="256"/>
      <c r="M419" s="256"/>
      <c r="N419" s="256"/>
      <c r="O419" s="256"/>
      <c r="P419" s="256"/>
      <c r="Q419" s="256"/>
      <c r="R419" s="256"/>
      <c r="S419" s="221"/>
      <c r="T419" s="221"/>
      <c r="U419" s="221"/>
      <c r="V419" s="221"/>
      <c r="W419" s="221"/>
      <c r="X419" s="221"/>
      <c r="Y419" s="221"/>
      <c r="Z419" s="221"/>
    </row>
    <row r="420" customFormat="false" ht="12" hidden="false" customHeight="true" outlineLevel="0" collapsed="false">
      <c r="A420" s="256"/>
      <c r="B420" s="256"/>
      <c r="C420" s="256"/>
      <c r="D420" s="256"/>
      <c r="E420" s="256"/>
      <c r="F420" s="256"/>
      <c r="G420" s="256"/>
      <c r="H420" s="256"/>
      <c r="I420" s="256"/>
      <c r="J420" s="256"/>
      <c r="K420" s="256"/>
      <c r="L420" s="256"/>
      <c r="M420" s="256"/>
      <c r="N420" s="256"/>
      <c r="O420" s="256"/>
      <c r="P420" s="256"/>
      <c r="Q420" s="256"/>
      <c r="R420" s="256"/>
      <c r="S420" s="221"/>
      <c r="T420" s="221"/>
      <c r="U420" s="221"/>
      <c r="V420" s="221"/>
      <c r="W420" s="221"/>
      <c r="X420" s="221"/>
      <c r="Y420" s="221"/>
      <c r="Z420" s="221"/>
    </row>
    <row r="421" customFormat="false" ht="12" hidden="false" customHeight="true" outlineLevel="0" collapsed="false">
      <c r="A421" s="256"/>
      <c r="B421" s="256"/>
      <c r="C421" s="256"/>
      <c r="D421" s="256"/>
      <c r="E421" s="256"/>
      <c r="F421" s="256"/>
      <c r="G421" s="256"/>
      <c r="H421" s="256"/>
      <c r="I421" s="256"/>
      <c r="J421" s="256"/>
      <c r="K421" s="256"/>
      <c r="L421" s="256"/>
      <c r="M421" s="256"/>
      <c r="N421" s="256"/>
      <c r="O421" s="256"/>
      <c r="P421" s="256"/>
      <c r="Q421" s="256"/>
      <c r="R421" s="256"/>
      <c r="S421" s="221"/>
      <c r="T421" s="221"/>
      <c r="U421" s="221"/>
      <c r="V421" s="221"/>
      <c r="W421" s="221"/>
      <c r="X421" s="221"/>
      <c r="Y421" s="221"/>
      <c r="Z421" s="221"/>
    </row>
    <row r="422" customFormat="false" ht="12" hidden="false" customHeight="true" outlineLevel="0" collapsed="false">
      <c r="A422" s="256"/>
      <c r="B422" s="256"/>
      <c r="C422" s="256"/>
      <c r="D422" s="256"/>
      <c r="E422" s="256"/>
      <c r="F422" s="256"/>
      <c r="G422" s="256"/>
      <c r="H422" s="256"/>
      <c r="I422" s="256"/>
      <c r="J422" s="256"/>
      <c r="K422" s="256"/>
      <c r="L422" s="256"/>
      <c r="M422" s="256"/>
      <c r="N422" s="256"/>
      <c r="O422" s="256"/>
      <c r="P422" s="256"/>
      <c r="Q422" s="256"/>
      <c r="R422" s="256"/>
      <c r="S422" s="221"/>
      <c r="T422" s="221"/>
      <c r="U422" s="221"/>
      <c r="V422" s="221"/>
      <c r="W422" s="221"/>
      <c r="X422" s="221"/>
      <c r="Y422" s="221"/>
      <c r="Z422" s="221"/>
    </row>
    <row r="423" customFormat="false" ht="12" hidden="false" customHeight="true" outlineLevel="0" collapsed="false">
      <c r="A423" s="256"/>
      <c r="B423" s="256"/>
      <c r="C423" s="256"/>
      <c r="D423" s="256"/>
      <c r="E423" s="256"/>
      <c r="F423" s="256"/>
      <c r="G423" s="256"/>
      <c r="H423" s="256"/>
      <c r="I423" s="256"/>
      <c r="J423" s="256"/>
      <c r="K423" s="256"/>
      <c r="L423" s="256"/>
      <c r="M423" s="256"/>
      <c r="N423" s="256"/>
      <c r="O423" s="256"/>
      <c r="P423" s="256"/>
      <c r="Q423" s="256"/>
      <c r="R423" s="256"/>
      <c r="S423" s="221"/>
      <c r="T423" s="221"/>
      <c r="U423" s="221"/>
      <c r="V423" s="221"/>
      <c r="W423" s="221"/>
      <c r="X423" s="221"/>
      <c r="Y423" s="221"/>
      <c r="Z423" s="221"/>
    </row>
    <row r="424" customFormat="false" ht="12" hidden="false" customHeight="true" outlineLevel="0" collapsed="false">
      <c r="A424" s="256"/>
      <c r="B424" s="256"/>
      <c r="C424" s="256"/>
      <c r="D424" s="256"/>
      <c r="E424" s="256"/>
      <c r="F424" s="256"/>
      <c r="G424" s="256"/>
      <c r="H424" s="256"/>
      <c r="I424" s="256"/>
      <c r="J424" s="256"/>
      <c r="K424" s="256"/>
      <c r="L424" s="256"/>
      <c r="M424" s="256"/>
      <c r="N424" s="256"/>
      <c r="O424" s="256"/>
      <c r="P424" s="256"/>
      <c r="Q424" s="256"/>
      <c r="R424" s="256"/>
      <c r="S424" s="221"/>
      <c r="T424" s="221"/>
      <c r="U424" s="221"/>
      <c r="V424" s="221"/>
      <c r="W424" s="221"/>
      <c r="X424" s="221"/>
      <c r="Y424" s="221"/>
      <c r="Z424" s="221"/>
    </row>
    <row r="425" customFormat="false" ht="12" hidden="false" customHeight="true" outlineLevel="0" collapsed="false">
      <c r="A425" s="256"/>
      <c r="B425" s="256"/>
      <c r="C425" s="256"/>
      <c r="D425" s="256"/>
      <c r="E425" s="256"/>
      <c r="F425" s="256"/>
      <c r="G425" s="256"/>
      <c r="H425" s="256"/>
      <c r="I425" s="256"/>
      <c r="J425" s="256"/>
      <c r="K425" s="256"/>
      <c r="L425" s="256"/>
      <c r="M425" s="256"/>
      <c r="N425" s="256"/>
      <c r="O425" s="256"/>
      <c r="P425" s="256"/>
      <c r="Q425" s="256"/>
      <c r="R425" s="256"/>
      <c r="S425" s="221"/>
      <c r="T425" s="221"/>
      <c r="U425" s="221"/>
      <c r="V425" s="221"/>
      <c r="W425" s="221"/>
      <c r="X425" s="221"/>
      <c r="Y425" s="221"/>
      <c r="Z425" s="221"/>
    </row>
    <row r="426" customFormat="false" ht="12" hidden="false" customHeight="true" outlineLevel="0" collapsed="false">
      <c r="A426" s="256"/>
      <c r="B426" s="256"/>
      <c r="C426" s="256"/>
      <c r="D426" s="256"/>
      <c r="E426" s="256"/>
      <c r="F426" s="256"/>
      <c r="G426" s="256"/>
      <c r="H426" s="256"/>
      <c r="I426" s="256"/>
      <c r="J426" s="256"/>
      <c r="K426" s="256"/>
      <c r="L426" s="256"/>
      <c r="M426" s="256"/>
      <c r="N426" s="256"/>
      <c r="O426" s="256"/>
      <c r="P426" s="256"/>
      <c r="Q426" s="256"/>
      <c r="R426" s="256"/>
      <c r="S426" s="221"/>
      <c r="T426" s="221"/>
      <c r="U426" s="221"/>
      <c r="V426" s="221"/>
      <c r="W426" s="221"/>
      <c r="X426" s="221"/>
      <c r="Y426" s="221"/>
      <c r="Z426" s="221"/>
    </row>
    <row r="427" customFormat="false" ht="12" hidden="false" customHeight="true" outlineLevel="0" collapsed="false">
      <c r="A427" s="256"/>
      <c r="B427" s="256"/>
      <c r="C427" s="256"/>
      <c r="D427" s="256"/>
      <c r="E427" s="256"/>
      <c r="F427" s="256"/>
      <c r="G427" s="256"/>
      <c r="H427" s="256"/>
      <c r="I427" s="256"/>
      <c r="J427" s="256"/>
      <c r="K427" s="256"/>
      <c r="L427" s="256"/>
      <c r="M427" s="256"/>
      <c r="N427" s="256"/>
      <c r="O427" s="256"/>
      <c r="P427" s="256"/>
      <c r="Q427" s="256"/>
      <c r="R427" s="256"/>
      <c r="S427" s="221"/>
      <c r="T427" s="221"/>
      <c r="U427" s="221"/>
      <c r="V427" s="221"/>
      <c r="W427" s="221"/>
      <c r="X427" s="221"/>
      <c r="Y427" s="221"/>
      <c r="Z427" s="221"/>
    </row>
    <row r="428" customFormat="false" ht="12" hidden="false" customHeight="true" outlineLevel="0" collapsed="false">
      <c r="A428" s="256"/>
      <c r="B428" s="256"/>
      <c r="C428" s="256"/>
      <c r="D428" s="256"/>
      <c r="E428" s="256"/>
      <c r="F428" s="256"/>
      <c r="G428" s="256"/>
      <c r="H428" s="256"/>
      <c r="I428" s="256"/>
      <c r="J428" s="256"/>
      <c r="K428" s="256"/>
      <c r="L428" s="256"/>
      <c r="M428" s="256"/>
      <c r="N428" s="256"/>
      <c r="O428" s="256"/>
      <c r="P428" s="256"/>
      <c r="Q428" s="256"/>
      <c r="R428" s="256"/>
      <c r="S428" s="221"/>
      <c r="T428" s="221"/>
      <c r="U428" s="221"/>
      <c r="V428" s="221"/>
      <c r="W428" s="221"/>
      <c r="X428" s="221"/>
      <c r="Y428" s="221"/>
      <c r="Z428" s="221"/>
    </row>
    <row r="429" customFormat="false" ht="12" hidden="false" customHeight="true" outlineLevel="0" collapsed="false">
      <c r="A429" s="256"/>
      <c r="B429" s="256"/>
      <c r="C429" s="256"/>
      <c r="D429" s="256"/>
      <c r="E429" s="256"/>
      <c r="F429" s="256"/>
      <c r="G429" s="256"/>
      <c r="H429" s="256"/>
      <c r="I429" s="256"/>
      <c r="J429" s="256"/>
      <c r="K429" s="256"/>
      <c r="L429" s="256"/>
      <c r="M429" s="256"/>
      <c r="N429" s="256"/>
      <c r="O429" s="256"/>
      <c r="P429" s="256"/>
      <c r="Q429" s="256"/>
      <c r="R429" s="256"/>
      <c r="S429" s="221"/>
      <c r="T429" s="221"/>
      <c r="U429" s="221"/>
      <c r="V429" s="221"/>
      <c r="W429" s="221"/>
      <c r="X429" s="221"/>
      <c r="Y429" s="221"/>
      <c r="Z429" s="221"/>
    </row>
    <row r="430" customFormat="false" ht="12" hidden="false" customHeight="true" outlineLevel="0" collapsed="false">
      <c r="A430" s="256"/>
      <c r="B430" s="256"/>
      <c r="C430" s="256"/>
      <c r="D430" s="256"/>
      <c r="E430" s="256"/>
      <c r="F430" s="256"/>
      <c r="G430" s="256"/>
      <c r="H430" s="256"/>
      <c r="I430" s="256"/>
      <c r="J430" s="256"/>
      <c r="K430" s="256"/>
      <c r="L430" s="256"/>
      <c r="M430" s="256"/>
      <c r="N430" s="256"/>
      <c r="O430" s="256"/>
      <c r="P430" s="256"/>
      <c r="Q430" s="256"/>
      <c r="R430" s="256"/>
      <c r="S430" s="221"/>
      <c r="T430" s="221"/>
      <c r="U430" s="221"/>
      <c r="V430" s="221"/>
      <c r="W430" s="221"/>
      <c r="X430" s="221"/>
      <c r="Y430" s="221"/>
      <c r="Z430" s="221"/>
    </row>
    <row r="431" customFormat="false" ht="12" hidden="false" customHeight="true" outlineLevel="0" collapsed="false">
      <c r="A431" s="256"/>
      <c r="B431" s="256"/>
      <c r="C431" s="256"/>
      <c r="D431" s="256"/>
      <c r="E431" s="256"/>
      <c r="F431" s="256"/>
      <c r="G431" s="256"/>
      <c r="H431" s="256"/>
      <c r="I431" s="256"/>
      <c r="J431" s="256"/>
      <c r="K431" s="256"/>
      <c r="L431" s="256"/>
      <c r="M431" s="256"/>
      <c r="N431" s="256"/>
      <c r="O431" s="256"/>
      <c r="P431" s="256"/>
      <c r="Q431" s="256"/>
      <c r="R431" s="256"/>
      <c r="S431" s="221"/>
      <c r="T431" s="221"/>
      <c r="U431" s="221"/>
      <c r="V431" s="221"/>
      <c r="W431" s="221"/>
      <c r="X431" s="221"/>
      <c r="Y431" s="221"/>
      <c r="Z431" s="221"/>
    </row>
    <row r="432" customFormat="false" ht="12" hidden="false" customHeight="true" outlineLevel="0" collapsed="false">
      <c r="A432" s="256"/>
      <c r="B432" s="256"/>
      <c r="C432" s="256"/>
      <c r="D432" s="256"/>
      <c r="E432" s="256"/>
      <c r="F432" s="256"/>
      <c r="G432" s="256"/>
      <c r="H432" s="256"/>
      <c r="I432" s="256"/>
      <c r="J432" s="256"/>
      <c r="K432" s="256"/>
      <c r="L432" s="256"/>
      <c r="M432" s="256"/>
      <c r="N432" s="256"/>
      <c r="O432" s="256"/>
      <c r="P432" s="256"/>
      <c r="Q432" s="256"/>
      <c r="R432" s="256"/>
      <c r="S432" s="221"/>
      <c r="T432" s="221"/>
      <c r="U432" s="221"/>
      <c r="V432" s="221"/>
      <c r="W432" s="221"/>
      <c r="X432" s="221"/>
      <c r="Y432" s="221"/>
      <c r="Z432" s="221"/>
    </row>
    <row r="433" customFormat="false" ht="12" hidden="false" customHeight="true" outlineLevel="0" collapsed="false">
      <c r="A433" s="256"/>
      <c r="B433" s="256"/>
      <c r="C433" s="256"/>
      <c r="D433" s="256"/>
      <c r="E433" s="256"/>
      <c r="F433" s="256"/>
      <c r="G433" s="256"/>
      <c r="H433" s="256"/>
      <c r="I433" s="256"/>
      <c r="J433" s="256"/>
      <c r="K433" s="256"/>
      <c r="L433" s="256"/>
      <c r="M433" s="256"/>
      <c r="N433" s="256"/>
      <c r="O433" s="256"/>
      <c r="P433" s="256"/>
      <c r="Q433" s="256"/>
      <c r="R433" s="256"/>
      <c r="S433" s="221"/>
      <c r="T433" s="221"/>
      <c r="U433" s="221"/>
      <c r="V433" s="221"/>
      <c r="W433" s="221"/>
      <c r="X433" s="221"/>
      <c r="Y433" s="221"/>
      <c r="Z433" s="221"/>
    </row>
    <row r="434" customFormat="false" ht="12" hidden="false" customHeight="true" outlineLevel="0" collapsed="false">
      <c r="A434" s="256"/>
      <c r="B434" s="256"/>
      <c r="C434" s="256"/>
      <c r="D434" s="256"/>
      <c r="E434" s="256"/>
      <c r="F434" s="256"/>
      <c r="G434" s="256"/>
      <c r="H434" s="256"/>
      <c r="I434" s="256"/>
      <c r="J434" s="256"/>
      <c r="K434" s="256"/>
      <c r="L434" s="256"/>
      <c r="M434" s="256"/>
      <c r="N434" s="256"/>
      <c r="O434" s="256"/>
      <c r="P434" s="256"/>
      <c r="Q434" s="256"/>
      <c r="R434" s="256"/>
      <c r="S434" s="221"/>
      <c r="T434" s="221"/>
      <c r="U434" s="221"/>
      <c r="V434" s="221"/>
      <c r="W434" s="221"/>
      <c r="X434" s="221"/>
      <c r="Y434" s="221"/>
      <c r="Z434" s="221"/>
    </row>
    <row r="435" customFormat="false" ht="12" hidden="false" customHeight="true" outlineLevel="0" collapsed="false">
      <c r="A435" s="256"/>
      <c r="B435" s="256"/>
      <c r="C435" s="256"/>
      <c r="D435" s="256"/>
      <c r="E435" s="256"/>
      <c r="F435" s="256"/>
      <c r="G435" s="256"/>
      <c r="H435" s="256"/>
      <c r="I435" s="256"/>
      <c r="J435" s="256"/>
      <c r="K435" s="256"/>
      <c r="L435" s="256"/>
      <c r="M435" s="256"/>
      <c r="N435" s="256"/>
      <c r="O435" s="256"/>
      <c r="P435" s="256"/>
      <c r="Q435" s="256"/>
      <c r="R435" s="256"/>
      <c r="S435" s="221"/>
      <c r="T435" s="221"/>
      <c r="U435" s="221"/>
      <c r="V435" s="221"/>
      <c r="W435" s="221"/>
      <c r="X435" s="221"/>
      <c r="Y435" s="221"/>
      <c r="Z435" s="221"/>
    </row>
    <row r="436" customFormat="false" ht="12" hidden="false" customHeight="true" outlineLevel="0" collapsed="false">
      <c r="A436" s="256"/>
      <c r="B436" s="256"/>
      <c r="C436" s="256"/>
      <c r="D436" s="256"/>
      <c r="E436" s="256"/>
      <c r="F436" s="256"/>
      <c r="G436" s="256"/>
      <c r="H436" s="256"/>
      <c r="I436" s="256"/>
      <c r="J436" s="256"/>
      <c r="K436" s="256"/>
      <c r="L436" s="256"/>
      <c r="M436" s="256"/>
      <c r="N436" s="256"/>
      <c r="O436" s="256"/>
      <c r="P436" s="256"/>
      <c r="Q436" s="256"/>
      <c r="R436" s="256"/>
      <c r="S436" s="221"/>
      <c r="T436" s="221"/>
      <c r="U436" s="221"/>
      <c r="V436" s="221"/>
      <c r="W436" s="221"/>
      <c r="X436" s="221"/>
      <c r="Y436" s="221"/>
      <c r="Z436" s="221"/>
    </row>
    <row r="437" customFormat="false" ht="12" hidden="false" customHeight="true" outlineLevel="0" collapsed="false">
      <c r="A437" s="256"/>
      <c r="B437" s="256"/>
      <c r="C437" s="256"/>
      <c r="D437" s="256"/>
      <c r="E437" s="256"/>
      <c r="F437" s="256"/>
      <c r="G437" s="256"/>
      <c r="H437" s="256"/>
      <c r="I437" s="256"/>
      <c r="J437" s="256"/>
      <c r="K437" s="256"/>
      <c r="L437" s="256"/>
      <c r="M437" s="256"/>
      <c r="N437" s="256"/>
      <c r="O437" s="256"/>
      <c r="P437" s="256"/>
      <c r="Q437" s="256"/>
      <c r="R437" s="256"/>
      <c r="S437" s="221"/>
      <c r="T437" s="221"/>
      <c r="U437" s="221"/>
      <c r="V437" s="221"/>
      <c r="W437" s="221"/>
      <c r="X437" s="221"/>
      <c r="Y437" s="221"/>
      <c r="Z437" s="221"/>
    </row>
    <row r="438" customFormat="false" ht="12" hidden="false" customHeight="true" outlineLevel="0" collapsed="false">
      <c r="A438" s="256"/>
      <c r="B438" s="256"/>
      <c r="C438" s="256"/>
      <c r="D438" s="256"/>
      <c r="E438" s="256"/>
      <c r="F438" s="256"/>
      <c r="G438" s="256"/>
      <c r="H438" s="256"/>
      <c r="I438" s="256"/>
      <c r="J438" s="256"/>
      <c r="K438" s="256"/>
      <c r="L438" s="256"/>
      <c r="M438" s="256"/>
      <c r="N438" s="256"/>
      <c r="O438" s="256"/>
      <c r="P438" s="256"/>
      <c r="Q438" s="256"/>
      <c r="R438" s="256"/>
      <c r="S438" s="221"/>
      <c r="T438" s="221"/>
      <c r="U438" s="221"/>
      <c r="V438" s="221"/>
      <c r="W438" s="221"/>
      <c r="X438" s="221"/>
      <c r="Y438" s="221"/>
      <c r="Z438" s="221"/>
    </row>
    <row r="439" customFormat="false" ht="12" hidden="false" customHeight="true" outlineLevel="0" collapsed="false">
      <c r="A439" s="256"/>
      <c r="B439" s="256"/>
      <c r="C439" s="256"/>
      <c r="D439" s="256"/>
      <c r="E439" s="256"/>
      <c r="F439" s="256"/>
      <c r="G439" s="256"/>
      <c r="H439" s="256"/>
      <c r="I439" s="256"/>
      <c r="J439" s="256"/>
      <c r="K439" s="256"/>
      <c r="L439" s="256"/>
      <c r="M439" s="256"/>
      <c r="N439" s="256"/>
      <c r="O439" s="256"/>
      <c r="P439" s="256"/>
      <c r="Q439" s="256"/>
      <c r="R439" s="256"/>
      <c r="S439" s="221"/>
      <c r="T439" s="221"/>
      <c r="U439" s="221"/>
      <c r="V439" s="221"/>
      <c r="W439" s="221"/>
      <c r="X439" s="221"/>
      <c r="Y439" s="221"/>
      <c r="Z439" s="221"/>
    </row>
    <row r="440" customFormat="false" ht="12" hidden="false" customHeight="true" outlineLevel="0" collapsed="false">
      <c r="A440" s="256"/>
      <c r="B440" s="256"/>
      <c r="C440" s="256"/>
      <c r="D440" s="256"/>
      <c r="E440" s="256"/>
      <c r="F440" s="256"/>
      <c r="G440" s="256"/>
      <c r="H440" s="256"/>
      <c r="I440" s="256"/>
      <c r="J440" s="256"/>
      <c r="K440" s="256"/>
      <c r="L440" s="256"/>
      <c r="M440" s="256"/>
      <c r="N440" s="256"/>
      <c r="O440" s="256"/>
      <c r="P440" s="256"/>
      <c r="Q440" s="256"/>
      <c r="R440" s="256"/>
      <c r="S440" s="221"/>
      <c r="T440" s="221"/>
      <c r="U440" s="221"/>
      <c r="V440" s="221"/>
      <c r="W440" s="221"/>
      <c r="X440" s="221"/>
      <c r="Y440" s="221"/>
      <c r="Z440" s="221"/>
    </row>
    <row r="441" customFormat="false" ht="12" hidden="false" customHeight="true" outlineLevel="0" collapsed="false">
      <c r="A441" s="256"/>
      <c r="B441" s="256"/>
      <c r="C441" s="256"/>
      <c r="D441" s="256"/>
      <c r="E441" s="256"/>
      <c r="F441" s="256"/>
      <c r="G441" s="256"/>
      <c r="H441" s="256"/>
      <c r="I441" s="256"/>
      <c r="J441" s="256"/>
      <c r="K441" s="256"/>
      <c r="L441" s="256"/>
      <c r="M441" s="256"/>
      <c r="N441" s="256"/>
      <c r="O441" s="256"/>
      <c r="P441" s="256"/>
      <c r="Q441" s="256"/>
      <c r="R441" s="256"/>
      <c r="S441" s="221"/>
      <c r="T441" s="221"/>
      <c r="U441" s="221"/>
      <c r="V441" s="221"/>
      <c r="W441" s="221"/>
      <c r="X441" s="221"/>
      <c r="Y441" s="221"/>
      <c r="Z441" s="221"/>
    </row>
    <row r="442" customFormat="false" ht="12" hidden="false" customHeight="true" outlineLevel="0" collapsed="false">
      <c r="A442" s="256"/>
      <c r="B442" s="256"/>
      <c r="C442" s="256"/>
      <c r="D442" s="256"/>
      <c r="E442" s="256"/>
      <c r="F442" s="256"/>
      <c r="G442" s="256"/>
      <c r="H442" s="256"/>
      <c r="I442" s="256"/>
      <c r="J442" s="256"/>
      <c r="K442" s="256"/>
      <c r="L442" s="256"/>
      <c r="M442" s="256"/>
      <c r="N442" s="256"/>
      <c r="O442" s="256"/>
      <c r="P442" s="256"/>
      <c r="Q442" s="256"/>
      <c r="R442" s="256"/>
      <c r="S442" s="221"/>
      <c r="T442" s="221"/>
      <c r="U442" s="221"/>
      <c r="V442" s="221"/>
      <c r="W442" s="221"/>
      <c r="X442" s="221"/>
      <c r="Y442" s="221"/>
      <c r="Z442" s="221"/>
    </row>
    <row r="443" customFormat="false" ht="12" hidden="false" customHeight="true" outlineLevel="0" collapsed="false">
      <c r="A443" s="256"/>
      <c r="B443" s="256"/>
      <c r="C443" s="256"/>
      <c r="D443" s="256"/>
      <c r="E443" s="256"/>
      <c r="F443" s="256"/>
      <c r="G443" s="256"/>
      <c r="H443" s="256"/>
      <c r="I443" s="256"/>
      <c r="J443" s="256"/>
      <c r="K443" s="256"/>
      <c r="L443" s="256"/>
      <c r="M443" s="256"/>
      <c r="N443" s="256"/>
      <c r="O443" s="256"/>
      <c r="P443" s="256"/>
      <c r="Q443" s="256"/>
      <c r="R443" s="256"/>
      <c r="S443" s="221"/>
      <c r="T443" s="221"/>
      <c r="U443" s="221"/>
      <c r="V443" s="221"/>
      <c r="W443" s="221"/>
      <c r="X443" s="221"/>
      <c r="Y443" s="221"/>
      <c r="Z443" s="221"/>
    </row>
    <row r="444" customFormat="false" ht="12" hidden="false" customHeight="true" outlineLevel="0" collapsed="false">
      <c r="A444" s="256"/>
      <c r="B444" s="256"/>
      <c r="C444" s="256"/>
      <c r="D444" s="256"/>
      <c r="E444" s="256"/>
      <c r="F444" s="256"/>
      <c r="G444" s="256"/>
      <c r="H444" s="256"/>
      <c r="I444" s="256"/>
      <c r="J444" s="256"/>
      <c r="K444" s="256"/>
      <c r="L444" s="256"/>
      <c r="M444" s="256"/>
      <c r="N444" s="256"/>
      <c r="O444" s="256"/>
      <c r="P444" s="256"/>
      <c r="Q444" s="256"/>
      <c r="R444" s="256"/>
      <c r="S444" s="221"/>
      <c r="T444" s="221"/>
      <c r="U444" s="221"/>
      <c r="V444" s="221"/>
      <c r="W444" s="221"/>
      <c r="X444" s="221"/>
      <c r="Y444" s="221"/>
      <c r="Z444" s="221"/>
    </row>
    <row r="445" customFormat="false" ht="12" hidden="false" customHeight="true" outlineLevel="0" collapsed="false">
      <c r="A445" s="256"/>
      <c r="B445" s="256"/>
      <c r="C445" s="256"/>
      <c r="D445" s="256"/>
      <c r="E445" s="256"/>
      <c r="F445" s="256"/>
      <c r="G445" s="256"/>
      <c r="H445" s="256"/>
      <c r="I445" s="256"/>
      <c r="J445" s="256"/>
      <c r="K445" s="256"/>
      <c r="L445" s="256"/>
      <c r="M445" s="256"/>
      <c r="N445" s="256"/>
      <c r="O445" s="256"/>
      <c r="P445" s="256"/>
      <c r="Q445" s="256"/>
      <c r="R445" s="256"/>
      <c r="S445" s="221"/>
      <c r="T445" s="221"/>
      <c r="U445" s="221"/>
      <c r="V445" s="221"/>
      <c r="W445" s="221"/>
      <c r="X445" s="221"/>
      <c r="Y445" s="221"/>
      <c r="Z445" s="221"/>
    </row>
    <row r="446" customFormat="false" ht="12" hidden="false" customHeight="true" outlineLevel="0" collapsed="false">
      <c r="A446" s="256"/>
      <c r="B446" s="256"/>
      <c r="C446" s="256"/>
      <c r="D446" s="256"/>
      <c r="E446" s="256"/>
      <c r="F446" s="256"/>
      <c r="G446" s="256"/>
      <c r="H446" s="256"/>
      <c r="I446" s="256"/>
      <c r="J446" s="256"/>
      <c r="K446" s="256"/>
      <c r="L446" s="256"/>
      <c r="M446" s="256"/>
      <c r="N446" s="256"/>
      <c r="O446" s="256"/>
      <c r="P446" s="256"/>
      <c r="Q446" s="256"/>
      <c r="R446" s="256"/>
      <c r="S446" s="221"/>
      <c r="T446" s="221"/>
      <c r="U446" s="221"/>
      <c r="V446" s="221"/>
      <c r="W446" s="221"/>
      <c r="X446" s="221"/>
      <c r="Y446" s="221"/>
      <c r="Z446" s="221"/>
    </row>
    <row r="447" customFormat="false" ht="12" hidden="false" customHeight="true" outlineLevel="0" collapsed="false">
      <c r="A447" s="256"/>
      <c r="B447" s="256"/>
      <c r="C447" s="256"/>
      <c r="D447" s="256"/>
      <c r="E447" s="256"/>
      <c r="F447" s="256"/>
      <c r="G447" s="256"/>
      <c r="H447" s="256"/>
      <c r="I447" s="256"/>
      <c r="J447" s="256"/>
      <c r="K447" s="256"/>
      <c r="L447" s="256"/>
      <c r="M447" s="256"/>
      <c r="N447" s="256"/>
      <c r="O447" s="256"/>
      <c r="P447" s="256"/>
      <c r="Q447" s="256"/>
      <c r="R447" s="256"/>
      <c r="S447" s="221"/>
      <c r="T447" s="221"/>
      <c r="U447" s="221"/>
      <c r="V447" s="221"/>
      <c r="W447" s="221"/>
      <c r="X447" s="221"/>
      <c r="Y447" s="221"/>
      <c r="Z447" s="221"/>
    </row>
    <row r="448" customFormat="false" ht="12" hidden="false" customHeight="true" outlineLevel="0" collapsed="false">
      <c r="A448" s="256"/>
      <c r="B448" s="256"/>
      <c r="C448" s="256"/>
      <c r="D448" s="256"/>
      <c r="E448" s="256"/>
      <c r="F448" s="256"/>
      <c r="G448" s="256"/>
      <c r="H448" s="256"/>
      <c r="I448" s="256"/>
      <c r="J448" s="256"/>
      <c r="K448" s="256"/>
      <c r="L448" s="256"/>
      <c r="M448" s="256"/>
      <c r="N448" s="256"/>
      <c r="O448" s="256"/>
      <c r="P448" s="256"/>
      <c r="Q448" s="256"/>
      <c r="R448" s="256"/>
      <c r="S448" s="221"/>
      <c r="T448" s="221"/>
      <c r="U448" s="221"/>
      <c r="V448" s="221"/>
      <c r="W448" s="221"/>
      <c r="X448" s="221"/>
      <c r="Y448" s="221"/>
      <c r="Z448" s="221"/>
    </row>
    <row r="449" customFormat="false" ht="12" hidden="false" customHeight="true" outlineLevel="0" collapsed="false">
      <c r="A449" s="256"/>
      <c r="B449" s="256"/>
      <c r="C449" s="256"/>
      <c r="D449" s="256"/>
      <c r="E449" s="256"/>
      <c r="F449" s="256"/>
      <c r="G449" s="256"/>
      <c r="H449" s="256"/>
      <c r="I449" s="256"/>
      <c r="J449" s="256"/>
      <c r="K449" s="256"/>
      <c r="L449" s="256"/>
      <c r="M449" s="256"/>
      <c r="N449" s="256"/>
      <c r="O449" s="256"/>
      <c r="P449" s="256"/>
      <c r="Q449" s="256"/>
      <c r="R449" s="256"/>
      <c r="S449" s="221"/>
      <c r="T449" s="221"/>
      <c r="U449" s="221"/>
      <c r="V449" s="221"/>
      <c r="W449" s="221"/>
      <c r="X449" s="221"/>
      <c r="Y449" s="221"/>
      <c r="Z449" s="221"/>
    </row>
    <row r="450" customFormat="false" ht="12" hidden="false" customHeight="true" outlineLevel="0" collapsed="false">
      <c r="A450" s="256"/>
      <c r="B450" s="256"/>
      <c r="C450" s="256"/>
      <c r="D450" s="256"/>
      <c r="E450" s="256"/>
      <c r="F450" s="256"/>
      <c r="G450" s="256"/>
      <c r="H450" s="256"/>
      <c r="I450" s="256"/>
      <c r="J450" s="256"/>
      <c r="K450" s="256"/>
      <c r="L450" s="256"/>
      <c r="M450" s="256"/>
      <c r="N450" s="256"/>
      <c r="O450" s="256"/>
      <c r="P450" s="256"/>
      <c r="Q450" s="256"/>
      <c r="R450" s="256"/>
      <c r="S450" s="221"/>
      <c r="T450" s="221"/>
      <c r="U450" s="221"/>
      <c r="V450" s="221"/>
      <c r="W450" s="221"/>
      <c r="X450" s="221"/>
      <c r="Y450" s="221"/>
      <c r="Z450" s="221"/>
    </row>
    <row r="451" customFormat="false" ht="12" hidden="false" customHeight="true" outlineLevel="0" collapsed="false">
      <c r="A451" s="256"/>
      <c r="B451" s="256"/>
      <c r="C451" s="256"/>
      <c r="D451" s="256"/>
      <c r="E451" s="256"/>
      <c r="F451" s="256"/>
      <c r="G451" s="256"/>
      <c r="H451" s="256"/>
      <c r="I451" s="256"/>
      <c r="J451" s="256"/>
      <c r="K451" s="256"/>
      <c r="L451" s="256"/>
      <c r="M451" s="256"/>
      <c r="N451" s="256"/>
      <c r="O451" s="256"/>
      <c r="P451" s="256"/>
      <c r="Q451" s="256"/>
      <c r="R451" s="256"/>
      <c r="S451" s="221"/>
      <c r="T451" s="221"/>
      <c r="U451" s="221"/>
      <c r="V451" s="221"/>
      <c r="W451" s="221"/>
      <c r="X451" s="221"/>
      <c r="Y451" s="221"/>
      <c r="Z451" s="221"/>
    </row>
    <row r="452" customFormat="false" ht="12" hidden="false" customHeight="true" outlineLevel="0" collapsed="false">
      <c r="A452" s="256"/>
      <c r="B452" s="256"/>
      <c r="C452" s="256"/>
      <c r="D452" s="256"/>
      <c r="E452" s="256"/>
      <c r="F452" s="256"/>
      <c r="G452" s="256"/>
      <c r="H452" s="256"/>
      <c r="I452" s="256"/>
      <c r="J452" s="256"/>
      <c r="K452" s="256"/>
      <c r="L452" s="256"/>
      <c r="M452" s="256"/>
      <c r="N452" s="256"/>
      <c r="O452" s="256"/>
      <c r="P452" s="256"/>
      <c r="Q452" s="256"/>
      <c r="R452" s="256"/>
      <c r="S452" s="221"/>
      <c r="T452" s="221"/>
      <c r="U452" s="221"/>
      <c r="V452" s="221"/>
      <c r="W452" s="221"/>
      <c r="X452" s="221"/>
      <c r="Y452" s="221"/>
      <c r="Z452" s="221"/>
    </row>
    <row r="453" customFormat="false" ht="12" hidden="false" customHeight="true" outlineLevel="0" collapsed="false">
      <c r="A453" s="256"/>
      <c r="B453" s="256"/>
      <c r="C453" s="256"/>
      <c r="D453" s="256"/>
      <c r="E453" s="256"/>
      <c r="F453" s="256"/>
      <c r="G453" s="256"/>
      <c r="H453" s="256"/>
      <c r="I453" s="256"/>
      <c r="J453" s="256"/>
      <c r="K453" s="256"/>
      <c r="L453" s="256"/>
      <c r="M453" s="256"/>
      <c r="N453" s="256"/>
      <c r="O453" s="256"/>
      <c r="P453" s="256"/>
      <c r="Q453" s="256"/>
      <c r="R453" s="256"/>
      <c r="S453" s="221"/>
      <c r="T453" s="221"/>
      <c r="U453" s="221"/>
      <c r="V453" s="221"/>
      <c r="W453" s="221"/>
      <c r="X453" s="221"/>
      <c r="Y453" s="221"/>
      <c r="Z453" s="221"/>
    </row>
    <row r="454" customFormat="false" ht="12" hidden="false" customHeight="true" outlineLevel="0" collapsed="false">
      <c r="A454" s="256"/>
      <c r="B454" s="256"/>
      <c r="C454" s="256"/>
      <c r="D454" s="256"/>
      <c r="E454" s="256"/>
      <c r="F454" s="256"/>
      <c r="G454" s="256"/>
      <c r="H454" s="256"/>
      <c r="I454" s="256"/>
      <c r="J454" s="256"/>
      <c r="K454" s="256"/>
      <c r="L454" s="256"/>
      <c r="M454" s="256"/>
      <c r="N454" s="256"/>
      <c r="O454" s="256"/>
      <c r="P454" s="256"/>
      <c r="Q454" s="256"/>
      <c r="R454" s="256"/>
      <c r="S454" s="221"/>
      <c r="T454" s="221"/>
      <c r="U454" s="221"/>
      <c r="V454" s="221"/>
      <c r="W454" s="221"/>
      <c r="X454" s="221"/>
      <c r="Y454" s="221"/>
      <c r="Z454" s="221"/>
    </row>
    <row r="455" customFormat="false" ht="12" hidden="false" customHeight="true" outlineLevel="0" collapsed="false">
      <c r="A455" s="256"/>
      <c r="B455" s="256"/>
      <c r="C455" s="256"/>
      <c r="D455" s="256"/>
      <c r="E455" s="256"/>
      <c r="F455" s="256"/>
      <c r="G455" s="256"/>
      <c r="H455" s="256"/>
      <c r="I455" s="256"/>
      <c r="J455" s="256"/>
      <c r="K455" s="256"/>
      <c r="L455" s="256"/>
      <c r="M455" s="256"/>
      <c r="N455" s="256"/>
      <c r="O455" s="256"/>
      <c r="P455" s="256"/>
      <c r="Q455" s="256"/>
      <c r="R455" s="256"/>
      <c r="S455" s="221"/>
      <c r="T455" s="221"/>
      <c r="U455" s="221"/>
      <c r="V455" s="221"/>
      <c r="W455" s="221"/>
      <c r="X455" s="221"/>
      <c r="Y455" s="221"/>
      <c r="Z455" s="221"/>
    </row>
    <row r="456" customFormat="false" ht="12" hidden="false" customHeight="true" outlineLevel="0" collapsed="false">
      <c r="A456" s="256"/>
      <c r="B456" s="256"/>
      <c r="C456" s="256"/>
      <c r="D456" s="256"/>
      <c r="E456" s="256"/>
      <c r="F456" s="256"/>
      <c r="G456" s="256"/>
      <c r="H456" s="256"/>
      <c r="I456" s="256"/>
      <c r="J456" s="256"/>
      <c r="K456" s="256"/>
      <c r="L456" s="256"/>
      <c r="M456" s="256"/>
      <c r="N456" s="256"/>
      <c r="O456" s="256"/>
      <c r="P456" s="256"/>
      <c r="Q456" s="256"/>
      <c r="R456" s="256"/>
      <c r="S456" s="221"/>
      <c r="T456" s="221"/>
      <c r="U456" s="221"/>
      <c r="V456" s="221"/>
      <c r="W456" s="221"/>
      <c r="X456" s="221"/>
      <c r="Y456" s="221"/>
      <c r="Z456" s="221"/>
    </row>
    <row r="457" customFormat="false" ht="12" hidden="false" customHeight="true" outlineLevel="0" collapsed="false">
      <c r="A457" s="256"/>
      <c r="B457" s="256"/>
      <c r="C457" s="256"/>
      <c r="D457" s="256"/>
      <c r="E457" s="256"/>
      <c r="F457" s="256"/>
      <c r="G457" s="256"/>
      <c r="H457" s="256"/>
      <c r="I457" s="256"/>
      <c r="J457" s="256"/>
      <c r="K457" s="256"/>
      <c r="L457" s="256"/>
      <c r="M457" s="256"/>
      <c r="N457" s="256"/>
      <c r="O457" s="256"/>
      <c r="P457" s="256"/>
      <c r="Q457" s="256"/>
      <c r="R457" s="256"/>
      <c r="S457" s="221"/>
      <c r="T457" s="221"/>
      <c r="U457" s="221"/>
      <c r="V457" s="221"/>
      <c r="W457" s="221"/>
      <c r="X457" s="221"/>
      <c r="Y457" s="221"/>
      <c r="Z457" s="221"/>
    </row>
    <row r="458" customFormat="false" ht="12" hidden="false" customHeight="true" outlineLevel="0" collapsed="false">
      <c r="A458" s="256"/>
      <c r="B458" s="256"/>
      <c r="C458" s="256"/>
      <c r="D458" s="256"/>
      <c r="E458" s="256"/>
      <c r="F458" s="256"/>
      <c r="G458" s="256"/>
      <c r="H458" s="256"/>
      <c r="I458" s="256"/>
      <c r="J458" s="256"/>
      <c r="K458" s="256"/>
      <c r="L458" s="256"/>
      <c r="M458" s="256"/>
      <c r="N458" s="256"/>
      <c r="O458" s="256"/>
      <c r="P458" s="256"/>
      <c r="Q458" s="256"/>
      <c r="R458" s="256"/>
      <c r="S458" s="221"/>
      <c r="T458" s="221"/>
      <c r="U458" s="221"/>
      <c r="V458" s="221"/>
      <c r="W458" s="221"/>
      <c r="X458" s="221"/>
      <c r="Y458" s="221"/>
      <c r="Z458" s="221"/>
    </row>
    <row r="459" customFormat="false" ht="12" hidden="false" customHeight="true" outlineLevel="0" collapsed="false">
      <c r="A459" s="256"/>
      <c r="B459" s="256"/>
      <c r="C459" s="256"/>
      <c r="D459" s="256"/>
      <c r="E459" s="256"/>
      <c r="F459" s="256"/>
      <c r="G459" s="256"/>
      <c r="H459" s="256"/>
      <c r="I459" s="256"/>
      <c r="J459" s="256"/>
      <c r="K459" s="256"/>
      <c r="L459" s="256"/>
      <c r="M459" s="256"/>
      <c r="N459" s="256"/>
      <c r="O459" s="256"/>
      <c r="P459" s="256"/>
      <c r="Q459" s="256"/>
      <c r="R459" s="256"/>
      <c r="S459" s="221"/>
      <c r="T459" s="221"/>
      <c r="U459" s="221"/>
      <c r="V459" s="221"/>
      <c r="W459" s="221"/>
      <c r="X459" s="221"/>
      <c r="Y459" s="221"/>
      <c r="Z459" s="221"/>
    </row>
    <row r="460" customFormat="false" ht="12" hidden="false" customHeight="true" outlineLevel="0" collapsed="false">
      <c r="A460" s="256"/>
      <c r="B460" s="256"/>
      <c r="C460" s="256"/>
      <c r="D460" s="256"/>
      <c r="E460" s="256"/>
      <c r="F460" s="256"/>
      <c r="G460" s="256"/>
      <c r="H460" s="256"/>
      <c r="I460" s="256"/>
      <c r="J460" s="256"/>
      <c r="K460" s="256"/>
      <c r="L460" s="256"/>
      <c r="M460" s="256"/>
      <c r="N460" s="256"/>
      <c r="O460" s="256"/>
      <c r="P460" s="256"/>
      <c r="Q460" s="256"/>
      <c r="R460" s="256"/>
      <c r="S460" s="221"/>
      <c r="T460" s="221"/>
      <c r="U460" s="221"/>
      <c r="V460" s="221"/>
      <c r="W460" s="221"/>
      <c r="X460" s="221"/>
      <c r="Y460" s="221"/>
      <c r="Z460" s="221"/>
    </row>
    <row r="461" customFormat="false" ht="12" hidden="false" customHeight="true" outlineLevel="0" collapsed="false">
      <c r="A461" s="256"/>
      <c r="B461" s="256"/>
      <c r="C461" s="256"/>
      <c r="D461" s="256"/>
      <c r="E461" s="256"/>
      <c r="F461" s="256"/>
      <c r="G461" s="256"/>
      <c r="H461" s="256"/>
      <c r="I461" s="256"/>
      <c r="J461" s="256"/>
      <c r="K461" s="256"/>
      <c r="L461" s="256"/>
      <c r="M461" s="256"/>
      <c r="N461" s="256"/>
      <c r="O461" s="256"/>
      <c r="P461" s="256"/>
      <c r="Q461" s="256"/>
      <c r="R461" s="256"/>
      <c r="S461" s="221"/>
      <c r="T461" s="221"/>
      <c r="U461" s="221"/>
      <c r="V461" s="221"/>
      <c r="W461" s="221"/>
      <c r="X461" s="221"/>
      <c r="Y461" s="221"/>
      <c r="Z461" s="221"/>
    </row>
    <row r="462" customFormat="false" ht="12" hidden="false" customHeight="true" outlineLevel="0" collapsed="false">
      <c r="A462" s="256"/>
      <c r="B462" s="256"/>
      <c r="C462" s="256"/>
      <c r="D462" s="256"/>
      <c r="E462" s="256"/>
      <c r="F462" s="256"/>
      <c r="G462" s="256"/>
      <c r="H462" s="256"/>
      <c r="I462" s="256"/>
      <c r="J462" s="256"/>
      <c r="K462" s="256"/>
      <c r="L462" s="256"/>
      <c r="M462" s="256"/>
      <c r="N462" s="256"/>
      <c r="O462" s="256"/>
      <c r="P462" s="256"/>
      <c r="Q462" s="256"/>
      <c r="R462" s="256"/>
      <c r="S462" s="221"/>
      <c r="T462" s="221"/>
      <c r="U462" s="221"/>
      <c r="V462" s="221"/>
      <c r="W462" s="221"/>
      <c r="X462" s="221"/>
      <c r="Y462" s="221"/>
      <c r="Z462" s="221"/>
    </row>
    <row r="463" customFormat="false" ht="12" hidden="false" customHeight="true" outlineLevel="0" collapsed="false">
      <c r="A463" s="256"/>
      <c r="B463" s="256"/>
      <c r="C463" s="256"/>
      <c r="D463" s="256"/>
      <c r="E463" s="256"/>
      <c r="F463" s="256"/>
      <c r="G463" s="256"/>
      <c r="H463" s="256"/>
      <c r="I463" s="256"/>
      <c r="J463" s="256"/>
      <c r="K463" s="256"/>
      <c r="L463" s="256"/>
      <c r="M463" s="256"/>
      <c r="N463" s="256"/>
      <c r="O463" s="256"/>
      <c r="P463" s="256"/>
      <c r="Q463" s="256"/>
      <c r="R463" s="256"/>
      <c r="S463" s="221"/>
      <c r="T463" s="221"/>
      <c r="U463" s="221"/>
      <c r="V463" s="221"/>
      <c r="W463" s="221"/>
      <c r="X463" s="221"/>
      <c r="Y463" s="221"/>
      <c r="Z463" s="221"/>
    </row>
    <row r="464" customFormat="false" ht="12" hidden="false" customHeight="true" outlineLevel="0" collapsed="false">
      <c r="A464" s="256"/>
      <c r="B464" s="256"/>
      <c r="C464" s="256"/>
      <c r="D464" s="256"/>
      <c r="E464" s="256"/>
      <c r="F464" s="256"/>
      <c r="G464" s="256"/>
      <c r="H464" s="256"/>
      <c r="I464" s="256"/>
      <c r="J464" s="256"/>
      <c r="K464" s="256"/>
      <c r="L464" s="256"/>
      <c r="M464" s="256"/>
      <c r="N464" s="256"/>
      <c r="O464" s="256"/>
      <c r="P464" s="256"/>
      <c r="Q464" s="256"/>
      <c r="R464" s="256"/>
      <c r="S464" s="221"/>
      <c r="T464" s="221"/>
      <c r="U464" s="221"/>
      <c r="V464" s="221"/>
      <c r="W464" s="221"/>
      <c r="X464" s="221"/>
      <c r="Y464" s="221"/>
      <c r="Z464" s="221"/>
    </row>
    <row r="465" customFormat="false" ht="12" hidden="false" customHeight="true" outlineLevel="0" collapsed="false">
      <c r="A465" s="256"/>
      <c r="B465" s="256"/>
      <c r="C465" s="256"/>
      <c r="D465" s="256"/>
      <c r="E465" s="256"/>
      <c r="F465" s="256"/>
      <c r="G465" s="256"/>
      <c r="H465" s="256"/>
      <c r="I465" s="256"/>
      <c r="J465" s="256"/>
      <c r="K465" s="256"/>
      <c r="L465" s="256"/>
      <c r="M465" s="256"/>
      <c r="N465" s="256"/>
      <c r="O465" s="256"/>
      <c r="P465" s="256"/>
      <c r="Q465" s="256"/>
      <c r="R465" s="256"/>
      <c r="S465" s="221"/>
      <c r="T465" s="221"/>
      <c r="U465" s="221"/>
      <c r="V465" s="221"/>
      <c r="W465" s="221"/>
      <c r="X465" s="221"/>
      <c r="Y465" s="221"/>
      <c r="Z465" s="221"/>
    </row>
    <row r="466" customFormat="false" ht="12" hidden="false" customHeight="true" outlineLevel="0" collapsed="false">
      <c r="A466" s="256"/>
      <c r="B466" s="256"/>
      <c r="C466" s="256"/>
      <c r="D466" s="256"/>
      <c r="E466" s="256"/>
      <c r="F466" s="256"/>
      <c r="G466" s="256"/>
      <c r="H466" s="256"/>
      <c r="I466" s="256"/>
      <c r="J466" s="256"/>
      <c r="K466" s="256"/>
      <c r="L466" s="256"/>
      <c r="M466" s="256"/>
      <c r="N466" s="256"/>
      <c r="O466" s="256"/>
      <c r="P466" s="256"/>
      <c r="Q466" s="256"/>
      <c r="R466" s="256"/>
      <c r="S466" s="221"/>
      <c r="T466" s="221"/>
      <c r="U466" s="221"/>
      <c r="V466" s="221"/>
      <c r="W466" s="221"/>
      <c r="X466" s="221"/>
      <c r="Y466" s="221"/>
      <c r="Z466" s="221"/>
    </row>
    <row r="467" customFormat="false" ht="12" hidden="false" customHeight="true" outlineLevel="0" collapsed="false">
      <c r="A467" s="256"/>
      <c r="B467" s="256"/>
      <c r="C467" s="256"/>
      <c r="D467" s="256"/>
      <c r="E467" s="256"/>
      <c r="F467" s="256"/>
      <c r="G467" s="256"/>
      <c r="H467" s="256"/>
      <c r="I467" s="256"/>
      <c r="J467" s="256"/>
      <c r="K467" s="256"/>
      <c r="L467" s="256"/>
      <c r="M467" s="256"/>
      <c r="N467" s="256"/>
      <c r="O467" s="256"/>
      <c r="P467" s="256"/>
      <c r="Q467" s="256"/>
      <c r="R467" s="256"/>
      <c r="S467" s="221"/>
      <c r="T467" s="221"/>
      <c r="U467" s="221"/>
      <c r="V467" s="221"/>
      <c r="W467" s="221"/>
      <c r="X467" s="221"/>
      <c r="Y467" s="221"/>
      <c r="Z467" s="221"/>
    </row>
    <row r="468" customFormat="false" ht="12" hidden="false" customHeight="true" outlineLevel="0" collapsed="false">
      <c r="A468" s="256"/>
      <c r="B468" s="256"/>
      <c r="C468" s="256"/>
      <c r="D468" s="256"/>
      <c r="E468" s="256"/>
      <c r="F468" s="256"/>
      <c r="G468" s="256"/>
      <c r="H468" s="256"/>
      <c r="I468" s="256"/>
      <c r="J468" s="256"/>
      <c r="K468" s="256"/>
      <c r="L468" s="256"/>
      <c r="M468" s="256"/>
      <c r="N468" s="256"/>
      <c r="O468" s="256"/>
      <c r="P468" s="256"/>
      <c r="Q468" s="256"/>
      <c r="R468" s="256"/>
      <c r="S468" s="221"/>
      <c r="T468" s="221"/>
      <c r="U468" s="221"/>
      <c r="V468" s="221"/>
      <c r="W468" s="221"/>
      <c r="X468" s="221"/>
      <c r="Y468" s="221"/>
      <c r="Z468" s="221"/>
    </row>
    <row r="469" customFormat="false" ht="12" hidden="false" customHeight="true" outlineLevel="0" collapsed="false">
      <c r="A469" s="256"/>
      <c r="B469" s="256"/>
      <c r="C469" s="256"/>
      <c r="D469" s="256"/>
      <c r="E469" s="256"/>
      <c r="F469" s="256"/>
      <c r="G469" s="256"/>
      <c r="H469" s="256"/>
      <c r="I469" s="256"/>
      <c r="J469" s="256"/>
      <c r="K469" s="256"/>
      <c r="L469" s="256"/>
      <c r="M469" s="256"/>
      <c r="N469" s="256"/>
      <c r="O469" s="256"/>
      <c r="P469" s="256"/>
      <c r="Q469" s="256"/>
      <c r="R469" s="256"/>
      <c r="S469" s="221"/>
      <c r="T469" s="221"/>
      <c r="U469" s="221"/>
      <c r="V469" s="221"/>
      <c r="W469" s="221"/>
      <c r="X469" s="221"/>
      <c r="Y469" s="221"/>
      <c r="Z469" s="221"/>
    </row>
    <row r="470" customFormat="false" ht="12" hidden="false" customHeight="true" outlineLevel="0" collapsed="false">
      <c r="A470" s="256"/>
      <c r="B470" s="256"/>
      <c r="C470" s="256"/>
      <c r="D470" s="256"/>
      <c r="E470" s="256"/>
      <c r="F470" s="256"/>
      <c r="G470" s="256"/>
      <c r="H470" s="256"/>
      <c r="I470" s="256"/>
      <c r="J470" s="256"/>
      <c r="K470" s="256"/>
      <c r="L470" s="256"/>
      <c r="M470" s="256"/>
      <c r="N470" s="256"/>
      <c r="O470" s="256"/>
      <c r="P470" s="256"/>
      <c r="Q470" s="256"/>
      <c r="R470" s="256"/>
      <c r="S470" s="221"/>
      <c r="T470" s="221"/>
      <c r="U470" s="221"/>
      <c r="V470" s="221"/>
      <c r="W470" s="221"/>
      <c r="X470" s="221"/>
      <c r="Y470" s="221"/>
      <c r="Z470" s="221"/>
    </row>
    <row r="471" customFormat="false" ht="12" hidden="false" customHeight="true" outlineLevel="0" collapsed="false">
      <c r="A471" s="256"/>
      <c r="B471" s="256"/>
      <c r="C471" s="256"/>
      <c r="D471" s="256"/>
      <c r="E471" s="256"/>
      <c r="F471" s="256"/>
      <c r="G471" s="256"/>
      <c r="H471" s="256"/>
      <c r="I471" s="256"/>
      <c r="J471" s="256"/>
      <c r="K471" s="256"/>
      <c r="L471" s="256"/>
      <c r="M471" s="256"/>
      <c r="N471" s="256"/>
      <c r="O471" s="256"/>
      <c r="P471" s="256"/>
      <c r="Q471" s="256"/>
      <c r="R471" s="256"/>
      <c r="S471" s="221"/>
      <c r="T471" s="221"/>
      <c r="U471" s="221"/>
      <c r="V471" s="221"/>
      <c r="W471" s="221"/>
      <c r="X471" s="221"/>
      <c r="Y471" s="221"/>
      <c r="Z471" s="221"/>
    </row>
    <row r="472" customFormat="false" ht="12" hidden="false" customHeight="true" outlineLevel="0" collapsed="false">
      <c r="A472" s="256"/>
      <c r="B472" s="256"/>
      <c r="C472" s="256"/>
      <c r="D472" s="256"/>
      <c r="E472" s="256"/>
      <c r="F472" s="256"/>
      <c r="G472" s="256"/>
      <c r="H472" s="256"/>
      <c r="I472" s="256"/>
      <c r="J472" s="256"/>
      <c r="K472" s="256"/>
      <c r="L472" s="256"/>
      <c r="M472" s="256"/>
      <c r="N472" s="256"/>
      <c r="O472" s="256"/>
      <c r="P472" s="256"/>
      <c r="Q472" s="256"/>
      <c r="R472" s="256"/>
      <c r="S472" s="221"/>
      <c r="T472" s="221"/>
      <c r="U472" s="221"/>
      <c r="V472" s="221"/>
      <c r="W472" s="221"/>
      <c r="X472" s="221"/>
      <c r="Y472" s="221"/>
      <c r="Z472" s="221"/>
    </row>
    <row r="473" customFormat="false" ht="12" hidden="false" customHeight="true" outlineLevel="0" collapsed="false">
      <c r="A473" s="256"/>
      <c r="B473" s="256"/>
      <c r="C473" s="256"/>
      <c r="D473" s="256"/>
      <c r="E473" s="256"/>
      <c r="F473" s="256"/>
      <c r="G473" s="256"/>
      <c r="H473" s="256"/>
      <c r="I473" s="256"/>
      <c r="J473" s="256"/>
      <c r="K473" s="256"/>
      <c r="L473" s="256"/>
      <c r="M473" s="256"/>
      <c r="N473" s="256"/>
      <c r="O473" s="256"/>
      <c r="P473" s="256"/>
      <c r="Q473" s="256"/>
      <c r="R473" s="256"/>
      <c r="S473" s="221"/>
      <c r="T473" s="221"/>
      <c r="U473" s="221"/>
      <c r="V473" s="221"/>
      <c r="W473" s="221"/>
      <c r="X473" s="221"/>
      <c r="Y473" s="221"/>
      <c r="Z473" s="221"/>
    </row>
    <row r="474" customFormat="false" ht="12" hidden="false" customHeight="true" outlineLevel="0" collapsed="false">
      <c r="A474" s="256"/>
      <c r="B474" s="256"/>
      <c r="C474" s="256"/>
      <c r="D474" s="256"/>
      <c r="E474" s="256"/>
      <c r="F474" s="256"/>
      <c r="G474" s="256"/>
      <c r="H474" s="256"/>
      <c r="I474" s="256"/>
      <c r="J474" s="256"/>
      <c r="K474" s="256"/>
      <c r="L474" s="256"/>
      <c r="M474" s="256"/>
      <c r="N474" s="256"/>
      <c r="O474" s="256"/>
      <c r="P474" s="256"/>
      <c r="Q474" s="256"/>
      <c r="R474" s="256"/>
      <c r="S474" s="221"/>
      <c r="T474" s="221"/>
      <c r="U474" s="221"/>
      <c r="V474" s="221"/>
      <c r="W474" s="221"/>
      <c r="X474" s="221"/>
      <c r="Y474" s="221"/>
      <c r="Z474" s="221"/>
    </row>
    <row r="475" customFormat="false" ht="12" hidden="false" customHeight="true" outlineLevel="0" collapsed="false">
      <c r="A475" s="256"/>
      <c r="B475" s="256"/>
      <c r="C475" s="256"/>
      <c r="D475" s="256"/>
      <c r="E475" s="256"/>
      <c r="F475" s="256"/>
      <c r="G475" s="256"/>
      <c r="H475" s="256"/>
      <c r="I475" s="256"/>
      <c r="J475" s="256"/>
      <c r="K475" s="256"/>
      <c r="L475" s="256"/>
      <c r="M475" s="256"/>
      <c r="N475" s="256"/>
      <c r="O475" s="256"/>
      <c r="P475" s="256"/>
      <c r="Q475" s="256"/>
      <c r="R475" s="256"/>
      <c r="S475" s="221"/>
      <c r="T475" s="221"/>
      <c r="U475" s="221"/>
      <c r="V475" s="221"/>
      <c r="W475" s="221"/>
      <c r="X475" s="221"/>
      <c r="Y475" s="221"/>
      <c r="Z475" s="221"/>
    </row>
    <row r="476" customFormat="false" ht="12" hidden="false" customHeight="true" outlineLevel="0" collapsed="false">
      <c r="A476" s="256"/>
      <c r="B476" s="256"/>
      <c r="C476" s="256"/>
      <c r="D476" s="256"/>
      <c r="E476" s="256"/>
      <c r="F476" s="256"/>
      <c r="G476" s="256"/>
      <c r="H476" s="256"/>
      <c r="I476" s="256"/>
      <c r="J476" s="256"/>
      <c r="K476" s="256"/>
      <c r="L476" s="256"/>
      <c r="M476" s="256"/>
      <c r="N476" s="256"/>
      <c r="O476" s="256"/>
      <c r="P476" s="256"/>
      <c r="Q476" s="256"/>
      <c r="R476" s="256"/>
      <c r="S476" s="221"/>
      <c r="T476" s="221"/>
      <c r="U476" s="221"/>
      <c r="V476" s="221"/>
      <c r="W476" s="221"/>
      <c r="X476" s="221"/>
      <c r="Y476" s="221"/>
      <c r="Z476" s="221"/>
    </row>
    <row r="477" customFormat="false" ht="12" hidden="false" customHeight="true" outlineLevel="0" collapsed="false">
      <c r="A477" s="256"/>
      <c r="B477" s="256"/>
      <c r="C477" s="256"/>
      <c r="D477" s="256"/>
      <c r="E477" s="256"/>
      <c r="F477" s="256"/>
      <c r="G477" s="256"/>
      <c r="H477" s="256"/>
      <c r="I477" s="256"/>
      <c r="J477" s="256"/>
      <c r="K477" s="256"/>
      <c r="L477" s="256"/>
      <c r="M477" s="256"/>
      <c r="N477" s="256"/>
      <c r="O477" s="256"/>
      <c r="P477" s="256"/>
      <c r="Q477" s="256"/>
      <c r="R477" s="256"/>
      <c r="S477" s="221"/>
      <c r="T477" s="221"/>
      <c r="U477" s="221"/>
      <c r="V477" s="221"/>
      <c r="W477" s="221"/>
      <c r="X477" s="221"/>
      <c r="Y477" s="221"/>
      <c r="Z477" s="221"/>
    </row>
    <row r="478" customFormat="false" ht="12" hidden="false" customHeight="true" outlineLevel="0" collapsed="false">
      <c r="A478" s="256"/>
      <c r="B478" s="256"/>
      <c r="C478" s="256"/>
      <c r="D478" s="256"/>
      <c r="E478" s="256"/>
      <c r="F478" s="256"/>
      <c r="G478" s="256"/>
      <c r="H478" s="256"/>
      <c r="I478" s="256"/>
      <c r="J478" s="256"/>
      <c r="K478" s="256"/>
      <c r="L478" s="256"/>
      <c r="M478" s="256"/>
      <c r="N478" s="256"/>
      <c r="O478" s="256"/>
      <c r="P478" s="256"/>
      <c r="Q478" s="256"/>
      <c r="R478" s="256"/>
      <c r="S478" s="221"/>
      <c r="T478" s="221"/>
      <c r="U478" s="221"/>
      <c r="V478" s="221"/>
      <c r="W478" s="221"/>
      <c r="X478" s="221"/>
      <c r="Y478" s="221"/>
      <c r="Z478" s="221"/>
    </row>
    <row r="479" customFormat="false" ht="12" hidden="false" customHeight="true" outlineLevel="0" collapsed="false">
      <c r="A479" s="256"/>
      <c r="B479" s="256"/>
      <c r="C479" s="256"/>
      <c r="D479" s="256"/>
      <c r="E479" s="256"/>
      <c r="F479" s="256"/>
      <c r="G479" s="256"/>
      <c r="H479" s="256"/>
      <c r="I479" s="256"/>
      <c r="J479" s="256"/>
      <c r="K479" s="256"/>
      <c r="L479" s="256"/>
      <c r="M479" s="256"/>
      <c r="N479" s="256"/>
      <c r="O479" s="256"/>
      <c r="P479" s="256"/>
      <c r="Q479" s="256"/>
      <c r="R479" s="256"/>
      <c r="S479" s="221"/>
      <c r="T479" s="221"/>
      <c r="U479" s="221"/>
      <c r="V479" s="221"/>
      <c r="W479" s="221"/>
      <c r="X479" s="221"/>
      <c r="Y479" s="221"/>
      <c r="Z479" s="221"/>
    </row>
    <row r="480" customFormat="false" ht="12" hidden="false" customHeight="true" outlineLevel="0" collapsed="false">
      <c r="A480" s="256"/>
      <c r="B480" s="256"/>
      <c r="C480" s="256"/>
      <c r="D480" s="256"/>
      <c r="E480" s="256"/>
      <c r="F480" s="256"/>
      <c r="G480" s="256"/>
      <c r="H480" s="256"/>
      <c r="I480" s="256"/>
      <c r="J480" s="256"/>
      <c r="K480" s="256"/>
      <c r="L480" s="256"/>
      <c r="M480" s="256"/>
      <c r="N480" s="256"/>
      <c r="O480" s="256"/>
      <c r="P480" s="256"/>
      <c r="Q480" s="256"/>
      <c r="R480" s="256"/>
      <c r="S480" s="221"/>
      <c r="T480" s="221"/>
      <c r="U480" s="221"/>
      <c r="V480" s="221"/>
      <c r="W480" s="221"/>
      <c r="X480" s="221"/>
      <c r="Y480" s="221"/>
      <c r="Z480" s="221"/>
    </row>
    <row r="481" customFormat="false" ht="12" hidden="false" customHeight="true" outlineLevel="0" collapsed="false">
      <c r="A481" s="256"/>
      <c r="B481" s="256"/>
      <c r="C481" s="256"/>
      <c r="D481" s="256"/>
      <c r="E481" s="256"/>
      <c r="F481" s="256"/>
      <c r="G481" s="256"/>
      <c r="H481" s="256"/>
      <c r="I481" s="256"/>
      <c r="J481" s="256"/>
      <c r="K481" s="256"/>
      <c r="L481" s="256"/>
      <c r="M481" s="256"/>
      <c r="N481" s="256"/>
      <c r="O481" s="256"/>
      <c r="P481" s="256"/>
      <c r="Q481" s="256"/>
      <c r="R481" s="256"/>
      <c r="S481" s="221"/>
      <c r="T481" s="221"/>
      <c r="U481" s="221"/>
      <c r="V481" s="221"/>
      <c r="W481" s="221"/>
      <c r="X481" s="221"/>
      <c r="Y481" s="221"/>
      <c r="Z481" s="221"/>
    </row>
    <row r="482" customFormat="false" ht="12" hidden="false" customHeight="true" outlineLevel="0" collapsed="false">
      <c r="A482" s="256"/>
      <c r="B482" s="256"/>
      <c r="C482" s="256"/>
      <c r="D482" s="256"/>
      <c r="E482" s="256"/>
      <c r="F482" s="256"/>
      <c r="G482" s="256"/>
      <c r="H482" s="256"/>
      <c r="I482" s="256"/>
      <c r="J482" s="256"/>
      <c r="K482" s="256"/>
      <c r="L482" s="256"/>
      <c r="M482" s="256"/>
      <c r="N482" s="256"/>
      <c r="O482" s="256"/>
      <c r="P482" s="256"/>
      <c r="Q482" s="256"/>
      <c r="R482" s="256"/>
      <c r="S482" s="221"/>
      <c r="T482" s="221"/>
      <c r="U482" s="221"/>
      <c r="V482" s="221"/>
      <c r="W482" s="221"/>
      <c r="X482" s="221"/>
      <c r="Y482" s="221"/>
      <c r="Z482" s="221"/>
    </row>
    <row r="483" customFormat="false" ht="12" hidden="false" customHeight="true" outlineLevel="0" collapsed="false">
      <c r="A483" s="256"/>
      <c r="B483" s="256"/>
      <c r="C483" s="256"/>
      <c r="D483" s="256"/>
      <c r="E483" s="256"/>
      <c r="F483" s="256"/>
      <c r="G483" s="256"/>
      <c r="H483" s="256"/>
      <c r="I483" s="256"/>
      <c r="J483" s="256"/>
      <c r="K483" s="256"/>
      <c r="L483" s="256"/>
      <c r="M483" s="256"/>
      <c r="N483" s="256"/>
      <c r="O483" s="256"/>
      <c r="P483" s="256"/>
      <c r="Q483" s="256"/>
      <c r="R483" s="256"/>
      <c r="S483" s="221"/>
      <c r="T483" s="221"/>
      <c r="U483" s="221"/>
      <c r="V483" s="221"/>
      <c r="W483" s="221"/>
      <c r="X483" s="221"/>
      <c r="Y483" s="221"/>
      <c r="Z483" s="221"/>
    </row>
    <row r="484" customFormat="false" ht="12" hidden="false" customHeight="true" outlineLevel="0" collapsed="false">
      <c r="A484" s="256"/>
      <c r="B484" s="256"/>
      <c r="C484" s="256"/>
      <c r="D484" s="256"/>
      <c r="E484" s="256"/>
      <c r="F484" s="256"/>
      <c r="G484" s="256"/>
      <c r="H484" s="256"/>
      <c r="I484" s="256"/>
      <c r="J484" s="256"/>
      <c r="K484" s="256"/>
      <c r="L484" s="256"/>
      <c r="M484" s="256"/>
      <c r="N484" s="256"/>
      <c r="O484" s="256"/>
      <c r="P484" s="256"/>
      <c r="Q484" s="256"/>
      <c r="R484" s="256"/>
      <c r="S484" s="221"/>
      <c r="T484" s="221"/>
      <c r="U484" s="221"/>
      <c r="V484" s="221"/>
      <c r="W484" s="221"/>
      <c r="X484" s="221"/>
      <c r="Y484" s="221"/>
      <c r="Z484" s="221"/>
    </row>
    <row r="485" customFormat="false" ht="12" hidden="false" customHeight="true" outlineLevel="0" collapsed="false">
      <c r="A485" s="256"/>
      <c r="B485" s="256"/>
      <c r="C485" s="256"/>
      <c r="D485" s="256"/>
      <c r="E485" s="256"/>
      <c r="F485" s="256"/>
      <c r="G485" s="256"/>
      <c r="H485" s="256"/>
      <c r="I485" s="256"/>
      <c r="J485" s="256"/>
      <c r="K485" s="256"/>
      <c r="L485" s="256"/>
      <c r="M485" s="256"/>
      <c r="N485" s="256"/>
      <c r="O485" s="256"/>
      <c r="P485" s="256"/>
      <c r="Q485" s="256"/>
      <c r="R485" s="256"/>
      <c r="S485" s="221"/>
      <c r="T485" s="221"/>
      <c r="U485" s="221"/>
      <c r="V485" s="221"/>
      <c r="W485" s="221"/>
      <c r="X485" s="221"/>
      <c r="Y485" s="221"/>
      <c r="Z485" s="221"/>
    </row>
    <row r="486" customFormat="false" ht="12" hidden="false" customHeight="true" outlineLevel="0" collapsed="false">
      <c r="A486" s="256"/>
      <c r="B486" s="256"/>
      <c r="C486" s="256"/>
      <c r="D486" s="256"/>
      <c r="E486" s="256"/>
      <c r="F486" s="256"/>
      <c r="G486" s="256"/>
      <c r="H486" s="256"/>
      <c r="I486" s="256"/>
      <c r="J486" s="256"/>
      <c r="K486" s="256"/>
      <c r="L486" s="256"/>
      <c r="M486" s="256"/>
      <c r="N486" s="256"/>
      <c r="O486" s="256"/>
      <c r="P486" s="256"/>
      <c r="Q486" s="256"/>
      <c r="R486" s="256"/>
      <c r="S486" s="221"/>
      <c r="T486" s="221"/>
      <c r="U486" s="221"/>
      <c r="V486" s="221"/>
      <c r="W486" s="221"/>
      <c r="X486" s="221"/>
      <c r="Y486" s="221"/>
      <c r="Z486" s="221"/>
    </row>
    <row r="487" customFormat="false" ht="12" hidden="false" customHeight="true" outlineLevel="0" collapsed="false">
      <c r="A487" s="256"/>
      <c r="B487" s="256"/>
      <c r="C487" s="256"/>
      <c r="D487" s="256"/>
      <c r="E487" s="256"/>
      <c r="F487" s="256"/>
      <c r="G487" s="256"/>
      <c r="H487" s="256"/>
      <c r="I487" s="256"/>
      <c r="J487" s="256"/>
      <c r="K487" s="256"/>
      <c r="L487" s="256"/>
      <c r="M487" s="256"/>
      <c r="N487" s="256"/>
      <c r="O487" s="256"/>
      <c r="P487" s="256"/>
      <c r="Q487" s="256"/>
      <c r="R487" s="256"/>
      <c r="S487" s="221"/>
      <c r="T487" s="221"/>
      <c r="U487" s="221"/>
      <c r="V487" s="221"/>
      <c r="W487" s="221"/>
      <c r="X487" s="221"/>
      <c r="Y487" s="221"/>
      <c r="Z487" s="221"/>
    </row>
    <row r="488" customFormat="false" ht="12" hidden="false" customHeight="true" outlineLevel="0" collapsed="false">
      <c r="A488" s="256"/>
      <c r="B488" s="256"/>
      <c r="C488" s="256"/>
      <c r="D488" s="256"/>
      <c r="E488" s="256"/>
      <c r="F488" s="256"/>
      <c r="G488" s="256"/>
      <c r="H488" s="256"/>
      <c r="I488" s="256"/>
      <c r="J488" s="256"/>
      <c r="K488" s="256"/>
      <c r="L488" s="256"/>
      <c r="M488" s="256"/>
      <c r="N488" s="256"/>
      <c r="O488" s="256"/>
      <c r="P488" s="256"/>
      <c r="Q488" s="256"/>
      <c r="R488" s="256"/>
      <c r="S488" s="221"/>
      <c r="T488" s="221"/>
      <c r="U488" s="221"/>
      <c r="V488" s="221"/>
      <c r="W488" s="221"/>
      <c r="X488" s="221"/>
      <c r="Y488" s="221"/>
      <c r="Z488" s="221"/>
    </row>
    <row r="489" customFormat="false" ht="12" hidden="false" customHeight="true" outlineLevel="0" collapsed="false">
      <c r="A489" s="256"/>
      <c r="B489" s="256"/>
      <c r="C489" s="256"/>
      <c r="D489" s="256"/>
      <c r="E489" s="256"/>
      <c r="F489" s="256"/>
      <c r="G489" s="256"/>
      <c r="H489" s="256"/>
      <c r="I489" s="256"/>
      <c r="J489" s="256"/>
      <c r="K489" s="256"/>
      <c r="L489" s="256"/>
      <c r="M489" s="256"/>
      <c r="N489" s="256"/>
      <c r="O489" s="256"/>
      <c r="P489" s="256"/>
      <c r="Q489" s="256"/>
      <c r="R489" s="256"/>
      <c r="S489" s="221"/>
      <c r="T489" s="221"/>
      <c r="U489" s="221"/>
      <c r="V489" s="221"/>
      <c r="W489" s="221"/>
      <c r="X489" s="221"/>
      <c r="Y489" s="221"/>
      <c r="Z489" s="221"/>
    </row>
    <row r="490" customFormat="false" ht="12" hidden="false" customHeight="true" outlineLevel="0" collapsed="false">
      <c r="A490" s="256"/>
      <c r="B490" s="256"/>
      <c r="C490" s="256"/>
      <c r="D490" s="256"/>
      <c r="E490" s="256"/>
      <c r="F490" s="256"/>
      <c r="G490" s="256"/>
      <c r="H490" s="256"/>
      <c r="I490" s="256"/>
      <c r="J490" s="256"/>
      <c r="K490" s="256"/>
      <c r="L490" s="256"/>
      <c r="M490" s="256"/>
      <c r="N490" s="256"/>
      <c r="O490" s="256"/>
      <c r="P490" s="256"/>
      <c r="Q490" s="256"/>
      <c r="R490" s="256"/>
      <c r="S490" s="221"/>
      <c r="T490" s="221"/>
      <c r="U490" s="221"/>
      <c r="V490" s="221"/>
      <c r="W490" s="221"/>
      <c r="X490" s="221"/>
      <c r="Y490" s="221"/>
      <c r="Z490" s="221"/>
    </row>
    <row r="491" customFormat="false" ht="12" hidden="false" customHeight="true" outlineLevel="0" collapsed="false">
      <c r="A491" s="256"/>
      <c r="B491" s="256"/>
      <c r="C491" s="256"/>
      <c r="D491" s="256"/>
      <c r="E491" s="256"/>
      <c r="F491" s="256"/>
      <c r="G491" s="256"/>
      <c r="H491" s="256"/>
      <c r="I491" s="256"/>
      <c r="J491" s="256"/>
      <c r="K491" s="256"/>
      <c r="L491" s="256"/>
      <c r="M491" s="256"/>
      <c r="N491" s="256"/>
      <c r="O491" s="256"/>
      <c r="P491" s="256"/>
      <c r="Q491" s="256"/>
      <c r="R491" s="256"/>
      <c r="S491" s="221"/>
      <c r="T491" s="221"/>
      <c r="U491" s="221"/>
      <c r="V491" s="221"/>
      <c r="W491" s="221"/>
      <c r="X491" s="221"/>
      <c r="Y491" s="221"/>
      <c r="Z491" s="221"/>
    </row>
    <row r="492" customFormat="false" ht="12" hidden="false" customHeight="true" outlineLevel="0" collapsed="false">
      <c r="A492" s="256"/>
      <c r="B492" s="256"/>
      <c r="C492" s="256"/>
      <c r="D492" s="256"/>
      <c r="E492" s="256"/>
      <c r="F492" s="256"/>
      <c r="G492" s="256"/>
      <c r="H492" s="256"/>
      <c r="I492" s="256"/>
      <c r="J492" s="256"/>
      <c r="K492" s="256"/>
      <c r="L492" s="256"/>
      <c r="M492" s="256"/>
      <c r="N492" s="256"/>
      <c r="O492" s="256"/>
      <c r="P492" s="256"/>
      <c r="Q492" s="256"/>
      <c r="R492" s="256"/>
      <c r="S492" s="221"/>
      <c r="T492" s="221"/>
      <c r="U492" s="221"/>
      <c r="V492" s="221"/>
      <c r="W492" s="221"/>
      <c r="X492" s="221"/>
      <c r="Y492" s="221"/>
      <c r="Z492" s="221"/>
    </row>
    <row r="493" customFormat="false" ht="12" hidden="false" customHeight="true" outlineLevel="0" collapsed="false">
      <c r="A493" s="256"/>
      <c r="B493" s="256"/>
      <c r="C493" s="256"/>
      <c r="D493" s="256"/>
      <c r="E493" s="256"/>
      <c r="F493" s="256"/>
      <c r="G493" s="256"/>
      <c r="H493" s="256"/>
      <c r="I493" s="256"/>
      <c r="J493" s="256"/>
      <c r="K493" s="256"/>
      <c r="L493" s="256"/>
      <c r="M493" s="256"/>
      <c r="N493" s="256"/>
      <c r="O493" s="256"/>
      <c r="P493" s="256"/>
      <c r="Q493" s="256"/>
      <c r="R493" s="256"/>
      <c r="S493" s="221"/>
      <c r="T493" s="221"/>
      <c r="U493" s="221"/>
      <c r="V493" s="221"/>
      <c r="W493" s="221"/>
      <c r="X493" s="221"/>
      <c r="Y493" s="221"/>
      <c r="Z493" s="221"/>
    </row>
    <row r="494" customFormat="false" ht="12" hidden="false" customHeight="true" outlineLevel="0" collapsed="false">
      <c r="A494" s="256"/>
      <c r="B494" s="256"/>
      <c r="C494" s="256"/>
      <c r="D494" s="256"/>
      <c r="E494" s="256"/>
      <c r="F494" s="256"/>
      <c r="G494" s="256"/>
      <c r="H494" s="256"/>
      <c r="I494" s="256"/>
      <c r="J494" s="256"/>
      <c r="K494" s="256"/>
      <c r="L494" s="256"/>
      <c r="M494" s="256"/>
      <c r="N494" s="256"/>
      <c r="O494" s="256"/>
      <c r="P494" s="256"/>
      <c r="Q494" s="256"/>
      <c r="R494" s="256"/>
      <c r="S494" s="221"/>
      <c r="T494" s="221"/>
      <c r="U494" s="221"/>
      <c r="V494" s="221"/>
      <c r="W494" s="221"/>
      <c r="X494" s="221"/>
      <c r="Y494" s="221"/>
      <c r="Z494" s="221"/>
    </row>
    <row r="495" customFormat="false" ht="12" hidden="false" customHeight="true" outlineLevel="0" collapsed="false">
      <c r="A495" s="256"/>
      <c r="B495" s="256"/>
      <c r="C495" s="256"/>
      <c r="D495" s="256"/>
      <c r="E495" s="256"/>
      <c r="F495" s="256"/>
      <c r="G495" s="256"/>
      <c r="H495" s="256"/>
      <c r="I495" s="256"/>
      <c r="J495" s="256"/>
      <c r="K495" s="256"/>
      <c r="L495" s="256"/>
      <c r="M495" s="256"/>
      <c r="N495" s="256"/>
      <c r="O495" s="256"/>
      <c r="P495" s="256"/>
      <c r="Q495" s="256"/>
      <c r="R495" s="256"/>
      <c r="S495" s="221"/>
      <c r="T495" s="221"/>
      <c r="U495" s="221"/>
      <c r="V495" s="221"/>
      <c r="W495" s="221"/>
      <c r="X495" s="221"/>
      <c r="Y495" s="221"/>
      <c r="Z495" s="221"/>
    </row>
    <row r="496" customFormat="false" ht="12" hidden="false" customHeight="true" outlineLevel="0" collapsed="false">
      <c r="A496" s="256"/>
      <c r="B496" s="256"/>
      <c r="C496" s="256"/>
      <c r="D496" s="256"/>
      <c r="E496" s="256"/>
      <c r="F496" s="256"/>
      <c r="G496" s="256"/>
      <c r="H496" s="256"/>
      <c r="I496" s="256"/>
      <c r="J496" s="256"/>
      <c r="K496" s="256"/>
      <c r="L496" s="256"/>
      <c r="M496" s="256"/>
      <c r="N496" s="256"/>
      <c r="O496" s="256"/>
      <c r="P496" s="256"/>
      <c r="Q496" s="256"/>
      <c r="R496" s="256"/>
      <c r="S496" s="221"/>
      <c r="T496" s="221"/>
      <c r="U496" s="221"/>
      <c r="V496" s="221"/>
      <c r="W496" s="221"/>
      <c r="X496" s="221"/>
      <c r="Y496" s="221"/>
      <c r="Z496" s="221"/>
    </row>
    <row r="497" customFormat="false" ht="12" hidden="false" customHeight="true" outlineLevel="0" collapsed="false">
      <c r="A497" s="256"/>
      <c r="B497" s="256"/>
      <c r="C497" s="256"/>
      <c r="D497" s="256"/>
      <c r="E497" s="256"/>
      <c r="F497" s="256"/>
      <c r="G497" s="256"/>
      <c r="H497" s="256"/>
      <c r="I497" s="256"/>
      <c r="J497" s="256"/>
      <c r="K497" s="256"/>
      <c r="L497" s="256"/>
      <c r="M497" s="256"/>
      <c r="N497" s="256"/>
      <c r="O497" s="256"/>
      <c r="P497" s="256"/>
      <c r="Q497" s="256"/>
      <c r="R497" s="256"/>
      <c r="S497" s="221"/>
      <c r="T497" s="221"/>
      <c r="U497" s="221"/>
      <c r="V497" s="221"/>
      <c r="W497" s="221"/>
      <c r="X497" s="221"/>
      <c r="Y497" s="221"/>
      <c r="Z497" s="221"/>
    </row>
    <row r="498" customFormat="false" ht="12" hidden="false" customHeight="true" outlineLevel="0" collapsed="false">
      <c r="A498" s="256"/>
      <c r="B498" s="256"/>
      <c r="C498" s="256"/>
      <c r="D498" s="256"/>
      <c r="E498" s="256"/>
      <c r="F498" s="256"/>
      <c r="G498" s="256"/>
      <c r="H498" s="256"/>
      <c r="I498" s="256"/>
      <c r="J498" s="256"/>
      <c r="K498" s="256"/>
      <c r="L498" s="256"/>
      <c r="M498" s="256"/>
      <c r="N498" s="256"/>
      <c r="O498" s="256"/>
      <c r="P498" s="256"/>
      <c r="Q498" s="256"/>
      <c r="R498" s="256"/>
      <c r="S498" s="221"/>
      <c r="T498" s="221"/>
      <c r="U498" s="221"/>
      <c r="V498" s="221"/>
      <c r="W498" s="221"/>
      <c r="X498" s="221"/>
      <c r="Y498" s="221"/>
      <c r="Z498" s="221"/>
    </row>
    <row r="499" customFormat="false" ht="12" hidden="false" customHeight="true" outlineLevel="0" collapsed="false">
      <c r="A499" s="256"/>
      <c r="B499" s="256"/>
      <c r="C499" s="256"/>
      <c r="D499" s="256"/>
      <c r="E499" s="256"/>
      <c r="F499" s="256"/>
      <c r="G499" s="256"/>
      <c r="H499" s="256"/>
      <c r="I499" s="256"/>
      <c r="J499" s="256"/>
      <c r="K499" s="256"/>
      <c r="L499" s="256"/>
      <c r="M499" s="256"/>
      <c r="N499" s="256"/>
      <c r="O499" s="256"/>
      <c r="P499" s="256"/>
      <c r="Q499" s="256"/>
      <c r="R499" s="256"/>
      <c r="S499" s="221"/>
      <c r="T499" s="221"/>
      <c r="U499" s="221"/>
      <c r="V499" s="221"/>
      <c r="W499" s="221"/>
      <c r="X499" s="221"/>
      <c r="Y499" s="221"/>
      <c r="Z499" s="221"/>
    </row>
    <row r="500" customFormat="false" ht="12" hidden="false" customHeight="true" outlineLevel="0" collapsed="false">
      <c r="A500" s="256"/>
      <c r="B500" s="256"/>
      <c r="C500" s="256"/>
      <c r="D500" s="256"/>
      <c r="E500" s="256"/>
      <c r="F500" s="256"/>
      <c r="G500" s="256"/>
      <c r="H500" s="256"/>
      <c r="I500" s="256"/>
      <c r="J500" s="256"/>
      <c r="K500" s="256"/>
      <c r="L500" s="256"/>
      <c r="M500" s="256"/>
      <c r="N500" s="256"/>
      <c r="O500" s="256"/>
      <c r="P500" s="256"/>
      <c r="Q500" s="256"/>
      <c r="R500" s="256"/>
      <c r="S500" s="221"/>
      <c r="T500" s="221"/>
      <c r="U500" s="221"/>
      <c r="V500" s="221"/>
      <c r="W500" s="221"/>
      <c r="X500" s="221"/>
      <c r="Y500" s="221"/>
      <c r="Z500" s="221"/>
    </row>
    <row r="501" customFormat="false" ht="12" hidden="false" customHeight="true" outlineLevel="0" collapsed="false">
      <c r="A501" s="256"/>
      <c r="B501" s="256"/>
      <c r="C501" s="256"/>
      <c r="D501" s="256"/>
      <c r="E501" s="256"/>
      <c r="F501" s="256"/>
      <c r="G501" s="256"/>
      <c r="H501" s="256"/>
      <c r="I501" s="256"/>
      <c r="J501" s="256"/>
      <c r="K501" s="256"/>
      <c r="L501" s="256"/>
      <c r="M501" s="256"/>
      <c r="N501" s="256"/>
      <c r="O501" s="256"/>
      <c r="P501" s="256"/>
      <c r="Q501" s="256"/>
      <c r="R501" s="256"/>
      <c r="S501" s="221"/>
      <c r="T501" s="221"/>
      <c r="U501" s="221"/>
      <c r="V501" s="221"/>
      <c r="W501" s="221"/>
      <c r="X501" s="221"/>
      <c r="Y501" s="221"/>
      <c r="Z501" s="221"/>
    </row>
    <row r="502" customFormat="false" ht="12" hidden="false" customHeight="true" outlineLevel="0" collapsed="false">
      <c r="A502" s="256"/>
      <c r="B502" s="256"/>
      <c r="C502" s="256"/>
      <c r="D502" s="256"/>
      <c r="E502" s="256"/>
      <c r="F502" s="256"/>
      <c r="G502" s="256"/>
      <c r="H502" s="256"/>
      <c r="I502" s="256"/>
      <c r="J502" s="256"/>
      <c r="K502" s="256"/>
      <c r="L502" s="256"/>
      <c r="M502" s="256"/>
      <c r="N502" s="256"/>
      <c r="O502" s="256"/>
      <c r="P502" s="256"/>
      <c r="Q502" s="256"/>
      <c r="R502" s="256"/>
      <c r="S502" s="221"/>
      <c r="T502" s="221"/>
      <c r="U502" s="221"/>
      <c r="V502" s="221"/>
      <c r="W502" s="221"/>
      <c r="X502" s="221"/>
      <c r="Y502" s="221"/>
      <c r="Z502" s="221"/>
    </row>
    <row r="503" customFormat="false" ht="12" hidden="false" customHeight="true" outlineLevel="0" collapsed="false">
      <c r="A503" s="256"/>
      <c r="B503" s="256"/>
      <c r="C503" s="256"/>
      <c r="D503" s="256"/>
      <c r="E503" s="256"/>
      <c r="F503" s="256"/>
      <c r="G503" s="256"/>
      <c r="H503" s="256"/>
      <c r="I503" s="256"/>
      <c r="J503" s="256"/>
      <c r="K503" s="256"/>
      <c r="L503" s="256"/>
      <c r="M503" s="256"/>
      <c r="N503" s="256"/>
      <c r="O503" s="256"/>
      <c r="P503" s="256"/>
      <c r="Q503" s="256"/>
      <c r="R503" s="256"/>
      <c r="S503" s="221"/>
      <c r="T503" s="221"/>
      <c r="U503" s="221"/>
      <c r="V503" s="221"/>
      <c r="W503" s="221"/>
      <c r="X503" s="221"/>
      <c r="Y503" s="221"/>
      <c r="Z503" s="221"/>
    </row>
    <row r="504" customFormat="false" ht="12" hidden="false" customHeight="true" outlineLevel="0" collapsed="false">
      <c r="A504" s="256"/>
      <c r="B504" s="256"/>
      <c r="C504" s="256"/>
      <c r="D504" s="256"/>
      <c r="E504" s="256"/>
      <c r="F504" s="256"/>
      <c r="G504" s="256"/>
      <c r="H504" s="256"/>
      <c r="I504" s="256"/>
      <c r="J504" s="256"/>
      <c r="K504" s="256"/>
      <c r="L504" s="256"/>
      <c r="M504" s="256"/>
      <c r="N504" s="256"/>
      <c r="O504" s="256"/>
      <c r="P504" s="256"/>
      <c r="Q504" s="256"/>
      <c r="R504" s="256"/>
      <c r="S504" s="221"/>
      <c r="T504" s="221"/>
      <c r="U504" s="221"/>
      <c r="V504" s="221"/>
      <c r="W504" s="221"/>
      <c r="X504" s="221"/>
      <c r="Y504" s="221"/>
      <c r="Z504" s="221"/>
    </row>
    <row r="505" customFormat="false" ht="12" hidden="false" customHeight="true" outlineLevel="0" collapsed="false">
      <c r="A505" s="256"/>
      <c r="B505" s="256"/>
      <c r="C505" s="256"/>
      <c r="D505" s="256"/>
      <c r="E505" s="256"/>
      <c r="F505" s="256"/>
      <c r="G505" s="256"/>
      <c r="H505" s="256"/>
      <c r="I505" s="256"/>
      <c r="J505" s="256"/>
      <c r="K505" s="256"/>
      <c r="L505" s="256"/>
      <c r="M505" s="256"/>
      <c r="N505" s="256"/>
      <c r="O505" s="256"/>
      <c r="P505" s="256"/>
      <c r="Q505" s="256"/>
      <c r="R505" s="256"/>
      <c r="S505" s="221"/>
      <c r="T505" s="221"/>
      <c r="U505" s="221"/>
      <c r="V505" s="221"/>
      <c r="W505" s="221"/>
      <c r="X505" s="221"/>
      <c r="Y505" s="221"/>
      <c r="Z505" s="221"/>
    </row>
    <row r="506" customFormat="false" ht="12" hidden="false" customHeight="true" outlineLevel="0" collapsed="false">
      <c r="A506" s="256"/>
      <c r="B506" s="256"/>
      <c r="C506" s="256"/>
      <c r="D506" s="256"/>
      <c r="E506" s="256"/>
      <c r="F506" s="256"/>
      <c r="G506" s="256"/>
      <c r="H506" s="256"/>
      <c r="I506" s="256"/>
      <c r="J506" s="256"/>
      <c r="K506" s="256"/>
      <c r="L506" s="256"/>
      <c r="M506" s="256"/>
      <c r="N506" s="256"/>
      <c r="O506" s="256"/>
      <c r="P506" s="256"/>
      <c r="Q506" s="256"/>
      <c r="R506" s="256"/>
      <c r="S506" s="221"/>
      <c r="T506" s="221"/>
      <c r="U506" s="221"/>
      <c r="V506" s="221"/>
      <c r="W506" s="221"/>
      <c r="X506" s="221"/>
      <c r="Y506" s="221"/>
      <c r="Z506" s="221"/>
    </row>
    <row r="507" customFormat="false" ht="12" hidden="false" customHeight="true" outlineLevel="0" collapsed="false">
      <c r="A507" s="256"/>
      <c r="B507" s="256"/>
      <c r="C507" s="256"/>
      <c r="D507" s="256"/>
      <c r="E507" s="256"/>
      <c r="F507" s="256"/>
      <c r="G507" s="256"/>
      <c r="H507" s="256"/>
      <c r="I507" s="256"/>
      <c r="J507" s="256"/>
      <c r="K507" s="256"/>
      <c r="L507" s="256"/>
      <c r="M507" s="256"/>
      <c r="N507" s="256"/>
      <c r="O507" s="256"/>
      <c r="P507" s="256"/>
      <c r="Q507" s="256"/>
      <c r="R507" s="256"/>
      <c r="S507" s="221"/>
      <c r="T507" s="221"/>
      <c r="U507" s="221"/>
      <c r="V507" s="221"/>
      <c r="W507" s="221"/>
      <c r="X507" s="221"/>
      <c r="Y507" s="221"/>
      <c r="Z507" s="221"/>
    </row>
    <row r="508" customFormat="false" ht="12" hidden="false" customHeight="true" outlineLevel="0" collapsed="false">
      <c r="A508" s="256"/>
      <c r="B508" s="256"/>
      <c r="C508" s="256"/>
      <c r="D508" s="256"/>
      <c r="E508" s="256"/>
      <c r="F508" s="256"/>
      <c r="G508" s="256"/>
      <c r="H508" s="256"/>
      <c r="I508" s="256"/>
      <c r="J508" s="256"/>
      <c r="K508" s="256"/>
      <c r="L508" s="256"/>
      <c r="M508" s="256"/>
      <c r="N508" s="256"/>
      <c r="O508" s="256"/>
      <c r="P508" s="256"/>
      <c r="Q508" s="256"/>
      <c r="R508" s="256"/>
      <c r="S508" s="221"/>
      <c r="T508" s="221"/>
      <c r="U508" s="221"/>
      <c r="V508" s="221"/>
      <c r="W508" s="221"/>
      <c r="X508" s="221"/>
      <c r="Y508" s="221"/>
      <c r="Z508" s="221"/>
    </row>
    <row r="509" customFormat="false" ht="12" hidden="false" customHeight="true" outlineLevel="0" collapsed="false">
      <c r="A509" s="256"/>
      <c r="B509" s="256"/>
      <c r="C509" s="256"/>
      <c r="D509" s="256"/>
      <c r="E509" s="256"/>
      <c r="F509" s="256"/>
      <c r="G509" s="256"/>
      <c r="H509" s="256"/>
      <c r="I509" s="256"/>
      <c r="J509" s="256"/>
      <c r="K509" s="256"/>
      <c r="L509" s="256"/>
      <c r="M509" s="256"/>
      <c r="N509" s="256"/>
      <c r="O509" s="256"/>
      <c r="P509" s="256"/>
      <c r="Q509" s="256"/>
      <c r="R509" s="256"/>
      <c r="S509" s="221"/>
      <c r="T509" s="221"/>
      <c r="U509" s="221"/>
      <c r="V509" s="221"/>
      <c r="W509" s="221"/>
      <c r="X509" s="221"/>
      <c r="Y509" s="221"/>
      <c r="Z509" s="221"/>
    </row>
    <row r="510" customFormat="false" ht="12" hidden="false" customHeight="true" outlineLevel="0" collapsed="false">
      <c r="A510" s="256"/>
      <c r="B510" s="256"/>
      <c r="C510" s="256"/>
      <c r="D510" s="256"/>
      <c r="E510" s="256"/>
      <c r="F510" s="256"/>
      <c r="G510" s="256"/>
      <c r="H510" s="256"/>
      <c r="I510" s="256"/>
      <c r="J510" s="256"/>
      <c r="K510" s="256"/>
      <c r="L510" s="256"/>
      <c r="M510" s="256"/>
      <c r="N510" s="256"/>
      <c r="O510" s="256"/>
      <c r="P510" s="256"/>
      <c r="Q510" s="256"/>
      <c r="R510" s="256"/>
      <c r="S510" s="221"/>
      <c r="T510" s="221"/>
      <c r="U510" s="221"/>
      <c r="V510" s="221"/>
      <c r="W510" s="221"/>
      <c r="X510" s="221"/>
      <c r="Y510" s="221"/>
      <c r="Z510" s="221"/>
    </row>
    <row r="511" customFormat="false" ht="12" hidden="false" customHeight="true" outlineLevel="0" collapsed="false">
      <c r="A511" s="256"/>
      <c r="B511" s="256"/>
      <c r="C511" s="256"/>
      <c r="D511" s="256"/>
      <c r="E511" s="256"/>
      <c r="F511" s="256"/>
      <c r="G511" s="256"/>
      <c r="H511" s="256"/>
      <c r="I511" s="256"/>
      <c r="J511" s="256"/>
      <c r="K511" s="256"/>
      <c r="L511" s="256"/>
      <c r="M511" s="256"/>
      <c r="N511" s="256"/>
      <c r="O511" s="256"/>
      <c r="P511" s="256"/>
      <c r="Q511" s="256"/>
      <c r="R511" s="256"/>
      <c r="S511" s="221"/>
      <c r="T511" s="221"/>
      <c r="U511" s="221"/>
      <c r="V511" s="221"/>
      <c r="W511" s="221"/>
      <c r="X511" s="221"/>
      <c r="Y511" s="221"/>
      <c r="Z511" s="221"/>
    </row>
    <row r="512" customFormat="false" ht="12" hidden="false" customHeight="true" outlineLevel="0" collapsed="false">
      <c r="A512" s="256"/>
      <c r="B512" s="256"/>
      <c r="C512" s="256"/>
      <c r="D512" s="256"/>
      <c r="E512" s="256"/>
      <c r="F512" s="256"/>
      <c r="G512" s="256"/>
      <c r="H512" s="256"/>
      <c r="I512" s="256"/>
      <c r="J512" s="256"/>
      <c r="K512" s="256"/>
      <c r="L512" s="256"/>
      <c r="M512" s="256"/>
      <c r="N512" s="256"/>
      <c r="O512" s="256"/>
      <c r="P512" s="256"/>
      <c r="Q512" s="256"/>
      <c r="R512" s="256"/>
      <c r="S512" s="221"/>
      <c r="T512" s="221"/>
      <c r="U512" s="221"/>
      <c r="V512" s="221"/>
      <c r="W512" s="221"/>
      <c r="X512" s="221"/>
      <c r="Y512" s="221"/>
      <c r="Z512" s="221"/>
    </row>
    <row r="513" customFormat="false" ht="12" hidden="false" customHeight="true" outlineLevel="0" collapsed="false">
      <c r="A513" s="256"/>
      <c r="B513" s="256"/>
      <c r="C513" s="256"/>
      <c r="D513" s="256"/>
      <c r="E513" s="256"/>
      <c r="F513" s="256"/>
      <c r="G513" s="256"/>
      <c r="H513" s="256"/>
      <c r="I513" s="256"/>
      <c r="J513" s="256"/>
      <c r="K513" s="256"/>
      <c r="L513" s="256"/>
      <c r="M513" s="256"/>
      <c r="N513" s="256"/>
      <c r="O513" s="256"/>
      <c r="P513" s="256"/>
      <c r="Q513" s="256"/>
      <c r="R513" s="256"/>
      <c r="S513" s="221"/>
      <c r="T513" s="221"/>
      <c r="U513" s="221"/>
      <c r="V513" s="221"/>
      <c r="W513" s="221"/>
      <c r="X513" s="221"/>
      <c r="Y513" s="221"/>
      <c r="Z513" s="221"/>
    </row>
    <row r="514" customFormat="false" ht="12" hidden="false" customHeight="true" outlineLevel="0" collapsed="false">
      <c r="A514" s="256"/>
      <c r="B514" s="256"/>
      <c r="C514" s="256"/>
      <c r="D514" s="256"/>
      <c r="E514" s="256"/>
      <c r="F514" s="256"/>
      <c r="G514" s="256"/>
      <c r="H514" s="256"/>
      <c r="I514" s="256"/>
      <c r="J514" s="256"/>
      <c r="K514" s="256"/>
      <c r="L514" s="256"/>
      <c r="M514" s="256"/>
      <c r="N514" s="256"/>
      <c r="O514" s="256"/>
      <c r="P514" s="256"/>
      <c r="Q514" s="256"/>
      <c r="R514" s="256"/>
      <c r="S514" s="221"/>
      <c r="T514" s="221"/>
      <c r="U514" s="221"/>
      <c r="V514" s="221"/>
      <c r="W514" s="221"/>
      <c r="X514" s="221"/>
      <c r="Y514" s="221"/>
      <c r="Z514" s="221"/>
    </row>
    <row r="515" customFormat="false" ht="12" hidden="false" customHeight="true" outlineLevel="0" collapsed="false">
      <c r="A515" s="256"/>
      <c r="B515" s="256"/>
      <c r="C515" s="256"/>
      <c r="D515" s="256"/>
      <c r="E515" s="256"/>
      <c r="F515" s="256"/>
      <c r="G515" s="256"/>
      <c r="H515" s="256"/>
      <c r="I515" s="256"/>
      <c r="J515" s="256"/>
      <c r="K515" s="256"/>
      <c r="L515" s="256"/>
      <c r="M515" s="256"/>
      <c r="N515" s="256"/>
      <c r="O515" s="256"/>
      <c r="P515" s="256"/>
      <c r="Q515" s="256"/>
      <c r="R515" s="256"/>
      <c r="S515" s="221"/>
      <c r="T515" s="221"/>
      <c r="U515" s="221"/>
      <c r="V515" s="221"/>
      <c r="W515" s="221"/>
      <c r="X515" s="221"/>
      <c r="Y515" s="221"/>
      <c r="Z515" s="221"/>
    </row>
    <row r="516" customFormat="false" ht="12" hidden="false" customHeight="true" outlineLevel="0" collapsed="false">
      <c r="A516" s="256"/>
      <c r="B516" s="256"/>
      <c r="C516" s="256"/>
      <c r="D516" s="256"/>
      <c r="E516" s="256"/>
      <c r="F516" s="256"/>
      <c r="G516" s="256"/>
      <c r="H516" s="256"/>
      <c r="I516" s="256"/>
      <c r="J516" s="256"/>
      <c r="K516" s="256"/>
      <c r="L516" s="256"/>
      <c r="M516" s="256"/>
      <c r="N516" s="256"/>
      <c r="O516" s="256"/>
      <c r="P516" s="256"/>
      <c r="Q516" s="256"/>
      <c r="R516" s="256"/>
      <c r="S516" s="221"/>
      <c r="T516" s="221"/>
      <c r="U516" s="221"/>
      <c r="V516" s="221"/>
      <c r="W516" s="221"/>
      <c r="X516" s="221"/>
      <c r="Y516" s="221"/>
      <c r="Z516" s="221"/>
    </row>
    <row r="517" customFormat="false" ht="12" hidden="false" customHeight="true" outlineLevel="0" collapsed="false">
      <c r="A517" s="256"/>
      <c r="B517" s="256"/>
      <c r="C517" s="256"/>
      <c r="D517" s="256"/>
      <c r="E517" s="256"/>
      <c r="F517" s="256"/>
      <c r="G517" s="256"/>
      <c r="H517" s="256"/>
      <c r="I517" s="256"/>
      <c r="J517" s="256"/>
      <c r="K517" s="256"/>
      <c r="L517" s="256"/>
      <c r="M517" s="256"/>
      <c r="N517" s="256"/>
      <c r="O517" s="256"/>
      <c r="P517" s="256"/>
      <c r="Q517" s="256"/>
      <c r="R517" s="256"/>
      <c r="S517" s="221"/>
      <c r="T517" s="221"/>
      <c r="U517" s="221"/>
      <c r="V517" s="221"/>
      <c r="W517" s="221"/>
      <c r="X517" s="221"/>
      <c r="Y517" s="221"/>
      <c r="Z517" s="221"/>
    </row>
    <row r="518" customFormat="false" ht="12" hidden="false" customHeight="true" outlineLevel="0" collapsed="false">
      <c r="A518" s="256"/>
      <c r="B518" s="256"/>
      <c r="C518" s="256"/>
      <c r="D518" s="256"/>
      <c r="E518" s="256"/>
      <c r="F518" s="256"/>
      <c r="G518" s="256"/>
      <c r="H518" s="256"/>
      <c r="I518" s="256"/>
      <c r="J518" s="256"/>
      <c r="K518" s="256"/>
      <c r="L518" s="256"/>
      <c r="M518" s="256"/>
      <c r="N518" s="256"/>
      <c r="O518" s="256"/>
      <c r="P518" s="256"/>
      <c r="Q518" s="256"/>
      <c r="R518" s="256"/>
      <c r="S518" s="221"/>
      <c r="T518" s="221"/>
      <c r="U518" s="221"/>
      <c r="V518" s="221"/>
      <c r="W518" s="221"/>
      <c r="X518" s="221"/>
      <c r="Y518" s="221"/>
      <c r="Z518" s="221"/>
    </row>
    <row r="519" customFormat="false" ht="12" hidden="false" customHeight="true" outlineLevel="0" collapsed="false">
      <c r="A519" s="256"/>
      <c r="B519" s="256"/>
      <c r="C519" s="256"/>
      <c r="D519" s="256"/>
      <c r="E519" s="256"/>
      <c r="F519" s="256"/>
      <c r="G519" s="256"/>
      <c r="H519" s="256"/>
      <c r="I519" s="256"/>
      <c r="J519" s="256"/>
      <c r="K519" s="256"/>
      <c r="L519" s="256"/>
      <c r="M519" s="256"/>
      <c r="N519" s="256"/>
      <c r="O519" s="256"/>
      <c r="P519" s="256"/>
      <c r="Q519" s="256"/>
      <c r="R519" s="256"/>
      <c r="S519" s="221"/>
      <c r="T519" s="221"/>
      <c r="U519" s="221"/>
      <c r="V519" s="221"/>
      <c r="W519" s="221"/>
      <c r="X519" s="221"/>
      <c r="Y519" s="221"/>
      <c r="Z519" s="221"/>
    </row>
    <row r="520" customFormat="false" ht="12" hidden="false" customHeight="true" outlineLevel="0" collapsed="false">
      <c r="A520" s="256"/>
      <c r="B520" s="256"/>
      <c r="C520" s="256"/>
      <c r="D520" s="256"/>
      <c r="E520" s="256"/>
      <c r="F520" s="256"/>
      <c r="G520" s="256"/>
      <c r="H520" s="256"/>
      <c r="I520" s="256"/>
      <c r="J520" s="256"/>
      <c r="K520" s="256"/>
      <c r="L520" s="256"/>
      <c r="M520" s="256"/>
      <c r="N520" s="256"/>
      <c r="O520" s="256"/>
      <c r="P520" s="256"/>
      <c r="Q520" s="256"/>
      <c r="R520" s="256"/>
      <c r="S520" s="221"/>
      <c r="T520" s="221"/>
      <c r="U520" s="221"/>
      <c r="V520" s="221"/>
      <c r="W520" s="221"/>
      <c r="X520" s="221"/>
      <c r="Y520" s="221"/>
      <c r="Z520" s="221"/>
    </row>
    <row r="521" customFormat="false" ht="12" hidden="false" customHeight="true" outlineLevel="0" collapsed="false">
      <c r="A521" s="256"/>
      <c r="B521" s="256"/>
      <c r="C521" s="256"/>
      <c r="D521" s="256"/>
      <c r="E521" s="256"/>
      <c r="F521" s="256"/>
      <c r="G521" s="256"/>
      <c r="H521" s="256"/>
      <c r="I521" s="256"/>
      <c r="J521" s="256"/>
      <c r="K521" s="256"/>
      <c r="L521" s="256"/>
      <c r="M521" s="256"/>
      <c r="N521" s="256"/>
      <c r="O521" s="256"/>
      <c r="P521" s="256"/>
      <c r="Q521" s="256"/>
      <c r="R521" s="256"/>
      <c r="S521" s="221"/>
      <c r="T521" s="221"/>
      <c r="U521" s="221"/>
      <c r="V521" s="221"/>
      <c r="W521" s="221"/>
      <c r="X521" s="221"/>
      <c r="Y521" s="221"/>
      <c r="Z521" s="221"/>
    </row>
    <row r="522" customFormat="false" ht="12" hidden="false" customHeight="true" outlineLevel="0" collapsed="false">
      <c r="A522" s="256"/>
      <c r="B522" s="256"/>
      <c r="C522" s="256"/>
      <c r="D522" s="256"/>
      <c r="E522" s="256"/>
      <c r="F522" s="256"/>
      <c r="G522" s="256"/>
      <c r="H522" s="256"/>
      <c r="I522" s="256"/>
      <c r="J522" s="256"/>
      <c r="K522" s="256"/>
      <c r="L522" s="256"/>
      <c r="M522" s="256"/>
      <c r="N522" s="256"/>
      <c r="O522" s="256"/>
      <c r="P522" s="256"/>
      <c r="Q522" s="256"/>
      <c r="R522" s="256"/>
      <c r="S522" s="221"/>
      <c r="T522" s="221"/>
      <c r="U522" s="221"/>
      <c r="V522" s="221"/>
      <c r="W522" s="221"/>
      <c r="X522" s="221"/>
      <c r="Y522" s="221"/>
      <c r="Z522" s="221"/>
    </row>
    <row r="523" customFormat="false" ht="12" hidden="false" customHeight="true" outlineLevel="0" collapsed="false">
      <c r="A523" s="256"/>
      <c r="B523" s="256"/>
      <c r="C523" s="256"/>
      <c r="D523" s="256"/>
      <c r="E523" s="256"/>
      <c r="F523" s="256"/>
      <c r="G523" s="256"/>
      <c r="H523" s="256"/>
      <c r="I523" s="256"/>
      <c r="J523" s="256"/>
      <c r="K523" s="256"/>
      <c r="L523" s="256"/>
      <c r="M523" s="256"/>
      <c r="N523" s="256"/>
      <c r="O523" s="256"/>
      <c r="P523" s="256"/>
      <c r="Q523" s="256"/>
      <c r="R523" s="256"/>
      <c r="S523" s="221"/>
      <c r="T523" s="221"/>
      <c r="U523" s="221"/>
      <c r="V523" s="221"/>
      <c r="W523" s="221"/>
      <c r="X523" s="221"/>
      <c r="Y523" s="221"/>
      <c r="Z523" s="221"/>
    </row>
    <row r="524" customFormat="false" ht="12" hidden="false" customHeight="true" outlineLevel="0" collapsed="false">
      <c r="A524" s="256"/>
      <c r="B524" s="256"/>
      <c r="C524" s="256"/>
      <c r="D524" s="256"/>
      <c r="E524" s="256"/>
      <c r="F524" s="256"/>
      <c r="G524" s="256"/>
      <c r="H524" s="256"/>
      <c r="I524" s="256"/>
      <c r="J524" s="256"/>
      <c r="K524" s="256"/>
      <c r="L524" s="256"/>
      <c r="M524" s="256"/>
      <c r="N524" s="256"/>
      <c r="O524" s="256"/>
      <c r="P524" s="256"/>
      <c r="Q524" s="256"/>
      <c r="R524" s="256"/>
      <c r="S524" s="221"/>
      <c r="T524" s="221"/>
      <c r="U524" s="221"/>
      <c r="V524" s="221"/>
      <c r="W524" s="221"/>
      <c r="X524" s="221"/>
      <c r="Y524" s="221"/>
      <c r="Z524" s="221"/>
    </row>
    <row r="525" customFormat="false" ht="12" hidden="false" customHeight="true" outlineLevel="0" collapsed="false">
      <c r="A525" s="256"/>
      <c r="B525" s="256"/>
      <c r="C525" s="256"/>
      <c r="D525" s="256"/>
      <c r="E525" s="256"/>
      <c r="F525" s="256"/>
      <c r="G525" s="256"/>
      <c r="H525" s="256"/>
      <c r="I525" s="256"/>
      <c r="J525" s="256"/>
      <c r="K525" s="256"/>
      <c r="L525" s="256"/>
      <c r="M525" s="256"/>
      <c r="N525" s="256"/>
      <c r="O525" s="256"/>
      <c r="P525" s="256"/>
      <c r="Q525" s="256"/>
      <c r="R525" s="256"/>
      <c r="S525" s="221"/>
      <c r="T525" s="221"/>
      <c r="U525" s="221"/>
      <c r="V525" s="221"/>
      <c r="W525" s="221"/>
      <c r="X525" s="221"/>
      <c r="Y525" s="221"/>
      <c r="Z525" s="221"/>
    </row>
    <row r="526" customFormat="false" ht="12" hidden="false" customHeight="true" outlineLevel="0" collapsed="false">
      <c r="A526" s="256"/>
      <c r="B526" s="256"/>
      <c r="C526" s="256"/>
      <c r="D526" s="256"/>
      <c r="E526" s="256"/>
      <c r="F526" s="256"/>
      <c r="G526" s="256"/>
      <c r="H526" s="256"/>
      <c r="I526" s="256"/>
      <c r="J526" s="256"/>
      <c r="K526" s="256"/>
      <c r="L526" s="256"/>
      <c r="M526" s="256"/>
      <c r="N526" s="256"/>
      <c r="O526" s="256"/>
      <c r="P526" s="256"/>
      <c r="Q526" s="256"/>
      <c r="R526" s="256"/>
      <c r="S526" s="221"/>
      <c r="T526" s="221"/>
      <c r="U526" s="221"/>
      <c r="V526" s="221"/>
      <c r="W526" s="221"/>
      <c r="X526" s="221"/>
      <c r="Y526" s="221"/>
      <c r="Z526" s="221"/>
    </row>
    <row r="527" customFormat="false" ht="12" hidden="false" customHeight="true" outlineLevel="0" collapsed="false">
      <c r="A527" s="256"/>
      <c r="B527" s="256"/>
      <c r="C527" s="256"/>
      <c r="D527" s="256"/>
      <c r="E527" s="256"/>
      <c r="F527" s="256"/>
      <c r="G527" s="256"/>
      <c r="H527" s="256"/>
      <c r="I527" s="256"/>
      <c r="J527" s="256"/>
      <c r="K527" s="256"/>
      <c r="L527" s="256"/>
      <c r="M527" s="256"/>
      <c r="N527" s="256"/>
      <c r="O527" s="256"/>
      <c r="P527" s="256"/>
      <c r="Q527" s="256"/>
      <c r="R527" s="256"/>
      <c r="S527" s="221"/>
      <c r="T527" s="221"/>
      <c r="U527" s="221"/>
      <c r="V527" s="221"/>
      <c r="W527" s="221"/>
      <c r="X527" s="221"/>
      <c r="Y527" s="221"/>
      <c r="Z527" s="221"/>
    </row>
    <row r="528" customFormat="false" ht="12" hidden="false" customHeight="true" outlineLevel="0" collapsed="false">
      <c r="A528" s="256"/>
      <c r="B528" s="256"/>
      <c r="C528" s="256"/>
      <c r="D528" s="256"/>
      <c r="E528" s="256"/>
      <c r="F528" s="256"/>
      <c r="G528" s="256"/>
      <c r="H528" s="256"/>
      <c r="I528" s="256"/>
      <c r="J528" s="256"/>
      <c r="K528" s="256"/>
      <c r="L528" s="256"/>
      <c r="M528" s="256"/>
      <c r="N528" s="256"/>
      <c r="O528" s="256"/>
      <c r="P528" s="256"/>
      <c r="Q528" s="256"/>
      <c r="R528" s="256"/>
      <c r="S528" s="221"/>
      <c r="T528" s="221"/>
      <c r="U528" s="221"/>
      <c r="V528" s="221"/>
      <c r="W528" s="221"/>
      <c r="X528" s="221"/>
      <c r="Y528" s="221"/>
      <c r="Z528" s="221"/>
    </row>
    <row r="529" customFormat="false" ht="12" hidden="false" customHeight="true" outlineLevel="0" collapsed="false">
      <c r="A529" s="256"/>
      <c r="B529" s="256"/>
      <c r="C529" s="256"/>
      <c r="D529" s="256"/>
      <c r="E529" s="256"/>
      <c r="F529" s="256"/>
      <c r="G529" s="256"/>
      <c r="H529" s="256"/>
      <c r="I529" s="256"/>
      <c r="J529" s="256"/>
      <c r="K529" s="256"/>
      <c r="L529" s="256"/>
      <c r="M529" s="256"/>
      <c r="N529" s="256"/>
      <c r="O529" s="256"/>
      <c r="P529" s="256"/>
      <c r="Q529" s="256"/>
      <c r="R529" s="256"/>
      <c r="S529" s="221"/>
      <c r="T529" s="221"/>
      <c r="U529" s="221"/>
      <c r="V529" s="221"/>
      <c r="W529" s="221"/>
      <c r="X529" s="221"/>
      <c r="Y529" s="221"/>
      <c r="Z529" s="221"/>
    </row>
    <row r="530" customFormat="false" ht="12" hidden="false" customHeight="true" outlineLevel="0" collapsed="false">
      <c r="A530" s="256"/>
      <c r="B530" s="256"/>
      <c r="C530" s="256"/>
      <c r="D530" s="256"/>
      <c r="E530" s="256"/>
      <c r="F530" s="256"/>
      <c r="G530" s="256"/>
      <c r="H530" s="256"/>
      <c r="I530" s="256"/>
      <c r="J530" s="256"/>
      <c r="K530" s="256"/>
      <c r="L530" s="256"/>
      <c r="M530" s="256"/>
      <c r="N530" s="256"/>
      <c r="O530" s="256"/>
      <c r="P530" s="256"/>
      <c r="Q530" s="256"/>
      <c r="R530" s="256"/>
      <c r="S530" s="221"/>
      <c r="T530" s="221"/>
      <c r="U530" s="221"/>
      <c r="V530" s="221"/>
      <c r="W530" s="221"/>
      <c r="X530" s="221"/>
      <c r="Y530" s="221"/>
      <c r="Z530" s="221"/>
    </row>
    <row r="531" customFormat="false" ht="12" hidden="false" customHeight="true" outlineLevel="0" collapsed="false">
      <c r="A531" s="256"/>
      <c r="B531" s="256"/>
      <c r="C531" s="256"/>
      <c r="D531" s="256"/>
      <c r="E531" s="256"/>
      <c r="F531" s="256"/>
      <c r="G531" s="256"/>
      <c r="H531" s="256"/>
      <c r="I531" s="256"/>
      <c r="J531" s="256"/>
      <c r="K531" s="256"/>
      <c r="L531" s="256"/>
      <c r="M531" s="256"/>
      <c r="N531" s="256"/>
      <c r="O531" s="256"/>
      <c r="P531" s="256"/>
      <c r="Q531" s="256"/>
      <c r="R531" s="256"/>
      <c r="S531" s="221"/>
      <c r="T531" s="221"/>
      <c r="U531" s="221"/>
      <c r="V531" s="221"/>
      <c r="W531" s="221"/>
      <c r="X531" s="221"/>
      <c r="Y531" s="221"/>
      <c r="Z531" s="221"/>
    </row>
    <row r="532" customFormat="false" ht="12" hidden="false" customHeight="true" outlineLevel="0" collapsed="false">
      <c r="A532" s="256"/>
      <c r="B532" s="256"/>
      <c r="C532" s="256"/>
      <c r="D532" s="256"/>
      <c r="E532" s="256"/>
      <c r="F532" s="256"/>
      <c r="G532" s="256"/>
      <c r="H532" s="256"/>
      <c r="I532" s="256"/>
      <c r="J532" s="256"/>
      <c r="K532" s="256"/>
      <c r="L532" s="256"/>
      <c r="M532" s="256"/>
      <c r="N532" s="256"/>
      <c r="O532" s="256"/>
      <c r="P532" s="256"/>
      <c r="Q532" s="256"/>
      <c r="R532" s="256"/>
      <c r="S532" s="221"/>
      <c r="T532" s="221"/>
      <c r="U532" s="221"/>
      <c r="V532" s="221"/>
      <c r="W532" s="221"/>
      <c r="X532" s="221"/>
      <c r="Y532" s="221"/>
      <c r="Z532" s="221"/>
    </row>
    <row r="533" customFormat="false" ht="12" hidden="false" customHeight="true" outlineLevel="0" collapsed="false">
      <c r="A533" s="256"/>
      <c r="B533" s="256"/>
      <c r="C533" s="256"/>
      <c r="D533" s="256"/>
      <c r="E533" s="256"/>
      <c r="F533" s="256"/>
      <c r="G533" s="256"/>
      <c r="H533" s="256"/>
      <c r="I533" s="256"/>
      <c r="J533" s="256"/>
      <c r="K533" s="256"/>
      <c r="L533" s="256"/>
      <c r="M533" s="256"/>
      <c r="N533" s="256"/>
      <c r="O533" s="256"/>
      <c r="P533" s="256"/>
      <c r="Q533" s="256"/>
      <c r="R533" s="256"/>
      <c r="S533" s="221"/>
      <c r="T533" s="221"/>
      <c r="U533" s="221"/>
      <c r="V533" s="221"/>
      <c r="W533" s="221"/>
      <c r="X533" s="221"/>
      <c r="Y533" s="221"/>
      <c r="Z533" s="221"/>
    </row>
    <row r="534" customFormat="false" ht="12" hidden="false" customHeight="true" outlineLevel="0" collapsed="false">
      <c r="A534" s="256"/>
      <c r="B534" s="256"/>
      <c r="C534" s="256"/>
      <c r="D534" s="256"/>
      <c r="E534" s="256"/>
      <c r="F534" s="256"/>
      <c r="G534" s="256"/>
      <c r="H534" s="256"/>
      <c r="I534" s="256"/>
      <c r="J534" s="256"/>
      <c r="K534" s="256"/>
      <c r="L534" s="256"/>
      <c r="M534" s="256"/>
      <c r="N534" s="256"/>
      <c r="O534" s="256"/>
      <c r="P534" s="256"/>
      <c r="Q534" s="256"/>
      <c r="R534" s="256"/>
      <c r="S534" s="221"/>
      <c r="T534" s="221"/>
      <c r="U534" s="221"/>
      <c r="V534" s="221"/>
      <c r="W534" s="221"/>
      <c r="X534" s="221"/>
      <c r="Y534" s="221"/>
      <c r="Z534" s="221"/>
    </row>
    <row r="535" customFormat="false" ht="12" hidden="false" customHeight="true" outlineLevel="0" collapsed="false">
      <c r="A535" s="256"/>
      <c r="B535" s="256"/>
      <c r="C535" s="256"/>
      <c r="D535" s="256"/>
      <c r="E535" s="256"/>
      <c r="F535" s="256"/>
      <c r="G535" s="256"/>
      <c r="H535" s="256"/>
      <c r="I535" s="256"/>
      <c r="J535" s="256"/>
      <c r="K535" s="256"/>
      <c r="L535" s="256"/>
      <c r="M535" s="256"/>
      <c r="N535" s="256"/>
      <c r="O535" s="256"/>
      <c r="P535" s="256"/>
      <c r="Q535" s="256"/>
      <c r="R535" s="256"/>
      <c r="S535" s="221"/>
      <c r="T535" s="221"/>
      <c r="U535" s="221"/>
      <c r="V535" s="221"/>
      <c r="W535" s="221"/>
      <c r="X535" s="221"/>
      <c r="Y535" s="221"/>
      <c r="Z535" s="221"/>
    </row>
    <row r="536" customFormat="false" ht="12" hidden="false" customHeight="true" outlineLevel="0" collapsed="false">
      <c r="A536" s="256"/>
      <c r="B536" s="256"/>
      <c r="C536" s="256"/>
      <c r="D536" s="256"/>
      <c r="E536" s="256"/>
      <c r="F536" s="256"/>
      <c r="G536" s="256"/>
      <c r="H536" s="256"/>
      <c r="I536" s="256"/>
      <c r="J536" s="256"/>
      <c r="K536" s="256"/>
      <c r="L536" s="256"/>
      <c r="M536" s="256"/>
      <c r="N536" s="256"/>
      <c r="O536" s="256"/>
      <c r="P536" s="256"/>
      <c r="Q536" s="256"/>
      <c r="R536" s="256"/>
      <c r="S536" s="221"/>
      <c r="T536" s="221"/>
      <c r="U536" s="221"/>
      <c r="V536" s="221"/>
      <c r="W536" s="221"/>
      <c r="X536" s="221"/>
      <c r="Y536" s="221"/>
      <c r="Z536" s="221"/>
    </row>
    <row r="537" customFormat="false" ht="12" hidden="false" customHeight="true" outlineLevel="0" collapsed="false">
      <c r="A537" s="256"/>
      <c r="B537" s="256"/>
      <c r="C537" s="256"/>
      <c r="D537" s="256"/>
      <c r="E537" s="256"/>
      <c r="F537" s="256"/>
      <c r="G537" s="256"/>
      <c r="H537" s="256"/>
      <c r="I537" s="256"/>
      <c r="J537" s="256"/>
      <c r="K537" s="256"/>
      <c r="L537" s="256"/>
      <c r="M537" s="256"/>
      <c r="N537" s="256"/>
      <c r="O537" s="256"/>
      <c r="P537" s="256"/>
      <c r="Q537" s="256"/>
      <c r="R537" s="256"/>
      <c r="S537" s="221"/>
      <c r="T537" s="221"/>
      <c r="U537" s="221"/>
      <c r="V537" s="221"/>
      <c r="W537" s="221"/>
      <c r="X537" s="221"/>
      <c r="Y537" s="221"/>
      <c r="Z537" s="221"/>
    </row>
    <row r="538" customFormat="false" ht="12" hidden="false" customHeight="true" outlineLevel="0" collapsed="false">
      <c r="A538" s="256"/>
      <c r="B538" s="256"/>
      <c r="C538" s="256"/>
      <c r="D538" s="256"/>
      <c r="E538" s="256"/>
      <c r="F538" s="256"/>
      <c r="G538" s="256"/>
      <c r="H538" s="256"/>
      <c r="I538" s="256"/>
      <c r="J538" s="256"/>
      <c r="K538" s="256"/>
      <c r="L538" s="256"/>
      <c r="M538" s="256"/>
      <c r="N538" s="256"/>
      <c r="O538" s="256"/>
      <c r="P538" s="256"/>
      <c r="Q538" s="256"/>
      <c r="R538" s="256"/>
      <c r="S538" s="221"/>
      <c r="T538" s="221"/>
      <c r="U538" s="221"/>
      <c r="V538" s="221"/>
      <c r="W538" s="221"/>
      <c r="X538" s="221"/>
      <c r="Y538" s="221"/>
      <c r="Z538" s="221"/>
    </row>
    <row r="539" customFormat="false" ht="12" hidden="false" customHeight="true" outlineLevel="0" collapsed="false">
      <c r="A539" s="256"/>
      <c r="B539" s="256"/>
      <c r="C539" s="256"/>
      <c r="D539" s="256"/>
      <c r="E539" s="256"/>
      <c r="F539" s="256"/>
      <c r="G539" s="256"/>
      <c r="H539" s="256"/>
      <c r="I539" s="256"/>
      <c r="J539" s="256"/>
      <c r="K539" s="256"/>
      <c r="L539" s="256"/>
      <c r="M539" s="256"/>
      <c r="N539" s="256"/>
      <c r="O539" s="256"/>
      <c r="P539" s="256"/>
      <c r="Q539" s="256"/>
      <c r="R539" s="256"/>
      <c r="S539" s="221"/>
      <c r="T539" s="221"/>
      <c r="U539" s="221"/>
      <c r="V539" s="221"/>
      <c r="W539" s="221"/>
      <c r="X539" s="221"/>
      <c r="Y539" s="221"/>
      <c r="Z539" s="221"/>
    </row>
    <row r="540" customFormat="false" ht="12" hidden="false" customHeight="true" outlineLevel="0" collapsed="false">
      <c r="A540" s="256"/>
      <c r="B540" s="256"/>
      <c r="C540" s="256"/>
      <c r="D540" s="256"/>
      <c r="E540" s="256"/>
      <c r="F540" s="256"/>
      <c r="G540" s="256"/>
      <c r="H540" s="256"/>
      <c r="I540" s="256"/>
      <c r="J540" s="256"/>
      <c r="K540" s="256"/>
      <c r="L540" s="256"/>
      <c r="M540" s="256"/>
      <c r="N540" s="256"/>
      <c r="O540" s="256"/>
      <c r="P540" s="256"/>
      <c r="Q540" s="256"/>
      <c r="R540" s="256"/>
      <c r="S540" s="221"/>
      <c r="T540" s="221"/>
      <c r="U540" s="221"/>
      <c r="V540" s="221"/>
      <c r="W540" s="221"/>
      <c r="X540" s="221"/>
      <c r="Y540" s="221"/>
      <c r="Z540" s="221"/>
    </row>
    <row r="541" customFormat="false" ht="12" hidden="false" customHeight="true" outlineLevel="0" collapsed="false">
      <c r="A541" s="256"/>
      <c r="B541" s="256"/>
      <c r="C541" s="256"/>
      <c r="D541" s="256"/>
      <c r="E541" s="256"/>
      <c r="F541" s="256"/>
      <c r="G541" s="256"/>
      <c r="H541" s="256"/>
      <c r="I541" s="256"/>
      <c r="J541" s="256"/>
      <c r="K541" s="256"/>
      <c r="L541" s="256"/>
      <c r="M541" s="256"/>
      <c r="N541" s="256"/>
      <c r="O541" s="256"/>
      <c r="P541" s="256"/>
      <c r="Q541" s="256"/>
      <c r="R541" s="256"/>
      <c r="S541" s="221"/>
      <c r="T541" s="221"/>
      <c r="U541" s="221"/>
      <c r="V541" s="221"/>
      <c r="W541" s="221"/>
      <c r="X541" s="221"/>
      <c r="Y541" s="221"/>
      <c r="Z541" s="221"/>
    </row>
    <row r="542" customFormat="false" ht="12" hidden="false" customHeight="true" outlineLevel="0" collapsed="false">
      <c r="A542" s="256"/>
      <c r="B542" s="256"/>
      <c r="C542" s="256"/>
      <c r="D542" s="256"/>
      <c r="E542" s="256"/>
      <c r="F542" s="256"/>
      <c r="G542" s="256"/>
      <c r="H542" s="256"/>
      <c r="I542" s="256"/>
      <c r="J542" s="256"/>
      <c r="K542" s="256"/>
      <c r="L542" s="256"/>
      <c r="M542" s="256"/>
      <c r="N542" s="256"/>
      <c r="O542" s="256"/>
      <c r="P542" s="256"/>
      <c r="Q542" s="256"/>
      <c r="R542" s="256"/>
      <c r="S542" s="221"/>
      <c r="T542" s="221"/>
      <c r="U542" s="221"/>
      <c r="V542" s="221"/>
      <c r="W542" s="221"/>
      <c r="X542" s="221"/>
      <c r="Y542" s="221"/>
      <c r="Z542" s="221"/>
    </row>
    <row r="543" customFormat="false" ht="12" hidden="false" customHeight="true" outlineLevel="0" collapsed="false">
      <c r="A543" s="256"/>
      <c r="B543" s="256"/>
      <c r="C543" s="256"/>
      <c r="D543" s="256"/>
      <c r="E543" s="256"/>
      <c r="F543" s="256"/>
      <c r="G543" s="256"/>
      <c r="H543" s="256"/>
      <c r="I543" s="256"/>
      <c r="J543" s="256"/>
      <c r="K543" s="256"/>
      <c r="L543" s="256"/>
      <c r="M543" s="256"/>
      <c r="N543" s="256"/>
      <c r="O543" s="256"/>
      <c r="P543" s="256"/>
      <c r="Q543" s="256"/>
      <c r="R543" s="256"/>
      <c r="S543" s="221"/>
      <c r="T543" s="221"/>
      <c r="U543" s="221"/>
      <c r="V543" s="221"/>
      <c r="W543" s="221"/>
      <c r="X543" s="221"/>
      <c r="Y543" s="221"/>
      <c r="Z543" s="221"/>
    </row>
    <row r="544" customFormat="false" ht="12" hidden="false" customHeight="true" outlineLevel="0" collapsed="false">
      <c r="A544" s="256"/>
      <c r="B544" s="256"/>
      <c r="C544" s="256"/>
      <c r="D544" s="256"/>
      <c r="E544" s="256"/>
      <c r="F544" s="256"/>
      <c r="G544" s="256"/>
      <c r="H544" s="256"/>
      <c r="I544" s="256"/>
      <c r="J544" s="256"/>
      <c r="K544" s="256"/>
      <c r="L544" s="256"/>
      <c r="M544" s="256"/>
      <c r="N544" s="256"/>
      <c r="O544" s="256"/>
      <c r="P544" s="256"/>
      <c r="Q544" s="256"/>
      <c r="R544" s="256"/>
      <c r="S544" s="221"/>
      <c r="T544" s="221"/>
      <c r="U544" s="221"/>
      <c r="V544" s="221"/>
      <c r="W544" s="221"/>
      <c r="X544" s="221"/>
      <c r="Y544" s="221"/>
      <c r="Z544" s="221"/>
    </row>
    <row r="545" customFormat="false" ht="12" hidden="false" customHeight="true" outlineLevel="0" collapsed="false">
      <c r="A545" s="256"/>
      <c r="B545" s="256"/>
      <c r="C545" s="256"/>
      <c r="D545" s="256"/>
      <c r="E545" s="256"/>
      <c r="F545" s="256"/>
      <c r="G545" s="256"/>
      <c r="H545" s="256"/>
      <c r="I545" s="256"/>
      <c r="J545" s="256"/>
      <c r="K545" s="256"/>
      <c r="L545" s="256"/>
      <c r="M545" s="256"/>
      <c r="N545" s="256"/>
      <c r="O545" s="256"/>
      <c r="P545" s="256"/>
      <c r="Q545" s="256"/>
      <c r="R545" s="256"/>
      <c r="S545" s="221"/>
      <c r="T545" s="221"/>
      <c r="U545" s="221"/>
      <c r="V545" s="221"/>
      <c r="W545" s="221"/>
      <c r="X545" s="221"/>
      <c r="Y545" s="221"/>
      <c r="Z545" s="221"/>
    </row>
    <row r="546" customFormat="false" ht="12" hidden="false" customHeight="true" outlineLevel="0" collapsed="false">
      <c r="A546" s="256"/>
      <c r="B546" s="256"/>
      <c r="C546" s="256"/>
      <c r="D546" s="256"/>
      <c r="E546" s="256"/>
      <c r="F546" s="256"/>
      <c r="G546" s="256"/>
      <c r="H546" s="256"/>
      <c r="I546" s="256"/>
      <c r="J546" s="256"/>
      <c r="K546" s="256"/>
      <c r="L546" s="256"/>
      <c r="M546" s="256"/>
      <c r="N546" s="256"/>
      <c r="O546" s="256"/>
      <c r="P546" s="256"/>
      <c r="Q546" s="256"/>
      <c r="R546" s="256"/>
      <c r="S546" s="221"/>
      <c r="T546" s="221"/>
      <c r="U546" s="221"/>
      <c r="V546" s="221"/>
      <c r="W546" s="221"/>
      <c r="X546" s="221"/>
      <c r="Y546" s="221"/>
      <c r="Z546" s="221"/>
    </row>
    <row r="547" customFormat="false" ht="12" hidden="false" customHeight="true" outlineLevel="0" collapsed="false">
      <c r="A547" s="256"/>
      <c r="B547" s="256"/>
      <c r="C547" s="256"/>
      <c r="D547" s="256"/>
      <c r="E547" s="256"/>
      <c r="F547" s="256"/>
      <c r="G547" s="256"/>
      <c r="H547" s="256"/>
      <c r="I547" s="256"/>
      <c r="J547" s="256"/>
      <c r="K547" s="256"/>
      <c r="L547" s="256"/>
      <c r="M547" s="256"/>
      <c r="N547" s="256"/>
      <c r="O547" s="256"/>
      <c r="P547" s="256"/>
      <c r="Q547" s="256"/>
      <c r="R547" s="256"/>
      <c r="S547" s="221"/>
      <c r="T547" s="221"/>
      <c r="U547" s="221"/>
      <c r="V547" s="221"/>
      <c r="W547" s="221"/>
      <c r="X547" s="221"/>
      <c r="Y547" s="221"/>
      <c r="Z547" s="221"/>
    </row>
    <row r="548" customFormat="false" ht="12" hidden="false" customHeight="true" outlineLevel="0" collapsed="false">
      <c r="A548" s="256"/>
      <c r="B548" s="256"/>
      <c r="C548" s="256"/>
      <c r="D548" s="256"/>
      <c r="E548" s="256"/>
      <c r="F548" s="256"/>
      <c r="G548" s="256"/>
      <c r="H548" s="256"/>
      <c r="I548" s="256"/>
      <c r="J548" s="256"/>
      <c r="K548" s="256"/>
      <c r="L548" s="256"/>
      <c r="M548" s="256"/>
      <c r="N548" s="256"/>
      <c r="O548" s="256"/>
      <c r="P548" s="256"/>
      <c r="Q548" s="256"/>
      <c r="R548" s="256"/>
      <c r="S548" s="221"/>
      <c r="T548" s="221"/>
      <c r="U548" s="221"/>
      <c r="V548" s="221"/>
      <c r="W548" s="221"/>
      <c r="X548" s="221"/>
      <c r="Y548" s="221"/>
      <c r="Z548" s="221"/>
    </row>
    <row r="549" customFormat="false" ht="12" hidden="false" customHeight="true" outlineLevel="0" collapsed="false">
      <c r="A549" s="256"/>
      <c r="B549" s="256"/>
      <c r="C549" s="256"/>
      <c r="D549" s="256"/>
      <c r="E549" s="256"/>
      <c r="F549" s="256"/>
      <c r="G549" s="256"/>
      <c r="H549" s="256"/>
      <c r="I549" s="256"/>
      <c r="J549" s="256"/>
      <c r="K549" s="256"/>
      <c r="L549" s="256"/>
      <c r="M549" s="256"/>
      <c r="N549" s="256"/>
      <c r="O549" s="256"/>
      <c r="P549" s="256"/>
      <c r="Q549" s="256"/>
      <c r="R549" s="256"/>
      <c r="S549" s="221"/>
      <c r="T549" s="221"/>
      <c r="U549" s="221"/>
      <c r="V549" s="221"/>
      <c r="W549" s="221"/>
      <c r="X549" s="221"/>
      <c r="Y549" s="221"/>
      <c r="Z549" s="221"/>
    </row>
    <row r="550" customFormat="false" ht="12" hidden="false" customHeight="true" outlineLevel="0" collapsed="false">
      <c r="A550" s="256"/>
      <c r="B550" s="256"/>
      <c r="C550" s="256"/>
      <c r="D550" s="256"/>
      <c r="E550" s="256"/>
      <c r="F550" s="256"/>
      <c r="G550" s="256"/>
      <c r="H550" s="256"/>
      <c r="I550" s="256"/>
      <c r="J550" s="256"/>
      <c r="K550" s="256"/>
      <c r="L550" s="256"/>
      <c r="M550" s="256"/>
      <c r="N550" s="256"/>
      <c r="O550" s="256"/>
      <c r="P550" s="256"/>
      <c r="Q550" s="256"/>
      <c r="R550" s="256"/>
      <c r="S550" s="221"/>
      <c r="T550" s="221"/>
      <c r="U550" s="221"/>
      <c r="V550" s="221"/>
      <c r="W550" s="221"/>
      <c r="X550" s="221"/>
      <c r="Y550" s="221"/>
      <c r="Z550" s="221"/>
    </row>
    <row r="551" customFormat="false" ht="12" hidden="false" customHeight="true" outlineLevel="0" collapsed="false">
      <c r="A551" s="256"/>
      <c r="B551" s="256"/>
      <c r="C551" s="256"/>
      <c r="D551" s="256"/>
      <c r="E551" s="256"/>
      <c r="F551" s="256"/>
      <c r="G551" s="256"/>
      <c r="H551" s="256"/>
      <c r="I551" s="256"/>
      <c r="J551" s="256"/>
      <c r="K551" s="256"/>
      <c r="L551" s="256"/>
      <c r="M551" s="256"/>
      <c r="N551" s="256"/>
      <c r="O551" s="256"/>
      <c r="P551" s="256"/>
      <c r="Q551" s="256"/>
      <c r="R551" s="256"/>
      <c r="S551" s="221"/>
      <c r="T551" s="221"/>
      <c r="U551" s="221"/>
      <c r="V551" s="221"/>
      <c r="W551" s="221"/>
      <c r="X551" s="221"/>
      <c r="Y551" s="221"/>
      <c r="Z551" s="221"/>
    </row>
    <row r="552" customFormat="false" ht="12" hidden="false" customHeight="true" outlineLevel="0" collapsed="false">
      <c r="A552" s="256"/>
      <c r="B552" s="256"/>
      <c r="C552" s="256"/>
      <c r="D552" s="256"/>
      <c r="E552" s="256"/>
      <c r="F552" s="256"/>
      <c r="G552" s="256"/>
      <c r="H552" s="256"/>
      <c r="I552" s="256"/>
      <c r="J552" s="256"/>
      <c r="K552" s="256"/>
      <c r="L552" s="256"/>
      <c r="M552" s="256"/>
      <c r="N552" s="256"/>
      <c r="O552" s="256"/>
      <c r="P552" s="256"/>
      <c r="Q552" s="256"/>
      <c r="R552" s="256"/>
      <c r="S552" s="221"/>
      <c r="T552" s="221"/>
      <c r="U552" s="221"/>
      <c r="V552" s="221"/>
      <c r="W552" s="221"/>
      <c r="X552" s="221"/>
      <c r="Y552" s="221"/>
      <c r="Z552" s="221"/>
    </row>
    <row r="553" customFormat="false" ht="12" hidden="false" customHeight="true" outlineLevel="0" collapsed="false">
      <c r="A553" s="256"/>
      <c r="B553" s="256"/>
      <c r="C553" s="256"/>
      <c r="D553" s="256"/>
      <c r="E553" s="256"/>
      <c r="F553" s="256"/>
      <c r="G553" s="256"/>
      <c r="H553" s="256"/>
      <c r="I553" s="256"/>
      <c r="J553" s="256"/>
      <c r="K553" s="256"/>
      <c r="L553" s="256"/>
      <c r="M553" s="256"/>
      <c r="N553" s="256"/>
      <c r="O553" s="256"/>
      <c r="P553" s="256"/>
      <c r="Q553" s="256"/>
      <c r="R553" s="256"/>
      <c r="S553" s="221"/>
      <c r="T553" s="221"/>
      <c r="U553" s="221"/>
      <c r="V553" s="221"/>
      <c r="W553" s="221"/>
      <c r="X553" s="221"/>
      <c r="Y553" s="221"/>
      <c r="Z553" s="221"/>
    </row>
    <row r="554" customFormat="false" ht="12" hidden="false" customHeight="true" outlineLevel="0" collapsed="false">
      <c r="A554" s="256"/>
      <c r="B554" s="256"/>
      <c r="C554" s="256"/>
      <c r="D554" s="256"/>
      <c r="E554" s="256"/>
      <c r="F554" s="256"/>
      <c r="G554" s="256"/>
      <c r="H554" s="256"/>
      <c r="I554" s="256"/>
      <c r="J554" s="256"/>
      <c r="K554" s="256"/>
      <c r="L554" s="256"/>
      <c r="M554" s="256"/>
      <c r="N554" s="256"/>
      <c r="O554" s="256"/>
      <c r="P554" s="256"/>
      <c r="Q554" s="256"/>
      <c r="R554" s="256"/>
      <c r="S554" s="221"/>
      <c r="T554" s="221"/>
      <c r="U554" s="221"/>
      <c r="V554" s="221"/>
      <c r="W554" s="221"/>
      <c r="X554" s="221"/>
      <c r="Y554" s="221"/>
      <c r="Z554" s="221"/>
    </row>
    <row r="555" customFormat="false" ht="12" hidden="false" customHeight="true" outlineLevel="0" collapsed="false">
      <c r="A555" s="256"/>
      <c r="B555" s="256"/>
      <c r="C555" s="256"/>
      <c r="D555" s="256"/>
      <c r="E555" s="256"/>
      <c r="F555" s="256"/>
      <c r="G555" s="256"/>
      <c r="H555" s="256"/>
      <c r="I555" s="256"/>
      <c r="J555" s="256"/>
      <c r="K555" s="256"/>
      <c r="L555" s="256"/>
      <c r="M555" s="256"/>
      <c r="N555" s="256"/>
      <c r="O555" s="256"/>
      <c r="P555" s="256"/>
      <c r="Q555" s="256"/>
      <c r="R555" s="256"/>
      <c r="S555" s="221"/>
      <c r="T555" s="221"/>
      <c r="U555" s="221"/>
      <c r="V555" s="221"/>
      <c r="W555" s="221"/>
      <c r="X555" s="221"/>
      <c r="Y555" s="221"/>
      <c r="Z555" s="221"/>
    </row>
    <row r="556" customFormat="false" ht="12" hidden="false" customHeight="true" outlineLevel="0" collapsed="false">
      <c r="A556" s="256"/>
      <c r="B556" s="256"/>
      <c r="C556" s="256"/>
      <c r="D556" s="256"/>
      <c r="E556" s="256"/>
      <c r="F556" s="256"/>
      <c r="G556" s="256"/>
      <c r="H556" s="256"/>
      <c r="I556" s="256"/>
      <c r="J556" s="256"/>
      <c r="K556" s="256"/>
      <c r="L556" s="256"/>
      <c r="M556" s="256"/>
      <c r="N556" s="256"/>
      <c r="O556" s="256"/>
      <c r="P556" s="256"/>
      <c r="Q556" s="256"/>
      <c r="R556" s="256"/>
      <c r="S556" s="221"/>
      <c r="T556" s="221"/>
      <c r="U556" s="221"/>
      <c r="V556" s="221"/>
      <c r="W556" s="221"/>
      <c r="X556" s="221"/>
      <c r="Y556" s="221"/>
      <c r="Z556" s="221"/>
    </row>
    <row r="557" customFormat="false" ht="12" hidden="false" customHeight="true" outlineLevel="0" collapsed="false">
      <c r="A557" s="256"/>
      <c r="B557" s="256"/>
      <c r="C557" s="256"/>
      <c r="D557" s="256"/>
      <c r="E557" s="256"/>
      <c r="F557" s="256"/>
      <c r="G557" s="256"/>
      <c r="H557" s="256"/>
      <c r="I557" s="256"/>
      <c r="J557" s="256"/>
      <c r="K557" s="256"/>
      <c r="L557" s="256"/>
      <c r="M557" s="256"/>
      <c r="N557" s="256"/>
      <c r="O557" s="256"/>
      <c r="P557" s="256"/>
      <c r="Q557" s="256"/>
      <c r="R557" s="256"/>
      <c r="S557" s="221"/>
      <c r="T557" s="221"/>
      <c r="U557" s="221"/>
      <c r="V557" s="221"/>
      <c r="W557" s="221"/>
      <c r="X557" s="221"/>
      <c r="Y557" s="221"/>
      <c r="Z557" s="221"/>
    </row>
    <row r="558" customFormat="false" ht="12" hidden="false" customHeight="true" outlineLevel="0" collapsed="false">
      <c r="A558" s="256"/>
      <c r="B558" s="256"/>
      <c r="C558" s="256"/>
      <c r="D558" s="256"/>
      <c r="E558" s="256"/>
      <c r="F558" s="256"/>
      <c r="G558" s="256"/>
      <c r="H558" s="256"/>
      <c r="I558" s="256"/>
      <c r="J558" s="256"/>
      <c r="K558" s="256"/>
      <c r="L558" s="256"/>
      <c r="M558" s="256"/>
      <c r="N558" s="256"/>
      <c r="O558" s="256"/>
      <c r="P558" s="256"/>
      <c r="Q558" s="256"/>
      <c r="R558" s="256"/>
      <c r="S558" s="221"/>
      <c r="T558" s="221"/>
      <c r="U558" s="221"/>
      <c r="V558" s="221"/>
      <c r="W558" s="221"/>
      <c r="X558" s="221"/>
      <c r="Y558" s="221"/>
      <c r="Z558" s="221"/>
    </row>
    <row r="559" customFormat="false" ht="12" hidden="false" customHeight="true" outlineLevel="0" collapsed="false">
      <c r="A559" s="256"/>
      <c r="B559" s="256"/>
      <c r="C559" s="256"/>
      <c r="D559" s="256"/>
      <c r="E559" s="256"/>
      <c r="F559" s="256"/>
      <c r="G559" s="256"/>
      <c r="H559" s="256"/>
      <c r="I559" s="256"/>
      <c r="J559" s="256"/>
      <c r="K559" s="256"/>
      <c r="L559" s="256"/>
      <c r="M559" s="256"/>
      <c r="N559" s="256"/>
      <c r="O559" s="256"/>
      <c r="P559" s="256"/>
      <c r="Q559" s="256"/>
      <c r="R559" s="256"/>
      <c r="S559" s="221"/>
      <c r="T559" s="221"/>
      <c r="U559" s="221"/>
      <c r="V559" s="221"/>
      <c r="W559" s="221"/>
      <c r="X559" s="221"/>
      <c r="Y559" s="221"/>
      <c r="Z559" s="221"/>
    </row>
    <row r="560" customFormat="false" ht="12" hidden="false" customHeight="true" outlineLevel="0" collapsed="false">
      <c r="A560" s="256"/>
      <c r="B560" s="256"/>
      <c r="C560" s="256"/>
      <c r="D560" s="256"/>
      <c r="E560" s="256"/>
      <c r="F560" s="256"/>
      <c r="G560" s="256"/>
      <c r="H560" s="256"/>
      <c r="I560" s="256"/>
      <c r="J560" s="256"/>
      <c r="K560" s="256"/>
      <c r="L560" s="256"/>
      <c r="M560" s="256"/>
      <c r="N560" s="256"/>
      <c r="O560" s="256"/>
      <c r="P560" s="256"/>
      <c r="Q560" s="256"/>
      <c r="R560" s="256"/>
      <c r="S560" s="221"/>
      <c r="T560" s="221"/>
      <c r="U560" s="221"/>
      <c r="V560" s="221"/>
      <c r="W560" s="221"/>
      <c r="X560" s="221"/>
      <c r="Y560" s="221"/>
      <c r="Z560" s="221"/>
    </row>
    <row r="561" customFormat="false" ht="12" hidden="false" customHeight="true" outlineLevel="0" collapsed="false">
      <c r="A561" s="256"/>
      <c r="B561" s="256"/>
      <c r="C561" s="256"/>
      <c r="D561" s="256"/>
      <c r="E561" s="256"/>
      <c r="F561" s="256"/>
      <c r="G561" s="256"/>
      <c r="H561" s="256"/>
      <c r="I561" s="256"/>
      <c r="J561" s="256"/>
      <c r="K561" s="256"/>
      <c r="L561" s="256"/>
      <c r="M561" s="256"/>
      <c r="N561" s="256"/>
      <c r="O561" s="256"/>
      <c r="P561" s="256"/>
      <c r="Q561" s="256"/>
      <c r="R561" s="256"/>
      <c r="S561" s="221"/>
      <c r="T561" s="221"/>
      <c r="U561" s="221"/>
      <c r="V561" s="221"/>
      <c r="W561" s="221"/>
      <c r="X561" s="221"/>
      <c r="Y561" s="221"/>
      <c r="Z561" s="221"/>
    </row>
    <row r="562" customFormat="false" ht="12" hidden="false" customHeight="true" outlineLevel="0" collapsed="false">
      <c r="A562" s="256"/>
      <c r="B562" s="256"/>
      <c r="C562" s="256"/>
      <c r="D562" s="256"/>
      <c r="E562" s="256"/>
      <c r="F562" s="256"/>
      <c r="G562" s="256"/>
      <c r="H562" s="256"/>
      <c r="I562" s="256"/>
      <c r="J562" s="256"/>
      <c r="K562" s="256"/>
      <c r="L562" s="256"/>
      <c r="M562" s="256"/>
      <c r="N562" s="256"/>
      <c r="O562" s="256"/>
      <c r="P562" s="256"/>
      <c r="Q562" s="256"/>
      <c r="R562" s="256"/>
      <c r="S562" s="221"/>
      <c r="T562" s="221"/>
      <c r="U562" s="221"/>
      <c r="V562" s="221"/>
      <c r="W562" s="221"/>
      <c r="X562" s="221"/>
      <c r="Y562" s="221"/>
      <c r="Z562" s="221"/>
    </row>
    <row r="563" customFormat="false" ht="12" hidden="false" customHeight="true" outlineLevel="0" collapsed="false">
      <c r="A563" s="256"/>
      <c r="B563" s="256"/>
      <c r="C563" s="256"/>
      <c r="D563" s="256"/>
      <c r="E563" s="256"/>
      <c r="F563" s="256"/>
      <c r="G563" s="256"/>
      <c r="H563" s="256"/>
      <c r="I563" s="256"/>
      <c r="J563" s="256"/>
      <c r="K563" s="256"/>
      <c r="L563" s="256"/>
      <c r="M563" s="256"/>
      <c r="N563" s="256"/>
      <c r="O563" s="256"/>
      <c r="P563" s="256"/>
      <c r="Q563" s="256"/>
      <c r="R563" s="256"/>
      <c r="S563" s="221"/>
      <c r="T563" s="221"/>
      <c r="U563" s="221"/>
      <c r="V563" s="221"/>
      <c r="W563" s="221"/>
      <c r="X563" s="221"/>
      <c r="Y563" s="221"/>
      <c r="Z563" s="221"/>
    </row>
    <row r="564" customFormat="false" ht="12" hidden="false" customHeight="true" outlineLevel="0" collapsed="false">
      <c r="A564" s="256"/>
      <c r="B564" s="256"/>
      <c r="C564" s="256"/>
      <c r="D564" s="256"/>
      <c r="E564" s="256"/>
      <c r="F564" s="256"/>
      <c r="G564" s="256"/>
      <c r="H564" s="256"/>
      <c r="I564" s="256"/>
      <c r="J564" s="256"/>
      <c r="K564" s="256"/>
      <c r="L564" s="256"/>
      <c r="M564" s="256"/>
      <c r="N564" s="256"/>
      <c r="O564" s="256"/>
      <c r="P564" s="256"/>
      <c r="Q564" s="256"/>
      <c r="R564" s="256"/>
      <c r="S564" s="221"/>
      <c r="T564" s="221"/>
      <c r="U564" s="221"/>
      <c r="V564" s="221"/>
      <c r="W564" s="221"/>
      <c r="X564" s="221"/>
      <c r="Y564" s="221"/>
      <c r="Z564" s="221"/>
    </row>
    <row r="565" customFormat="false" ht="12" hidden="false" customHeight="true" outlineLevel="0" collapsed="false">
      <c r="A565" s="256"/>
      <c r="B565" s="256"/>
      <c r="C565" s="256"/>
      <c r="D565" s="256"/>
      <c r="E565" s="256"/>
      <c r="F565" s="256"/>
      <c r="G565" s="256"/>
      <c r="H565" s="256"/>
      <c r="I565" s="256"/>
      <c r="J565" s="256"/>
      <c r="K565" s="256"/>
      <c r="L565" s="256"/>
      <c r="M565" s="256"/>
      <c r="N565" s="256"/>
      <c r="O565" s="256"/>
      <c r="P565" s="256"/>
      <c r="Q565" s="256"/>
      <c r="R565" s="256"/>
      <c r="S565" s="221"/>
      <c r="T565" s="221"/>
      <c r="U565" s="221"/>
      <c r="V565" s="221"/>
      <c r="W565" s="221"/>
      <c r="X565" s="221"/>
      <c r="Y565" s="221"/>
      <c r="Z565" s="221"/>
    </row>
    <row r="566" customFormat="false" ht="12" hidden="false" customHeight="true" outlineLevel="0" collapsed="false">
      <c r="A566" s="256"/>
      <c r="B566" s="256"/>
      <c r="C566" s="256"/>
      <c r="D566" s="256"/>
      <c r="E566" s="256"/>
      <c r="F566" s="256"/>
      <c r="G566" s="256"/>
      <c r="H566" s="256"/>
      <c r="I566" s="256"/>
      <c r="J566" s="256"/>
      <c r="K566" s="256"/>
      <c r="L566" s="256"/>
      <c r="M566" s="256"/>
      <c r="N566" s="256"/>
      <c r="O566" s="256"/>
      <c r="P566" s="256"/>
      <c r="Q566" s="256"/>
      <c r="R566" s="256"/>
      <c r="S566" s="221"/>
      <c r="T566" s="221"/>
      <c r="U566" s="221"/>
      <c r="V566" s="221"/>
      <c r="W566" s="221"/>
      <c r="X566" s="221"/>
      <c r="Y566" s="221"/>
      <c r="Z566" s="221"/>
    </row>
    <row r="567" customFormat="false" ht="12" hidden="false" customHeight="true" outlineLevel="0" collapsed="false">
      <c r="A567" s="256"/>
      <c r="B567" s="256"/>
      <c r="C567" s="256"/>
      <c r="D567" s="256"/>
      <c r="E567" s="256"/>
      <c r="F567" s="256"/>
      <c r="G567" s="256"/>
      <c r="H567" s="256"/>
      <c r="I567" s="256"/>
      <c r="J567" s="256"/>
      <c r="K567" s="256"/>
      <c r="L567" s="256"/>
      <c r="M567" s="256"/>
      <c r="N567" s="256"/>
      <c r="O567" s="256"/>
      <c r="P567" s="256"/>
      <c r="Q567" s="256"/>
      <c r="R567" s="256"/>
      <c r="S567" s="221"/>
      <c r="T567" s="221"/>
      <c r="U567" s="221"/>
      <c r="V567" s="221"/>
      <c r="W567" s="221"/>
      <c r="X567" s="221"/>
      <c r="Y567" s="221"/>
      <c r="Z567" s="221"/>
    </row>
    <row r="568" customFormat="false" ht="12" hidden="false" customHeight="true" outlineLevel="0" collapsed="false">
      <c r="A568" s="256"/>
      <c r="B568" s="256"/>
      <c r="C568" s="256"/>
      <c r="D568" s="256"/>
      <c r="E568" s="256"/>
      <c r="F568" s="256"/>
      <c r="G568" s="256"/>
      <c r="H568" s="256"/>
      <c r="I568" s="256"/>
      <c r="J568" s="256"/>
      <c r="K568" s="256"/>
      <c r="L568" s="256"/>
      <c r="M568" s="256"/>
      <c r="N568" s="256"/>
      <c r="O568" s="256"/>
      <c r="P568" s="256"/>
      <c r="Q568" s="256"/>
      <c r="R568" s="256"/>
      <c r="S568" s="221"/>
      <c r="T568" s="221"/>
      <c r="U568" s="221"/>
      <c r="V568" s="221"/>
      <c r="W568" s="221"/>
      <c r="X568" s="221"/>
      <c r="Y568" s="221"/>
      <c r="Z568" s="221"/>
    </row>
    <row r="569" customFormat="false" ht="12" hidden="false" customHeight="true" outlineLevel="0" collapsed="false">
      <c r="A569" s="256"/>
      <c r="B569" s="256"/>
      <c r="C569" s="256"/>
      <c r="D569" s="256"/>
      <c r="E569" s="256"/>
      <c r="F569" s="256"/>
      <c r="G569" s="256"/>
      <c r="H569" s="256"/>
      <c r="I569" s="256"/>
      <c r="J569" s="256"/>
      <c r="K569" s="256"/>
      <c r="L569" s="256"/>
      <c r="M569" s="256"/>
      <c r="N569" s="256"/>
      <c r="O569" s="256"/>
      <c r="P569" s="256"/>
      <c r="Q569" s="256"/>
      <c r="R569" s="256"/>
      <c r="S569" s="221"/>
      <c r="T569" s="221"/>
      <c r="U569" s="221"/>
      <c r="V569" s="221"/>
      <c r="W569" s="221"/>
      <c r="X569" s="221"/>
      <c r="Y569" s="221"/>
      <c r="Z569" s="221"/>
    </row>
    <row r="570" customFormat="false" ht="12" hidden="false" customHeight="true" outlineLevel="0" collapsed="false">
      <c r="A570" s="256"/>
      <c r="B570" s="256"/>
      <c r="C570" s="256"/>
      <c r="D570" s="256"/>
      <c r="E570" s="256"/>
      <c r="F570" s="256"/>
      <c r="G570" s="256"/>
      <c r="H570" s="256"/>
      <c r="I570" s="256"/>
      <c r="J570" s="256"/>
      <c r="K570" s="256"/>
      <c r="L570" s="256"/>
      <c r="M570" s="256"/>
      <c r="N570" s="256"/>
      <c r="O570" s="256"/>
      <c r="P570" s="256"/>
      <c r="Q570" s="256"/>
      <c r="R570" s="256"/>
      <c r="S570" s="221"/>
      <c r="T570" s="221"/>
      <c r="U570" s="221"/>
      <c r="V570" s="221"/>
      <c r="W570" s="221"/>
      <c r="X570" s="221"/>
      <c r="Y570" s="221"/>
      <c r="Z570" s="221"/>
    </row>
    <row r="571" customFormat="false" ht="12" hidden="false" customHeight="true" outlineLevel="0" collapsed="false">
      <c r="A571" s="256"/>
      <c r="B571" s="256"/>
      <c r="C571" s="256"/>
      <c r="D571" s="256"/>
      <c r="E571" s="256"/>
      <c r="F571" s="256"/>
      <c r="G571" s="256"/>
      <c r="H571" s="256"/>
      <c r="I571" s="256"/>
      <c r="J571" s="256"/>
      <c r="K571" s="256"/>
      <c r="L571" s="256"/>
      <c r="M571" s="256"/>
      <c r="N571" s="256"/>
      <c r="O571" s="256"/>
      <c r="P571" s="256"/>
      <c r="Q571" s="256"/>
      <c r="R571" s="256"/>
      <c r="S571" s="221"/>
      <c r="T571" s="221"/>
      <c r="U571" s="221"/>
      <c r="V571" s="221"/>
      <c r="W571" s="221"/>
      <c r="X571" s="221"/>
      <c r="Y571" s="221"/>
      <c r="Z571" s="221"/>
    </row>
    <row r="572" customFormat="false" ht="12" hidden="false" customHeight="true" outlineLevel="0" collapsed="false">
      <c r="A572" s="256"/>
      <c r="B572" s="256"/>
      <c r="C572" s="256"/>
      <c r="D572" s="256"/>
      <c r="E572" s="256"/>
      <c r="F572" s="256"/>
      <c r="G572" s="256"/>
      <c r="H572" s="256"/>
      <c r="I572" s="256"/>
      <c r="J572" s="256"/>
      <c r="K572" s="256"/>
      <c r="L572" s="256"/>
      <c r="M572" s="256"/>
      <c r="N572" s="256"/>
      <c r="O572" s="256"/>
      <c r="P572" s="256"/>
      <c r="Q572" s="256"/>
      <c r="R572" s="256"/>
      <c r="S572" s="221"/>
      <c r="T572" s="221"/>
      <c r="U572" s="221"/>
      <c r="V572" s="221"/>
      <c r="W572" s="221"/>
      <c r="X572" s="221"/>
      <c r="Y572" s="221"/>
      <c r="Z572" s="221"/>
    </row>
    <row r="573" customFormat="false" ht="12" hidden="false" customHeight="true" outlineLevel="0" collapsed="false">
      <c r="A573" s="256"/>
      <c r="B573" s="256"/>
      <c r="C573" s="256"/>
      <c r="D573" s="256"/>
      <c r="E573" s="256"/>
      <c r="F573" s="256"/>
      <c r="G573" s="256"/>
      <c r="H573" s="256"/>
      <c r="I573" s="256"/>
      <c r="J573" s="256"/>
      <c r="K573" s="256"/>
      <c r="L573" s="256"/>
      <c r="M573" s="256"/>
      <c r="N573" s="256"/>
      <c r="O573" s="256"/>
      <c r="P573" s="256"/>
      <c r="Q573" s="256"/>
      <c r="R573" s="256"/>
      <c r="S573" s="221"/>
      <c r="T573" s="221"/>
      <c r="U573" s="221"/>
      <c r="V573" s="221"/>
      <c r="W573" s="221"/>
      <c r="X573" s="221"/>
      <c r="Y573" s="221"/>
      <c r="Z573" s="221"/>
    </row>
    <row r="574" customFormat="false" ht="12" hidden="false" customHeight="true" outlineLevel="0" collapsed="false">
      <c r="A574" s="256"/>
      <c r="B574" s="256"/>
      <c r="C574" s="256"/>
      <c r="D574" s="256"/>
      <c r="E574" s="256"/>
      <c r="F574" s="256"/>
      <c r="G574" s="256"/>
      <c r="H574" s="256"/>
      <c r="I574" s="256"/>
      <c r="J574" s="256"/>
      <c r="K574" s="256"/>
      <c r="L574" s="256"/>
      <c r="M574" s="256"/>
      <c r="N574" s="256"/>
      <c r="O574" s="256"/>
      <c r="P574" s="256"/>
      <c r="Q574" s="256"/>
      <c r="R574" s="256"/>
      <c r="S574" s="221"/>
      <c r="T574" s="221"/>
      <c r="U574" s="221"/>
      <c r="V574" s="221"/>
      <c r="W574" s="221"/>
      <c r="X574" s="221"/>
      <c r="Y574" s="221"/>
      <c r="Z574" s="221"/>
    </row>
    <row r="575" customFormat="false" ht="12" hidden="false" customHeight="true" outlineLevel="0" collapsed="false">
      <c r="A575" s="256"/>
      <c r="B575" s="256"/>
      <c r="C575" s="256"/>
      <c r="D575" s="256"/>
      <c r="E575" s="256"/>
      <c r="F575" s="256"/>
      <c r="G575" s="256"/>
      <c r="H575" s="256"/>
      <c r="I575" s="256"/>
      <c r="J575" s="256"/>
      <c r="K575" s="256"/>
      <c r="L575" s="256"/>
      <c r="M575" s="256"/>
      <c r="N575" s="256"/>
      <c r="O575" s="256"/>
      <c r="P575" s="256"/>
      <c r="Q575" s="256"/>
      <c r="R575" s="256"/>
      <c r="S575" s="221"/>
      <c r="T575" s="221"/>
      <c r="U575" s="221"/>
      <c r="V575" s="221"/>
      <c r="W575" s="221"/>
      <c r="X575" s="221"/>
      <c r="Y575" s="221"/>
      <c r="Z575" s="221"/>
    </row>
    <row r="576" customFormat="false" ht="12" hidden="false" customHeight="true" outlineLevel="0" collapsed="false">
      <c r="A576" s="256"/>
      <c r="B576" s="256"/>
      <c r="C576" s="256"/>
      <c r="D576" s="256"/>
      <c r="E576" s="256"/>
      <c r="F576" s="256"/>
      <c r="G576" s="256"/>
      <c r="H576" s="256"/>
      <c r="I576" s="256"/>
      <c r="J576" s="256"/>
      <c r="K576" s="256"/>
      <c r="L576" s="256"/>
      <c r="M576" s="256"/>
      <c r="N576" s="256"/>
      <c r="O576" s="256"/>
      <c r="P576" s="256"/>
      <c r="Q576" s="256"/>
      <c r="R576" s="256"/>
      <c r="S576" s="221"/>
      <c r="T576" s="221"/>
      <c r="U576" s="221"/>
      <c r="V576" s="221"/>
      <c r="W576" s="221"/>
      <c r="X576" s="221"/>
      <c r="Y576" s="221"/>
      <c r="Z576" s="221"/>
    </row>
    <row r="577" customFormat="false" ht="12" hidden="false" customHeight="true" outlineLevel="0" collapsed="false">
      <c r="A577" s="256"/>
      <c r="B577" s="256"/>
      <c r="C577" s="256"/>
      <c r="D577" s="256"/>
      <c r="E577" s="256"/>
      <c r="F577" s="256"/>
      <c r="G577" s="256"/>
      <c r="H577" s="256"/>
      <c r="I577" s="256"/>
      <c r="J577" s="256"/>
      <c r="K577" s="256"/>
      <c r="L577" s="256"/>
      <c r="M577" s="256"/>
      <c r="N577" s="256"/>
      <c r="O577" s="256"/>
      <c r="P577" s="256"/>
      <c r="Q577" s="256"/>
      <c r="R577" s="256"/>
      <c r="S577" s="221"/>
      <c r="T577" s="221"/>
      <c r="U577" s="221"/>
      <c r="V577" s="221"/>
      <c r="W577" s="221"/>
      <c r="X577" s="221"/>
      <c r="Y577" s="221"/>
      <c r="Z577" s="221"/>
    </row>
    <row r="578" customFormat="false" ht="12" hidden="false" customHeight="true" outlineLevel="0" collapsed="false">
      <c r="A578" s="256"/>
      <c r="B578" s="256"/>
      <c r="C578" s="256"/>
      <c r="D578" s="256"/>
      <c r="E578" s="256"/>
      <c r="F578" s="256"/>
      <c r="G578" s="256"/>
      <c r="H578" s="256"/>
      <c r="I578" s="256"/>
      <c r="J578" s="256"/>
      <c r="K578" s="256"/>
      <c r="L578" s="256"/>
      <c r="M578" s="256"/>
      <c r="N578" s="256"/>
      <c r="O578" s="256"/>
      <c r="P578" s="256"/>
      <c r="Q578" s="256"/>
      <c r="R578" s="256"/>
      <c r="S578" s="221"/>
      <c r="T578" s="221"/>
      <c r="U578" s="221"/>
      <c r="V578" s="221"/>
      <c r="W578" s="221"/>
      <c r="X578" s="221"/>
      <c r="Y578" s="221"/>
      <c r="Z578" s="221"/>
    </row>
    <row r="579" customFormat="false" ht="12" hidden="false" customHeight="true" outlineLevel="0" collapsed="false">
      <c r="A579" s="256"/>
      <c r="B579" s="256"/>
      <c r="C579" s="256"/>
      <c r="D579" s="256"/>
      <c r="E579" s="256"/>
      <c r="F579" s="256"/>
      <c r="G579" s="256"/>
      <c r="H579" s="256"/>
      <c r="I579" s="256"/>
      <c r="J579" s="256"/>
      <c r="K579" s="256"/>
      <c r="L579" s="256"/>
      <c r="M579" s="256"/>
      <c r="N579" s="256"/>
      <c r="O579" s="256"/>
      <c r="P579" s="256"/>
      <c r="Q579" s="256"/>
      <c r="R579" s="256"/>
      <c r="S579" s="221"/>
      <c r="T579" s="221"/>
      <c r="U579" s="221"/>
      <c r="V579" s="221"/>
      <c r="W579" s="221"/>
      <c r="X579" s="221"/>
      <c r="Y579" s="221"/>
      <c r="Z579" s="221"/>
    </row>
    <row r="580" customFormat="false" ht="12" hidden="false" customHeight="true" outlineLevel="0" collapsed="false">
      <c r="A580" s="256"/>
      <c r="B580" s="256"/>
      <c r="C580" s="256"/>
      <c r="D580" s="256"/>
      <c r="E580" s="256"/>
      <c r="F580" s="256"/>
      <c r="G580" s="256"/>
      <c r="H580" s="256"/>
      <c r="I580" s="256"/>
      <c r="J580" s="256"/>
      <c r="K580" s="256"/>
      <c r="L580" s="256"/>
      <c r="M580" s="256"/>
      <c r="N580" s="256"/>
      <c r="O580" s="256"/>
      <c r="P580" s="256"/>
      <c r="Q580" s="256"/>
      <c r="R580" s="256"/>
      <c r="S580" s="221"/>
      <c r="T580" s="221"/>
      <c r="U580" s="221"/>
      <c r="V580" s="221"/>
      <c r="W580" s="221"/>
      <c r="X580" s="221"/>
      <c r="Y580" s="221"/>
      <c r="Z580" s="221"/>
    </row>
    <row r="581" customFormat="false" ht="12" hidden="false" customHeight="true" outlineLevel="0" collapsed="false">
      <c r="A581" s="256"/>
      <c r="B581" s="256"/>
      <c r="C581" s="256"/>
      <c r="D581" s="256"/>
      <c r="E581" s="256"/>
      <c r="F581" s="256"/>
      <c r="G581" s="256"/>
      <c r="H581" s="256"/>
      <c r="I581" s="256"/>
      <c r="J581" s="256"/>
      <c r="K581" s="256"/>
      <c r="L581" s="256"/>
      <c r="M581" s="256"/>
      <c r="N581" s="256"/>
      <c r="O581" s="256"/>
      <c r="P581" s="256"/>
      <c r="Q581" s="256"/>
      <c r="R581" s="256"/>
      <c r="S581" s="221"/>
      <c r="T581" s="221"/>
      <c r="U581" s="221"/>
      <c r="V581" s="221"/>
      <c r="W581" s="221"/>
      <c r="X581" s="221"/>
      <c r="Y581" s="221"/>
      <c r="Z581" s="221"/>
    </row>
    <row r="582" customFormat="false" ht="12" hidden="false" customHeight="true" outlineLevel="0" collapsed="false">
      <c r="A582" s="256"/>
      <c r="B582" s="256"/>
      <c r="C582" s="256"/>
      <c r="D582" s="256"/>
      <c r="E582" s="256"/>
      <c r="F582" s="256"/>
      <c r="G582" s="256"/>
      <c r="H582" s="256"/>
      <c r="I582" s="256"/>
      <c r="J582" s="256"/>
      <c r="K582" s="256"/>
      <c r="L582" s="256"/>
      <c r="M582" s="256"/>
      <c r="N582" s="256"/>
      <c r="O582" s="256"/>
      <c r="P582" s="256"/>
      <c r="Q582" s="256"/>
      <c r="R582" s="256"/>
      <c r="S582" s="221"/>
      <c r="T582" s="221"/>
      <c r="U582" s="221"/>
      <c r="V582" s="221"/>
      <c r="W582" s="221"/>
      <c r="X582" s="221"/>
      <c r="Y582" s="221"/>
      <c r="Z582" s="221"/>
    </row>
    <row r="583" customFormat="false" ht="12" hidden="false" customHeight="true" outlineLevel="0" collapsed="false">
      <c r="A583" s="256"/>
      <c r="B583" s="256"/>
      <c r="C583" s="256"/>
      <c r="D583" s="256"/>
      <c r="E583" s="256"/>
      <c r="F583" s="256"/>
      <c r="G583" s="256"/>
      <c r="H583" s="256"/>
      <c r="I583" s="256"/>
      <c r="J583" s="256"/>
      <c r="K583" s="256"/>
      <c r="L583" s="256"/>
      <c r="M583" s="256"/>
      <c r="N583" s="256"/>
      <c r="O583" s="256"/>
      <c r="P583" s="256"/>
      <c r="Q583" s="256"/>
      <c r="R583" s="256"/>
      <c r="S583" s="221"/>
      <c r="T583" s="221"/>
      <c r="U583" s="221"/>
      <c r="V583" s="221"/>
      <c r="W583" s="221"/>
      <c r="X583" s="221"/>
      <c r="Y583" s="221"/>
      <c r="Z583" s="221"/>
    </row>
    <row r="584" customFormat="false" ht="12" hidden="false" customHeight="true" outlineLevel="0" collapsed="false">
      <c r="A584" s="256"/>
      <c r="B584" s="256"/>
      <c r="C584" s="256"/>
      <c r="D584" s="256"/>
      <c r="E584" s="256"/>
      <c r="F584" s="256"/>
      <c r="G584" s="256"/>
      <c r="H584" s="256"/>
      <c r="I584" s="256"/>
      <c r="J584" s="256"/>
      <c r="K584" s="256"/>
      <c r="L584" s="256"/>
      <c r="M584" s="256"/>
      <c r="N584" s="256"/>
      <c r="O584" s="256"/>
      <c r="P584" s="256"/>
      <c r="Q584" s="256"/>
      <c r="R584" s="256"/>
      <c r="S584" s="221"/>
      <c r="T584" s="221"/>
      <c r="U584" s="221"/>
      <c r="V584" s="221"/>
      <c r="W584" s="221"/>
      <c r="X584" s="221"/>
      <c r="Y584" s="221"/>
      <c r="Z584" s="221"/>
    </row>
    <row r="585" customFormat="false" ht="12" hidden="false" customHeight="true" outlineLevel="0" collapsed="false">
      <c r="A585" s="256"/>
      <c r="B585" s="256"/>
      <c r="C585" s="256"/>
      <c r="D585" s="256"/>
      <c r="E585" s="256"/>
      <c r="F585" s="256"/>
      <c r="G585" s="256"/>
      <c r="H585" s="256"/>
      <c r="I585" s="256"/>
      <c r="J585" s="256"/>
      <c r="K585" s="256"/>
      <c r="L585" s="256"/>
      <c r="M585" s="256"/>
      <c r="N585" s="256"/>
      <c r="O585" s="256"/>
      <c r="P585" s="256"/>
      <c r="Q585" s="256"/>
      <c r="R585" s="256"/>
      <c r="S585" s="221"/>
      <c r="T585" s="221"/>
      <c r="U585" s="221"/>
      <c r="V585" s="221"/>
      <c r="W585" s="221"/>
      <c r="X585" s="221"/>
      <c r="Y585" s="221"/>
      <c r="Z585" s="221"/>
    </row>
    <row r="586" customFormat="false" ht="12" hidden="false" customHeight="true" outlineLevel="0" collapsed="false">
      <c r="A586" s="256"/>
      <c r="B586" s="256"/>
      <c r="C586" s="256"/>
      <c r="D586" s="256"/>
      <c r="E586" s="256"/>
      <c r="F586" s="256"/>
      <c r="G586" s="256"/>
      <c r="H586" s="256"/>
      <c r="I586" s="256"/>
      <c r="J586" s="256"/>
      <c r="K586" s="256"/>
      <c r="L586" s="256"/>
      <c r="M586" s="256"/>
      <c r="N586" s="256"/>
      <c r="O586" s="256"/>
      <c r="P586" s="256"/>
      <c r="Q586" s="256"/>
      <c r="R586" s="256"/>
      <c r="S586" s="221"/>
      <c r="T586" s="221"/>
      <c r="U586" s="221"/>
      <c r="V586" s="221"/>
      <c r="W586" s="221"/>
      <c r="X586" s="221"/>
      <c r="Y586" s="221"/>
      <c r="Z586" s="221"/>
    </row>
    <row r="587" customFormat="false" ht="12" hidden="false" customHeight="true" outlineLevel="0" collapsed="false">
      <c r="A587" s="256"/>
      <c r="B587" s="256"/>
      <c r="C587" s="256"/>
      <c r="D587" s="256"/>
      <c r="E587" s="256"/>
      <c r="F587" s="256"/>
      <c r="G587" s="256"/>
      <c r="H587" s="256"/>
      <c r="I587" s="256"/>
      <c r="J587" s="256"/>
      <c r="K587" s="256"/>
      <c r="L587" s="256"/>
      <c r="M587" s="256"/>
      <c r="N587" s="256"/>
      <c r="O587" s="256"/>
      <c r="P587" s="256"/>
      <c r="Q587" s="256"/>
      <c r="R587" s="256"/>
      <c r="S587" s="221"/>
      <c r="T587" s="221"/>
      <c r="U587" s="221"/>
      <c r="V587" s="221"/>
      <c r="W587" s="221"/>
      <c r="X587" s="221"/>
      <c r="Y587" s="221"/>
      <c r="Z587" s="221"/>
    </row>
    <row r="588" customFormat="false" ht="12" hidden="false" customHeight="true" outlineLevel="0" collapsed="false">
      <c r="A588" s="256"/>
      <c r="B588" s="256"/>
      <c r="C588" s="256"/>
      <c r="D588" s="256"/>
      <c r="E588" s="256"/>
      <c r="F588" s="256"/>
      <c r="G588" s="256"/>
      <c r="H588" s="256"/>
      <c r="I588" s="256"/>
      <c r="J588" s="256"/>
      <c r="K588" s="256"/>
      <c r="L588" s="256"/>
      <c r="M588" s="256"/>
      <c r="N588" s="256"/>
      <c r="O588" s="256"/>
      <c r="P588" s="256"/>
      <c r="Q588" s="256"/>
      <c r="R588" s="256"/>
      <c r="S588" s="221"/>
      <c r="T588" s="221"/>
      <c r="U588" s="221"/>
      <c r="V588" s="221"/>
      <c r="W588" s="221"/>
      <c r="X588" s="221"/>
      <c r="Y588" s="221"/>
      <c r="Z588" s="221"/>
    </row>
    <row r="589" customFormat="false" ht="12" hidden="false" customHeight="true" outlineLevel="0" collapsed="false">
      <c r="A589" s="256"/>
      <c r="B589" s="256"/>
      <c r="C589" s="256"/>
      <c r="D589" s="256"/>
      <c r="E589" s="256"/>
      <c r="F589" s="256"/>
      <c r="G589" s="256"/>
      <c r="H589" s="256"/>
      <c r="I589" s="256"/>
      <c r="J589" s="256"/>
      <c r="K589" s="256"/>
      <c r="L589" s="256"/>
      <c r="M589" s="256"/>
      <c r="N589" s="256"/>
      <c r="O589" s="256"/>
      <c r="P589" s="256"/>
      <c r="Q589" s="256"/>
      <c r="R589" s="256"/>
      <c r="S589" s="221"/>
      <c r="T589" s="221"/>
      <c r="U589" s="221"/>
      <c r="V589" s="221"/>
      <c r="W589" s="221"/>
      <c r="X589" s="221"/>
      <c r="Y589" s="221"/>
      <c r="Z589" s="221"/>
    </row>
    <row r="590" customFormat="false" ht="12" hidden="false" customHeight="true" outlineLevel="0" collapsed="false">
      <c r="A590" s="256"/>
      <c r="B590" s="256"/>
      <c r="C590" s="256"/>
      <c r="D590" s="256"/>
      <c r="E590" s="256"/>
      <c r="F590" s="256"/>
      <c r="G590" s="256"/>
      <c r="H590" s="256"/>
      <c r="I590" s="256"/>
      <c r="J590" s="256"/>
      <c r="K590" s="256"/>
      <c r="L590" s="256"/>
      <c r="M590" s="256"/>
      <c r="N590" s="256"/>
      <c r="O590" s="256"/>
      <c r="P590" s="256"/>
      <c r="Q590" s="256"/>
      <c r="R590" s="256"/>
      <c r="S590" s="221"/>
      <c r="T590" s="221"/>
      <c r="U590" s="221"/>
      <c r="V590" s="221"/>
      <c r="W590" s="221"/>
      <c r="X590" s="221"/>
      <c r="Y590" s="221"/>
      <c r="Z590" s="221"/>
    </row>
    <row r="591" customFormat="false" ht="12" hidden="false" customHeight="true" outlineLevel="0" collapsed="false">
      <c r="A591" s="256"/>
      <c r="B591" s="256"/>
      <c r="C591" s="256"/>
      <c r="D591" s="256"/>
      <c r="E591" s="256"/>
      <c r="F591" s="256"/>
      <c r="G591" s="256"/>
      <c r="H591" s="256"/>
      <c r="I591" s="256"/>
      <c r="J591" s="256"/>
      <c r="K591" s="256"/>
      <c r="L591" s="256"/>
      <c r="M591" s="256"/>
      <c r="N591" s="256"/>
      <c r="O591" s="256"/>
      <c r="P591" s="256"/>
      <c r="Q591" s="256"/>
      <c r="R591" s="256"/>
      <c r="S591" s="221"/>
      <c r="T591" s="221"/>
      <c r="U591" s="221"/>
      <c r="V591" s="221"/>
      <c r="W591" s="221"/>
      <c r="X591" s="221"/>
      <c r="Y591" s="221"/>
      <c r="Z591" s="221"/>
    </row>
    <row r="592" customFormat="false" ht="12" hidden="false" customHeight="true" outlineLevel="0" collapsed="false">
      <c r="A592" s="256"/>
      <c r="B592" s="256"/>
      <c r="C592" s="256"/>
      <c r="D592" s="256"/>
      <c r="E592" s="256"/>
      <c r="F592" s="256"/>
      <c r="G592" s="256"/>
      <c r="H592" s="256"/>
      <c r="I592" s="256"/>
      <c r="J592" s="256"/>
      <c r="K592" s="256"/>
      <c r="L592" s="256"/>
      <c r="M592" s="256"/>
      <c r="N592" s="256"/>
      <c r="O592" s="256"/>
      <c r="P592" s="256"/>
      <c r="Q592" s="256"/>
      <c r="R592" s="256"/>
      <c r="S592" s="221"/>
      <c r="T592" s="221"/>
      <c r="U592" s="221"/>
      <c r="V592" s="221"/>
      <c r="W592" s="221"/>
      <c r="X592" s="221"/>
      <c r="Y592" s="221"/>
      <c r="Z592" s="221"/>
    </row>
    <row r="593" customFormat="false" ht="12" hidden="false" customHeight="true" outlineLevel="0" collapsed="false">
      <c r="A593" s="256"/>
      <c r="B593" s="256"/>
      <c r="C593" s="256"/>
      <c r="D593" s="256"/>
      <c r="E593" s="256"/>
      <c r="F593" s="256"/>
      <c r="G593" s="256"/>
      <c r="H593" s="256"/>
      <c r="I593" s="256"/>
      <c r="J593" s="256"/>
      <c r="K593" s="256"/>
      <c r="L593" s="256"/>
      <c r="M593" s="256"/>
      <c r="N593" s="256"/>
      <c r="O593" s="256"/>
      <c r="P593" s="256"/>
      <c r="Q593" s="256"/>
      <c r="R593" s="256"/>
      <c r="S593" s="221"/>
      <c r="T593" s="221"/>
      <c r="U593" s="221"/>
      <c r="V593" s="221"/>
      <c r="W593" s="221"/>
      <c r="X593" s="221"/>
      <c r="Y593" s="221"/>
      <c r="Z593" s="221"/>
    </row>
    <row r="594" customFormat="false" ht="12" hidden="false" customHeight="true" outlineLevel="0" collapsed="false">
      <c r="A594" s="256"/>
      <c r="B594" s="256"/>
      <c r="C594" s="256"/>
      <c r="D594" s="256"/>
      <c r="E594" s="256"/>
      <c r="F594" s="256"/>
      <c r="G594" s="256"/>
      <c r="H594" s="256"/>
      <c r="I594" s="256"/>
      <c r="J594" s="256"/>
      <c r="K594" s="256"/>
      <c r="L594" s="256"/>
      <c r="M594" s="256"/>
      <c r="N594" s="256"/>
      <c r="O594" s="256"/>
      <c r="P594" s="256"/>
      <c r="Q594" s="256"/>
      <c r="R594" s="256"/>
      <c r="S594" s="221"/>
      <c r="T594" s="221"/>
      <c r="U594" s="221"/>
      <c r="V594" s="221"/>
      <c r="W594" s="221"/>
      <c r="X594" s="221"/>
      <c r="Y594" s="221"/>
      <c r="Z594" s="221"/>
    </row>
    <row r="595" customFormat="false" ht="12" hidden="false" customHeight="true" outlineLevel="0" collapsed="false">
      <c r="A595" s="256"/>
      <c r="B595" s="256"/>
      <c r="C595" s="256"/>
      <c r="D595" s="256"/>
      <c r="E595" s="256"/>
      <c r="F595" s="256"/>
      <c r="G595" s="256"/>
      <c r="H595" s="256"/>
      <c r="I595" s="256"/>
      <c r="J595" s="256"/>
      <c r="K595" s="256"/>
      <c r="L595" s="256"/>
      <c r="M595" s="256"/>
      <c r="N595" s="256"/>
      <c r="O595" s="256"/>
      <c r="P595" s="256"/>
      <c r="Q595" s="256"/>
      <c r="R595" s="256"/>
      <c r="S595" s="221"/>
      <c r="T595" s="221"/>
      <c r="U595" s="221"/>
      <c r="V595" s="221"/>
      <c r="W595" s="221"/>
      <c r="X595" s="221"/>
      <c r="Y595" s="221"/>
      <c r="Z595" s="221"/>
    </row>
    <row r="596" customFormat="false" ht="12" hidden="false" customHeight="true" outlineLevel="0" collapsed="false">
      <c r="A596" s="256"/>
      <c r="B596" s="256"/>
      <c r="C596" s="256"/>
      <c r="D596" s="256"/>
      <c r="E596" s="256"/>
      <c r="F596" s="256"/>
      <c r="G596" s="256"/>
      <c r="H596" s="256"/>
      <c r="I596" s="256"/>
      <c r="J596" s="256"/>
      <c r="K596" s="256"/>
      <c r="L596" s="256"/>
      <c r="M596" s="256"/>
      <c r="N596" s="256"/>
      <c r="O596" s="256"/>
      <c r="P596" s="256"/>
      <c r="Q596" s="256"/>
      <c r="R596" s="256"/>
      <c r="S596" s="221"/>
      <c r="T596" s="221"/>
      <c r="U596" s="221"/>
      <c r="V596" s="221"/>
      <c r="W596" s="221"/>
      <c r="X596" s="221"/>
      <c r="Y596" s="221"/>
      <c r="Z596" s="221"/>
    </row>
    <row r="597" customFormat="false" ht="12" hidden="false" customHeight="true" outlineLevel="0" collapsed="false">
      <c r="A597" s="256"/>
      <c r="B597" s="256"/>
      <c r="C597" s="256"/>
      <c r="D597" s="256"/>
      <c r="E597" s="256"/>
      <c r="F597" s="256"/>
      <c r="G597" s="256"/>
      <c r="H597" s="256"/>
      <c r="I597" s="256"/>
      <c r="J597" s="256"/>
      <c r="K597" s="256"/>
      <c r="L597" s="256"/>
      <c r="M597" s="256"/>
      <c r="N597" s="256"/>
      <c r="O597" s="256"/>
      <c r="P597" s="256"/>
      <c r="Q597" s="256"/>
      <c r="R597" s="256"/>
      <c r="S597" s="221"/>
      <c r="T597" s="221"/>
      <c r="U597" s="221"/>
      <c r="V597" s="221"/>
      <c r="W597" s="221"/>
      <c r="X597" s="221"/>
      <c r="Y597" s="221"/>
      <c r="Z597" s="221"/>
    </row>
    <row r="598" customFormat="false" ht="12" hidden="false" customHeight="true" outlineLevel="0" collapsed="false">
      <c r="A598" s="256"/>
      <c r="B598" s="256"/>
      <c r="C598" s="256"/>
      <c r="D598" s="256"/>
      <c r="E598" s="256"/>
      <c r="F598" s="256"/>
      <c r="G598" s="256"/>
      <c r="H598" s="256"/>
      <c r="I598" s="256"/>
      <c r="J598" s="256"/>
      <c r="K598" s="256"/>
      <c r="L598" s="256"/>
      <c r="M598" s="256"/>
      <c r="N598" s="256"/>
      <c r="O598" s="256"/>
      <c r="P598" s="256"/>
      <c r="Q598" s="256"/>
      <c r="R598" s="256"/>
      <c r="S598" s="221"/>
      <c r="T598" s="221"/>
      <c r="U598" s="221"/>
      <c r="V598" s="221"/>
      <c r="W598" s="221"/>
      <c r="X598" s="221"/>
      <c r="Y598" s="221"/>
      <c r="Z598" s="221"/>
    </row>
    <row r="599" customFormat="false" ht="12" hidden="false" customHeight="true" outlineLevel="0" collapsed="false">
      <c r="A599" s="256"/>
      <c r="B599" s="256"/>
      <c r="C599" s="256"/>
      <c r="D599" s="256"/>
      <c r="E599" s="256"/>
      <c r="F599" s="256"/>
      <c r="G599" s="256"/>
      <c r="H599" s="256"/>
      <c r="I599" s="256"/>
      <c r="J599" s="256"/>
      <c r="K599" s="256"/>
      <c r="L599" s="256"/>
      <c r="M599" s="256"/>
      <c r="N599" s="256"/>
      <c r="O599" s="256"/>
      <c r="P599" s="256"/>
      <c r="Q599" s="256"/>
      <c r="R599" s="256"/>
      <c r="S599" s="221"/>
      <c r="T599" s="221"/>
      <c r="U599" s="221"/>
      <c r="V599" s="221"/>
      <c r="W599" s="221"/>
      <c r="X599" s="221"/>
      <c r="Y599" s="221"/>
      <c r="Z599" s="221"/>
    </row>
    <row r="600" customFormat="false" ht="12" hidden="false" customHeight="true" outlineLevel="0" collapsed="false">
      <c r="A600" s="256"/>
      <c r="B600" s="256"/>
      <c r="C600" s="256"/>
      <c r="D600" s="256"/>
      <c r="E600" s="256"/>
      <c r="F600" s="256"/>
      <c r="G600" s="256"/>
      <c r="H600" s="256"/>
      <c r="I600" s="256"/>
      <c r="J600" s="256"/>
      <c r="K600" s="256"/>
      <c r="L600" s="256"/>
      <c r="M600" s="256"/>
      <c r="N600" s="256"/>
      <c r="O600" s="256"/>
      <c r="P600" s="256"/>
      <c r="Q600" s="256"/>
      <c r="R600" s="256"/>
      <c r="S600" s="221"/>
      <c r="T600" s="221"/>
      <c r="U600" s="221"/>
      <c r="V600" s="221"/>
      <c r="W600" s="221"/>
      <c r="X600" s="221"/>
      <c r="Y600" s="221"/>
      <c r="Z600" s="221"/>
    </row>
    <row r="601" customFormat="false" ht="12" hidden="false" customHeight="true" outlineLevel="0" collapsed="false">
      <c r="A601" s="256"/>
      <c r="B601" s="256"/>
      <c r="C601" s="256"/>
      <c r="D601" s="256"/>
      <c r="E601" s="256"/>
      <c r="F601" s="256"/>
      <c r="G601" s="256"/>
      <c r="H601" s="256"/>
      <c r="I601" s="256"/>
      <c r="J601" s="256"/>
      <c r="K601" s="256"/>
      <c r="L601" s="256"/>
      <c r="M601" s="256"/>
      <c r="N601" s="256"/>
      <c r="O601" s="256"/>
      <c r="P601" s="256"/>
      <c r="Q601" s="256"/>
      <c r="R601" s="256"/>
      <c r="S601" s="221"/>
      <c r="T601" s="221"/>
      <c r="U601" s="221"/>
      <c r="V601" s="221"/>
      <c r="W601" s="221"/>
      <c r="X601" s="221"/>
      <c r="Y601" s="221"/>
      <c r="Z601" s="221"/>
    </row>
    <row r="602" customFormat="false" ht="12" hidden="false" customHeight="true" outlineLevel="0" collapsed="false">
      <c r="A602" s="256"/>
      <c r="B602" s="256"/>
      <c r="C602" s="256"/>
      <c r="D602" s="256"/>
      <c r="E602" s="256"/>
      <c r="F602" s="256"/>
      <c r="G602" s="256"/>
      <c r="H602" s="256"/>
      <c r="I602" s="256"/>
      <c r="J602" s="256"/>
      <c r="K602" s="256"/>
      <c r="L602" s="256"/>
      <c r="M602" s="256"/>
      <c r="N602" s="256"/>
      <c r="O602" s="256"/>
      <c r="P602" s="256"/>
      <c r="Q602" s="256"/>
      <c r="R602" s="256"/>
      <c r="S602" s="221"/>
      <c r="T602" s="221"/>
      <c r="U602" s="221"/>
      <c r="V602" s="221"/>
      <c r="W602" s="221"/>
      <c r="X602" s="221"/>
      <c r="Y602" s="221"/>
      <c r="Z602" s="221"/>
    </row>
    <row r="603" customFormat="false" ht="12" hidden="false" customHeight="true" outlineLevel="0" collapsed="false">
      <c r="A603" s="256"/>
      <c r="B603" s="256"/>
      <c r="C603" s="256"/>
      <c r="D603" s="256"/>
      <c r="E603" s="256"/>
      <c r="F603" s="256"/>
      <c r="G603" s="256"/>
      <c r="H603" s="256"/>
      <c r="I603" s="256"/>
      <c r="J603" s="256"/>
      <c r="K603" s="256"/>
      <c r="L603" s="256"/>
      <c r="M603" s="256"/>
      <c r="N603" s="256"/>
      <c r="O603" s="256"/>
      <c r="P603" s="256"/>
      <c r="Q603" s="256"/>
      <c r="R603" s="256"/>
      <c r="S603" s="221"/>
      <c r="T603" s="221"/>
      <c r="U603" s="221"/>
      <c r="V603" s="221"/>
      <c r="W603" s="221"/>
      <c r="X603" s="221"/>
      <c r="Y603" s="221"/>
      <c r="Z603" s="221"/>
    </row>
    <row r="604" customFormat="false" ht="12" hidden="false" customHeight="true" outlineLevel="0" collapsed="false">
      <c r="A604" s="256"/>
      <c r="B604" s="256"/>
      <c r="C604" s="256"/>
      <c r="D604" s="256"/>
      <c r="E604" s="256"/>
      <c r="F604" s="256"/>
      <c r="G604" s="256"/>
      <c r="H604" s="256"/>
      <c r="I604" s="256"/>
      <c r="J604" s="256"/>
      <c r="K604" s="256"/>
      <c r="L604" s="256"/>
      <c r="M604" s="256"/>
      <c r="N604" s="256"/>
      <c r="O604" s="256"/>
      <c r="P604" s="256"/>
      <c r="Q604" s="256"/>
      <c r="R604" s="256"/>
      <c r="S604" s="221"/>
      <c r="T604" s="221"/>
      <c r="U604" s="221"/>
      <c r="V604" s="221"/>
      <c r="W604" s="221"/>
      <c r="X604" s="221"/>
      <c r="Y604" s="221"/>
      <c r="Z604" s="221"/>
    </row>
    <row r="605" customFormat="false" ht="12" hidden="false" customHeight="true" outlineLevel="0" collapsed="false">
      <c r="A605" s="256"/>
      <c r="B605" s="256"/>
      <c r="C605" s="256"/>
      <c r="D605" s="256"/>
      <c r="E605" s="256"/>
      <c r="F605" s="256"/>
      <c r="G605" s="256"/>
      <c r="H605" s="256"/>
      <c r="I605" s="256"/>
      <c r="J605" s="256"/>
      <c r="K605" s="256"/>
      <c r="L605" s="256"/>
      <c r="M605" s="256"/>
      <c r="N605" s="256"/>
      <c r="O605" s="256"/>
      <c r="P605" s="256"/>
      <c r="Q605" s="256"/>
      <c r="R605" s="256"/>
      <c r="S605" s="221"/>
      <c r="T605" s="221"/>
      <c r="U605" s="221"/>
      <c r="V605" s="221"/>
      <c r="W605" s="221"/>
      <c r="X605" s="221"/>
      <c r="Y605" s="221"/>
      <c r="Z605" s="221"/>
    </row>
    <row r="606" customFormat="false" ht="12" hidden="false" customHeight="true" outlineLevel="0" collapsed="false">
      <c r="A606" s="256"/>
      <c r="B606" s="256"/>
      <c r="C606" s="256"/>
      <c r="D606" s="256"/>
      <c r="E606" s="256"/>
      <c r="F606" s="256"/>
      <c r="G606" s="256"/>
      <c r="H606" s="256"/>
      <c r="I606" s="256"/>
      <c r="J606" s="256"/>
      <c r="K606" s="256"/>
      <c r="L606" s="256"/>
      <c r="M606" s="256"/>
      <c r="N606" s="256"/>
      <c r="O606" s="256"/>
      <c r="P606" s="256"/>
      <c r="Q606" s="256"/>
      <c r="R606" s="256"/>
      <c r="S606" s="221"/>
      <c r="T606" s="221"/>
      <c r="U606" s="221"/>
      <c r="V606" s="221"/>
      <c r="W606" s="221"/>
      <c r="X606" s="221"/>
      <c r="Y606" s="221"/>
      <c r="Z606" s="221"/>
    </row>
    <row r="607" customFormat="false" ht="12" hidden="false" customHeight="true" outlineLevel="0" collapsed="false">
      <c r="A607" s="256"/>
      <c r="B607" s="256"/>
      <c r="C607" s="256"/>
      <c r="D607" s="256"/>
      <c r="E607" s="256"/>
      <c r="F607" s="256"/>
      <c r="G607" s="256"/>
      <c r="H607" s="256"/>
      <c r="I607" s="256"/>
      <c r="J607" s="256"/>
      <c r="K607" s="256"/>
      <c r="L607" s="256"/>
      <c r="M607" s="256"/>
      <c r="N607" s="256"/>
      <c r="O607" s="256"/>
      <c r="P607" s="256"/>
      <c r="Q607" s="256"/>
      <c r="R607" s="256"/>
      <c r="S607" s="221"/>
      <c r="T607" s="221"/>
      <c r="U607" s="221"/>
      <c r="V607" s="221"/>
      <c r="W607" s="221"/>
      <c r="X607" s="221"/>
      <c r="Y607" s="221"/>
      <c r="Z607" s="221"/>
    </row>
    <row r="608" customFormat="false" ht="12" hidden="false" customHeight="true" outlineLevel="0" collapsed="false">
      <c r="A608" s="256"/>
      <c r="B608" s="256"/>
      <c r="C608" s="256"/>
      <c r="D608" s="256"/>
      <c r="E608" s="256"/>
      <c r="F608" s="256"/>
      <c r="G608" s="256"/>
      <c r="H608" s="256"/>
      <c r="I608" s="256"/>
      <c r="J608" s="256"/>
      <c r="K608" s="256"/>
      <c r="L608" s="256"/>
      <c r="M608" s="256"/>
      <c r="N608" s="256"/>
      <c r="O608" s="256"/>
      <c r="P608" s="256"/>
      <c r="Q608" s="256"/>
      <c r="R608" s="256"/>
      <c r="S608" s="221"/>
      <c r="T608" s="221"/>
      <c r="U608" s="221"/>
      <c r="V608" s="221"/>
      <c r="W608" s="221"/>
      <c r="X608" s="221"/>
      <c r="Y608" s="221"/>
      <c r="Z608" s="221"/>
    </row>
    <row r="609" customFormat="false" ht="12" hidden="false" customHeight="true" outlineLevel="0" collapsed="false">
      <c r="A609" s="256"/>
      <c r="B609" s="256"/>
      <c r="C609" s="256"/>
      <c r="D609" s="256"/>
      <c r="E609" s="256"/>
      <c r="F609" s="256"/>
      <c r="G609" s="256"/>
      <c r="H609" s="256"/>
      <c r="I609" s="256"/>
      <c r="J609" s="256"/>
      <c r="K609" s="256"/>
      <c r="L609" s="256"/>
      <c r="M609" s="256"/>
      <c r="N609" s="256"/>
      <c r="O609" s="256"/>
      <c r="P609" s="256"/>
      <c r="Q609" s="256"/>
      <c r="R609" s="256"/>
      <c r="S609" s="221"/>
      <c r="T609" s="221"/>
      <c r="U609" s="221"/>
      <c r="V609" s="221"/>
      <c r="W609" s="221"/>
      <c r="X609" s="221"/>
      <c r="Y609" s="221"/>
      <c r="Z609" s="221"/>
    </row>
    <row r="610" customFormat="false" ht="12" hidden="false" customHeight="true" outlineLevel="0" collapsed="false">
      <c r="A610" s="256"/>
      <c r="B610" s="256"/>
      <c r="C610" s="256"/>
      <c r="D610" s="256"/>
      <c r="E610" s="256"/>
      <c r="F610" s="256"/>
      <c r="G610" s="256"/>
      <c r="H610" s="256"/>
      <c r="I610" s="256"/>
      <c r="J610" s="256"/>
      <c r="K610" s="256"/>
      <c r="L610" s="256"/>
      <c r="M610" s="256"/>
      <c r="N610" s="256"/>
      <c r="O610" s="256"/>
      <c r="P610" s="256"/>
      <c r="Q610" s="256"/>
      <c r="R610" s="256"/>
      <c r="S610" s="221"/>
      <c r="T610" s="221"/>
      <c r="U610" s="221"/>
      <c r="V610" s="221"/>
      <c r="W610" s="221"/>
      <c r="X610" s="221"/>
      <c r="Y610" s="221"/>
      <c r="Z610" s="221"/>
    </row>
    <row r="611" customFormat="false" ht="12" hidden="false" customHeight="true" outlineLevel="0" collapsed="false">
      <c r="A611" s="256"/>
      <c r="B611" s="256"/>
      <c r="C611" s="256"/>
      <c r="D611" s="256"/>
      <c r="E611" s="256"/>
      <c r="F611" s="256"/>
      <c r="G611" s="256"/>
      <c r="H611" s="256"/>
      <c r="I611" s="256"/>
      <c r="J611" s="256"/>
      <c r="K611" s="256"/>
      <c r="L611" s="256"/>
      <c r="M611" s="256"/>
      <c r="N611" s="256"/>
      <c r="O611" s="256"/>
      <c r="P611" s="256"/>
      <c r="Q611" s="256"/>
      <c r="R611" s="256"/>
      <c r="S611" s="221"/>
      <c r="T611" s="221"/>
      <c r="U611" s="221"/>
      <c r="V611" s="221"/>
      <c r="W611" s="221"/>
      <c r="X611" s="221"/>
      <c r="Y611" s="221"/>
      <c r="Z611" s="221"/>
    </row>
    <row r="612" customFormat="false" ht="12" hidden="false" customHeight="true" outlineLevel="0" collapsed="false">
      <c r="A612" s="256"/>
      <c r="B612" s="256"/>
      <c r="C612" s="256"/>
      <c r="D612" s="256"/>
      <c r="E612" s="256"/>
      <c r="F612" s="256"/>
      <c r="G612" s="256"/>
      <c r="H612" s="256"/>
      <c r="I612" s="256"/>
      <c r="J612" s="256"/>
      <c r="K612" s="256"/>
      <c r="L612" s="256"/>
      <c r="M612" s="256"/>
      <c r="N612" s="256"/>
      <c r="O612" s="256"/>
      <c r="P612" s="256"/>
      <c r="Q612" s="256"/>
      <c r="R612" s="256"/>
      <c r="S612" s="221"/>
      <c r="T612" s="221"/>
      <c r="U612" s="221"/>
      <c r="V612" s="221"/>
      <c r="W612" s="221"/>
      <c r="X612" s="221"/>
      <c r="Y612" s="221"/>
      <c r="Z612" s="221"/>
    </row>
    <row r="613" customFormat="false" ht="12" hidden="false" customHeight="true" outlineLevel="0" collapsed="false">
      <c r="A613" s="256"/>
      <c r="B613" s="256"/>
      <c r="C613" s="256"/>
      <c r="D613" s="256"/>
      <c r="E613" s="256"/>
      <c r="F613" s="256"/>
      <c r="G613" s="256"/>
      <c r="H613" s="256"/>
      <c r="I613" s="256"/>
      <c r="J613" s="256"/>
      <c r="K613" s="256"/>
      <c r="L613" s="256"/>
      <c r="M613" s="256"/>
      <c r="N613" s="256"/>
      <c r="O613" s="256"/>
      <c r="P613" s="256"/>
      <c r="Q613" s="256"/>
      <c r="R613" s="256"/>
      <c r="S613" s="221"/>
      <c r="T613" s="221"/>
      <c r="U613" s="221"/>
      <c r="V613" s="221"/>
      <c r="W613" s="221"/>
      <c r="X613" s="221"/>
      <c r="Y613" s="221"/>
      <c r="Z613" s="221"/>
    </row>
    <row r="614" customFormat="false" ht="12" hidden="false" customHeight="true" outlineLevel="0" collapsed="false">
      <c r="A614" s="256"/>
      <c r="B614" s="256"/>
      <c r="C614" s="256"/>
      <c r="D614" s="256"/>
      <c r="E614" s="256"/>
      <c r="F614" s="256"/>
      <c r="G614" s="256"/>
      <c r="H614" s="256"/>
      <c r="I614" s="256"/>
      <c r="J614" s="256"/>
      <c r="K614" s="256"/>
      <c r="L614" s="256"/>
      <c r="M614" s="256"/>
      <c r="N614" s="256"/>
      <c r="O614" s="256"/>
      <c r="P614" s="256"/>
      <c r="Q614" s="256"/>
      <c r="R614" s="256"/>
      <c r="S614" s="221"/>
      <c r="T614" s="221"/>
      <c r="U614" s="221"/>
      <c r="V614" s="221"/>
      <c r="W614" s="221"/>
      <c r="X614" s="221"/>
      <c r="Y614" s="221"/>
      <c r="Z614" s="221"/>
    </row>
    <row r="615" customFormat="false" ht="12" hidden="false" customHeight="true" outlineLevel="0" collapsed="false">
      <c r="A615" s="256"/>
      <c r="B615" s="256"/>
      <c r="C615" s="256"/>
      <c r="D615" s="256"/>
      <c r="E615" s="256"/>
      <c r="F615" s="256"/>
      <c r="G615" s="256"/>
      <c r="H615" s="256"/>
      <c r="I615" s="256"/>
      <c r="J615" s="256"/>
      <c r="K615" s="256"/>
      <c r="L615" s="256"/>
      <c r="M615" s="256"/>
      <c r="N615" s="256"/>
      <c r="O615" s="256"/>
      <c r="P615" s="256"/>
      <c r="Q615" s="256"/>
      <c r="R615" s="256"/>
      <c r="S615" s="221"/>
      <c r="T615" s="221"/>
      <c r="U615" s="221"/>
      <c r="V615" s="221"/>
      <c r="W615" s="221"/>
      <c r="X615" s="221"/>
      <c r="Y615" s="221"/>
      <c r="Z615" s="221"/>
    </row>
    <row r="616" customFormat="false" ht="12" hidden="false" customHeight="true" outlineLevel="0" collapsed="false">
      <c r="A616" s="256"/>
      <c r="B616" s="256"/>
      <c r="C616" s="256"/>
      <c r="D616" s="256"/>
      <c r="E616" s="256"/>
      <c r="F616" s="256"/>
      <c r="G616" s="256"/>
      <c r="H616" s="256"/>
      <c r="I616" s="256"/>
      <c r="J616" s="256"/>
      <c r="K616" s="256"/>
      <c r="L616" s="256"/>
      <c r="M616" s="256"/>
      <c r="N616" s="256"/>
      <c r="O616" s="256"/>
      <c r="P616" s="256"/>
      <c r="Q616" s="256"/>
      <c r="R616" s="256"/>
      <c r="S616" s="221"/>
      <c r="T616" s="221"/>
      <c r="U616" s="221"/>
      <c r="V616" s="221"/>
      <c r="W616" s="221"/>
      <c r="X616" s="221"/>
      <c r="Y616" s="221"/>
      <c r="Z616" s="221"/>
    </row>
    <row r="617" customFormat="false" ht="12" hidden="false" customHeight="true" outlineLevel="0" collapsed="false">
      <c r="A617" s="256"/>
      <c r="B617" s="256"/>
      <c r="C617" s="256"/>
      <c r="D617" s="256"/>
      <c r="E617" s="256"/>
      <c r="F617" s="256"/>
      <c r="G617" s="256"/>
      <c r="H617" s="256"/>
      <c r="I617" s="256"/>
      <c r="J617" s="256"/>
      <c r="K617" s="256"/>
      <c r="L617" s="256"/>
      <c r="M617" s="256"/>
      <c r="N617" s="256"/>
      <c r="O617" s="256"/>
      <c r="P617" s="256"/>
      <c r="Q617" s="256"/>
      <c r="R617" s="256"/>
      <c r="S617" s="221"/>
      <c r="T617" s="221"/>
      <c r="U617" s="221"/>
      <c r="V617" s="221"/>
      <c r="W617" s="221"/>
      <c r="X617" s="221"/>
      <c r="Y617" s="221"/>
      <c r="Z617" s="221"/>
    </row>
    <row r="618" customFormat="false" ht="12" hidden="false" customHeight="true" outlineLevel="0" collapsed="false">
      <c r="A618" s="256"/>
      <c r="B618" s="256"/>
      <c r="C618" s="256"/>
      <c r="D618" s="256"/>
      <c r="E618" s="256"/>
      <c r="F618" s="256"/>
      <c r="G618" s="256"/>
      <c r="H618" s="256"/>
      <c r="I618" s="256"/>
      <c r="J618" s="256"/>
      <c r="K618" s="256"/>
      <c r="L618" s="256"/>
      <c r="M618" s="256"/>
      <c r="N618" s="256"/>
      <c r="O618" s="256"/>
      <c r="P618" s="256"/>
      <c r="Q618" s="256"/>
      <c r="R618" s="256"/>
      <c r="S618" s="221"/>
      <c r="T618" s="221"/>
      <c r="U618" s="221"/>
      <c r="V618" s="221"/>
      <c r="W618" s="221"/>
      <c r="X618" s="221"/>
      <c r="Y618" s="221"/>
      <c r="Z618" s="221"/>
    </row>
    <row r="619" customFormat="false" ht="12" hidden="false" customHeight="true" outlineLevel="0" collapsed="false">
      <c r="A619" s="256"/>
      <c r="B619" s="256"/>
      <c r="C619" s="256"/>
      <c r="D619" s="256"/>
      <c r="E619" s="256"/>
      <c r="F619" s="256"/>
      <c r="G619" s="256"/>
      <c r="H619" s="256"/>
      <c r="I619" s="256"/>
      <c r="J619" s="256"/>
      <c r="K619" s="256"/>
      <c r="L619" s="256"/>
      <c r="M619" s="256"/>
      <c r="N619" s="256"/>
      <c r="O619" s="256"/>
      <c r="P619" s="256"/>
      <c r="Q619" s="256"/>
      <c r="R619" s="256"/>
      <c r="S619" s="221"/>
      <c r="T619" s="221"/>
      <c r="U619" s="221"/>
      <c r="V619" s="221"/>
      <c r="W619" s="221"/>
      <c r="X619" s="221"/>
      <c r="Y619" s="221"/>
      <c r="Z619" s="221"/>
    </row>
    <row r="620" customFormat="false" ht="12" hidden="false" customHeight="true" outlineLevel="0" collapsed="false">
      <c r="A620" s="256"/>
      <c r="B620" s="256"/>
      <c r="C620" s="256"/>
      <c r="D620" s="256"/>
      <c r="E620" s="256"/>
      <c r="F620" s="256"/>
      <c r="G620" s="256"/>
      <c r="H620" s="256"/>
      <c r="I620" s="256"/>
      <c r="J620" s="256"/>
      <c r="K620" s="256"/>
      <c r="L620" s="256"/>
      <c r="M620" s="256"/>
      <c r="N620" s="256"/>
      <c r="O620" s="256"/>
      <c r="P620" s="256"/>
      <c r="Q620" s="256"/>
      <c r="R620" s="256"/>
      <c r="S620" s="221"/>
      <c r="T620" s="221"/>
      <c r="U620" s="221"/>
      <c r="V620" s="221"/>
      <c r="W620" s="221"/>
      <c r="X620" s="221"/>
      <c r="Y620" s="221"/>
      <c r="Z620" s="221"/>
    </row>
    <row r="621" customFormat="false" ht="12" hidden="false" customHeight="true" outlineLevel="0" collapsed="false">
      <c r="A621" s="256"/>
      <c r="B621" s="256"/>
      <c r="C621" s="256"/>
      <c r="D621" s="256"/>
      <c r="E621" s="256"/>
      <c r="F621" s="256"/>
      <c r="G621" s="256"/>
      <c r="H621" s="256"/>
      <c r="I621" s="256"/>
      <c r="J621" s="256"/>
      <c r="K621" s="256"/>
      <c r="L621" s="256"/>
      <c r="M621" s="256"/>
      <c r="N621" s="256"/>
      <c r="O621" s="256"/>
      <c r="P621" s="256"/>
      <c r="Q621" s="256"/>
      <c r="R621" s="256"/>
      <c r="S621" s="221"/>
      <c r="T621" s="221"/>
      <c r="U621" s="221"/>
      <c r="V621" s="221"/>
      <c r="W621" s="221"/>
      <c r="X621" s="221"/>
      <c r="Y621" s="221"/>
      <c r="Z621" s="221"/>
    </row>
    <row r="622" customFormat="false" ht="12" hidden="false" customHeight="true" outlineLevel="0" collapsed="false">
      <c r="A622" s="256"/>
      <c r="B622" s="256"/>
      <c r="C622" s="256"/>
      <c r="D622" s="256"/>
      <c r="E622" s="256"/>
      <c r="F622" s="256"/>
      <c r="G622" s="256"/>
      <c r="H622" s="256"/>
      <c r="I622" s="256"/>
      <c r="J622" s="256"/>
      <c r="K622" s="256"/>
      <c r="L622" s="256"/>
      <c r="M622" s="256"/>
      <c r="N622" s="256"/>
      <c r="O622" s="256"/>
      <c r="P622" s="256"/>
      <c r="Q622" s="256"/>
      <c r="R622" s="256"/>
      <c r="S622" s="221"/>
      <c r="T622" s="221"/>
      <c r="U622" s="221"/>
      <c r="V622" s="221"/>
      <c r="W622" s="221"/>
      <c r="X622" s="221"/>
      <c r="Y622" s="221"/>
      <c r="Z622" s="221"/>
    </row>
    <row r="623" customFormat="false" ht="12" hidden="false" customHeight="true" outlineLevel="0" collapsed="false">
      <c r="A623" s="256"/>
      <c r="B623" s="256"/>
      <c r="C623" s="256"/>
      <c r="D623" s="256"/>
      <c r="E623" s="256"/>
      <c r="F623" s="256"/>
      <c r="G623" s="256"/>
      <c r="H623" s="256"/>
      <c r="I623" s="256"/>
      <c r="J623" s="256"/>
      <c r="K623" s="256"/>
      <c r="L623" s="256"/>
      <c r="M623" s="256"/>
      <c r="N623" s="256"/>
      <c r="O623" s="256"/>
      <c r="P623" s="256"/>
      <c r="Q623" s="256"/>
      <c r="R623" s="256"/>
      <c r="S623" s="221"/>
      <c r="T623" s="221"/>
      <c r="U623" s="221"/>
      <c r="V623" s="221"/>
      <c r="W623" s="221"/>
      <c r="X623" s="221"/>
      <c r="Y623" s="221"/>
      <c r="Z623" s="221"/>
    </row>
    <row r="624" customFormat="false" ht="12" hidden="false" customHeight="true" outlineLevel="0" collapsed="false">
      <c r="A624" s="256"/>
      <c r="B624" s="256"/>
      <c r="C624" s="256"/>
      <c r="D624" s="256"/>
      <c r="E624" s="256"/>
      <c r="F624" s="256"/>
      <c r="G624" s="256"/>
      <c r="H624" s="256"/>
      <c r="I624" s="256"/>
      <c r="J624" s="256"/>
      <c r="K624" s="256"/>
      <c r="L624" s="256"/>
      <c r="M624" s="256"/>
      <c r="N624" s="256"/>
      <c r="O624" s="256"/>
      <c r="P624" s="256"/>
      <c r="Q624" s="256"/>
      <c r="R624" s="256"/>
      <c r="S624" s="221"/>
      <c r="T624" s="221"/>
      <c r="U624" s="221"/>
      <c r="V624" s="221"/>
      <c r="W624" s="221"/>
      <c r="X624" s="221"/>
      <c r="Y624" s="221"/>
      <c r="Z624" s="221"/>
    </row>
    <row r="625" customFormat="false" ht="12" hidden="false" customHeight="true" outlineLevel="0" collapsed="false">
      <c r="A625" s="256"/>
      <c r="B625" s="256"/>
      <c r="C625" s="256"/>
      <c r="D625" s="256"/>
      <c r="E625" s="256"/>
      <c r="F625" s="256"/>
      <c r="G625" s="256"/>
      <c r="H625" s="256"/>
      <c r="I625" s="256"/>
      <c r="J625" s="256"/>
      <c r="K625" s="256"/>
      <c r="L625" s="256"/>
      <c r="M625" s="256"/>
      <c r="N625" s="256"/>
      <c r="O625" s="256"/>
      <c r="P625" s="256"/>
      <c r="Q625" s="256"/>
      <c r="R625" s="256"/>
      <c r="S625" s="221"/>
      <c r="T625" s="221"/>
      <c r="U625" s="221"/>
      <c r="V625" s="221"/>
      <c r="W625" s="221"/>
      <c r="X625" s="221"/>
      <c r="Y625" s="221"/>
      <c r="Z625" s="221"/>
    </row>
    <row r="626" customFormat="false" ht="12" hidden="false" customHeight="true" outlineLevel="0" collapsed="false">
      <c r="A626" s="256"/>
      <c r="B626" s="256"/>
      <c r="C626" s="256"/>
      <c r="D626" s="256"/>
      <c r="E626" s="256"/>
      <c r="F626" s="256"/>
      <c r="G626" s="256"/>
      <c r="H626" s="256"/>
      <c r="I626" s="256"/>
      <c r="J626" s="256"/>
      <c r="K626" s="256"/>
      <c r="L626" s="256"/>
      <c r="M626" s="256"/>
      <c r="N626" s="256"/>
      <c r="O626" s="256"/>
      <c r="P626" s="256"/>
      <c r="Q626" s="256"/>
      <c r="R626" s="256"/>
      <c r="S626" s="221"/>
      <c r="T626" s="221"/>
      <c r="U626" s="221"/>
      <c r="V626" s="221"/>
      <c r="W626" s="221"/>
      <c r="X626" s="221"/>
      <c r="Y626" s="221"/>
      <c r="Z626" s="221"/>
    </row>
    <row r="627" customFormat="false" ht="12" hidden="false" customHeight="true" outlineLevel="0" collapsed="false">
      <c r="A627" s="256"/>
      <c r="B627" s="256"/>
      <c r="C627" s="256"/>
      <c r="D627" s="256"/>
      <c r="E627" s="256"/>
      <c r="F627" s="256"/>
      <c r="G627" s="256"/>
      <c r="H627" s="256"/>
      <c r="I627" s="256"/>
      <c r="J627" s="256"/>
      <c r="K627" s="256"/>
      <c r="L627" s="256"/>
      <c r="M627" s="256"/>
      <c r="N627" s="256"/>
      <c r="O627" s="256"/>
      <c r="P627" s="256"/>
      <c r="Q627" s="256"/>
      <c r="R627" s="256"/>
      <c r="S627" s="221"/>
      <c r="T627" s="221"/>
      <c r="U627" s="221"/>
      <c r="V627" s="221"/>
      <c r="W627" s="221"/>
      <c r="X627" s="221"/>
      <c r="Y627" s="221"/>
      <c r="Z627" s="221"/>
    </row>
    <row r="628" customFormat="false" ht="12" hidden="false" customHeight="true" outlineLevel="0" collapsed="false">
      <c r="A628" s="256"/>
      <c r="B628" s="256"/>
      <c r="C628" s="256"/>
      <c r="D628" s="256"/>
      <c r="E628" s="256"/>
      <c r="F628" s="256"/>
      <c r="G628" s="256"/>
      <c r="H628" s="256"/>
      <c r="I628" s="256"/>
      <c r="J628" s="256"/>
      <c r="K628" s="256"/>
      <c r="L628" s="256"/>
      <c r="M628" s="256"/>
      <c r="N628" s="256"/>
      <c r="O628" s="256"/>
      <c r="P628" s="256"/>
      <c r="Q628" s="256"/>
      <c r="R628" s="256"/>
      <c r="S628" s="221"/>
      <c r="T628" s="221"/>
      <c r="U628" s="221"/>
      <c r="V628" s="221"/>
      <c r="W628" s="221"/>
      <c r="X628" s="221"/>
      <c r="Y628" s="221"/>
      <c r="Z628" s="221"/>
    </row>
    <row r="629" customFormat="false" ht="12" hidden="false" customHeight="true" outlineLevel="0" collapsed="false">
      <c r="A629" s="256"/>
      <c r="B629" s="256"/>
      <c r="C629" s="256"/>
      <c r="D629" s="256"/>
      <c r="E629" s="256"/>
      <c r="F629" s="256"/>
      <c r="G629" s="256"/>
      <c r="H629" s="256"/>
      <c r="I629" s="256"/>
      <c r="J629" s="256"/>
      <c r="K629" s="256"/>
      <c r="L629" s="256"/>
      <c r="M629" s="256"/>
      <c r="N629" s="256"/>
      <c r="O629" s="256"/>
      <c r="P629" s="256"/>
      <c r="Q629" s="256"/>
      <c r="R629" s="256"/>
      <c r="S629" s="221"/>
      <c r="T629" s="221"/>
      <c r="U629" s="221"/>
      <c r="V629" s="221"/>
      <c r="W629" s="221"/>
      <c r="X629" s="221"/>
      <c r="Y629" s="221"/>
      <c r="Z629" s="221"/>
    </row>
    <row r="630" customFormat="false" ht="12" hidden="false" customHeight="true" outlineLevel="0" collapsed="false">
      <c r="A630" s="256"/>
      <c r="B630" s="256"/>
      <c r="C630" s="256"/>
      <c r="D630" s="256"/>
      <c r="E630" s="256"/>
      <c r="F630" s="256"/>
      <c r="G630" s="256"/>
      <c r="H630" s="256"/>
      <c r="I630" s="256"/>
      <c r="J630" s="256"/>
      <c r="K630" s="256"/>
      <c r="L630" s="256"/>
      <c r="M630" s="256"/>
      <c r="N630" s="256"/>
      <c r="O630" s="256"/>
      <c r="P630" s="256"/>
      <c r="Q630" s="256"/>
      <c r="R630" s="256"/>
      <c r="S630" s="221"/>
      <c r="T630" s="221"/>
      <c r="U630" s="221"/>
      <c r="V630" s="221"/>
      <c r="W630" s="221"/>
      <c r="X630" s="221"/>
      <c r="Y630" s="221"/>
      <c r="Z630" s="221"/>
    </row>
    <row r="631" customFormat="false" ht="12" hidden="false" customHeight="true" outlineLevel="0" collapsed="false">
      <c r="A631" s="256"/>
      <c r="B631" s="256"/>
      <c r="C631" s="256"/>
      <c r="D631" s="256"/>
      <c r="E631" s="256"/>
      <c r="F631" s="256"/>
      <c r="G631" s="256"/>
      <c r="H631" s="256"/>
      <c r="I631" s="256"/>
      <c r="J631" s="256"/>
      <c r="K631" s="256"/>
      <c r="L631" s="256"/>
      <c r="M631" s="256"/>
      <c r="N631" s="256"/>
      <c r="O631" s="256"/>
      <c r="P631" s="256"/>
      <c r="Q631" s="256"/>
      <c r="R631" s="256"/>
      <c r="S631" s="221"/>
      <c r="T631" s="221"/>
      <c r="U631" s="221"/>
      <c r="V631" s="221"/>
      <c r="W631" s="221"/>
      <c r="X631" s="221"/>
      <c r="Y631" s="221"/>
      <c r="Z631" s="221"/>
    </row>
    <row r="632" customFormat="false" ht="12" hidden="false" customHeight="true" outlineLevel="0" collapsed="false">
      <c r="A632" s="256"/>
      <c r="B632" s="256"/>
      <c r="C632" s="256"/>
      <c r="D632" s="256"/>
      <c r="E632" s="256"/>
      <c r="F632" s="256"/>
      <c r="G632" s="256"/>
      <c r="H632" s="256"/>
      <c r="I632" s="256"/>
      <c r="J632" s="256"/>
      <c r="K632" s="256"/>
      <c r="L632" s="256"/>
      <c r="M632" s="256"/>
      <c r="N632" s="256"/>
      <c r="O632" s="256"/>
      <c r="P632" s="256"/>
      <c r="Q632" s="256"/>
      <c r="R632" s="256"/>
      <c r="S632" s="221"/>
      <c r="T632" s="221"/>
      <c r="U632" s="221"/>
      <c r="V632" s="221"/>
      <c r="W632" s="221"/>
      <c r="X632" s="221"/>
      <c r="Y632" s="221"/>
      <c r="Z632" s="221"/>
    </row>
    <row r="633" customFormat="false" ht="12" hidden="false" customHeight="true" outlineLevel="0" collapsed="false">
      <c r="A633" s="256"/>
      <c r="B633" s="256"/>
      <c r="C633" s="256"/>
      <c r="D633" s="256"/>
      <c r="E633" s="256"/>
      <c r="F633" s="256"/>
      <c r="G633" s="256"/>
      <c r="H633" s="256"/>
      <c r="I633" s="256"/>
      <c r="J633" s="256"/>
      <c r="K633" s="256"/>
      <c r="L633" s="256"/>
      <c r="M633" s="256"/>
      <c r="N633" s="256"/>
      <c r="O633" s="256"/>
      <c r="P633" s="256"/>
      <c r="Q633" s="256"/>
      <c r="R633" s="256"/>
      <c r="S633" s="221"/>
      <c r="T633" s="221"/>
      <c r="U633" s="221"/>
      <c r="V633" s="221"/>
      <c r="W633" s="221"/>
      <c r="X633" s="221"/>
      <c r="Y633" s="221"/>
      <c r="Z633" s="221"/>
    </row>
    <row r="634" customFormat="false" ht="12" hidden="false" customHeight="true" outlineLevel="0" collapsed="false">
      <c r="A634" s="256"/>
      <c r="B634" s="256"/>
      <c r="C634" s="256"/>
      <c r="D634" s="256"/>
      <c r="E634" s="256"/>
      <c r="F634" s="256"/>
      <c r="G634" s="256"/>
      <c r="H634" s="256"/>
      <c r="I634" s="256"/>
      <c r="J634" s="256"/>
      <c r="K634" s="256"/>
      <c r="L634" s="256"/>
      <c r="M634" s="256"/>
      <c r="N634" s="256"/>
      <c r="O634" s="256"/>
      <c r="P634" s="256"/>
      <c r="Q634" s="256"/>
      <c r="R634" s="256"/>
      <c r="S634" s="221"/>
      <c r="T634" s="221"/>
      <c r="U634" s="221"/>
      <c r="V634" s="221"/>
      <c r="W634" s="221"/>
      <c r="X634" s="221"/>
      <c r="Y634" s="221"/>
      <c r="Z634" s="221"/>
    </row>
    <row r="635" customFormat="false" ht="12" hidden="false" customHeight="true" outlineLevel="0" collapsed="false">
      <c r="A635" s="256"/>
      <c r="B635" s="256"/>
      <c r="C635" s="256"/>
      <c r="D635" s="256"/>
      <c r="E635" s="256"/>
      <c r="F635" s="256"/>
      <c r="G635" s="256"/>
      <c r="H635" s="256"/>
      <c r="I635" s="256"/>
      <c r="J635" s="256"/>
      <c r="K635" s="256"/>
      <c r="L635" s="256"/>
      <c r="M635" s="256"/>
      <c r="N635" s="256"/>
      <c r="O635" s="256"/>
      <c r="P635" s="256"/>
      <c r="Q635" s="256"/>
      <c r="R635" s="256"/>
      <c r="S635" s="221"/>
      <c r="T635" s="221"/>
      <c r="U635" s="221"/>
      <c r="V635" s="221"/>
      <c r="W635" s="221"/>
      <c r="X635" s="221"/>
      <c r="Y635" s="221"/>
      <c r="Z635" s="221"/>
    </row>
    <row r="636" customFormat="false" ht="12" hidden="false" customHeight="true" outlineLevel="0" collapsed="false">
      <c r="A636" s="256"/>
      <c r="B636" s="256"/>
      <c r="C636" s="256"/>
      <c r="D636" s="256"/>
      <c r="E636" s="256"/>
      <c r="F636" s="256"/>
      <c r="G636" s="256"/>
      <c r="H636" s="256"/>
      <c r="I636" s="256"/>
      <c r="J636" s="256"/>
      <c r="K636" s="256"/>
      <c r="L636" s="256"/>
      <c r="M636" s="256"/>
      <c r="N636" s="256"/>
      <c r="O636" s="256"/>
      <c r="P636" s="256"/>
      <c r="Q636" s="256"/>
      <c r="R636" s="256"/>
      <c r="S636" s="221"/>
      <c r="T636" s="221"/>
      <c r="U636" s="221"/>
      <c r="V636" s="221"/>
      <c r="W636" s="221"/>
      <c r="X636" s="221"/>
      <c r="Y636" s="221"/>
      <c r="Z636" s="221"/>
    </row>
    <row r="637" customFormat="false" ht="12" hidden="false" customHeight="true" outlineLevel="0" collapsed="false">
      <c r="A637" s="256"/>
      <c r="B637" s="256"/>
      <c r="C637" s="256"/>
      <c r="D637" s="256"/>
      <c r="E637" s="256"/>
      <c r="F637" s="256"/>
      <c r="G637" s="256"/>
      <c r="H637" s="256"/>
      <c r="I637" s="256"/>
      <c r="J637" s="256"/>
      <c r="K637" s="256"/>
      <c r="L637" s="256"/>
      <c r="M637" s="256"/>
      <c r="N637" s="256"/>
      <c r="O637" s="256"/>
      <c r="P637" s="256"/>
      <c r="Q637" s="256"/>
      <c r="R637" s="256"/>
      <c r="S637" s="221"/>
      <c r="T637" s="221"/>
      <c r="U637" s="221"/>
      <c r="V637" s="221"/>
      <c r="W637" s="221"/>
      <c r="X637" s="221"/>
      <c r="Y637" s="221"/>
      <c r="Z637" s="221"/>
    </row>
    <row r="638" customFormat="false" ht="12" hidden="false" customHeight="true" outlineLevel="0" collapsed="false">
      <c r="A638" s="256"/>
      <c r="B638" s="256"/>
      <c r="C638" s="256"/>
      <c r="D638" s="256"/>
      <c r="E638" s="256"/>
      <c r="F638" s="256"/>
      <c r="G638" s="256"/>
      <c r="H638" s="256"/>
      <c r="I638" s="256"/>
      <c r="J638" s="256"/>
      <c r="K638" s="256"/>
      <c r="L638" s="256"/>
      <c r="M638" s="256"/>
      <c r="N638" s="256"/>
      <c r="O638" s="256"/>
      <c r="P638" s="256"/>
      <c r="Q638" s="256"/>
      <c r="R638" s="256"/>
      <c r="S638" s="221"/>
      <c r="T638" s="221"/>
      <c r="U638" s="221"/>
      <c r="V638" s="221"/>
      <c r="W638" s="221"/>
      <c r="X638" s="221"/>
      <c r="Y638" s="221"/>
      <c r="Z638" s="221"/>
    </row>
    <row r="639" customFormat="false" ht="12" hidden="false" customHeight="true" outlineLevel="0" collapsed="false">
      <c r="A639" s="256"/>
      <c r="B639" s="256"/>
      <c r="C639" s="256"/>
      <c r="D639" s="256"/>
      <c r="E639" s="256"/>
      <c r="F639" s="256"/>
      <c r="G639" s="256"/>
      <c r="H639" s="256"/>
      <c r="I639" s="256"/>
      <c r="J639" s="256"/>
      <c r="K639" s="256"/>
      <c r="L639" s="256"/>
      <c r="M639" s="256"/>
      <c r="N639" s="256"/>
      <c r="O639" s="256"/>
      <c r="P639" s="256"/>
      <c r="Q639" s="256"/>
      <c r="R639" s="256"/>
      <c r="S639" s="221"/>
      <c r="T639" s="221"/>
      <c r="U639" s="221"/>
      <c r="V639" s="221"/>
      <c r="W639" s="221"/>
      <c r="X639" s="221"/>
      <c r="Y639" s="221"/>
      <c r="Z639" s="221"/>
    </row>
    <row r="640" customFormat="false" ht="12" hidden="false" customHeight="true" outlineLevel="0" collapsed="false">
      <c r="A640" s="256"/>
      <c r="B640" s="256"/>
      <c r="C640" s="256"/>
      <c r="D640" s="256"/>
      <c r="E640" s="256"/>
      <c r="F640" s="256"/>
      <c r="G640" s="256"/>
      <c r="H640" s="256"/>
      <c r="I640" s="256"/>
      <c r="J640" s="256"/>
      <c r="K640" s="256"/>
      <c r="L640" s="256"/>
      <c r="M640" s="256"/>
      <c r="N640" s="256"/>
      <c r="O640" s="256"/>
      <c r="P640" s="256"/>
      <c r="Q640" s="256"/>
      <c r="R640" s="256"/>
      <c r="S640" s="221"/>
      <c r="T640" s="221"/>
      <c r="U640" s="221"/>
      <c r="V640" s="221"/>
      <c r="W640" s="221"/>
      <c r="X640" s="221"/>
      <c r="Y640" s="221"/>
      <c r="Z640" s="221"/>
    </row>
    <row r="641" customFormat="false" ht="12" hidden="false" customHeight="true" outlineLevel="0" collapsed="false">
      <c r="A641" s="256"/>
      <c r="B641" s="256"/>
      <c r="C641" s="256"/>
      <c r="D641" s="256"/>
      <c r="E641" s="256"/>
      <c r="F641" s="256"/>
      <c r="G641" s="256"/>
      <c r="H641" s="256"/>
      <c r="I641" s="256"/>
      <c r="J641" s="256"/>
      <c r="K641" s="256"/>
      <c r="L641" s="256"/>
      <c r="M641" s="256"/>
      <c r="N641" s="256"/>
      <c r="O641" s="256"/>
      <c r="P641" s="256"/>
      <c r="Q641" s="256"/>
      <c r="R641" s="256"/>
      <c r="S641" s="221"/>
      <c r="T641" s="221"/>
      <c r="U641" s="221"/>
      <c r="V641" s="221"/>
      <c r="W641" s="221"/>
      <c r="X641" s="221"/>
      <c r="Y641" s="221"/>
      <c r="Z641" s="221"/>
    </row>
    <row r="642" customFormat="false" ht="12" hidden="false" customHeight="true" outlineLevel="0" collapsed="false">
      <c r="A642" s="256"/>
      <c r="B642" s="256"/>
      <c r="C642" s="256"/>
      <c r="D642" s="256"/>
      <c r="E642" s="256"/>
      <c r="F642" s="256"/>
      <c r="G642" s="256"/>
      <c r="H642" s="256"/>
      <c r="I642" s="256"/>
      <c r="J642" s="256"/>
      <c r="K642" s="256"/>
      <c r="L642" s="256"/>
      <c r="M642" s="256"/>
      <c r="N642" s="256"/>
      <c r="O642" s="256"/>
      <c r="P642" s="256"/>
      <c r="Q642" s="256"/>
      <c r="R642" s="256"/>
      <c r="S642" s="221"/>
      <c r="T642" s="221"/>
      <c r="U642" s="221"/>
      <c r="V642" s="221"/>
      <c r="W642" s="221"/>
      <c r="X642" s="221"/>
      <c r="Y642" s="221"/>
      <c r="Z642" s="221"/>
    </row>
    <row r="643" customFormat="false" ht="12" hidden="false" customHeight="true" outlineLevel="0" collapsed="false">
      <c r="A643" s="256"/>
      <c r="B643" s="256"/>
      <c r="C643" s="256"/>
      <c r="D643" s="256"/>
      <c r="E643" s="256"/>
      <c r="F643" s="256"/>
      <c r="G643" s="256"/>
      <c r="H643" s="256"/>
      <c r="I643" s="256"/>
      <c r="J643" s="256"/>
      <c r="K643" s="256"/>
      <c r="L643" s="256"/>
      <c r="M643" s="256"/>
      <c r="N643" s="256"/>
      <c r="O643" s="256"/>
      <c r="P643" s="256"/>
      <c r="Q643" s="256"/>
      <c r="R643" s="256"/>
      <c r="S643" s="221"/>
      <c r="T643" s="221"/>
      <c r="U643" s="221"/>
      <c r="V643" s="221"/>
      <c r="W643" s="221"/>
      <c r="X643" s="221"/>
      <c r="Y643" s="221"/>
      <c r="Z643" s="221"/>
    </row>
    <row r="644" customFormat="false" ht="12" hidden="false" customHeight="true" outlineLevel="0" collapsed="false">
      <c r="A644" s="256"/>
      <c r="B644" s="256"/>
      <c r="C644" s="256"/>
      <c r="D644" s="256"/>
      <c r="E644" s="256"/>
      <c r="F644" s="256"/>
      <c r="G644" s="256"/>
      <c r="H644" s="256"/>
      <c r="I644" s="256"/>
      <c r="J644" s="256"/>
      <c r="K644" s="256"/>
      <c r="L644" s="256"/>
      <c r="M644" s="256"/>
      <c r="N644" s="256"/>
      <c r="O644" s="256"/>
      <c r="P644" s="256"/>
      <c r="Q644" s="256"/>
      <c r="R644" s="256"/>
      <c r="S644" s="221"/>
      <c r="T644" s="221"/>
      <c r="U644" s="221"/>
      <c r="V644" s="221"/>
      <c r="W644" s="221"/>
      <c r="X644" s="221"/>
      <c r="Y644" s="221"/>
      <c r="Z644" s="221"/>
    </row>
    <row r="645" customFormat="false" ht="12" hidden="false" customHeight="true" outlineLevel="0" collapsed="false">
      <c r="A645" s="256"/>
      <c r="B645" s="256"/>
      <c r="C645" s="256"/>
      <c r="D645" s="256"/>
      <c r="E645" s="256"/>
      <c r="F645" s="256"/>
      <c r="G645" s="256"/>
      <c r="H645" s="256"/>
      <c r="I645" s="256"/>
      <c r="J645" s="256"/>
      <c r="K645" s="256"/>
      <c r="L645" s="256"/>
      <c r="M645" s="256"/>
      <c r="N645" s="256"/>
      <c r="O645" s="256"/>
      <c r="P645" s="256"/>
      <c r="Q645" s="256"/>
      <c r="R645" s="256"/>
      <c r="S645" s="221"/>
      <c r="T645" s="221"/>
      <c r="U645" s="221"/>
      <c r="V645" s="221"/>
      <c r="W645" s="221"/>
      <c r="X645" s="221"/>
      <c r="Y645" s="221"/>
      <c r="Z645" s="221"/>
    </row>
    <row r="646" customFormat="false" ht="12" hidden="false" customHeight="true" outlineLevel="0" collapsed="false">
      <c r="A646" s="256"/>
      <c r="B646" s="256"/>
      <c r="C646" s="256"/>
      <c r="D646" s="256"/>
      <c r="E646" s="256"/>
      <c r="F646" s="256"/>
      <c r="G646" s="256"/>
      <c r="H646" s="256"/>
      <c r="I646" s="256"/>
      <c r="J646" s="256"/>
      <c r="K646" s="256"/>
      <c r="L646" s="256"/>
      <c r="M646" s="256"/>
      <c r="N646" s="256"/>
      <c r="O646" s="256"/>
      <c r="P646" s="256"/>
      <c r="Q646" s="256"/>
      <c r="R646" s="256"/>
      <c r="S646" s="221"/>
      <c r="T646" s="221"/>
      <c r="U646" s="221"/>
      <c r="V646" s="221"/>
      <c r="W646" s="221"/>
      <c r="X646" s="221"/>
      <c r="Y646" s="221"/>
      <c r="Z646" s="221"/>
    </row>
    <row r="647" customFormat="false" ht="12" hidden="false" customHeight="true" outlineLevel="0" collapsed="false">
      <c r="A647" s="256"/>
      <c r="B647" s="256"/>
      <c r="C647" s="256"/>
      <c r="D647" s="256"/>
      <c r="E647" s="256"/>
      <c r="F647" s="256"/>
      <c r="G647" s="256"/>
      <c r="H647" s="256"/>
      <c r="I647" s="256"/>
      <c r="J647" s="256"/>
      <c r="K647" s="256"/>
      <c r="L647" s="256"/>
      <c r="M647" s="256"/>
      <c r="N647" s="256"/>
      <c r="O647" s="256"/>
      <c r="P647" s="256"/>
      <c r="Q647" s="256"/>
      <c r="R647" s="256"/>
      <c r="S647" s="221"/>
      <c r="T647" s="221"/>
      <c r="U647" s="221"/>
      <c r="V647" s="221"/>
      <c r="W647" s="221"/>
      <c r="X647" s="221"/>
      <c r="Y647" s="221"/>
      <c r="Z647" s="221"/>
    </row>
    <row r="648" customFormat="false" ht="12" hidden="false" customHeight="true" outlineLevel="0" collapsed="false">
      <c r="A648" s="256"/>
      <c r="B648" s="256"/>
      <c r="C648" s="256"/>
      <c r="D648" s="256"/>
      <c r="E648" s="256"/>
      <c r="F648" s="256"/>
      <c r="G648" s="256"/>
      <c r="H648" s="256"/>
      <c r="I648" s="256"/>
      <c r="J648" s="256"/>
      <c r="K648" s="256"/>
      <c r="L648" s="256"/>
      <c r="M648" s="256"/>
      <c r="N648" s="256"/>
      <c r="O648" s="256"/>
      <c r="P648" s="256"/>
      <c r="Q648" s="256"/>
      <c r="R648" s="256"/>
      <c r="S648" s="221"/>
      <c r="T648" s="221"/>
      <c r="U648" s="221"/>
      <c r="V648" s="221"/>
      <c r="W648" s="221"/>
      <c r="X648" s="221"/>
      <c r="Y648" s="221"/>
      <c r="Z648" s="221"/>
    </row>
    <row r="649" customFormat="false" ht="12" hidden="false" customHeight="true" outlineLevel="0" collapsed="false">
      <c r="A649" s="256"/>
      <c r="B649" s="256"/>
      <c r="C649" s="256"/>
      <c r="D649" s="256"/>
      <c r="E649" s="256"/>
      <c r="F649" s="256"/>
      <c r="G649" s="256"/>
      <c r="H649" s="256"/>
      <c r="I649" s="256"/>
      <c r="J649" s="256"/>
      <c r="K649" s="256"/>
      <c r="L649" s="256"/>
      <c r="M649" s="256"/>
      <c r="N649" s="256"/>
      <c r="O649" s="256"/>
      <c r="P649" s="256"/>
      <c r="Q649" s="256"/>
      <c r="R649" s="256"/>
      <c r="S649" s="221"/>
      <c r="T649" s="221"/>
      <c r="U649" s="221"/>
      <c r="V649" s="221"/>
      <c r="W649" s="221"/>
      <c r="X649" s="221"/>
      <c r="Y649" s="221"/>
      <c r="Z649" s="221"/>
    </row>
    <row r="650" customFormat="false" ht="12" hidden="false" customHeight="true" outlineLevel="0" collapsed="false">
      <c r="A650" s="256"/>
      <c r="B650" s="256"/>
      <c r="C650" s="256"/>
      <c r="D650" s="256"/>
      <c r="E650" s="256"/>
      <c r="F650" s="256"/>
      <c r="G650" s="256"/>
      <c r="H650" s="256"/>
      <c r="I650" s="256"/>
      <c r="J650" s="256"/>
      <c r="K650" s="256"/>
      <c r="L650" s="256"/>
      <c r="M650" s="256"/>
      <c r="N650" s="256"/>
      <c r="O650" s="256"/>
      <c r="P650" s="256"/>
      <c r="Q650" s="256"/>
      <c r="R650" s="256"/>
      <c r="S650" s="221"/>
      <c r="T650" s="221"/>
      <c r="U650" s="221"/>
      <c r="V650" s="221"/>
      <c r="W650" s="221"/>
      <c r="X650" s="221"/>
      <c r="Y650" s="221"/>
      <c r="Z650" s="221"/>
    </row>
    <row r="651" customFormat="false" ht="12" hidden="false" customHeight="true" outlineLevel="0" collapsed="false">
      <c r="A651" s="256"/>
      <c r="B651" s="256"/>
      <c r="C651" s="256"/>
      <c r="D651" s="256"/>
      <c r="E651" s="256"/>
      <c r="F651" s="256"/>
      <c r="G651" s="256"/>
      <c r="H651" s="256"/>
      <c r="I651" s="256"/>
      <c r="J651" s="256"/>
      <c r="K651" s="256"/>
      <c r="L651" s="256"/>
      <c r="M651" s="256"/>
      <c r="N651" s="256"/>
      <c r="O651" s="256"/>
      <c r="P651" s="256"/>
      <c r="Q651" s="256"/>
      <c r="R651" s="256"/>
      <c r="S651" s="221"/>
      <c r="T651" s="221"/>
      <c r="U651" s="221"/>
      <c r="V651" s="221"/>
      <c r="W651" s="221"/>
      <c r="X651" s="221"/>
      <c r="Y651" s="221"/>
      <c r="Z651" s="221"/>
    </row>
    <row r="652" customFormat="false" ht="12" hidden="false" customHeight="true" outlineLevel="0" collapsed="false">
      <c r="A652" s="256"/>
      <c r="B652" s="256"/>
      <c r="C652" s="256"/>
      <c r="D652" s="256"/>
      <c r="E652" s="256"/>
      <c r="F652" s="256"/>
      <c r="G652" s="256"/>
      <c r="H652" s="256"/>
      <c r="I652" s="256"/>
      <c r="J652" s="256"/>
      <c r="K652" s="256"/>
      <c r="L652" s="256"/>
      <c r="M652" s="256"/>
      <c r="N652" s="256"/>
      <c r="O652" s="256"/>
      <c r="P652" s="256"/>
      <c r="Q652" s="256"/>
      <c r="R652" s="256"/>
      <c r="S652" s="221"/>
      <c r="T652" s="221"/>
      <c r="U652" s="221"/>
      <c r="V652" s="221"/>
      <c r="W652" s="221"/>
      <c r="X652" s="221"/>
      <c r="Y652" s="221"/>
      <c r="Z652" s="221"/>
    </row>
    <row r="653" customFormat="false" ht="12" hidden="false" customHeight="true" outlineLevel="0" collapsed="false">
      <c r="A653" s="256"/>
      <c r="B653" s="256"/>
      <c r="C653" s="256"/>
      <c r="D653" s="256"/>
      <c r="E653" s="256"/>
      <c r="F653" s="256"/>
      <c r="G653" s="256"/>
      <c r="H653" s="256"/>
      <c r="I653" s="256"/>
      <c r="J653" s="256"/>
      <c r="K653" s="256"/>
      <c r="L653" s="256"/>
      <c r="M653" s="256"/>
      <c r="N653" s="256"/>
      <c r="O653" s="256"/>
      <c r="P653" s="256"/>
      <c r="Q653" s="256"/>
      <c r="R653" s="256"/>
      <c r="S653" s="221"/>
      <c r="T653" s="221"/>
      <c r="U653" s="221"/>
      <c r="V653" s="221"/>
      <c r="W653" s="221"/>
      <c r="X653" s="221"/>
      <c r="Y653" s="221"/>
      <c r="Z653" s="221"/>
    </row>
    <row r="654" customFormat="false" ht="12" hidden="false" customHeight="true" outlineLevel="0" collapsed="false">
      <c r="A654" s="256"/>
      <c r="B654" s="256"/>
      <c r="C654" s="256"/>
      <c r="D654" s="256"/>
      <c r="E654" s="256"/>
      <c r="F654" s="256"/>
      <c r="G654" s="256"/>
      <c r="H654" s="256"/>
      <c r="I654" s="256"/>
      <c r="J654" s="256"/>
      <c r="K654" s="256"/>
      <c r="L654" s="256"/>
      <c r="M654" s="256"/>
      <c r="N654" s="256"/>
      <c r="O654" s="256"/>
      <c r="P654" s="256"/>
      <c r="Q654" s="256"/>
      <c r="R654" s="256"/>
      <c r="S654" s="221"/>
      <c r="T654" s="221"/>
      <c r="U654" s="221"/>
      <c r="V654" s="221"/>
      <c r="W654" s="221"/>
      <c r="X654" s="221"/>
      <c r="Y654" s="221"/>
      <c r="Z654" s="221"/>
    </row>
    <row r="655" customFormat="false" ht="12" hidden="false" customHeight="true" outlineLevel="0" collapsed="false">
      <c r="A655" s="256"/>
      <c r="B655" s="256"/>
      <c r="C655" s="256"/>
      <c r="D655" s="256"/>
      <c r="E655" s="256"/>
      <c r="F655" s="256"/>
      <c r="G655" s="256"/>
      <c r="H655" s="256"/>
      <c r="I655" s="256"/>
      <c r="J655" s="256"/>
      <c r="K655" s="256"/>
      <c r="L655" s="256"/>
      <c r="M655" s="256"/>
      <c r="N655" s="256"/>
      <c r="O655" s="256"/>
      <c r="P655" s="256"/>
      <c r="Q655" s="256"/>
      <c r="R655" s="256"/>
      <c r="S655" s="221"/>
      <c r="T655" s="221"/>
      <c r="U655" s="221"/>
      <c r="V655" s="221"/>
      <c r="W655" s="221"/>
      <c r="X655" s="221"/>
      <c r="Y655" s="221"/>
      <c r="Z655" s="221"/>
    </row>
    <row r="656" customFormat="false" ht="12" hidden="false" customHeight="true" outlineLevel="0" collapsed="false">
      <c r="A656" s="256"/>
      <c r="B656" s="256"/>
      <c r="C656" s="256"/>
      <c r="D656" s="256"/>
      <c r="E656" s="256"/>
      <c r="F656" s="256"/>
      <c r="G656" s="256"/>
      <c r="H656" s="256"/>
      <c r="I656" s="256"/>
      <c r="J656" s="256"/>
      <c r="K656" s="256"/>
      <c r="L656" s="256"/>
      <c r="M656" s="256"/>
      <c r="N656" s="256"/>
      <c r="O656" s="256"/>
      <c r="P656" s="256"/>
      <c r="Q656" s="256"/>
      <c r="R656" s="256"/>
      <c r="S656" s="221"/>
      <c r="T656" s="221"/>
      <c r="U656" s="221"/>
      <c r="V656" s="221"/>
      <c r="W656" s="221"/>
      <c r="X656" s="221"/>
      <c r="Y656" s="221"/>
      <c r="Z656" s="221"/>
    </row>
    <row r="657" customFormat="false" ht="12" hidden="false" customHeight="true" outlineLevel="0" collapsed="false">
      <c r="A657" s="256"/>
      <c r="B657" s="256"/>
      <c r="C657" s="256"/>
      <c r="D657" s="256"/>
      <c r="E657" s="256"/>
      <c r="F657" s="256"/>
      <c r="G657" s="256"/>
      <c r="H657" s="256"/>
      <c r="I657" s="256"/>
      <c r="J657" s="256"/>
      <c r="K657" s="256"/>
      <c r="L657" s="256"/>
      <c r="M657" s="256"/>
      <c r="N657" s="256"/>
      <c r="O657" s="256"/>
      <c r="P657" s="256"/>
      <c r="Q657" s="256"/>
      <c r="R657" s="256"/>
      <c r="S657" s="221"/>
      <c r="T657" s="221"/>
      <c r="U657" s="221"/>
      <c r="V657" s="221"/>
      <c r="W657" s="221"/>
      <c r="X657" s="221"/>
      <c r="Y657" s="221"/>
      <c r="Z657" s="221"/>
    </row>
    <row r="658" customFormat="false" ht="12" hidden="false" customHeight="true" outlineLevel="0" collapsed="false">
      <c r="A658" s="256"/>
      <c r="B658" s="256"/>
      <c r="C658" s="256"/>
      <c r="D658" s="256"/>
      <c r="E658" s="256"/>
      <c r="F658" s="256"/>
      <c r="G658" s="256"/>
      <c r="H658" s="256"/>
      <c r="I658" s="256"/>
      <c r="J658" s="256"/>
      <c r="K658" s="256"/>
      <c r="L658" s="256"/>
      <c r="M658" s="256"/>
      <c r="N658" s="256"/>
      <c r="O658" s="256"/>
      <c r="P658" s="256"/>
      <c r="Q658" s="256"/>
      <c r="R658" s="256"/>
      <c r="S658" s="221"/>
      <c r="T658" s="221"/>
      <c r="U658" s="221"/>
      <c r="V658" s="221"/>
      <c r="W658" s="221"/>
      <c r="X658" s="221"/>
      <c r="Y658" s="221"/>
      <c r="Z658" s="221"/>
    </row>
    <row r="659" customFormat="false" ht="12" hidden="false" customHeight="true" outlineLevel="0" collapsed="false">
      <c r="A659" s="256"/>
      <c r="B659" s="256"/>
      <c r="C659" s="256"/>
      <c r="D659" s="256"/>
      <c r="E659" s="256"/>
      <c r="F659" s="256"/>
      <c r="G659" s="256"/>
      <c r="H659" s="256"/>
      <c r="I659" s="256"/>
      <c r="J659" s="256"/>
      <c r="K659" s="256"/>
      <c r="L659" s="256"/>
      <c r="M659" s="256"/>
      <c r="N659" s="256"/>
      <c r="O659" s="256"/>
      <c r="P659" s="256"/>
      <c r="Q659" s="256"/>
      <c r="R659" s="256"/>
      <c r="S659" s="221"/>
      <c r="T659" s="221"/>
      <c r="U659" s="221"/>
      <c r="V659" s="221"/>
      <c r="W659" s="221"/>
      <c r="X659" s="221"/>
      <c r="Y659" s="221"/>
      <c r="Z659" s="221"/>
    </row>
    <row r="660" customFormat="false" ht="12" hidden="false" customHeight="true" outlineLevel="0" collapsed="false">
      <c r="A660" s="256"/>
      <c r="B660" s="256"/>
      <c r="C660" s="256"/>
      <c r="D660" s="256"/>
      <c r="E660" s="256"/>
      <c r="F660" s="256"/>
      <c r="G660" s="256"/>
      <c r="H660" s="256"/>
      <c r="I660" s="256"/>
      <c r="J660" s="256"/>
      <c r="K660" s="256"/>
      <c r="L660" s="256"/>
      <c r="M660" s="256"/>
      <c r="N660" s="256"/>
      <c r="O660" s="256"/>
      <c r="P660" s="256"/>
      <c r="Q660" s="256"/>
      <c r="R660" s="256"/>
      <c r="S660" s="221"/>
      <c r="T660" s="221"/>
      <c r="U660" s="221"/>
      <c r="V660" s="221"/>
      <c r="W660" s="221"/>
      <c r="X660" s="221"/>
      <c r="Y660" s="221"/>
      <c r="Z660" s="221"/>
    </row>
    <row r="661" customFormat="false" ht="12" hidden="false" customHeight="true" outlineLevel="0" collapsed="false">
      <c r="A661" s="256"/>
      <c r="B661" s="256"/>
      <c r="C661" s="256"/>
      <c r="D661" s="256"/>
      <c r="E661" s="256"/>
      <c r="F661" s="256"/>
      <c r="G661" s="256"/>
      <c r="H661" s="256"/>
      <c r="I661" s="256"/>
      <c r="J661" s="256"/>
      <c r="K661" s="256"/>
      <c r="L661" s="256"/>
      <c r="M661" s="256"/>
      <c r="N661" s="256"/>
      <c r="O661" s="256"/>
      <c r="P661" s="256"/>
      <c r="Q661" s="256"/>
      <c r="R661" s="256"/>
      <c r="S661" s="221"/>
      <c r="T661" s="221"/>
      <c r="U661" s="221"/>
      <c r="V661" s="221"/>
      <c r="W661" s="221"/>
      <c r="X661" s="221"/>
      <c r="Y661" s="221"/>
      <c r="Z661" s="221"/>
    </row>
    <row r="662" customFormat="false" ht="12" hidden="false" customHeight="true" outlineLevel="0" collapsed="false">
      <c r="A662" s="256"/>
      <c r="B662" s="256"/>
      <c r="C662" s="256"/>
      <c r="D662" s="256"/>
      <c r="E662" s="256"/>
      <c r="F662" s="256"/>
      <c r="G662" s="256"/>
      <c r="H662" s="256"/>
      <c r="I662" s="256"/>
      <c r="J662" s="256"/>
      <c r="K662" s="256"/>
      <c r="L662" s="256"/>
      <c r="M662" s="256"/>
      <c r="N662" s="256"/>
      <c r="O662" s="256"/>
      <c r="P662" s="256"/>
      <c r="Q662" s="256"/>
      <c r="R662" s="256"/>
      <c r="S662" s="221"/>
      <c r="T662" s="221"/>
      <c r="U662" s="221"/>
      <c r="V662" s="221"/>
      <c r="W662" s="221"/>
      <c r="X662" s="221"/>
      <c r="Y662" s="221"/>
      <c r="Z662" s="221"/>
    </row>
    <row r="663" customFormat="false" ht="12" hidden="false" customHeight="true" outlineLevel="0" collapsed="false">
      <c r="A663" s="256"/>
      <c r="B663" s="256"/>
      <c r="C663" s="256"/>
      <c r="D663" s="256"/>
      <c r="E663" s="256"/>
      <c r="F663" s="256"/>
      <c r="G663" s="256"/>
      <c r="H663" s="256"/>
      <c r="I663" s="256"/>
      <c r="J663" s="256"/>
      <c r="K663" s="256"/>
      <c r="L663" s="256"/>
      <c r="M663" s="256"/>
      <c r="N663" s="256"/>
      <c r="O663" s="256"/>
      <c r="P663" s="256"/>
      <c r="Q663" s="256"/>
      <c r="R663" s="256"/>
      <c r="S663" s="221"/>
      <c r="T663" s="221"/>
      <c r="U663" s="221"/>
      <c r="V663" s="221"/>
      <c r="W663" s="221"/>
      <c r="X663" s="221"/>
      <c r="Y663" s="221"/>
      <c r="Z663" s="221"/>
    </row>
    <row r="664" customFormat="false" ht="12" hidden="false" customHeight="true" outlineLevel="0" collapsed="false">
      <c r="A664" s="256"/>
      <c r="B664" s="256"/>
      <c r="C664" s="256"/>
      <c r="D664" s="256"/>
      <c r="E664" s="256"/>
      <c r="F664" s="256"/>
      <c r="G664" s="256"/>
      <c r="H664" s="256"/>
      <c r="I664" s="256"/>
      <c r="J664" s="256"/>
      <c r="K664" s="256"/>
      <c r="L664" s="256"/>
      <c r="M664" s="256"/>
      <c r="N664" s="256"/>
      <c r="O664" s="256"/>
      <c r="P664" s="256"/>
      <c r="Q664" s="256"/>
      <c r="R664" s="256"/>
      <c r="S664" s="221"/>
      <c r="T664" s="221"/>
      <c r="U664" s="221"/>
      <c r="V664" s="221"/>
      <c r="W664" s="221"/>
      <c r="X664" s="221"/>
      <c r="Y664" s="221"/>
      <c r="Z664" s="221"/>
    </row>
    <row r="665" customFormat="false" ht="12" hidden="false" customHeight="true" outlineLevel="0" collapsed="false">
      <c r="A665" s="256"/>
      <c r="B665" s="256"/>
      <c r="C665" s="256"/>
      <c r="D665" s="256"/>
      <c r="E665" s="256"/>
      <c r="F665" s="256"/>
      <c r="G665" s="256"/>
      <c r="H665" s="256"/>
      <c r="I665" s="256"/>
      <c r="J665" s="256"/>
      <c r="K665" s="256"/>
      <c r="L665" s="256"/>
      <c r="M665" s="256"/>
      <c r="N665" s="256"/>
      <c r="O665" s="256"/>
      <c r="P665" s="256"/>
      <c r="Q665" s="256"/>
      <c r="R665" s="256"/>
      <c r="S665" s="221"/>
      <c r="T665" s="221"/>
      <c r="U665" s="221"/>
      <c r="V665" s="221"/>
      <c r="W665" s="221"/>
      <c r="X665" s="221"/>
      <c r="Y665" s="221"/>
      <c r="Z665" s="221"/>
    </row>
    <row r="666" customFormat="false" ht="12" hidden="false" customHeight="true" outlineLevel="0" collapsed="false">
      <c r="A666" s="256"/>
      <c r="B666" s="256"/>
      <c r="C666" s="256"/>
      <c r="D666" s="256"/>
      <c r="E666" s="256"/>
      <c r="F666" s="256"/>
      <c r="G666" s="256"/>
      <c r="H666" s="256"/>
      <c r="I666" s="256"/>
      <c r="J666" s="256"/>
      <c r="K666" s="256"/>
      <c r="L666" s="256"/>
      <c r="M666" s="256"/>
      <c r="N666" s="256"/>
      <c r="O666" s="256"/>
      <c r="P666" s="256"/>
      <c r="Q666" s="256"/>
      <c r="R666" s="256"/>
      <c r="S666" s="221"/>
      <c r="T666" s="221"/>
      <c r="U666" s="221"/>
      <c r="V666" s="221"/>
      <c r="W666" s="221"/>
      <c r="X666" s="221"/>
      <c r="Y666" s="221"/>
      <c r="Z666" s="221"/>
    </row>
    <row r="667" customFormat="false" ht="12" hidden="false" customHeight="true" outlineLevel="0" collapsed="false">
      <c r="A667" s="256"/>
      <c r="B667" s="256"/>
      <c r="C667" s="256"/>
      <c r="D667" s="256"/>
      <c r="E667" s="256"/>
      <c r="F667" s="256"/>
      <c r="G667" s="256"/>
      <c r="H667" s="256"/>
      <c r="I667" s="256"/>
      <c r="J667" s="256"/>
      <c r="K667" s="256"/>
      <c r="L667" s="256"/>
      <c r="M667" s="256"/>
      <c r="N667" s="256"/>
      <c r="O667" s="256"/>
      <c r="P667" s="256"/>
      <c r="Q667" s="256"/>
      <c r="R667" s="256"/>
      <c r="S667" s="221"/>
      <c r="T667" s="221"/>
      <c r="U667" s="221"/>
      <c r="V667" s="221"/>
      <c r="W667" s="221"/>
      <c r="X667" s="221"/>
      <c r="Y667" s="221"/>
      <c r="Z667" s="221"/>
    </row>
    <row r="668" customFormat="false" ht="12" hidden="false" customHeight="true" outlineLevel="0" collapsed="false">
      <c r="A668" s="256"/>
      <c r="B668" s="256"/>
      <c r="C668" s="256"/>
      <c r="D668" s="256"/>
      <c r="E668" s="256"/>
      <c r="F668" s="256"/>
      <c r="G668" s="256"/>
      <c r="H668" s="256"/>
      <c r="I668" s="256"/>
      <c r="J668" s="256"/>
      <c r="K668" s="256"/>
      <c r="L668" s="256"/>
      <c r="M668" s="256"/>
      <c r="N668" s="256"/>
      <c r="O668" s="256"/>
      <c r="P668" s="256"/>
      <c r="Q668" s="256"/>
      <c r="R668" s="256"/>
      <c r="S668" s="221"/>
      <c r="T668" s="221"/>
      <c r="U668" s="221"/>
      <c r="V668" s="221"/>
      <c r="W668" s="221"/>
      <c r="X668" s="221"/>
      <c r="Y668" s="221"/>
      <c r="Z668" s="221"/>
    </row>
    <row r="669" customFormat="false" ht="12" hidden="false" customHeight="true" outlineLevel="0" collapsed="false">
      <c r="A669" s="256"/>
      <c r="B669" s="256"/>
      <c r="C669" s="256"/>
      <c r="D669" s="256"/>
      <c r="E669" s="256"/>
      <c r="F669" s="256"/>
      <c r="G669" s="256"/>
      <c r="H669" s="256"/>
      <c r="I669" s="256"/>
      <c r="J669" s="256"/>
      <c r="K669" s="256"/>
      <c r="L669" s="256"/>
      <c r="M669" s="256"/>
      <c r="N669" s="256"/>
      <c r="O669" s="256"/>
      <c r="P669" s="256"/>
      <c r="Q669" s="256"/>
      <c r="R669" s="256"/>
      <c r="S669" s="221"/>
      <c r="T669" s="221"/>
      <c r="U669" s="221"/>
      <c r="V669" s="221"/>
      <c r="W669" s="221"/>
      <c r="X669" s="221"/>
      <c r="Y669" s="221"/>
      <c r="Z669" s="221"/>
    </row>
    <row r="670" customFormat="false" ht="12" hidden="false" customHeight="true" outlineLevel="0" collapsed="false">
      <c r="A670" s="256"/>
      <c r="B670" s="256"/>
      <c r="C670" s="256"/>
      <c r="D670" s="256"/>
      <c r="E670" s="256"/>
      <c r="F670" s="256"/>
      <c r="G670" s="256"/>
      <c r="H670" s="256"/>
      <c r="I670" s="256"/>
      <c r="J670" s="256"/>
      <c r="K670" s="256"/>
      <c r="L670" s="256"/>
      <c r="M670" s="256"/>
      <c r="N670" s="256"/>
      <c r="O670" s="256"/>
      <c r="P670" s="256"/>
      <c r="Q670" s="256"/>
      <c r="R670" s="256"/>
      <c r="S670" s="221"/>
      <c r="T670" s="221"/>
      <c r="U670" s="221"/>
      <c r="V670" s="221"/>
      <c r="W670" s="221"/>
      <c r="X670" s="221"/>
      <c r="Y670" s="221"/>
      <c r="Z670" s="221"/>
    </row>
    <row r="671" customFormat="false" ht="12" hidden="false" customHeight="true" outlineLevel="0" collapsed="false">
      <c r="A671" s="256"/>
      <c r="B671" s="256"/>
      <c r="C671" s="256"/>
      <c r="D671" s="256"/>
      <c r="E671" s="256"/>
      <c r="F671" s="256"/>
      <c r="G671" s="256"/>
      <c r="H671" s="256"/>
      <c r="I671" s="256"/>
      <c r="J671" s="256"/>
      <c r="K671" s="256"/>
      <c r="L671" s="256"/>
      <c r="M671" s="256"/>
      <c r="N671" s="256"/>
      <c r="O671" s="256"/>
      <c r="P671" s="256"/>
      <c r="Q671" s="256"/>
      <c r="R671" s="256"/>
      <c r="S671" s="221"/>
      <c r="T671" s="221"/>
      <c r="U671" s="221"/>
      <c r="V671" s="221"/>
      <c r="W671" s="221"/>
      <c r="X671" s="221"/>
      <c r="Y671" s="221"/>
      <c r="Z671" s="221"/>
    </row>
    <row r="672" customFormat="false" ht="12" hidden="false" customHeight="true" outlineLevel="0" collapsed="false">
      <c r="A672" s="256"/>
      <c r="B672" s="256"/>
      <c r="C672" s="256"/>
      <c r="D672" s="256"/>
      <c r="E672" s="256"/>
      <c r="F672" s="256"/>
      <c r="G672" s="256"/>
      <c r="H672" s="256"/>
      <c r="I672" s="256"/>
      <c r="J672" s="256"/>
      <c r="K672" s="256"/>
      <c r="L672" s="256"/>
      <c r="M672" s="256"/>
      <c r="N672" s="256"/>
      <c r="O672" s="256"/>
      <c r="P672" s="256"/>
      <c r="Q672" s="256"/>
      <c r="R672" s="256"/>
      <c r="S672" s="221"/>
      <c r="T672" s="221"/>
      <c r="U672" s="221"/>
      <c r="V672" s="221"/>
      <c r="W672" s="221"/>
      <c r="X672" s="221"/>
      <c r="Y672" s="221"/>
      <c r="Z672" s="221"/>
    </row>
    <row r="673" customFormat="false" ht="12" hidden="false" customHeight="true" outlineLevel="0" collapsed="false">
      <c r="A673" s="256"/>
      <c r="B673" s="256"/>
      <c r="C673" s="256"/>
      <c r="D673" s="256"/>
      <c r="E673" s="256"/>
      <c r="F673" s="256"/>
      <c r="G673" s="256"/>
      <c r="H673" s="256"/>
      <c r="I673" s="256"/>
      <c r="J673" s="256"/>
      <c r="K673" s="256"/>
      <c r="L673" s="256"/>
      <c r="M673" s="256"/>
      <c r="N673" s="256"/>
      <c r="O673" s="256"/>
      <c r="P673" s="256"/>
      <c r="Q673" s="256"/>
      <c r="R673" s="256"/>
      <c r="S673" s="221"/>
      <c r="T673" s="221"/>
      <c r="U673" s="221"/>
      <c r="V673" s="221"/>
      <c r="W673" s="221"/>
      <c r="X673" s="221"/>
      <c r="Y673" s="221"/>
      <c r="Z673" s="221"/>
    </row>
    <row r="674" customFormat="false" ht="12" hidden="false" customHeight="true" outlineLevel="0" collapsed="false">
      <c r="A674" s="256"/>
      <c r="B674" s="256"/>
      <c r="C674" s="256"/>
      <c r="D674" s="256"/>
      <c r="E674" s="256"/>
      <c r="F674" s="256"/>
      <c r="G674" s="256"/>
      <c r="H674" s="256"/>
      <c r="I674" s="256"/>
      <c r="J674" s="256"/>
      <c r="K674" s="256"/>
      <c r="L674" s="256"/>
      <c r="M674" s="256"/>
      <c r="N674" s="256"/>
      <c r="O674" s="256"/>
      <c r="P674" s="256"/>
      <c r="Q674" s="256"/>
      <c r="R674" s="256"/>
      <c r="S674" s="221"/>
      <c r="T674" s="221"/>
      <c r="U674" s="221"/>
      <c r="V674" s="221"/>
      <c r="W674" s="221"/>
      <c r="X674" s="221"/>
      <c r="Y674" s="221"/>
      <c r="Z674" s="221"/>
    </row>
    <row r="675" customFormat="false" ht="12" hidden="false" customHeight="true" outlineLevel="0" collapsed="false">
      <c r="A675" s="256"/>
      <c r="B675" s="256"/>
      <c r="C675" s="256"/>
      <c r="D675" s="256"/>
      <c r="E675" s="256"/>
      <c r="F675" s="256"/>
      <c r="G675" s="256"/>
      <c r="H675" s="256"/>
      <c r="I675" s="256"/>
      <c r="J675" s="256"/>
      <c r="K675" s="256"/>
      <c r="L675" s="256"/>
      <c r="M675" s="256"/>
      <c r="N675" s="256"/>
      <c r="O675" s="256"/>
      <c r="P675" s="256"/>
      <c r="Q675" s="256"/>
      <c r="R675" s="256"/>
      <c r="S675" s="221"/>
      <c r="T675" s="221"/>
      <c r="U675" s="221"/>
      <c r="V675" s="221"/>
      <c r="W675" s="221"/>
      <c r="X675" s="221"/>
      <c r="Y675" s="221"/>
      <c r="Z675" s="221"/>
    </row>
    <row r="676" customFormat="false" ht="12" hidden="false" customHeight="true" outlineLevel="0" collapsed="false">
      <c r="A676" s="256"/>
      <c r="B676" s="256"/>
      <c r="C676" s="256"/>
      <c r="D676" s="256"/>
      <c r="E676" s="256"/>
      <c r="F676" s="256"/>
      <c r="G676" s="256"/>
      <c r="H676" s="256"/>
      <c r="I676" s="256"/>
      <c r="J676" s="256"/>
      <c r="K676" s="256"/>
      <c r="L676" s="256"/>
      <c r="M676" s="256"/>
      <c r="N676" s="256"/>
      <c r="O676" s="256"/>
      <c r="P676" s="256"/>
      <c r="Q676" s="256"/>
      <c r="R676" s="256"/>
      <c r="S676" s="221"/>
      <c r="T676" s="221"/>
      <c r="U676" s="221"/>
      <c r="V676" s="221"/>
      <c r="W676" s="221"/>
      <c r="X676" s="221"/>
      <c r="Y676" s="221"/>
      <c r="Z676" s="221"/>
    </row>
    <row r="677" customFormat="false" ht="12" hidden="false" customHeight="true" outlineLevel="0" collapsed="false">
      <c r="A677" s="256"/>
      <c r="B677" s="256"/>
      <c r="C677" s="256"/>
      <c r="D677" s="256"/>
      <c r="E677" s="256"/>
      <c r="F677" s="256"/>
      <c r="G677" s="256"/>
      <c r="H677" s="256"/>
      <c r="I677" s="256"/>
      <c r="J677" s="256"/>
      <c r="K677" s="256"/>
      <c r="L677" s="256"/>
      <c r="M677" s="256"/>
      <c r="N677" s="256"/>
      <c r="O677" s="256"/>
      <c r="P677" s="256"/>
      <c r="Q677" s="256"/>
      <c r="R677" s="256"/>
      <c r="S677" s="221"/>
      <c r="T677" s="221"/>
      <c r="U677" s="221"/>
      <c r="V677" s="221"/>
      <c r="W677" s="221"/>
      <c r="X677" s="221"/>
      <c r="Y677" s="221"/>
      <c r="Z677" s="221"/>
    </row>
    <row r="678" customFormat="false" ht="12" hidden="false" customHeight="true" outlineLevel="0" collapsed="false">
      <c r="A678" s="256"/>
      <c r="B678" s="256"/>
      <c r="C678" s="256"/>
      <c r="D678" s="256"/>
      <c r="E678" s="256"/>
      <c r="F678" s="256"/>
      <c r="G678" s="256"/>
      <c r="H678" s="256"/>
      <c r="I678" s="256"/>
      <c r="J678" s="256"/>
      <c r="K678" s="256"/>
      <c r="L678" s="256"/>
      <c r="M678" s="256"/>
      <c r="N678" s="256"/>
      <c r="O678" s="256"/>
      <c r="P678" s="256"/>
      <c r="Q678" s="256"/>
      <c r="R678" s="256"/>
      <c r="S678" s="221"/>
      <c r="T678" s="221"/>
      <c r="U678" s="221"/>
      <c r="V678" s="221"/>
      <c r="W678" s="221"/>
      <c r="X678" s="221"/>
      <c r="Y678" s="221"/>
      <c r="Z678" s="221"/>
    </row>
    <row r="679" customFormat="false" ht="12" hidden="false" customHeight="true" outlineLevel="0" collapsed="false">
      <c r="A679" s="256"/>
      <c r="B679" s="256"/>
      <c r="C679" s="256"/>
      <c r="D679" s="256"/>
      <c r="E679" s="256"/>
      <c r="F679" s="256"/>
      <c r="G679" s="256"/>
      <c r="H679" s="256"/>
      <c r="I679" s="256"/>
      <c r="J679" s="256"/>
      <c r="K679" s="256"/>
      <c r="L679" s="256"/>
      <c r="M679" s="256"/>
      <c r="N679" s="256"/>
      <c r="O679" s="256"/>
      <c r="P679" s="256"/>
      <c r="Q679" s="256"/>
      <c r="R679" s="256"/>
      <c r="S679" s="221"/>
      <c r="T679" s="221"/>
      <c r="U679" s="221"/>
      <c r="V679" s="221"/>
      <c r="W679" s="221"/>
      <c r="X679" s="221"/>
      <c r="Y679" s="221"/>
      <c r="Z679" s="221"/>
    </row>
    <row r="680" customFormat="false" ht="12" hidden="false" customHeight="true" outlineLevel="0" collapsed="false">
      <c r="A680" s="256"/>
      <c r="B680" s="256"/>
      <c r="C680" s="256"/>
      <c r="D680" s="256"/>
      <c r="E680" s="256"/>
      <c r="F680" s="256"/>
      <c r="G680" s="256"/>
      <c r="H680" s="256"/>
      <c r="I680" s="256"/>
      <c r="J680" s="256"/>
      <c r="K680" s="256"/>
      <c r="L680" s="256"/>
      <c r="M680" s="256"/>
      <c r="N680" s="256"/>
      <c r="O680" s="256"/>
      <c r="P680" s="256"/>
      <c r="Q680" s="256"/>
      <c r="R680" s="256"/>
      <c r="S680" s="221"/>
      <c r="T680" s="221"/>
      <c r="U680" s="221"/>
      <c r="V680" s="221"/>
      <c r="W680" s="221"/>
      <c r="X680" s="221"/>
      <c r="Y680" s="221"/>
      <c r="Z680" s="221"/>
    </row>
    <row r="681" customFormat="false" ht="12" hidden="false" customHeight="true" outlineLevel="0" collapsed="false">
      <c r="A681" s="256"/>
      <c r="B681" s="256"/>
      <c r="C681" s="256"/>
      <c r="D681" s="256"/>
      <c r="E681" s="256"/>
      <c r="F681" s="256"/>
      <c r="G681" s="256"/>
      <c r="H681" s="256"/>
      <c r="I681" s="256"/>
      <c r="J681" s="256"/>
      <c r="K681" s="256"/>
      <c r="L681" s="256"/>
      <c r="M681" s="256"/>
      <c r="N681" s="256"/>
      <c r="O681" s="256"/>
      <c r="P681" s="256"/>
      <c r="Q681" s="256"/>
      <c r="R681" s="256"/>
      <c r="S681" s="221"/>
      <c r="T681" s="221"/>
      <c r="U681" s="221"/>
      <c r="V681" s="221"/>
      <c r="W681" s="221"/>
      <c r="X681" s="221"/>
      <c r="Y681" s="221"/>
      <c r="Z681" s="221"/>
    </row>
    <row r="682" customFormat="false" ht="12" hidden="false" customHeight="true" outlineLevel="0" collapsed="false">
      <c r="A682" s="256"/>
      <c r="B682" s="256"/>
      <c r="C682" s="256"/>
      <c r="D682" s="256"/>
      <c r="E682" s="256"/>
      <c r="F682" s="256"/>
      <c r="G682" s="256"/>
      <c r="H682" s="256"/>
      <c r="I682" s="256"/>
      <c r="J682" s="256"/>
      <c r="K682" s="256"/>
      <c r="L682" s="256"/>
      <c r="M682" s="256"/>
      <c r="N682" s="256"/>
      <c r="O682" s="256"/>
      <c r="P682" s="256"/>
      <c r="Q682" s="256"/>
      <c r="R682" s="256"/>
      <c r="S682" s="221"/>
      <c r="T682" s="221"/>
      <c r="U682" s="221"/>
      <c r="V682" s="221"/>
      <c r="W682" s="221"/>
      <c r="X682" s="221"/>
      <c r="Y682" s="221"/>
      <c r="Z682" s="221"/>
    </row>
    <row r="683" customFormat="false" ht="12" hidden="false" customHeight="true" outlineLevel="0" collapsed="false">
      <c r="A683" s="256"/>
      <c r="B683" s="256"/>
      <c r="C683" s="256"/>
      <c r="D683" s="256"/>
      <c r="E683" s="256"/>
      <c r="F683" s="256"/>
      <c r="G683" s="256"/>
      <c r="H683" s="256"/>
      <c r="I683" s="256"/>
      <c r="J683" s="256"/>
      <c r="K683" s="256"/>
      <c r="L683" s="256"/>
      <c r="M683" s="256"/>
      <c r="N683" s="256"/>
      <c r="O683" s="256"/>
      <c r="P683" s="256"/>
      <c r="Q683" s="256"/>
      <c r="R683" s="256"/>
      <c r="S683" s="221"/>
      <c r="T683" s="221"/>
      <c r="U683" s="221"/>
      <c r="V683" s="221"/>
      <c r="W683" s="221"/>
      <c r="X683" s="221"/>
      <c r="Y683" s="221"/>
      <c r="Z683" s="221"/>
    </row>
    <row r="684" customFormat="false" ht="12" hidden="false" customHeight="true" outlineLevel="0" collapsed="false">
      <c r="A684" s="256"/>
      <c r="B684" s="256"/>
      <c r="C684" s="256"/>
      <c r="D684" s="256"/>
      <c r="E684" s="256"/>
      <c r="F684" s="256"/>
      <c r="G684" s="256"/>
      <c r="H684" s="256"/>
      <c r="I684" s="256"/>
      <c r="J684" s="256"/>
      <c r="K684" s="256"/>
      <c r="L684" s="256"/>
      <c r="M684" s="256"/>
      <c r="N684" s="256"/>
      <c r="O684" s="256"/>
      <c r="P684" s="256"/>
      <c r="Q684" s="256"/>
      <c r="R684" s="256"/>
      <c r="S684" s="221"/>
      <c r="T684" s="221"/>
      <c r="U684" s="221"/>
      <c r="V684" s="221"/>
      <c r="W684" s="221"/>
      <c r="X684" s="221"/>
      <c r="Y684" s="221"/>
      <c r="Z684" s="221"/>
    </row>
    <row r="685" customFormat="false" ht="12" hidden="false" customHeight="true" outlineLevel="0" collapsed="false">
      <c r="A685" s="256"/>
      <c r="B685" s="256"/>
      <c r="C685" s="256"/>
      <c r="D685" s="256"/>
      <c r="E685" s="256"/>
      <c r="F685" s="256"/>
      <c r="G685" s="256"/>
      <c r="H685" s="256"/>
      <c r="I685" s="256"/>
      <c r="J685" s="256"/>
      <c r="K685" s="256"/>
      <c r="L685" s="256"/>
      <c r="M685" s="256"/>
      <c r="N685" s="256"/>
      <c r="O685" s="256"/>
      <c r="P685" s="256"/>
      <c r="Q685" s="256"/>
      <c r="R685" s="256"/>
      <c r="S685" s="221"/>
      <c r="T685" s="221"/>
      <c r="U685" s="221"/>
      <c r="V685" s="221"/>
      <c r="W685" s="221"/>
      <c r="X685" s="221"/>
      <c r="Y685" s="221"/>
      <c r="Z685" s="221"/>
    </row>
    <row r="686" customFormat="false" ht="12" hidden="false" customHeight="true" outlineLevel="0" collapsed="false">
      <c r="A686" s="256"/>
      <c r="B686" s="256"/>
      <c r="C686" s="256"/>
      <c r="D686" s="256"/>
      <c r="E686" s="256"/>
      <c r="F686" s="256"/>
      <c r="G686" s="256"/>
      <c r="H686" s="256"/>
      <c r="I686" s="256"/>
      <c r="J686" s="256"/>
      <c r="K686" s="256"/>
      <c r="L686" s="256"/>
      <c r="M686" s="256"/>
      <c r="N686" s="256"/>
      <c r="O686" s="256"/>
      <c r="P686" s="256"/>
      <c r="Q686" s="256"/>
      <c r="R686" s="256"/>
      <c r="S686" s="221"/>
      <c r="T686" s="221"/>
      <c r="U686" s="221"/>
      <c r="V686" s="221"/>
      <c r="W686" s="221"/>
      <c r="X686" s="221"/>
      <c r="Y686" s="221"/>
      <c r="Z686" s="221"/>
    </row>
    <row r="687" customFormat="false" ht="12" hidden="false" customHeight="true" outlineLevel="0" collapsed="false">
      <c r="A687" s="256"/>
      <c r="B687" s="256"/>
      <c r="C687" s="256"/>
      <c r="D687" s="256"/>
      <c r="E687" s="256"/>
      <c r="F687" s="256"/>
      <c r="G687" s="256"/>
      <c r="H687" s="256"/>
      <c r="I687" s="256"/>
      <c r="J687" s="256"/>
      <c r="K687" s="256"/>
      <c r="L687" s="256"/>
      <c r="M687" s="256"/>
      <c r="N687" s="256"/>
      <c r="O687" s="256"/>
      <c r="P687" s="256"/>
      <c r="Q687" s="256"/>
      <c r="R687" s="256"/>
      <c r="S687" s="221"/>
      <c r="T687" s="221"/>
      <c r="U687" s="221"/>
      <c r="V687" s="221"/>
      <c r="W687" s="221"/>
      <c r="X687" s="221"/>
      <c r="Y687" s="221"/>
      <c r="Z687" s="221"/>
    </row>
    <row r="688" customFormat="false" ht="12" hidden="false" customHeight="true" outlineLevel="0" collapsed="false">
      <c r="A688" s="256"/>
      <c r="B688" s="256"/>
      <c r="C688" s="256"/>
      <c r="D688" s="256"/>
      <c r="E688" s="256"/>
      <c r="F688" s="256"/>
      <c r="G688" s="256"/>
      <c r="H688" s="256"/>
      <c r="I688" s="256"/>
      <c r="J688" s="256"/>
      <c r="K688" s="256"/>
      <c r="L688" s="256"/>
      <c r="M688" s="256"/>
      <c r="N688" s="256"/>
      <c r="O688" s="256"/>
      <c r="P688" s="256"/>
      <c r="Q688" s="256"/>
      <c r="R688" s="256"/>
      <c r="S688" s="221"/>
      <c r="T688" s="221"/>
      <c r="U688" s="221"/>
      <c r="V688" s="221"/>
      <c r="W688" s="221"/>
      <c r="X688" s="221"/>
      <c r="Y688" s="221"/>
      <c r="Z688" s="221"/>
    </row>
    <row r="689" customFormat="false" ht="12" hidden="false" customHeight="true" outlineLevel="0" collapsed="false">
      <c r="A689" s="256"/>
      <c r="B689" s="256"/>
      <c r="C689" s="256"/>
      <c r="D689" s="256"/>
      <c r="E689" s="256"/>
      <c r="F689" s="256"/>
      <c r="G689" s="256"/>
      <c r="H689" s="256"/>
      <c r="I689" s="256"/>
      <c r="J689" s="256"/>
      <c r="K689" s="256"/>
      <c r="L689" s="256"/>
      <c r="M689" s="256"/>
      <c r="N689" s="256"/>
      <c r="O689" s="256"/>
      <c r="P689" s="256"/>
      <c r="Q689" s="256"/>
      <c r="R689" s="256"/>
      <c r="S689" s="221"/>
      <c r="T689" s="221"/>
      <c r="U689" s="221"/>
      <c r="V689" s="221"/>
      <c r="W689" s="221"/>
      <c r="X689" s="221"/>
      <c r="Y689" s="221"/>
      <c r="Z689" s="221"/>
    </row>
    <row r="690" customFormat="false" ht="12" hidden="false" customHeight="true" outlineLevel="0" collapsed="false">
      <c r="A690" s="256"/>
      <c r="B690" s="256"/>
      <c r="C690" s="256"/>
      <c r="D690" s="256"/>
      <c r="E690" s="256"/>
      <c r="F690" s="256"/>
      <c r="G690" s="256"/>
      <c r="H690" s="256"/>
      <c r="I690" s="256"/>
      <c r="J690" s="256"/>
      <c r="K690" s="256"/>
      <c r="L690" s="256"/>
      <c r="M690" s="256"/>
      <c r="N690" s="256"/>
      <c r="O690" s="256"/>
      <c r="P690" s="256"/>
      <c r="Q690" s="256"/>
      <c r="R690" s="256"/>
      <c r="S690" s="221"/>
      <c r="T690" s="221"/>
      <c r="U690" s="221"/>
      <c r="V690" s="221"/>
      <c r="W690" s="221"/>
      <c r="X690" s="221"/>
      <c r="Y690" s="221"/>
      <c r="Z690" s="221"/>
    </row>
    <row r="691" customFormat="false" ht="12" hidden="false" customHeight="true" outlineLevel="0" collapsed="false">
      <c r="A691" s="256"/>
      <c r="B691" s="256"/>
      <c r="C691" s="256"/>
      <c r="D691" s="256"/>
      <c r="E691" s="256"/>
      <c r="F691" s="256"/>
      <c r="G691" s="256"/>
      <c r="H691" s="256"/>
      <c r="I691" s="256"/>
      <c r="J691" s="256"/>
      <c r="K691" s="256"/>
      <c r="L691" s="256"/>
      <c r="M691" s="256"/>
      <c r="N691" s="256"/>
      <c r="O691" s="256"/>
      <c r="P691" s="256"/>
      <c r="Q691" s="256"/>
      <c r="R691" s="256"/>
      <c r="S691" s="221"/>
      <c r="T691" s="221"/>
      <c r="U691" s="221"/>
      <c r="V691" s="221"/>
      <c r="W691" s="221"/>
      <c r="X691" s="221"/>
      <c r="Y691" s="221"/>
      <c r="Z691" s="221"/>
    </row>
    <row r="692" customFormat="false" ht="12" hidden="false" customHeight="true" outlineLevel="0" collapsed="false">
      <c r="A692" s="256"/>
      <c r="B692" s="256"/>
      <c r="C692" s="256"/>
      <c r="D692" s="256"/>
      <c r="E692" s="256"/>
      <c r="F692" s="256"/>
      <c r="G692" s="256"/>
      <c r="H692" s="256"/>
      <c r="I692" s="256"/>
      <c r="J692" s="256"/>
      <c r="K692" s="256"/>
      <c r="L692" s="256"/>
      <c r="M692" s="256"/>
      <c r="N692" s="256"/>
      <c r="O692" s="256"/>
      <c r="P692" s="256"/>
      <c r="Q692" s="256"/>
      <c r="R692" s="256"/>
      <c r="S692" s="221"/>
      <c r="T692" s="221"/>
      <c r="U692" s="221"/>
      <c r="V692" s="221"/>
      <c r="W692" s="221"/>
      <c r="X692" s="221"/>
      <c r="Y692" s="221"/>
      <c r="Z692" s="221"/>
    </row>
    <row r="693" customFormat="false" ht="12" hidden="false" customHeight="true" outlineLevel="0" collapsed="false">
      <c r="A693" s="256"/>
      <c r="B693" s="256"/>
      <c r="C693" s="256"/>
      <c r="D693" s="256"/>
      <c r="E693" s="256"/>
      <c r="F693" s="256"/>
      <c r="G693" s="256"/>
      <c r="H693" s="256"/>
      <c r="I693" s="256"/>
      <c r="J693" s="256"/>
      <c r="K693" s="256"/>
      <c r="L693" s="256"/>
      <c r="M693" s="256"/>
      <c r="N693" s="256"/>
      <c r="O693" s="256"/>
      <c r="P693" s="256"/>
      <c r="Q693" s="256"/>
      <c r="R693" s="256"/>
      <c r="S693" s="221"/>
      <c r="T693" s="221"/>
      <c r="U693" s="221"/>
      <c r="V693" s="221"/>
      <c r="W693" s="221"/>
      <c r="X693" s="221"/>
      <c r="Y693" s="221"/>
      <c r="Z693" s="221"/>
    </row>
    <row r="694" customFormat="false" ht="12" hidden="false" customHeight="true" outlineLevel="0" collapsed="false">
      <c r="A694" s="256"/>
      <c r="B694" s="256"/>
      <c r="C694" s="256"/>
      <c r="D694" s="256"/>
      <c r="E694" s="256"/>
      <c r="F694" s="256"/>
      <c r="G694" s="256"/>
      <c r="H694" s="256"/>
      <c r="I694" s="256"/>
      <c r="J694" s="256"/>
      <c r="K694" s="256"/>
      <c r="L694" s="256"/>
      <c r="M694" s="256"/>
      <c r="N694" s="256"/>
      <c r="O694" s="256"/>
      <c r="P694" s="256"/>
      <c r="Q694" s="256"/>
      <c r="R694" s="256"/>
      <c r="S694" s="221"/>
      <c r="T694" s="221"/>
      <c r="U694" s="221"/>
      <c r="V694" s="221"/>
      <c r="W694" s="221"/>
      <c r="X694" s="221"/>
      <c r="Y694" s="221"/>
      <c r="Z694" s="221"/>
    </row>
    <row r="695" customFormat="false" ht="12" hidden="false" customHeight="true" outlineLevel="0" collapsed="false">
      <c r="A695" s="256"/>
      <c r="B695" s="256"/>
      <c r="C695" s="256"/>
      <c r="D695" s="256"/>
      <c r="E695" s="256"/>
      <c r="F695" s="256"/>
      <c r="G695" s="256"/>
      <c r="H695" s="256"/>
      <c r="I695" s="256"/>
      <c r="J695" s="256"/>
      <c r="K695" s="256"/>
      <c r="L695" s="256"/>
      <c r="M695" s="256"/>
      <c r="N695" s="256"/>
      <c r="O695" s="256"/>
      <c r="P695" s="256"/>
      <c r="Q695" s="256"/>
      <c r="R695" s="256"/>
      <c r="S695" s="221"/>
      <c r="T695" s="221"/>
      <c r="U695" s="221"/>
      <c r="V695" s="221"/>
      <c r="W695" s="221"/>
      <c r="X695" s="221"/>
      <c r="Y695" s="221"/>
      <c r="Z695" s="221"/>
    </row>
    <row r="696" customFormat="false" ht="12" hidden="false" customHeight="true" outlineLevel="0" collapsed="false">
      <c r="A696" s="256"/>
      <c r="B696" s="256"/>
      <c r="C696" s="256"/>
      <c r="D696" s="256"/>
      <c r="E696" s="256"/>
      <c r="F696" s="256"/>
      <c r="G696" s="256"/>
      <c r="H696" s="256"/>
      <c r="I696" s="256"/>
      <c r="J696" s="256"/>
      <c r="K696" s="256"/>
      <c r="L696" s="256"/>
      <c r="M696" s="256"/>
      <c r="N696" s="256"/>
      <c r="O696" s="256"/>
      <c r="P696" s="256"/>
      <c r="Q696" s="256"/>
      <c r="R696" s="256"/>
      <c r="S696" s="221"/>
      <c r="T696" s="221"/>
      <c r="U696" s="221"/>
      <c r="V696" s="221"/>
      <c r="W696" s="221"/>
      <c r="X696" s="221"/>
      <c r="Y696" s="221"/>
      <c r="Z696" s="221"/>
    </row>
    <row r="697" customFormat="false" ht="12" hidden="false" customHeight="true" outlineLevel="0" collapsed="false">
      <c r="A697" s="256"/>
      <c r="B697" s="256"/>
      <c r="C697" s="256"/>
      <c r="D697" s="256"/>
      <c r="E697" s="256"/>
      <c r="F697" s="256"/>
      <c r="G697" s="256"/>
      <c r="H697" s="256"/>
      <c r="I697" s="256"/>
      <c r="J697" s="256"/>
      <c r="K697" s="256"/>
      <c r="L697" s="256"/>
      <c r="M697" s="256"/>
      <c r="N697" s="256"/>
      <c r="O697" s="256"/>
      <c r="P697" s="256"/>
      <c r="Q697" s="256"/>
      <c r="R697" s="256"/>
      <c r="S697" s="221"/>
      <c r="T697" s="221"/>
      <c r="U697" s="221"/>
      <c r="V697" s="221"/>
      <c r="W697" s="221"/>
      <c r="X697" s="221"/>
      <c r="Y697" s="221"/>
      <c r="Z697" s="221"/>
    </row>
    <row r="698" customFormat="false" ht="12" hidden="false" customHeight="true" outlineLevel="0" collapsed="false">
      <c r="A698" s="256"/>
      <c r="B698" s="256"/>
      <c r="C698" s="256"/>
      <c r="D698" s="256"/>
      <c r="E698" s="256"/>
      <c r="F698" s="256"/>
      <c r="G698" s="256"/>
      <c r="H698" s="256"/>
      <c r="I698" s="256"/>
      <c r="J698" s="256"/>
      <c r="K698" s="256"/>
      <c r="L698" s="256"/>
      <c r="M698" s="256"/>
      <c r="N698" s="256"/>
      <c r="O698" s="256"/>
      <c r="P698" s="256"/>
      <c r="Q698" s="256"/>
      <c r="R698" s="256"/>
      <c r="S698" s="221"/>
      <c r="T698" s="221"/>
      <c r="U698" s="221"/>
      <c r="V698" s="221"/>
      <c r="W698" s="221"/>
      <c r="X698" s="221"/>
      <c r="Y698" s="221"/>
      <c r="Z698" s="221"/>
    </row>
    <row r="699" customFormat="false" ht="12" hidden="false" customHeight="true" outlineLevel="0" collapsed="false">
      <c r="A699" s="256"/>
      <c r="B699" s="256"/>
      <c r="C699" s="256"/>
      <c r="D699" s="256"/>
      <c r="E699" s="256"/>
      <c r="F699" s="256"/>
      <c r="G699" s="256"/>
      <c r="H699" s="256"/>
      <c r="I699" s="256"/>
      <c r="J699" s="256"/>
      <c r="K699" s="256"/>
      <c r="L699" s="256"/>
      <c r="M699" s="256"/>
      <c r="N699" s="256"/>
      <c r="O699" s="256"/>
      <c r="P699" s="256"/>
      <c r="Q699" s="256"/>
      <c r="R699" s="256"/>
      <c r="S699" s="221"/>
      <c r="T699" s="221"/>
      <c r="U699" s="221"/>
      <c r="V699" s="221"/>
      <c r="W699" s="221"/>
      <c r="X699" s="221"/>
      <c r="Y699" s="221"/>
      <c r="Z699" s="221"/>
    </row>
    <row r="700" customFormat="false" ht="12" hidden="false" customHeight="true" outlineLevel="0" collapsed="false">
      <c r="A700" s="256"/>
      <c r="B700" s="256"/>
      <c r="C700" s="256"/>
      <c r="D700" s="256"/>
      <c r="E700" s="256"/>
      <c r="F700" s="256"/>
      <c r="G700" s="256"/>
      <c r="H700" s="256"/>
      <c r="I700" s="256"/>
      <c r="J700" s="256"/>
      <c r="K700" s="256"/>
      <c r="L700" s="256"/>
      <c r="M700" s="256"/>
      <c r="N700" s="256"/>
      <c r="O700" s="256"/>
      <c r="P700" s="256"/>
      <c r="Q700" s="256"/>
      <c r="R700" s="256"/>
      <c r="S700" s="221"/>
      <c r="T700" s="221"/>
      <c r="U700" s="221"/>
      <c r="V700" s="221"/>
      <c r="W700" s="221"/>
      <c r="X700" s="221"/>
      <c r="Y700" s="221"/>
      <c r="Z700" s="221"/>
    </row>
    <row r="701" customFormat="false" ht="12" hidden="false" customHeight="true" outlineLevel="0" collapsed="false">
      <c r="A701" s="256"/>
      <c r="B701" s="256"/>
      <c r="C701" s="256"/>
      <c r="D701" s="256"/>
      <c r="E701" s="256"/>
      <c r="F701" s="256"/>
      <c r="G701" s="256"/>
      <c r="H701" s="256"/>
      <c r="I701" s="256"/>
      <c r="J701" s="256"/>
      <c r="K701" s="256"/>
      <c r="L701" s="256"/>
      <c r="M701" s="256"/>
      <c r="N701" s="256"/>
      <c r="O701" s="256"/>
      <c r="P701" s="256"/>
      <c r="Q701" s="256"/>
      <c r="R701" s="256"/>
      <c r="S701" s="221"/>
      <c r="T701" s="221"/>
      <c r="U701" s="221"/>
      <c r="V701" s="221"/>
      <c r="W701" s="221"/>
      <c r="X701" s="221"/>
      <c r="Y701" s="221"/>
      <c r="Z701" s="221"/>
    </row>
    <row r="702" customFormat="false" ht="12" hidden="false" customHeight="true" outlineLevel="0" collapsed="false">
      <c r="A702" s="256"/>
      <c r="B702" s="256"/>
      <c r="C702" s="256"/>
      <c r="D702" s="256"/>
      <c r="E702" s="256"/>
      <c r="F702" s="256"/>
      <c r="G702" s="256"/>
      <c r="H702" s="256"/>
      <c r="I702" s="256"/>
      <c r="J702" s="256"/>
      <c r="K702" s="256"/>
      <c r="L702" s="256"/>
      <c r="M702" s="256"/>
      <c r="N702" s="256"/>
      <c r="O702" s="256"/>
      <c r="P702" s="256"/>
      <c r="Q702" s="256"/>
      <c r="R702" s="256"/>
      <c r="S702" s="221"/>
      <c r="T702" s="221"/>
      <c r="U702" s="221"/>
      <c r="V702" s="221"/>
      <c r="W702" s="221"/>
      <c r="X702" s="221"/>
      <c r="Y702" s="221"/>
      <c r="Z702" s="221"/>
    </row>
    <row r="703" customFormat="false" ht="12" hidden="false" customHeight="true" outlineLevel="0" collapsed="false">
      <c r="A703" s="256"/>
      <c r="B703" s="256"/>
      <c r="C703" s="256"/>
      <c r="D703" s="256"/>
      <c r="E703" s="256"/>
      <c r="F703" s="256"/>
      <c r="G703" s="256"/>
      <c r="H703" s="256"/>
      <c r="I703" s="256"/>
      <c r="J703" s="256"/>
      <c r="K703" s="256"/>
      <c r="L703" s="256"/>
      <c r="M703" s="256"/>
      <c r="N703" s="256"/>
      <c r="O703" s="256"/>
      <c r="P703" s="256"/>
      <c r="Q703" s="256"/>
      <c r="R703" s="256"/>
      <c r="S703" s="221"/>
      <c r="T703" s="221"/>
      <c r="U703" s="221"/>
      <c r="V703" s="221"/>
      <c r="W703" s="221"/>
      <c r="X703" s="221"/>
      <c r="Y703" s="221"/>
      <c r="Z703" s="221"/>
    </row>
    <row r="704" customFormat="false" ht="12" hidden="false" customHeight="true" outlineLevel="0" collapsed="false">
      <c r="A704" s="256"/>
      <c r="B704" s="256"/>
      <c r="C704" s="256"/>
      <c r="D704" s="256"/>
      <c r="E704" s="256"/>
      <c r="F704" s="256"/>
      <c r="G704" s="256"/>
      <c r="H704" s="256"/>
      <c r="I704" s="256"/>
      <c r="J704" s="256"/>
      <c r="K704" s="256"/>
      <c r="L704" s="256"/>
      <c r="M704" s="256"/>
      <c r="N704" s="256"/>
      <c r="O704" s="256"/>
      <c r="P704" s="256"/>
      <c r="Q704" s="256"/>
      <c r="R704" s="256"/>
      <c r="S704" s="221"/>
      <c r="T704" s="221"/>
      <c r="U704" s="221"/>
      <c r="V704" s="221"/>
      <c r="W704" s="221"/>
      <c r="X704" s="221"/>
      <c r="Y704" s="221"/>
      <c r="Z704" s="221"/>
    </row>
    <row r="705" customFormat="false" ht="12" hidden="false" customHeight="true" outlineLevel="0" collapsed="false">
      <c r="A705" s="256"/>
      <c r="B705" s="256"/>
      <c r="C705" s="256"/>
      <c r="D705" s="256"/>
      <c r="E705" s="256"/>
      <c r="F705" s="256"/>
      <c r="G705" s="256"/>
      <c r="H705" s="256"/>
      <c r="I705" s="256"/>
      <c r="J705" s="256"/>
      <c r="K705" s="256"/>
      <c r="L705" s="256"/>
      <c r="M705" s="256"/>
      <c r="N705" s="256"/>
      <c r="O705" s="256"/>
      <c r="P705" s="256"/>
      <c r="Q705" s="256"/>
      <c r="R705" s="256"/>
      <c r="S705" s="221"/>
      <c r="T705" s="221"/>
      <c r="U705" s="221"/>
      <c r="V705" s="221"/>
      <c r="W705" s="221"/>
      <c r="X705" s="221"/>
      <c r="Y705" s="221"/>
      <c r="Z705" s="221"/>
    </row>
    <row r="706" customFormat="false" ht="12" hidden="false" customHeight="true" outlineLevel="0" collapsed="false">
      <c r="A706" s="256"/>
      <c r="B706" s="256"/>
      <c r="C706" s="256"/>
      <c r="D706" s="256"/>
      <c r="E706" s="256"/>
      <c r="F706" s="256"/>
      <c r="G706" s="256"/>
      <c r="H706" s="256"/>
      <c r="I706" s="256"/>
      <c r="J706" s="256"/>
      <c r="K706" s="256"/>
      <c r="L706" s="256"/>
      <c r="M706" s="256"/>
      <c r="N706" s="256"/>
      <c r="O706" s="256"/>
      <c r="P706" s="256"/>
      <c r="Q706" s="256"/>
      <c r="R706" s="256"/>
      <c r="S706" s="221"/>
      <c r="T706" s="221"/>
      <c r="U706" s="221"/>
      <c r="V706" s="221"/>
      <c r="W706" s="221"/>
      <c r="X706" s="221"/>
      <c r="Y706" s="221"/>
      <c r="Z706" s="221"/>
    </row>
    <row r="707" customFormat="false" ht="12" hidden="false" customHeight="true" outlineLevel="0" collapsed="false">
      <c r="A707" s="256"/>
      <c r="B707" s="256"/>
      <c r="C707" s="256"/>
      <c r="D707" s="256"/>
      <c r="E707" s="256"/>
      <c r="F707" s="256"/>
      <c r="G707" s="256"/>
      <c r="H707" s="256"/>
      <c r="I707" s="256"/>
      <c r="J707" s="256"/>
      <c r="K707" s="256"/>
      <c r="L707" s="256"/>
      <c r="M707" s="256"/>
      <c r="N707" s="256"/>
      <c r="O707" s="256"/>
      <c r="P707" s="256"/>
      <c r="Q707" s="256"/>
      <c r="R707" s="256"/>
      <c r="S707" s="221"/>
      <c r="T707" s="221"/>
      <c r="U707" s="221"/>
      <c r="V707" s="221"/>
      <c r="W707" s="221"/>
      <c r="X707" s="221"/>
      <c r="Y707" s="221"/>
      <c r="Z707" s="221"/>
    </row>
    <row r="708" customFormat="false" ht="12" hidden="false" customHeight="true" outlineLevel="0" collapsed="false">
      <c r="A708" s="256"/>
      <c r="B708" s="256"/>
      <c r="C708" s="256"/>
      <c r="D708" s="256"/>
      <c r="E708" s="256"/>
      <c r="F708" s="256"/>
      <c r="G708" s="256"/>
      <c r="H708" s="256"/>
      <c r="I708" s="256"/>
      <c r="J708" s="256"/>
      <c r="K708" s="256"/>
      <c r="L708" s="256"/>
      <c r="M708" s="256"/>
      <c r="N708" s="256"/>
      <c r="O708" s="256"/>
      <c r="P708" s="256"/>
      <c r="Q708" s="256"/>
      <c r="R708" s="256"/>
      <c r="S708" s="221"/>
      <c r="T708" s="221"/>
      <c r="U708" s="221"/>
      <c r="V708" s="221"/>
      <c r="W708" s="221"/>
      <c r="X708" s="221"/>
      <c r="Y708" s="221"/>
      <c r="Z708" s="221"/>
    </row>
    <row r="709" customFormat="false" ht="12" hidden="false" customHeight="true" outlineLevel="0" collapsed="false">
      <c r="A709" s="256"/>
      <c r="B709" s="256"/>
      <c r="C709" s="256"/>
      <c r="D709" s="256"/>
      <c r="E709" s="256"/>
      <c r="F709" s="256"/>
      <c r="G709" s="256"/>
      <c r="H709" s="256"/>
      <c r="I709" s="256"/>
      <c r="J709" s="256"/>
      <c r="K709" s="256"/>
      <c r="L709" s="256"/>
      <c r="M709" s="256"/>
      <c r="N709" s="256"/>
      <c r="O709" s="256"/>
      <c r="P709" s="256"/>
      <c r="Q709" s="256"/>
      <c r="R709" s="256"/>
      <c r="S709" s="221"/>
      <c r="T709" s="221"/>
      <c r="U709" s="221"/>
      <c r="V709" s="221"/>
      <c r="W709" s="221"/>
      <c r="X709" s="221"/>
      <c r="Y709" s="221"/>
      <c r="Z709" s="221"/>
    </row>
    <row r="710" customFormat="false" ht="12" hidden="false" customHeight="true" outlineLevel="0" collapsed="false">
      <c r="A710" s="256"/>
      <c r="B710" s="256"/>
      <c r="C710" s="256"/>
      <c r="D710" s="256"/>
      <c r="E710" s="256"/>
      <c r="F710" s="256"/>
      <c r="G710" s="256"/>
      <c r="H710" s="256"/>
      <c r="I710" s="256"/>
      <c r="J710" s="256"/>
      <c r="K710" s="256"/>
      <c r="L710" s="256"/>
      <c r="M710" s="256"/>
      <c r="N710" s="256"/>
      <c r="O710" s="256"/>
      <c r="P710" s="256"/>
      <c r="Q710" s="256"/>
      <c r="R710" s="256"/>
      <c r="S710" s="221"/>
      <c r="T710" s="221"/>
      <c r="U710" s="221"/>
      <c r="V710" s="221"/>
      <c r="W710" s="221"/>
      <c r="X710" s="221"/>
      <c r="Y710" s="221"/>
      <c r="Z710" s="221"/>
    </row>
    <row r="711" customFormat="false" ht="12" hidden="false" customHeight="true" outlineLevel="0" collapsed="false">
      <c r="A711" s="256"/>
      <c r="B711" s="256"/>
      <c r="C711" s="256"/>
      <c r="D711" s="256"/>
      <c r="E711" s="256"/>
      <c r="F711" s="256"/>
      <c r="G711" s="256"/>
      <c r="H711" s="256"/>
      <c r="I711" s="256"/>
      <c r="J711" s="256"/>
      <c r="K711" s="256"/>
      <c r="L711" s="256"/>
      <c r="M711" s="256"/>
      <c r="N711" s="256"/>
      <c r="O711" s="256"/>
      <c r="P711" s="256"/>
      <c r="Q711" s="256"/>
      <c r="R711" s="256"/>
      <c r="S711" s="221"/>
      <c r="T711" s="221"/>
      <c r="U711" s="221"/>
      <c r="V711" s="221"/>
      <c r="W711" s="221"/>
      <c r="X711" s="221"/>
      <c r="Y711" s="221"/>
      <c r="Z711" s="221"/>
    </row>
    <row r="712" customFormat="false" ht="12" hidden="false" customHeight="true" outlineLevel="0" collapsed="false">
      <c r="A712" s="256"/>
      <c r="B712" s="256"/>
      <c r="C712" s="256"/>
      <c r="D712" s="256"/>
      <c r="E712" s="256"/>
      <c r="F712" s="256"/>
      <c r="G712" s="256"/>
      <c r="H712" s="256"/>
      <c r="I712" s="256"/>
      <c r="J712" s="256"/>
      <c r="K712" s="256"/>
      <c r="L712" s="256"/>
      <c r="M712" s="256"/>
      <c r="N712" s="256"/>
      <c r="O712" s="256"/>
      <c r="P712" s="256"/>
      <c r="Q712" s="256"/>
      <c r="R712" s="256"/>
      <c r="S712" s="221"/>
      <c r="T712" s="221"/>
      <c r="U712" s="221"/>
      <c r="V712" s="221"/>
      <c r="W712" s="221"/>
      <c r="X712" s="221"/>
      <c r="Y712" s="221"/>
      <c r="Z712" s="221"/>
    </row>
    <row r="713" customFormat="false" ht="12" hidden="false" customHeight="true" outlineLevel="0" collapsed="false">
      <c r="A713" s="256"/>
      <c r="B713" s="256"/>
      <c r="C713" s="256"/>
      <c r="D713" s="256"/>
      <c r="E713" s="256"/>
      <c r="F713" s="256"/>
      <c r="G713" s="256"/>
      <c r="H713" s="256"/>
      <c r="I713" s="256"/>
      <c r="J713" s="256"/>
      <c r="K713" s="256"/>
      <c r="L713" s="256"/>
      <c r="M713" s="256"/>
      <c r="N713" s="256"/>
      <c r="O713" s="256"/>
      <c r="P713" s="256"/>
      <c r="Q713" s="256"/>
      <c r="R713" s="256"/>
      <c r="S713" s="221"/>
      <c r="T713" s="221"/>
      <c r="U713" s="221"/>
      <c r="V713" s="221"/>
      <c r="W713" s="221"/>
      <c r="X713" s="221"/>
      <c r="Y713" s="221"/>
      <c r="Z713" s="221"/>
    </row>
    <row r="714" customFormat="false" ht="12" hidden="false" customHeight="true" outlineLevel="0" collapsed="false">
      <c r="A714" s="256"/>
      <c r="B714" s="256"/>
      <c r="C714" s="256"/>
      <c r="D714" s="256"/>
      <c r="E714" s="256"/>
      <c r="F714" s="256"/>
      <c r="G714" s="256"/>
      <c r="H714" s="256"/>
      <c r="I714" s="256"/>
      <c r="J714" s="256"/>
      <c r="K714" s="256"/>
      <c r="L714" s="256"/>
      <c r="M714" s="256"/>
      <c r="N714" s="256"/>
      <c r="O714" s="256"/>
      <c r="P714" s="256"/>
      <c r="Q714" s="256"/>
      <c r="R714" s="256"/>
      <c r="S714" s="221"/>
      <c r="T714" s="221"/>
      <c r="U714" s="221"/>
      <c r="V714" s="221"/>
      <c r="W714" s="221"/>
      <c r="X714" s="221"/>
      <c r="Y714" s="221"/>
      <c r="Z714" s="221"/>
    </row>
    <row r="715" customFormat="false" ht="12" hidden="false" customHeight="true" outlineLevel="0" collapsed="false">
      <c r="A715" s="256"/>
      <c r="B715" s="256"/>
      <c r="C715" s="256"/>
      <c r="D715" s="256"/>
      <c r="E715" s="256"/>
      <c r="F715" s="256"/>
      <c r="G715" s="256"/>
      <c r="H715" s="256"/>
      <c r="I715" s="256"/>
      <c r="J715" s="256"/>
      <c r="K715" s="256"/>
      <c r="L715" s="256"/>
      <c r="M715" s="256"/>
      <c r="N715" s="256"/>
      <c r="O715" s="256"/>
      <c r="P715" s="256"/>
      <c r="Q715" s="256"/>
      <c r="R715" s="256"/>
      <c r="S715" s="221"/>
      <c r="T715" s="221"/>
      <c r="U715" s="221"/>
      <c r="V715" s="221"/>
      <c r="W715" s="221"/>
      <c r="X715" s="221"/>
      <c r="Y715" s="221"/>
      <c r="Z715" s="221"/>
    </row>
    <row r="716" customFormat="false" ht="12" hidden="false" customHeight="true" outlineLevel="0" collapsed="false">
      <c r="A716" s="256"/>
      <c r="B716" s="256"/>
      <c r="C716" s="256"/>
      <c r="D716" s="256"/>
      <c r="E716" s="256"/>
      <c r="F716" s="256"/>
      <c r="G716" s="256"/>
      <c r="H716" s="256"/>
      <c r="I716" s="256"/>
      <c r="J716" s="256"/>
      <c r="K716" s="256"/>
      <c r="L716" s="256"/>
      <c r="M716" s="256"/>
      <c r="N716" s="256"/>
      <c r="O716" s="256"/>
      <c r="P716" s="256"/>
      <c r="Q716" s="256"/>
      <c r="R716" s="256"/>
      <c r="S716" s="221"/>
      <c r="T716" s="221"/>
      <c r="U716" s="221"/>
      <c r="V716" s="221"/>
      <c r="W716" s="221"/>
      <c r="X716" s="221"/>
      <c r="Y716" s="221"/>
      <c r="Z716" s="221"/>
    </row>
    <row r="717" customFormat="false" ht="12" hidden="false" customHeight="true" outlineLevel="0" collapsed="false">
      <c r="A717" s="256"/>
      <c r="B717" s="256"/>
      <c r="C717" s="256"/>
      <c r="D717" s="256"/>
      <c r="E717" s="256"/>
      <c r="F717" s="256"/>
      <c r="G717" s="256"/>
      <c r="H717" s="256"/>
      <c r="I717" s="256"/>
      <c r="J717" s="256"/>
      <c r="K717" s="256"/>
      <c r="L717" s="256"/>
      <c r="M717" s="256"/>
      <c r="N717" s="256"/>
      <c r="O717" s="256"/>
      <c r="P717" s="256"/>
      <c r="Q717" s="256"/>
      <c r="R717" s="256"/>
      <c r="S717" s="221"/>
      <c r="T717" s="221"/>
      <c r="U717" s="221"/>
      <c r="V717" s="221"/>
      <c r="W717" s="221"/>
      <c r="X717" s="221"/>
      <c r="Y717" s="221"/>
      <c r="Z717" s="221"/>
    </row>
    <row r="718" customFormat="false" ht="12" hidden="false" customHeight="true" outlineLevel="0" collapsed="false">
      <c r="A718" s="256"/>
      <c r="B718" s="256"/>
      <c r="C718" s="256"/>
      <c r="D718" s="256"/>
      <c r="E718" s="256"/>
      <c r="F718" s="256"/>
      <c r="G718" s="256"/>
      <c r="H718" s="256"/>
      <c r="I718" s="256"/>
      <c r="J718" s="256"/>
      <c r="K718" s="256"/>
      <c r="L718" s="256"/>
      <c r="M718" s="256"/>
      <c r="N718" s="256"/>
      <c r="O718" s="256"/>
      <c r="P718" s="256"/>
      <c r="Q718" s="256"/>
      <c r="R718" s="256"/>
      <c r="S718" s="221"/>
      <c r="T718" s="221"/>
      <c r="U718" s="221"/>
      <c r="V718" s="221"/>
      <c r="W718" s="221"/>
      <c r="X718" s="221"/>
      <c r="Y718" s="221"/>
      <c r="Z718" s="221"/>
    </row>
    <row r="719" customFormat="false" ht="12" hidden="false" customHeight="true" outlineLevel="0" collapsed="false">
      <c r="A719" s="256"/>
      <c r="B719" s="256"/>
      <c r="C719" s="256"/>
      <c r="D719" s="256"/>
      <c r="E719" s="256"/>
      <c r="F719" s="256"/>
      <c r="G719" s="256"/>
      <c r="H719" s="256"/>
      <c r="I719" s="256"/>
      <c r="J719" s="256"/>
      <c r="K719" s="256"/>
      <c r="L719" s="256"/>
      <c r="M719" s="256"/>
      <c r="N719" s="256"/>
      <c r="O719" s="256"/>
      <c r="P719" s="256"/>
      <c r="Q719" s="256"/>
      <c r="R719" s="256"/>
      <c r="S719" s="221"/>
      <c r="T719" s="221"/>
      <c r="U719" s="221"/>
      <c r="V719" s="221"/>
      <c r="W719" s="221"/>
      <c r="X719" s="221"/>
      <c r="Y719" s="221"/>
      <c r="Z719" s="221"/>
    </row>
    <row r="720" customFormat="false" ht="12" hidden="false" customHeight="true" outlineLevel="0" collapsed="false">
      <c r="A720" s="256"/>
      <c r="B720" s="256"/>
      <c r="C720" s="256"/>
      <c r="D720" s="256"/>
      <c r="E720" s="256"/>
      <c r="F720" s="256"/>
      <c r="G720" s="256"/>
      <c r="H720" s="256"/>
      <c r="I720" s="256"/>
      <c r="J720" s="256"/>
      <c r="K720" s="256"/>
      <c r="L720" s="256"/>
      <c r="M720" s="256"/>
      <c r="N720" s="256"/>
      <c r="O720" s="256"/>
      <c r="P720" s="256"/>
      <c r="Q720" s="256"/>
      <c r="R720" s="256"/>
      <c r="S720" s="221"/>
      <c r="T720" s="221"/>
      <c r="U720" s="221"/>
      <c r="V720" s="221"/>
      <c r="W720" s="221"/>
      <c r="X720" s="221"/>
      <c r="Y720" s="221"/>
      <c r="Z720" s="221"/>
    </row>
    <row r="721" customFormat="false" ht="12" hidden="false" customHeight="true" outlineLevel="0" collapsed="false">
      <c r="A721" s="256"/>
      <c r="B721" s="256"/>
      <c r="C721" s="256"/>
      <c r="D721" s="256"/>
      <c r="E721" s="256"/>
      <c r="F721" s="256"/>
      <c r="G721" s="256"/>
      <c r="H721" s="256"/>
      <c r="I721" s="256"/>
      <c r="J721" s="256"/>
      <c r="K721" s="256"/>
      <c r="L721" s="256"/>
      <c r="M721" s="256"/>
      <c r="N721" s="256"/>
      <c r="O721" s="256"/>
      <c r="P721" s="256"/>
      <c r="Q721" s="256"/>
      <c r="R721" s="256"/>
      <c r="S721" s="221"/>
      <c r="T721" s="221"/>
      <c r="U721" s="221"/>
      <c r="V721" s="221"/>
      <c r="W721" s="221"/>
      <c r="X721" s="221"/>
      <c r="Y721" s="221"/>
      <c r="Z721" s="221"/>
    </row>
    <row r="722" customFormat="false" ht="12" hidden="false" customHeight="true" outlineLevel="0" collapsed="false">
      <c r="A722" s="256"/>
      <c r="B722" s="256"/>
      <c r="C722" s="256"/>
      <c r="D722" s="256"/>
      <c r="E722" s="256"/>
      <c r="F722" s="256"/>
      <c r="G722" s="256"/>
      <c r="H722" s="256"/>
      <c r="I722" s="256"/>
      <c r="J722" s="256"/>
      <c r="K722" s="256"/>
      <c r="L722" s="256"/>
      <c r="M722" s="256"/>
      <c r="N722" s="256"/>
      <c r="O722" s="256"/>
      <c r="P722" s="256"/>
      <c r="Q722" s="256"/>
      <c r="R722" s="256"/>
      <c r="S722" s="221"/>
      <c r="T722" s="221"/>
      <c r="U722" s="221"/>
      <c r="V722" s="221"/>
      <c r="W722" s="221"/>
      <c r="X722" s="221"/>
      <c r="Y722" s="221"/>
      <c r="Z722" s="221"/>
    </row>
    <row r="723" customFormat="false" ht="12" hidden="false" customHeight="true" outlineLevel="0" collapsed="false">
      <c r="A723" s="256"/>
      <c r="B723" s="256"/>
      <c r="C723" s="256"/>
      <c r="D723" s="256"/>
      <c r="E723" s="256"/>
      <c r="F723" s="256"/>
      <c r="G723" s="256"/>
      <c r="H723" s="256"/>
      <c r="I723" s="256"/>
      <c r="J723" s="256"/>
      <c r="K723" s="256"/>
      <c r="L723" s="256"/>
      <c r="M723" s="256"/>
      <c r="N723" s="256"/>
      <c r="O723" s="256"/>
      <c r="P723" s="256"/>
      <c r="Q723" s="256"/>
      <c r="R723" s="256"/>
      <c r="S723" s="221"/>
      <c r="T723" s="221"/>
      <c r="U723" s="221"/>
      <c r="V723" s="221"/>
      <c r="W723" s="221"/>
      <c r="X723" s="221"/>
      <c r="Y723" s="221"/>
      <c r="Z723" s="221"/>
    </row>
    <row r="724" customFormat="false" ht="12" hidden="false" customHeight="true" outlineLevel="0" collapsed="false">
      <c r="A724" s="256"/>
      <c r="B724" s="256"/>
      <c r="C724" s="256"/>
      <c r="D724" s="256"/>
      <c r="E724" s="256"/>
      <c r="F724" s="256"/>
      <c r="G724" s="256"/>
      <c r="H724" s="256"/>
      <c r="I724" s="256"/>
      <c r="J724" s="256"/>
      <c r="K724" s="256"/>
      <c r="L724" s="256"/>
      <c r="M724" s="256"/>
      <c r="N724" s="256"/>
      <c r="O724" s="256"/>
      <c r="P724" s="256"/>
      <c r="Q724" s="256"/>
      <c r="R724" s="256"/>
      <c r="S724" s="221"/>
      <c r="T724" s="221"/>
      <c r="U724" s="221"/>
      <c r="V724" s="221"/>
      <c r="W724" s="221"/>
      <c r="X724" s="221"/>
      <c r="Y724" s="221"/>
      <c r="Z724" s="221"/>
    </row>
    <row r="725" customFormat="false" ht="12" hidden="false" customHeight="true" outlineLevel="0" collapsed="false">
      <c r="A725" s="256"/>
      <c r="B725" s="256"/>
      <c r="C725" s="256"/>
      <c r="D725" s="256"/>
      <c r="E725" s="256"/>
      <c r="F725" s="256"/>
      <c r="G725" s="256"/>
      <c r="H725" s="256"/>
      <c r="I725" s="256"/>
      <c r="J725" s="256"/>
      <c r="K725" s="256"/>
      <c r="L725" s="256"/>
      <c r="M725" s="256"/>
      <c r="N725" s="256"/>
      <c r="O725" s="256"/>
      <c r="P725" s="256"/>
      <c r="Q725" s="256"/>
      <c r="R725" s="256"/>
      <c r="S725" s="221"/>
      <c r="T725" s="221"/>
      <c r="U725" s="221"/>
      <c r="V725" s="221"/>
      <c r="W725" s="221"/>
      <c r="X725" s="221"/>
      <c r="Y725" s="221"/>
      <c r="Z725" s="221"/>
    </row>
    <row r="726" customFormat="false" ht="12" hidden="false" customHeight="true" outlineLevel="0" collapsed="false">
      <c r="A726" s="256"/>
      <c r="B726" s="256"/>
      <c r="C726" s="256"/>
      <c r="D726" s="256"/>
      <c r="E726" s="256"/>
      <c r="F726" s="256"/>
      <c r="G726" s="256"/>
      <c r="H726" s="256"/>
      <c r="I726" s="256"/>
      <c r="J726" s="256"/>
      <c r="K726" s="256"/>
      <c r="L726" s="256"/>
      <c r="M726" s="256"/>
      <c r="N726" s="256"/>
      <c r="O726" s="256"/>
      <c r="P726" s="256"/>
      <c r="Q726" s="256"/>
      <c r="R726" s="256"/>
      <c r="S726" s="221"/>
      <c r="T726" s="221"/>
      <c r="U726" s="221"/>
      <c r="V726" s="221"/>
      <c r="W726" s="221"/>
      <c r="X726" s="221"/>
      <c r="Y726" s="221"/>
      <c r="Z726" s="221"/>
    </row>
    <row r="727" customFormat="false" ht="12" hidden="false" customHeight="true" outlineLevel="0" collapsed="false">
      <c r="A727" s="256"/>
      <c r="B727" s="256"/>
      <c r="C727" s="256"/>
      <c r="D727" s="256"/>
      <c r="E727" s="256"/>
      <c r="F727" s="256"/>
      <c r="G727" s="256"/>
      <c r="H727" s="256"/>
      <c r="I727" s="256"/>
      <c r="J727" s="256"/>
      <c r="K727" s="256"/>
      <c r="L727" s="256"/>
      <c r="M727" s="256"/>
      <c r="N727" s="256"/>
      <c r="O727" s="256"/>
      <c r="P727" s="256"/>
      <c r="Q727" s="256"/>
      <c r="R727" s="256"/>
      <c r="S727" s="221"/>
      <c r="T727" s="221"/>
      <c r="U727" s="221"/>
      <c r="V727" s="221"/>
      <c r="W727" s="221"/>
      <c r="X727" s="221"/>
      <c r="Y727" s="221"/>
      <c r="Z727" s="221"/>
    </row>
    <row r="728" customFormat="false" ht="12" hidden="false" customHeight="true" outlineLevel="0" collapsed="false">
      <c r="A728" s="256"/>
      <c r="B728" s="256"/>
      <c r="C728" s="256"/>
      <c r="D728" s="256"/>
      <c r="E728" s="256"/>
      <c r="F728" s="256"/>
      <c r="G728" s="256"/>
      <c r="H728" s="256"/>
      <c r="I728" s="256"/>
      <c r="J728" s="256"/>
      <c r="K728" s="256"/>
      <c r="L728" s="256"/>
      <c r="M728" s="256"/>
      <c r="N728" s="256"/>
      <c r="O728" s="256"/>
      <c r="P728" s="256"/>
      <c r="Q728" s="256"/>
      <c r="R728" s="256"/>
      <c r="S728" s="221"/>
      <c r="T728" s="221"/>
      <c r="U728" s="221"/>
      <c r="V728" s="221"/>
      <c r="W728" s="221"/>
      <c r="X728" s="221"/>
      <c r="Y728" s="221"/>
      <c r="Z728" s="221"/>
    </row>
    <row r="729" customFormat="false" ht="12" hidden="false" customHeight="true" outlineLevel="0" collapsed="false">
      <c r="A729" s="256"/>
      <c r="B729" s="256"/>
      <c r="C729" s="256"/>
      <c r="D729" s="256"/>
      <c r="E729" s="256"/>
      <c r="F729" s="256"/>
      <c r="G729" s="256"/>
      <c r="H729" s="256"/>
      <c r="I729" s="256"/>
      <c r="J729" s="256"/>
      <c r="K729" s="256"/>
      <c r="L729" s="256"/>
      <c r="M729" s="256"/>
      <c r="N729" s="256"/>
      <c r="O729" s="256"/>
      <c r="P729" s="256"/>
      <c r="Q729" s="256"/>
      <c r="R729" s="256"/>
      <c r="S729" s="221"/>
      <c r="T729" s="221"/>
      <c r="U729" s="221"/>
      <c r="V729" s="221"/>
      <c r="W729" s="221"/>
      <c r="X729" s="221"/>
      <c r="Y729" s="221"/>
      <c r="Z729" s="221"/>
    </row>
    <row r="730" customFormat="false" ht="12" hidden="false" customHeight="true" outlineLevel="0" collapsed="false">
      <c r="A730" s="256"/>
      <c r="B730" s="256"/>
      <c r="C730" s="256"/>
      <c r="D730" s="256"/>
      <c r="E730" s="256"/>
      <c r="F730" s="256"/>
      <c r="G730" s="256"/>
      <c r="H730" s="256"/>
      <c r="I730" s="256"/>
      <c r="J730" s="256"/>
      <c r="K730" s="256"/>
      <c r="L730" s="256"/>
      <c r="M730" s="256"/>
      <c r="N730" s="256"/>
      <c r="O730" s="256"/>
      <c r="P730" s="256"/>
      <c r="Q730" s="256"/>
      <c r="R730" s="256"/>
      <c r="S730" s="221"/>
      <c r="T730" s="221"/>
      <c r="U730" s="221"/>
      <c r="V730" s="221"/>
      <c r="W730" s="221"/>
      <c r="X730" s="221"/>
      <c r="Y730" s="221"/>
      <c r="Z730" s="221"/>
    </row>
    <row r="731" customFormat="false" ht="12" hidden="false" customHeight="true" outlineLevel="0" collapsed="false">
      <c r="A731" s="256"/>
      <c r="B731" s="256"/>
      <c r="C731" s="256"/>
      <c r="D731" s="256"/>
      <c r="E731" s="256"/>
      <c r="F731" s="256"/>
      <c r="G731" s="256"/>
      <c r="H731" s="256"/>
      <c r="I731" s="256"/>
      <c r="J731" s="256"/>
      <c r="K731" s="256"/>
      <c r="L731" s="256"/>
      <c r="M731" s="256"/>
      <c r="N731" s="256"/>
      <c r="O731" s="256"/>
      <c r="P731" s="256"/>
      <c r="Q731" s="256"/>
      <c r="R731" s="256"/>
      <c r="S731" s="221"/>
      <c r="T731" s="221"/>
      <c r="U731" s="221"/>
      <c r="V731" s="221"/>
      <c r="W731" s="221"/>
      <c r="X731" s="221"/>
      <c r="Y731" s="221"/>
      <c r="Z731" s="221"/>
    </row>
    <row r="732" customFormat="false" ht="12" hidden="false" customHeight="true" outlineLevel="0" collapsed="false">
      <c r="A732" s="256"/>
      <c r="B732" s="256"/>
      <c r="C732" s="256"/>
      <c r="D732" s="256"/>
      <c r="E732" s="256"/>
      <c r="F732" s="256"/>
      <c r="G732" s="256"/>
      <c r="H732" s="256"/>
      <c r="I732" s="256"/>
      <c r="J732" s="256"/>
      <c r="K732" s="256"/>
      <c r="L732" s="256"/>
      <c r="M732" s="256"/>
      <c r="N732" s="256"/>
      <c r="O732" s="256"/>
      <c r="P732" s="256"/>
      <c r="Q732" s="256"/>
      <c r="R732" s="256"/>
      <c r="S732" s="221"/>
      <c r="T732" s="221"/>
      <c r="U732" s="221"/>
      <c r="V732" s="221"/>
      <c r="W732" s="221"/>
      <c r="X732" s="221"/>
      <c r="Y732" s="221"/>
      <c r="Z732" s="221"/>
    </row>
    <row r="733" customFormat="false" ht="12" hidden="false" customHeight="true" outlineLevel="0" collapsed="false">
      <c r="A733" s="256"/>
      <c r="B733" s="256"/>
      <c r="C733" s="256"/>
      <c r="D733" s="256"/>
      <c r="E733" s="256"/>
      <c r="F733" s="256"/>
      <c r="G733" s="256"/>
      <c r="H733" s="256"/>
      <c r="I733" s="256"/>
      <c r="J733" s="256"/>
      <c r="K733" s="256"/>
      <c r="L733" s="256"/>
      <c r="M733" s="256"/>
      <c r="N733" s="256"/>
      <c r="O733" s="256"/>
      <c r="P733" s="256"/>
      <c r="Q733" s="256"/>
      <c r="R733" s="256"/>
      <c r="S733" s="221"/>
      <c r="T733" s="221"/>
      <c r="U733" s="221"/>
      <c r="V733" s="221"/>
      <c r="W733" s="221"/>
      <c r="X733" s="221"/>
      <c r="Y733" s="221"/>
      <c r="Z733" s="221"/>
    </row>
    <row r="734" customFormat="false" ht="12" hidden="false" customHeight="true" outlineLevel="0" collapsed="false">
      <c r="A734" s="256"/>
      <c r="B734" s="256"/>
      <c r="C734" s="256"/>
      <c r="D734" s="256"/>
      <c r="E734" s="256"/>
      <c r="F734" s="256"/>
      <c r="G734" s="256"/>
      <c r="H734" s="256"/>
      <c r="I734" s="256"/>
      <c r="J734" s="256"/>
      <c r="K734" s="256"/>
      <c r="L734" s="256"/>
      <c r="M734" s="256"/>
      <c r="N734" s="256"/>
      <c r="O734" s="256"/>
      <c r="P734" s="256"/>
      <c r="Q734" s="256"/>
      <c r="R734" s="256"/>
      <c r="S734" s="221"/>
      <c r="T734" s="221"/>
      <c r="U734" s="221"/>
      <c r="V734" s="221"/>
      <c r="W734" s="221"/>
      <c r="X734" s="221"/>
      <c r="Y734" s="221"/>
      <c r="Z734" s="221"/>
    </row>
    <row r="735" customFormat="false" ht="12" hidden="false" customHeight="true" outlineLevel="0" collapsed="false">
      <c r="A735" s="256"/>
      <c r="B735" s="256"/>
      <c r="C735" s="256"/>
      <c r="D735" s="256"/>
      <c r="E735" s="256"/>
      <c r="F735" s="256"/>
      <c r="G735" s="256"/>
      <c r="H735" s="256"/>
      <c r="I735" s="256"/>
      <c r="J735" s="256"/>
      <c r="K735" s="256"/>
      <c r="L735" s="256"/>
      <c r="M735" s="256"/>
      <c r="N735" s="256"/>
      <c r="O735" s="256"/>
      <c r="P735" s="256"/>
      <c r="Q735" s="256"/>
      <c r="R735" s="256"/>
      <c r="S735" s="221"/>
      <c r="T735" s="221"/>
      <c r="U735" s="221"/>
      <c r="V735" s="221"/>
      <c r="W735" s="221"/>
      <c r="X735" s="221"/>
      <c r="Y735" s="221"/>
      <c r="Z735" s="221"/>
    </row>
    <row r="736" customFormat="false" ht="12" hidden="false" customHeight="true" outlineLevel="0" collapsed="false">
      <c r="A736" s="256"/>
      <c r="B736" s="256"/>
      <c r="C736" s="256"/>
      <c r="D736" s="256"/>
      <c r="E736" s="256"/>
      <c r="F736" s="256"/>
      <c r="G736" s="256"/>
      <c r="H736" s="256"/>
      <c r="I736" s="256"/>
      <c r="J736" s="256"/>
      <c r="K736" s="256"/>
      <c r="L736" s="256"/>
      <c r="M736" s="256"/>
      <c r="N736" s="256"/>
      <c r="O736" s="256"/>
      <c r="P736" s="256"/>
      <c r="Q736" s="256"/>
      <c r="R736" s="256"/>
      <c r="S736" s="221"/>
      <c r="T736" s="221"/>
      <c r="U736" s="221"/>
      <c r="V736" s="221"/>
      <c r="W736" s="221"/>
      <c r="X736" s="221"/>
      <c r="Y736" s="221"/>
      <c r="Z736" s="221"/>
    </row>
    <row r="737" customFormat="false" ht="12" hidden="false" customHeight="true" outlineLevel="0" collapsed="false">
      <c r="A737" s="256"/>
      <c r="B737" s="256"/>
      <c r="C737" s="256"/>
      <c r="D737" s="256"/>
      <c r="E737" s="256"/>
      <c r="F737" s="256"/>
      <c r="G737" s="256"/>
      <c r="H737" s="256"/>
      <c r="I737" s="256"/>
      <c r="J737" s="256"/>
      <c r="K737" s="256"/>
      <c r="L737" s="256"/>
      <c r="M737" s="256"/>
      <c r="N737" s="256"/>
      <c r="O737" s="256"/>
      <c r="P737" s="256"/>
      <c r="Q737" s="256"/>
      <c r="R737" s="256"/>
      <c r="S737" s="221"/>
      <c r="T737" s="221"/>
      <c r="U737" s="221"/>
      <c r="V737" s="221"/>
      <c r="W737" s="221"/>
      <c r="X737" s="221"/>
      <c r="Y737" s="221"/>
      <c r="Z737" s="221"/>
    </row>
    <row r="738" customFormat="false" ht="12" hidden="false" customHeight="true" outlineLevel="0" collapsed="false">
      <c r="A738" s="256"/>
      <c r="B738" s="256"/>
      <c r="C738" s="256"/>
      <c r="D738" s="256"/>
      <c r="E738" s="256"/>
      <c r="F738" s="256"/>
      <c r="G738" s="256"/>
      <c r="H738" s="256"/>
      <c r="I738" s="256"/>
      <c r="J738" s="256"/>
      <c r="K738" s="256"/>
      <c r="L738" s="256"/>
      <c r="M738" s="256"/>
      <c r="N738" s="256"/>
      <c r="O738" s="256"/>
      <c r="P738" s="256"/>
      <c r="Q738" s="256"/>
      <c r="R738" s="256"/>
      <c r="S738" s="221"/>
      <c r="T738" s="221"/>
      <c r="U738" s="221"/>
      <c r="V738" s="221"/>
      <c r="W738" s="221"/>
      <c r="X738" s="221"/>
      <c r="Y738" s="221"/>
      <c r="Z738" s="221"/>
    </row>
    <row r="739" customFormat="false" ht="12" hidden="false" customHeight="true" outlineLevel="0" collapsed="false">
      <c r="A739" s="256"/>
      <c r="B739" s="256"/>
      <c r="C739" s="256"/>
      <c r="D739" s="256"/>
      <c r="E739" s="256"/>
      <c r="F739" s="256"/>
      <c r="G739" s="256"/>
      <c r="H739" s="256"/>
      <c r="I739" s="256"/>
      <c r="J739" s="256"/>
      <c r="K739" s="256"/>
      <c r="L739" s="256"/>
      <c r="M739" s="256"/>
      <c r="N739" s="256"/>
      <c r="O739" s="256"/>
      <c r="P739" s="256"/>
      <c r="Q739" s="256"/>
      <c r="R739" s="256"/>
      <c r="S739" s="221"/>
      <c r="T739" s="221"/>
      <c r="U739" s="221"/>
      <c r="V739" s="221"/>
      <c r="W739" s="221"/>
      <c r="X739" s="221"/>
      <c r="Y739" s="221"/>
      <c r="Z739" s="221"/>
    </row>
    <row r="740" customFormat="false" ht="12" hidden="false" customHeight="true" outlineLevel="0" collapsed="false">
      <c r="A740" s="256"/>
      <c r="B740" s="256"/>
      <c r="C740" s="256"/>
      <c r="D740" s="256"/>
      <c r="E740" s="256"/>
      <c r="F740" s="256"/>
      <c r="G740" s="256"/>
      <c r="H740" s="256"/>
      <c r="I740" s="256"/>
      <c r="J740" s="256"/>
      <c r="K740" s="256"/>
      <c r="L740" s="256"/>
      <c r="M740" s="256"/>
      <c r="N740" s="256"/>
      <c r="O740" s="256"/>
      <c r="P740" s="256"/>
      <c r="Q740" s="256"/>
      <c r="R740" s="256"/>
      <c r="S740" s="221"/>
      <c r="T740" s="221"/>
      <c r="U740" s="221"/>
      <c r="V740" s="221"/>
      <c r="W740" s="221"/>
      <c r="X740" s="221"/>
      <c r="Y740" s="221"/>
      <c r="Z740" s="221"/>
    </row>
    <row r="741" customFormat="false" ht="12" hidden="false" customHeight="true" outlineLevel="0" collapsed="false">
      <c r="A741" s="256"/>
      <c r="B741" s="256"/>
      <c r="C741" s="256"/>
      <c r="D741" s="256"/>
      <c r="E741" s="256"/>
      <c r="F741" s="256"/>
      <c r="G741" s="256"/>
      <c r="H741" s="256"/>
      <c r="I741" s="256"/>
      <c r="J741" s="256"/>
      <c r="K741" s="256"/>
      <c r="L741" s="256"/>
      <c r="M741" s="256"/>
      <c r="N741" s="256"/>
      <c r="O741" s="256"/>
      <c r="P741" s="256"/>
      <c r="Q741" s="256"/>
      <c r="R741" s="256"/>
      <c r="S741" s="221"/>
      <c r="T741" s="221"/>
      <c r="U741" s="221"/>
      <c r="V741" s="221"/>
      <c r="W741" s="221"/>
      <c r="X741" s="221"/>
      <c r="Y741" s="221"/>
      <c r="Z741" s="221"/>
    </row>
    <row r="742" customFormat="false" ht="12" hidden="false" customHeight="true" outlineLevel="0" collapsed="false">
      <c r="A742" s="256"/>
      <c r="B742" s="256"/>
      <c r="C742" s="256"/>
      <c r="D742" s="256"/>
      <c r="E742" s="256"/>
      <c r="F742" s="256"/>
      <c r="G742" s="256"/>
      <c r="H742" s="256"/>
      <c r="I742" s="256"/>
      <c r="J742" s="256"/>
      <c r="K742" s="256"/>
      <c r="L742" s="256"/>
      <c r="M742" s="256"/>
      <c r="N742" s="256"/>
      <c r="O742" s="256"/>
      <c r="P742" s="256"/>
      <c r="Q742" s="256"/>
      <c r="R742" s="256"/>
      <c r="S742" s="221"/>
      <c r="T742" s="221"/>
      <c r="U742" s="221"/>
      <c r="V742" s="221"/>
      <c r="W742" s="221"/>
      <c r="X742" s="221"/>
      <c r="Y742" s="221"/>
      <c r="Z742" s="221"/>
    </row>
    <row r="743" customFormat="false" ht="12" hidden="false" customHeight="true" outlineLevel="0" collapsed="false">
      <c r="A743" s="256"/>
      <c r="B743" s="256"/>
      <c r="C743" s="256"/>
      <c r="D743" s="256"/>
      <c r="E743" s="256"/>
      <c r="F743" s="256"/>
      <c r="G743" s="256"/>
      <c r="H743" s="256"/>
      <c r="I743" s="256"/>
      <c r="J743" s="256"/>
      <c r="K743" s="256"/>
      <c r="L743" s="256"/>
      <c r="M743" s="256"/>
      <c r="N743" s="256"/>
      <c r="O743" s="256"/>
      <c r="P743" s="256"/>
      <c r="Q743" s="256"/>
      <c r="R743" s="256"/>
      <c r="S743" s="221"/>
      <c r="T743" s="221"/>
      <c r="U743" s="221"/>
      <c r="V743" s="221"/>
      <c r="W743" s="221"/>
      <c r="X743" s="221"/>
      <c r="Y743" s="221"/>
      <c r="Z743" s="221"/>
    </row>
    <row r="744" customFormat="false" ht="12" hidden="false" customHeight="true" outlineLevel="0" collapsed="false">
      <c r="A744" s="256"/>
      <c r="B744" s="256"/>
      <c r="C744" s="256"/>
      <c r="D744" s="256"/>
      <c r="E744" s="256"/>
      <c r="F744" s="256"/>
      <c r="G744" s="256"/>
      <c r="H744" s="256"/>
      <c r="I744" s="256"/>
      <c r="J744" s="256"/>
      <c r="K744" s="256"/>
      <c r="L744" s="256"/>
      <c r="M744" s="256"/>
      <c r="N744" s="256"/>
      <c r="O744" s="256"/>
      <c r="P744" s="256"/>
      <c r="Q744" s="256"/>
      <c r="R744" s="256"/>
      <c r="S744" s="221"/>
      <c r="T744" s="221"/>
      <c r="U744" s="221"/>
      <c r="V744" s="221"/>
      <c r="W744" s="221"/>
      <c r="X744" s="221"/>
      <c r="Y744" s="221"/>
      <c r="Z744" s="221"/>
    </row>
    <row r="745" customFormat="false" ht="12" hidden="false" customHeight="true" outlineLevel="0" collapsed="false">
      <c r="A745" s="256"/>
      <c r="B745" s="256"/>
      <c r="C745" s="256"/>
      <c r="D745" s="256"/>
      <c r="E745" s="256"/>
      <c r="F745" s="256"/>
      <c r="G745" s="256"/>
      <c r="H745" s="256"/>
      <c r="I745" s="256"/>
      <c r="J745" s="256"/>
      <c r="K745" s="256"/>
      <c r="L745" s="256"/>
      <c r="M745" s="256"/>
      <c r="N745" s="256"/>
      <c r="O745" s="256"/>
      <c r="P745" s="256"/>
      <c r="Q745" s="256"/>
      <c r="R745" s="256"/>
      <c r="S745" s="221"/>
      <c r="T745" s="221"/>
      <c r="U745" s="221"/>
      <c r="V745" s="221"/>
      <c r="W745" s="221"/>
      <c r="X745" s="221"/>
      <c r="Y745" s="221"/>
      <c r="Z745" s="221"/>
    </row>
    <row r="746" customFormat="false" ht="12" hidden="false" customHeight="true" outlineLevel="0" collapsed="false">
      <c r="A746" s="256"/>
      <c r="B746" s="256"/>
      <c r="C746" s="256"/>
      <c r="D746" s="256"/>
      <c r="E746" s="256"/>
      <c r="F746" s="256"/>
      <c r="G746" s="256"/>
      <c r="H746" s="256"/>
      <c r="I746" s="256"/>
      <c r="J746" s="256"/>
      <c r="K746" s="256"/>
      <c r="L746" s="256"/>
      <c r="M746" s="256"/>
      <c r="N746" s="256"/>
      <c r="O746" s="256"/>
      <c r="P746" s="256"/>
      <c r="Q746" s="256"/>
      <c r="R746" s="256"/>
      <c r="S746" s="221"/>
      <c r="T746" s="221"/>
      <c r="U746" s="221"/>
      <c r="V746" s="221"/>
      <c r="W746" s="221"/>
      <c r="X746" s="221"/>
      <c r="Y746" s="221"/>
      <c r="Z746" s="221"/>
    </row>
    <row r="747" customFormat="false" ht="12" hidden="false" customHeight="true" outlineLevel="0" collapsed="false">
      <c r="A747" s="256"/>
      <c r="B747" s="256"/>
      <c r="C747" s="256"/>
      <c r="D747" s="256"/>
      <c r="E747" s="256"/>
      <c r="F747" s="256"/>
      <c r="G747" s="256"/>
      <c r="H747" s="256"/>
      <c r="I747" s="256"/>
      <c r="J747" s="256"/>
      <c r="K747" s="256"/>
      <c r="L747" s="256"/>
      <c r="M747" s="256"/>
      <c r="N747" s="256"/>
      <c r="O747" s="256"/>
      <c r="P747" s="256"/>
      <c r="Q747" s="256"/>
      <c r="R747" s="256"/>
      <c r="S747" s="221"/>
      <c r="T747" s="221"/>
      <c r="U747" s="221"/>
      <c r="V747" s="221"/>
      <c r="W747" s="221"/>
      <c r="X747" s="221"/>
      <c r="Y747" s="221"/>
      <c r="Z747" s="221"/>
    </row>
    <row r="748" customFormat="false" ht="12" hidden="false" customHeight="true" outlineLevel="0" collapsed="false">
      <c r="A748" s="256"/>
      <c r="B748" s="256"/>
      <c r="C748" s="256"/>
      <c r="D748" s="256"/>
      <c r="E748" s="256"/>
      <c r="F748" s="256"/>
      <c r="G748" s="256"/>
      <c r="H748" s="256"/>
      <c r="I748" s="256"/>
      <c r="J748" s="256"/>
      <c r="K748" s="256"/>
      <c r="L748" s="256"/>
      <c r="M748" s="256"/>
      <c r="N748" s="256"/>
      <c r="O748" s="256"/>
      <c r="P748" s="256"/>
      <c r="Q748" s="256"/>
      <c r="R748" s="256"/>
      <c r="S748" s="221"/>
      <c r="T748" s="221"/>
      <c r="U748" s="221"/>
      <c r="V748" s="221"/>
      <c r="W748" s="221"/>
      <c r="X748" s="221"/>
      <c r="Y748" s="221"/>
      <c r="Z748" s="221"/>
    </row>
    <row r="749" customFormat="false" ht="12" hidden="false" customHeight="true" outlineLevel="0" collapsed="false">
      <c r="A749" s="256"/>
      <c r="B749" s="256"/>
      <c r="C749" s="256"/>
      <c r="D749" s="256"/>
      <c r="E749" s="256"/>
      <c r="F749" s="256"/>
      <c r="G749" s="256"/>
      <c r="H749" s="256"/>
      <c r="I749" s="256"/>
      <c r="J749" s="256"/>
      <c r="K749" s="256"/>
      <c r="L749" s="256"/>
      <c r="M749" s="256"/>
      <c r="N749" s="256"/>
      <c r="O749" s="256"/>
      <c r="P749" s="256"/>
      <c r="Q749" s="256"/>
      <c r="R749" s="256"/>
      <c r="S749" s="221"/>
      <c r="T749" s="221"/>
      <c r="U749" s="221"/>
      <c r="V749" s="221"/>
      <c r="W749" s="221"/>
      <c r="X749" s="221"/>
      <c r="Y749" s="221"/>
      <c r="Z749" s="221"/>
    </row>
    <row r="750" customFormat="false" ht="12" hidden="false" customHeight="true" outlineLevel="0" collapsed="false">
      <c r="A750" s="256"/>
      <c r="B750" s="256"/>
      <c r="C750" s="256"/>
      <c r="D750" s="256"/>
      <c r="E750" s="256"/>
      <c r="F750" s="256"/>
      <c r="G750" s="256"/>
      <c r="H750" s="256"/>
      <c r="I750" s="256"/>
      <c r="J750" s="256"/>
      <c r="K750" s="256"/>
      <c r="L750" s="256"/>
      <c r="M750" s="256"/>
      <c r="N750" s="256"/>
      <c r="O750" s="256"/>
      <c r="P750" s="256"/>
      <c r="Q750" s="256"/>
      <c r="R750" s="256"/>
      <c r="S750" s="221"/>
      <c r="T750" s="221"/>
      <c r="U750" s="221"/>
      <c r="V750" s="221"/>
      <c r="W750" s="221"/>
      <c r="X750" s="221"/>
      <c r="Y750" s="221"/>
      <c r="Z750" s="221"/>
    </row>
    <row r="751" customFormat="false" ht="12" hidden="false" customHeight="true" outlineLevel="0" collapsed="false">
      <c r="A751" s="256"/>
      <c r="B751" s="256"/>
      <c r="C751" s="256"/>
      <c r="D751" s="256"/>
      <c r="E751" s="256"/>
      <c r="F751" s="256"/>
      <c r="G751" s="256"/>
      <c r="H751" s="256"/>
      <c r="I751" s="256"/>
      <c r="J751" s="256"/>
      <c r="K751" s="256"/>
      <c r="L751" s="256"/>
      <c r="M751" s="256"/>
      <c r="N751" s="256"/>
      <c r="O751" s="256"/>
      <c r="P751" s="256"/>
      <c r="Q751" s="256"/>
      <c r="R751" s="256"/>
      <c r="S751" s="221"/>
      <c r="T751" s="221"/>
      <c r="U751" s="221"/>
      <c r="V751" s="221"/>
      <c r="W751" s="221"/>
      <c r="X751" s="221"/>
      <c r="Y751" s="221"/>
      <c r="Z751" s="221"/>
    </row>
    <row r="752" customFormat="false" ht="12" hidden="false" customHeight="true" outlineLevel="0" collapsed="false">
      <c r="A752" s="256"/>
      <c r="B752" s="256"/>
      <c r="C752" s="256"/>
      <c r="D752" s="256"/>
      <c r="E752" s="256"/>
      <c r="F752" s="256"/>
      <c r="G752" s="256"/>
      <c r="H752" s="256"/>
      <c r="I752" s="256"/>
      <c r="J752" s="256"/>
      <c r="K752" s="256"/>
      <c r="L752" s="256"/>
      <c r="M752" s="256"/>
      <c r="N752" s="256"/>
      <c r="O752" s="256"/>
      <c r="P752" s="256"/>
      <c r="Q752" s="256"/>
      <c r="R752" s="256"/>
      <c r="S752" s="221"/>
      <c r="T752" s="221"/>
      <c r="U752" s="221"/>
      <c r="V752" s="221"/>
      <c r="W752" s="221"/>
      <c r="X752" s="221"/>
      <c r="Y752" s="221"/>
      <c r="Z752" s="221"/>
    </row>
    <row r="753" customFormat="false" ht="12" hidden="false" customHeight="true" outlineLevel="0" collapsed="false">
      <c r="A753" s="256"/>
      <c r="B753" s="256"/>
      <c r="C753" s="256"/>
      <c r="D753" s="256"/>
      <c r="E753" s="256"/>
      <c r="F753" s="256"/>
      <c r="G753" s="256"/>
      <c r="H753" s="256"/>
      <c r="I753" s="256"/>
      <c r="J753" s="256"/>
      <c r="K753" s="256"/>
      <c r="L753" s="256"/>
      <c r="M753" s="256"/>
      <c r="N753" s="256"/>
      <c r="O753" s="256"/>
      <c r="P753" s="256"/>
      <c r="Q753" s="256"/>
      <c r="R753" s="256"/>
      <c r="S753" s="221"/>
      <c r="T753" s="221"/>
      <c r="U753" s="221"/>
      <c r="V753" s="221"/>
      <c r="W753" s="221"/>
      <c r="X753" s="221"/>
      <c r="Y753" s="221"/>
      <c r="Z753" s="221"/>
    </row>
    <row r="754" customFormat="false" ht="12" hidden="false" customHeight="true" outlineLevel="0" collapsed="false">
      <c r="A754" s="256"/>
      <c r="B754" s="256"/>
      <c r="C754" s="256"/>
      <c r="D754" s="256"/>
      <c r="E754" s="256"/>
      <c r="F754" s="256"/>
      <c r="G754" s="256"/>
      <c r="H754" s="256"/>
      <c r="I754" s="256"/>
      <c r="J754" s="256"/>
      <c r="K754" s="256"/>
      <c r="L754" s="256"/>
      <c r="M754" s="256"/>
      <c r="N754" s="256"/>
      <c r="O754" s="256"/>
      <c r="P754" s="256"/>
      <c r="Q754" s="256"/>
      <c r="R754" s="256"/>
      <c r="S754" s="221"/>
      <c r="T754" s="221"/>
      <c r="U754" s="221"/>
      <c r="V754" s="221"/>
      <c r="W754" s="221"/>
      <c r="X754" s="221"/>
      <c r="Y754" s="221"/>
      <c r="Z754" s="221"/>
    </row>
    <row r="755" customFormat="false" ht="12" hidden="false" customHeight="true" outlineLevel="0" collapsed="false">
      <c r="A755" s="256"/>
      <c r="B755" s="256"/>
      <c r="C755" s="256"/>
      <c r="D755" s="256"/>
      <c r="E755" s="256"/>
      <c r="F755" s="256"/>
      <c r="G755" s="256"/>
      <c r="H755" s="256"/>
      <c r="I755" s="256"/>
      <c r="J755" s="256"/>
      <c r="K755" s="256"/>
      <c r="L755" s="256"/>
      <c r="M755" s="256"/>
      <c r="N755" s="256"/>
      <c r="O755" s="256"/>
      <c r="P755" s="256"/>
      <c r="Q755" s="256"/>
      <c r="R755" s="256"/>
      <c r="S755" s="221"/>
      <c r="T755" s="221"/>
      <c r="U755" s="221"/>
      <c r="V755" s="221"/>
      <c r="W755" s="221"/>
      <c r="X755" s="221"/>
      <c r="Y755" s="221"/>
      <c r="Z755" s="221"/>
    </row>
    <row r="756" customFormat="false" ht="12" hidden="false" customHeight="true" outlineLevel="0" collapsed="false">
      <c r="A756" s="256"/>
      <c r="B756" s="256"/>
      <c r="C756" s="256"/>
      <c r="D756" s="256"/>
      <c r="E756" s="256"/>
      <c r="F756" s="256"/>
      <c r="G756" s="256"/>
      <c r="H756" s="256"/>
      <c r="I756" s="256"/>
      <c r="J756" s="256"/>
      <c r="K756" s="256"/>
      <c r="L756" s="256"/>
      <c r="M756" s="256"/>
      <c r="N756" s="256"/>
      <c r="O756" s="256"/>
      <c r="P756" s="256"/>
      <c r="Q756" s="256"/>
      <c r="R756" s="256"/>
      <c r="S756" s="221"/>
      <c r="T756" s="221"/>
      <c r="U756" s="221"/>
      <c r="V756" s="221"/>
      <c r="W756" s="221"/>
      <c r="X756" s="221"/>
      <c r="Y756" s="221"/>
      <c r="Z756" s="221"/>
    </row>
    <row r="757" customFormat="false" ht="12" hidden="false" customHeight="true" outlineLevel="0" collapsed="false">
      <c r="A757" s="256"/>
      <c r="B757" s="256"/>
      <c r="C757" s="256"/>
      <c r="D757" s="256"/>
      <c r="E757" s="256"/>
      <c r="F757" s="256"/>
      <c r="G757" s="256"/>
      <c r="H757" s="256"/>
      <c r="I757" s="256"/>
      <c r="J757" s="256"/>
      <c r="K757" s="256"/>
      <c r="L757" s="256"/>
      <c r="M757" s="256"/>
      <c r="N757" s="256"/>
      <c r="O757" s="256"/>
      <c r="P757" s="256"/>
      <c r="Q757" s="256"/>
      <c r="R757" s="256"/>
      <c r="S757" s="221"/>
      <c r="T757" s="221"/>
      <c r="U757" s="221"/>
      <c r="V757" s="221"/>
      <c r="W757" s="221"/>
      <c r="X757" s="221"/>
      <c r="Y757" s="221"/>
      <c r="Z757" s="221"/>
    </row>
    <row r="758" customFormat="false" ht="12" hidden="false" customHeight="true" outlineLevel="0" collapsed="false">
      <c r="A758" s="256"/>
      <c r="B758" s="256"/>
      <c r="C758" s="256"/>
      <c r="D758" s="256"/>
      <c r="E758" s="256"/>
      <c r="F758" s="256"/>
      <c r="G758" s="256"/>
      <c r="H758" s="256"/>
      <c r="I758" s="256"/>
      <c r="J758" s="256"/>
      <c r="K758" s="256"/>
      <c r="L758" s="256"/>
      <c r="M758" s="256"/>
      <c r="N758" s="256"/>
      <c r="O758" s="256"/>
      <c r="P758" s="256"/>
      <c r="Q758" s="256"/>
      <c r="R758" s="256"/>
      <c r="S758" s="221"/>
      <c r="T758" s="221"/>
      <c r="U758" s="221"/>
      <c r="V758" s="221"/>
      <c r="W758" s="221"/>
      <c r="X758" s="221"/>
      <c r="Y758" s="221"/>
      <c r="Z758" s="221"/>
    </row>
    <row r="759" customFormat="false" ht="12" hidden="false" customHeight="true" outlineLevel="0" collapsed="false">
      <c r="A759" s="256"/>
      <c r="B759" s="256"/>
      <c r="C759" s="256"/>
      <c r="D759" s="256"/>
      <c r="E759" s="256"/>
      <c r="F759" s="256"/>
      <c r="G759" s="256"/>
      <c r="H759" s="256"/>
      <c r="I759" s="256"/>
      <c r="J759" s="256"/>
      <c r="K759" s="256"/>
      <c r="L759" s="256"/>
      <c r="M759" s="256"/>
      <c r="N759" s="256"/>
      <c r="O759" s="256"/>
      <c r="P759" s="256"/>
      <c r="Q759" s="256"/>
      <c r="R759" s="256"/>
      <c r="S759" s="221"/>
      <c r="T759" s="221"/>
      <c r="U759" s="221"/>
      <c r="V759" s="221"/>
      <c r="W759" s="221"/>
      <c r="X759" s="221"/>
      <c r="Y759" s="221"/>
      <c r="Z759" s="221"/>
    </row>
    <row r="760" customFormat="false" ht="12" hidden="false" customHeight="true" outlineLevel="0" collapsed="false">
      <c r="A760" s="256"/>
      <c r="B760" s="256"/>
      <c r="C760" s="256"/>
      <c r="D760" s="256"/>
      <c r="E760" s="256"/>
      <c r="F760" s="256"/>
      <c r="G760" s="256"/>
      <c r="H760" s="256"/>
      <c r="I760" s="256"/>
      <c r="J760" s="256"/>
      <c r="K760" s="256"/>
      <c r="L760" s="256"/>
      <c r="M760" s="256"/>
      <c r="N760" s="256"/>
      <c r="O760" s="256"/>
      <c r="P760" s="256"/>
      <c r="Q760" s="256"/>
      <c r="R760" s="256"/>
      <c r="S760" s="221"/>
      <c r="T760" s="221"/>
      <c r="U760" s="221"/>
      <c r="V760" s="221"/>
      <c r="W760" s="221"/>
      <c r="X760" s="221"/>
      <c r="Y760" s="221"/>
      <c r="Z760" s="221"/>
    </row>
    <row r="761" customFormat="false" ht="12" hidden="false" customHeight="true" outlineLevel="0" collapsed="false">
      <c r="A761" s="256"/>
      <c r="B761" s="256"/>
      <c r="C761" s="256"/>
      <c r="D761" s="256"/>
      <c r="E761" s="256"/>
      <c r="F761" s="256"/>
      <c r="G761" s="256"/>
      <c r="H761" s="256"/>
      <c r="I761" s="256"/>
      <c r="J761" s="256"/>
      <c r="K761" s="256"/>
      <c r="L761" s="256"/>
      <c r="M761" s="256"/>
      <c r="N761" s="256"/>
      <c r="O761" s="256"/>
      <c r="P761" s="256"/>
      <c r="Q761" s="256"/>
      <c r="R761" s="256"/>
      <c r="S761" s="221"/>
      <c r="T761" s="221"/>
      <c r="U761" s="221"/>
      <c r="V761" s="221"/>
      <c r="W761" s="221"/>
      <c r="X761" s="221"/>
      <c r="Y761" s="221"/>
      <c r="Z761" s="221"/>
    </row>
    <row r="762" customFormat="false" ht="12" hidden="false" customHeight="true" outlineLevel="0" collapsed="false">
      <c r="A762" s="256"/>
      <c r="B762" s="256"/>
      <c r="C762" s="256"/>
      <c r="D762" s="256"/>
      <c r="E762" s="256"/>
      <c r="F762" s="256"/>
      <c r="G762" s="256"/>
      <c r="H762" s="256"/>
      <c r="I762" s="256"/>
      <c r="J762" s="256"/>
      <c r="K762" s="256"/>
      <c r="L762" s="256"/>
      <c r="M762" s="256"/>
      <c r="N762" s="256"/>
      <c r="O762" s="256"/>
      <c r="P762" s="256"/>
      <c r="Q762" s="256"/>
      <c r="R762" s="256"/>
      <c r="S762" s="221"/>
      <c r="T762" s="221"/>
      <c r="U762" s="221"/>
      <c r="V762" s="221"/>
      <c r="W762" s="221"/>
      <c r="X762" s="221"/>
      <c r="Y762" s="221"/>
      <c r="Z762" s="221"/>
    </row>
    <row r="763" customFormat="false" ht="12" hidden="false" customHeight="true" outlineLevel="0" collapsed="false">
      <c r="A763" s="256"/>
      <c r="B763" s="256"/>
      <c r="C763" s="256"/>
      <c r="D763" s="256"/>
      <c r="E763" s="256"/>
      <c r="F763" s="256"/>
      <c r="G763" s="256"/>
      <c r="H763" s="256"/>
      <c r="I763" s="256"/>
      <c r="J763" s="256"/>
      <c r="K763" s="256"/>
      <c r="L763" s="256"/>
      <c r="M763" s="256"/>
      <c r="N763" s="256"/>
      <c r="O763" s="256"/>
      <c r="P763" s="256"/>
      <c r="Q763" s="256"/>
      <c r="R763" s="256"/>
      <c r="S763" s="221"/>
      <c r="T763" s="221"/>
      <c r="U763" s="221"/>
      <c r="V763" s="221"/>
      <c r="W763" s="221"/>
      <c r="X763" s="221"/>
      <c r="Y763" s="221"/>
      <c r="Z763" s="221"/>
    </row>
    <row r="764" customFormat="false" ht="12" hidden="false" customHeight="true" outlineLevel="0" collapsed="false">
      <c r="A764" s="256"/>
      <c r="B764" s="256"/>
      <c r="C764" s="256"/>
      <c r="D764" s="256"/>
      <c r="E764" s="256"/>
      <c r="F764" s="256"/>
      <c r="G764" s="256"/>
      <c r="H764" s="256"/>
      <c r="I764" s="256"/>
      <c r="J764" s="256"/>
      <c r="K764" s="256"/>
      <c r="L764" s="256"/>
      <c r="M764" s="256"/>
      <c r="N764" s="256"/>
      <c r="O764" s="256"/>
      <c r="P764" s="256"/>
      <c r="Q764" s="256"/>
      <c r="R764" s="256"/>
      <c r="S764" s="221"/>
      <c r="T764" s="221"/>
      <c r="U764" s="221"/>
      <c r="V764" s="221"/>
      <c r="W764" s="221"/>
      <c r="X764" s="221"/>
      <c r="Y764" s="221"/>
      <c r="Z764" s="221"/>
    </row>
    <row r="765" customFormat="false" ht="12" hidden="false" customHeight="true" outlineLevel="0" collapsed="false">
      <c r="A765" s="256"/>
      <c r="B765" s="256"/>
      <c r="C765" s="256"/>
      <c r="D765" s="256"/>
      <c r="E765" s="256"/>
      <c r="F765" s="256"/>
      <c r="G765" s="256"/>
      <c r="H765" s="256"/>
      <c r="I765" s="256"/>
      <c r="J765" s="256"/>
      <c r="K765" s="256"/>
      <c r="L765" s="256"/>
      <c r="M765" s="256"/>
      <c r="N765" s="256"/>
      <c r="O765" s="256"/>
      <c r="P765" s="256"/>
      <c r="Q765" s="256"/>
      <c r="R765" s="256"/>
      <c r="S765" s="221"/>
      <c r="T765" s="221"/>
      <c r="U765" s="221"/>
      <c r="V765" s="221"/>
      <c r="W765" s="221"/>
      <c r="X765" s="221"/>
      <c r="Y765" s="221"/>
      <c r="Z765" s="221"/>
    </row>
    <row r="766" customFormat="false" ht="12" hidden="false" customHeight="true" outlineLevel="0" collapsed="false">
      <c r="A766" s="256"/>
      <c r="B766" s="256"/>
      <c r="C766" s="256"/>
      <c r="D766" s="256"/>
      <c r="E766" s="256"/>
      <c r="F766" s="256"/>
      <c r="G766" s="256"/>
      <c r="H766" s="256"/>
      <c r="I766" s="256"/>
      <c r="J766" s="256"/>
      <c r="K766" s="256"/>
      <c r="L766" s="256"/>
      <c r="M766" s="256"/>
      <c r="N766" s="256"/>
      <c r="O766" s="256"/>
      <c r="P766" s="256"/>
      <c r="Q766" s="256"/>
      <c r="R766" s="256"/>
      <c r="S766" s="221"/>
      <c r="T766" s="221"/>
      <c r="U766" s="221"/>
      <c r="V766" s="221"/>
      <c r="W766" s="221"/>
      <c r="X766" s="221"/>
      <c r="Y766" s="221"/>
      <c r="Z766" s="221"/>
    </row>
    <row r="767" customFormat="false" ht="12" hidden="false" customHeight="true" outlineLevel="0" collapsed="false">
      <c r="A767" s="256"/>
      <c r="B767" s="256"/>
      <c r="C767" s="256"/>
      <c r="D767" s="256"/>
      <c r="E767" s="256"/>
      <c r="F767" s="256"/>
      <c r="G767" s="256"/>
      <c r="H767" s="256"/>
      <c r="I767" s="256"/>
      <c r="J767" s="256"/>
      <c r="K767" s="256"/>
      <c r="L767" s="256"/>
      <c r="M767" s="256"/>
      <c r="N767" s="256"/>
      <c r="O767" s="256"/>
      <c r="P767" s="256"/>
      <c r="Q767" s="256"/>
      <c r="R767" s="256"/>
      <c r="S767" s="221"/>
      <c r="T767" s="221"/>
      <c r="U767" s="221"/>
      <c r="V767" s="221"/>
      <c r="W767" s="221"/>
      <c r="X767" s="221"/>
      <c r="Y767" s="221"/>
      <c r="Z767" s="221"/>
    </row>
    <row r="768" customFormat="false" ht="12" hidden="false" customHeight="true" outlineLevel="0" collapsed="false">
      <c r="A768" s="256"/>
      <c r="B768" s="256"/>
      <c r="C768" s="256"/>
      <c r="D768" s="256"/>
      <c r="E768" s="256"/>
      <c r="F768" s="256"/>
      <c r="G768" s="256"/>
      <c r="H768" s="256"/>
      <c r="I768" s="256"/>
      <c r="J768" s="256"/>
      <c r="K768" s="256"/>
      <c r="L768" s="256"/>
      <c r="M768" s="256"/>
      <c r="N768" s="256"/>
      <c r="O768" s="256"/>
      <c r="P768" s="256"/>
      <c r="Q768" s="256"/>
      <c r="R768" s="256"/>
      <c r="S768" s="221"/>
      <c r="T768" s="221"/>
      <c r="U768" s="221"/>
      <c r="V768" s="221"/>
      <c r="W768" s="221"/>
      <c r="X768" s="221"/>
      <c r="Y768" s="221"/>
      <c r="Z768" s="221"/>
    </row>
    <row r="769" customFormat="false" ht="12" hidden="false" customHeight="true" outlineLevel="0" collapsed="false">
      <c r="A769" s="256"/>
      <c r="B769" s="256"/>
      <c r="C769" s="256"/>
      <c r="D769" s="256"/>
      <c r="E769" s="256"/>
      <c r="F769" s="256"/>
      <c r="G769" s="256"/>
      <c r="H769" s="256"/>
      <c r="I769" s="256"/>
      <c r="J769" s="256"/>
      <c r="K769" s="256"/>
      <c r="L769" s="256"/>
      <c r="M769" s="256"/>
      <c r="N769" s="256"/>
      <c r="O769" s="256"/>
      <c r="P769" s="256"/>
      <c r="Q769" s="256"/>
      <c r="R769" s="256"/>
      <c r="S769" s="221"/>
      <c r="T769" s="221"/>
      <c r="U769" s="221"/>
      <c r="V769" s="221"/>
      <c r="W769" s="221"/>
      <c r="X769" s="221"/>
      <c r="Y769" s="221"/>
      <c r="Z769" s="221"/>
    </row>
    <row r="770" customFormat="false" ht="12" hidden="false" customHeight="true" outlineLevel="0" collapsed="false">
      <c r="A770" s="256"/>
      <c r="B770" s="256"/>
      <c r="C770" s="256"/>
      <c r="D770" s="256"/>
      <c r="E770" s="256"/>
      <c r="F770" s="256"/>
      <c r="G770" s="256"/>
      <c r="H770" s="256"/>
      <c r="I770" s="256"/>
      <c r="J770" s="256"/>
      <c r="K770" s="256"/>
      <c r="L770" s="256"/>
      <c r="M770" s="256"/>
      <c r="N770" s="256"/>
      <c r="O770" s="256"/>
      <c r="P770" s="256"/>
      <c r="Q770" s="256"/>
      <c r="R770" s="256"/>
      <c r="S770" s="221"/>
      <c r="T770" s="221"/>
      <c r="U770" s="221"/>
      <c r="V770" s="221"/>
      <c r="W770" s="221"/>
      <c r="X770" s="221"/>
      <c r="Y770" s="221"/>
      <c r="Z770" s="221"/>
    </row>
    <row r="771" customFormat="false" ht="12" hidden="false" customHeight="true" outlineLevel="0" collapsed="false">
      <c r="A771" s="256"/>
      <c r="B771" s="256"/>
      <c r="C771" s="256"/>
      <c r="D771" s="256"/>
      <c r="E771" s="256"/>
      <c r="F771" s="256"/>
      <c r="G771" s="256"/>
      <c r="H771" s="256"/>
      <c r="I771" s="256"/>
      <c r="J771" s="256"/>
      <c r="K771" s="256"/>
      <c r="L771" s="256"/>
      <c r="M771" s="256"/>
      <c r="N771" s="256"/>
      <c r="O771" s="256"/>
      <c r="P771" s="256"/>
      <c r="Q771" s="256"/>
      <c r="R771" s="256"/>
      <c r="S771" s="221"/>
      <c r="T771" s="221"/>
      <c r="U771" s="221"/>
      <c r="V771" s="221"/>
      <c r="W771" s="221"/>
      <c r="X771" s="221"/>
      <c r="Y771" s="221"/>
      <c r="Z771" s="221"/>
    </row>
    <row r="772" customFormat="false" ht="12" hidden="false" customHeight="true" outlineLevel="0" collapsed="false">
      <c r="A772" s="256"/>
      <c r="B772" s="256"/>
      <c r="C772" s="256"/>
      <c r="D772" s="256"/>
      <c r="E772" s="256"/>
      <c r="F772" s="256"/>
      <c r="G772" s="256"/>
      <c r="H772" s="256"/>
      <c r="I772" s="256"/>
      <c r="J772" s="256"/>
      <c r="K772" s="256"/>
      <c r="L772" s="256"/>
      <c r="M772" s="256"/>
      <c r="N772" s="256"/>
      <c r="O772" s="256"/>
      <c r="P772" s="256"/>
      <c r="Q772" s="256"/>
      <c r="R772" s="256"/>
      <c r="S772" s="221"/>
      <c r="T772" s="221"/>
      <c r="U772" s="221"/>
      <c r="V772" s="221"/>
      <c r="W772" s="221"/>
      <c r="X772" s="221"/>
      <c r="Y772" s="221"/>
      <c r="Z772" s="221"/>
    </row>
    <row r="773" customFormat="false" ht="12" hidden="false" customHeight="true" outlineLevel="0" collapsed="false">
      <c r="A773" s="256"/>
      <c r="B773" s="256"/>
      <c r="C773" s="256"/>
      <c r="D773" s="256"/>
      <c r="E773" s="256"/>
      <c r="F773" s="256"/>
      <c r="G773" s="256"/>
      <c r="H773" s="256"/>
      <c r="I773" s="256"/>
      <c r="J773" s="256"/>
      <c r="K773" s="256"/>
      <c r="L773" s="256"/>
      <c r="M773" s="256"/>
      <c r="N773" s="256"/>
      <c r="O773" s="256"/>
      <c r="P773" s="256"/>
      <c r="Q773" s="256"/>
      <c r="R773" s="256"/>
      <c r="S773" s="221"/>
      <c r="T773" s="221"/>
      <c r="U773" s="221"/>
      <c r="V773" s="221"/>
      <c r="W773" s="221"/>
      <c r="X773" s="221"/>
      <c r="Y773" s="221"/>
      <c r="Z773" s="221"/>
    </row>
    <row r="774" customFormat="false" ht="12" hidden="false" customHeight="true" outlineLevel="0" collapsed="false">
      <c r="A774" s="256"/>
      <c r="B774" s="256"/>
      <c r="C774" s="256"/>
      <c r="D774" s="256"/>
      <c r="E774" s="256"/>
      <c r="F774" s="256"/>
      <c r="G774" s="256"/>
      <c r="H774" s="256"/>
      <c r="I774" s="256"/>
      <c r="J774" s="256"/>
      <c r="K774" s="256"/>
      <c r="L774" s="256"/>
      <c r="M774" s="256"/>
      <c r="N774" s="256"/>
      <c r="O774" s="256"/>
      <c r="P774" s="256"/>
      <c r="Q774" s="256"/>
      <c r="R774" s="256"/>
      <c r="S774" s="221"/>
      <c r="T774" s="221"/>
      <c r="U774" s="221"/>
      <c r="V774" s="221"/>
      <c r="W774" s="221"/>
      <c r="X774" s="221"/>
      <c r="Y774" s="221"/>
      <c r="Z774" s="221"/>
    </row>
    <row r="775" customFormat="false" ht="12" hidden="false" customHeight="true" outlineLevel="0" collapsed="false">
      <c r="A775" s="256"/>
      <c r="B775" s="256"/>
      <c r="C775" s="256"/>
      <c r="D775" s="256"/>
      <c r="E775" s="256"/>
      <c r="F775" s="256"/>
      <c r="G775" s="256"/>
      <c r="H775" s="256"/>
      <c r="I775" s="256"/>
      <c r="J775" s="256"/>
      <c r="K775" s="256"/>
      <c r="L775" s="256"/>
      <c r="M775" s="256"/>
      <c r="N775" s="256"/>
      <c r="O775" s="256"/>
      <c r="P775" s="256"/>
      <c r="Q775" s="256"/>
      <c r="R775" s="256"/>
      <c r="S775" s="221"/>
      <c r="T775" s="221"/>
      <c r="U775" s="221"/>
      <c r="V775" s="221"/>
      <c r="W775" s="221"/>
      <c r="X775" s="221"/>
      <c r="Y775" s="221"/>
      <c r="Z775" s="221"/>
    </row>
    <row r="776" customFormat="false" ht="12" hidden="false" customHeight="true" outlineLevel="0" collapsed="false">
      <c r="A776" s="256"/>
      <c r="B776" s="256"/>
      <c r="C776" s="256"/>
      <c r="D776" s="256"/>
      <c r="E776" s="256"/>
      <c r="F776" s="256"/>
      <c r="G776" s="256"/>
      <c r="H776" s="256"/>
      <c r="I776" s="256"/>
      <c r="J776" s="256"/>
      <c r="K776" s="256"/>
      <c r="L776" s="256"/>
      <c r="M776" s="256"/>
      <c r="N776" s="256"/>
      <c r="O776" s="256"/>
      <c r="P776" s="256"/>
      <c r="Q776" s="256"/>
      <c r="R776" s="256"/>
      <c r="S776" s="221"/>
      <c r="T776" s="221"/>
      <c r="U776" s="221"/>
      <c r="V776" s="221"/>
      <c r="W776" s="221"/>
      <c r="X776" s="221"/>
      <c r="Y776" s="221"/>
      <c r="Z776" s="221"/>
    </row>
    <row r="777" customFormat="false" ht="12" hidden="false" customHeight="true" outlineLevel="0" collapsed="false">
      <c r="A777" s="256"/>
      <c r="B777" s="256"/>
      <c r="C777" s="256"/>
      <c r="D777" s="256"/>
      <c r="E777" s="256"/>
      <c r="F777" s="256"/>
      <c r="G777" s="256"/>
      <c r="H777" s="256"/>
      <c r="I777" s="256"/>
      <c r="J777" s="256"/>
      <c r="K777" s="256"/>
      <c r="L777" s="256"/>
      <c r="M777" s="256"/>
      <c r="N777" s="256"/>
      <c r="O777" s="256"/>
      <c r="P777" s="256"/>
      <c r="Q777" s="256"/>
      <c r="R777" s="256"/>
      <c r="S777" s="221"/>
      <c r="T777" s="221"/>
      <c r="U777" s="221"/>
      <c r="V777" s="221"/>
      <c r="W777" s="221"/>
      <c r="X777" s="221"/>
      <c r="Y777" s="221"/>
      <c r="Z777" s="221"/>
    </row>
    <row r="778" customFormat="false" ht="12" hidden="false" customHeight="true" outlineLevel="0" collapsed="false">
      <c r="A778" s="256"/>
      <c r="B778" s="256"/>
      <c r="C778" s="256"/>
      <c r="D778" s="256"/>
      <c r="E778" s="256"/>
      <c r="F778" s="256"/>
      <c r="G778" s="256"/>
      <c r="H778" s="256"/>
      <c r="I778" s="256"/>
      <c r="J778" s="256"/>
      <c r="K778" s="256"/>
      <c r="L778" s="256"/>
      <c r="M778" s="256"/>
      <c r="N778" s="256"/>
      <c r="O778" s="256"/>
      <c r="P778" s="256"/>
      <c r="Q778" s="256"/>
      <c r="R778" s="256"/>
      <c r="S778" s="221"/>
      <c r="T778" s="221"/>
      <c r="U778" s="221"/>
      <c r="V778" s="221"/>
      <c r="W778" s="221"/>
      <c r="X778" s="221"/>
      <c r="Y778" s="221"/>
      <c r="Z778" s="221"/>
    </row>
    <row r="779" customFormat="false" ht="12" hidden="false" customHeight="true" outlineLevel="0" collapsed="false">
      <c r="A779" s="256"/>
      <c r="B779" s="256"/>
      <c r="C779" s="256"/>
      <c r="D779" s="256"/>
      <c r="E779" s="256"/>
      <c r="F779" s="256"/>
      <c r="G779" s="256"/>
      <c r="H779" s="256"/>
      <c r="I779" s="256"/>
      <c r="J779" s="256"/>
      <c r="K779" s="256"/>
      <c r="L779" s="256"/>
      <c r="M779" s="256"/>
      <c r="N779" s="256"/>
      <c r="O779" s="256"/>
      <c r="P779" s="256"/>
      <c r="Q779" s="256"/>
      <c r="R779" s="256"/>
      <c r="S779" s="221"/>
      <c r="T779" s="221"/>
      <c r="U779" s="221"/>
      <c r="V779" s="221"/>
      <c r="W779" s="221"/>
      <c r="X779" s="221"/>
      <c r="Y779" s="221"/>
      <c r="Z779" s="221"/>
    </row>
    <row r="780" customFormat="false" ht="12" hidden="false" customHeight="true" outlineLevel="0" collapsed="false">
      <c r="A780" s="256"/>
      <c r="B780" s="256"/>
      <c r="C780" s="256"/>
      <c r="D780" s="256"/>
      <c r="E780" s="256"/>
      <c r="F780" s="256"/>
      <c r="G780" s="256"/>
      <c r="H780" s="256"/>
      <c r="I780" s="256"/>
      <c r="J780" s="256"/>
      <c r="K780" s="256"/>
      <c r="L780" s="256"/>
      <c r="M780" s="256"/>
      <c r="N780" s="256"/>
      <c r="O780" s="256"/>
      <c r="P780" s="256"/>
      <c r="Q780" s="256"/>
      <c r="R780" s="256"/>
      <c r="S780" s="221"/>
      <c r="T780" s="221"/>
      <c r="U780" s="221"/>
      <c r="V780" s="221"/>
      <c r="W780" s="221"/>
      <c r="X780" s="221"/>
      <c r="Y780" s="221"/>
      <c r="Z780" s="221"/>
    </row>
    <row r="781" customFormat="false" ht="12" hidden="false" customHeight="true" outlineLevel="0" collapsed="false">
      <c r="A781" s="256"/>
      <c r="B781" s="256"/>
      <c r="C781" s="256"/>
      <c r="D781" s="256"/>
      <c r="E781" s="256"/>
      <c r="F781" s="256"/>
      <c r="G781" s="256"/>
      <c r="H781" s="256"/>
      <c r="I781" s="256"/>
      <c r="J781" s="256"/>
      <c r="K781" s="256"/>
      <c r="L781" s="256"/>
      <c r="M781" s="256"/>
      <c r="N781" s="256"/>
      <c r="O781" s="256"/>
      <c r="P781" s="256"/>
      <c r="Q781" s="256"/>
      <c r="R781" s="256"/>
      <c r="S781" s="221"/>
      <c r="T781" s="221"/>
      <c r="U781" s="221"/>
      <c r="V781" s="221"/>
      <c r="W781" s="221"/>
      <c r="X781" s="221"/>
      <c r="Y781" s="221"/>
      <c r="Z781" s="221"/>
    </row>
    <row r="782" customFormat="false" ht="12" hidden="false" customHeight="true" outlineLevel="0" collapsed="false">
      <c r="A782" s="256"/>
      <c r="B782" s="256"/>
      <c r="C782" s="256"/>
      <c r="D782" s="256"/>
      <c r="E782" s="256"/>
      <c r="F782" s="256"/>
      <c r="G782" s="256"/>
      <c r="H782" s="256"/>
      <c r="I782" s="256"/>
      <c r="J782" s="256"/>
      <c r="K782" s="256"/>
      <c r="L782" s="256"/>
      <c r="M782" s="256"/>
      <c r="N782" s="256"/>
      <c r="O782" s="256"/>
      <c r="P782" s="256"/>
      <c r="Q782" s="256"/>
      <c r="R782" s="256"/>
      <c r="S782" s="221"/>
      <c r="T782" s="221"/>
      <c r="U782" s="221"/>
      <c r="V782" s="221"/>
      <c r="W782" s="221"/>
      <c r="X782" s="221"/>
      <c r="Y782" s="221"/>
      <c r="Z782" s="221"/>
    </row>
    <row r="783" customFormat="false" ht="12" hidden="false" customHeight="true" outlineLevel="0" collapsed="false">
      <c r="A783" s="256"/>
      <c r="B783" s="256"/>
      <c r="C783" s="256"/>
      <c r="D783" s="256"/>
      <c r="E783" s="256"/>
      <c r="F783" s="256"/>
      <c r="G783" s="256"/>
      <c r="H783" s="256"/>
      <c r="I783" s="256"/>
      <c r="J783" s="256"/>
      <c r="K783" s="256"/>
      <c r="L783" s="256"/>
      <c r="M783" s="256"/>
      <c r="N783" s="256"/>
      <c r="O783" s="256"/>
      <c r="P783" s="256"/>
      <c r="Q783" s="256"/>
      <c r="R783" s="256"/>
      <c r="S783" s="221"/>
      <c r="T783" s="221"/>
      <c r="U783" s="221"/>
      <c r="V783" s="221"/>
      <c r="W783" s="221"/>
      <c r="X783" s="221"/>
      <c r="Y783" s="221"/>
      <c r="Z783" s="221"/>
    </row>
    <row r="784" customFormat="false" ht="12" hidden="false" customHeight="true" outlineLevel="0" collapsed="false">
      <c r="A784" s="256"/>
      <c r="B784" s="256"/>
      <c r="C784" s="256"/>
      <c r="D784" s="256"/>
      <c r="E784" s="256"/>
      <c r="F784" s="256"/>
      <c r="G784" s="256"/>
      <c r="H784" s="256"/>
      <c r="I784" s="256"/>
      <c r="J784" s="256"/>
      <c r="K784" s="256"/>
      <c r="L784" s="256"/>
      <c r="M784" s="256"/>
      <c r="N784" s="256"/>
      <c r="O784" s="256"/>
      <c r="P784" s="256"/>
      <c r="Q784" s="256"/>
      <c r="R784" s="256"/>
      <c r="S784" s="221"/>
      <c r="T784" s="221"/>
      <c r="U784" s="221"/>
      <c r="V784" s="221"/>
      <c r="W784" s="221"/>
      <c r="X784" s="221"/>
      <c r="Y784" s="221"/>
      <c r="Z784" s="221"/>
    </row>
    <row r="785" customFormat="false" ht="12" hidden="false" customHeight="true" outlineLevel="0" collapsed="false">
      <c r="A785" s="256"/>
      <c r="B785" s="256"/>
      <c r="C785" s="256"/>
      <c r="D785" s="256"/>
      <c r="E785" s="256"/>
      <c r="F785" s="256"/>
      <c r="G785" s="256"/>
      <c r="H785" s="256"/>
      <c r="I785" s="256"/>
      <c r="J785" s="256"/>
      <c r="K785" s="256"/>
      <c r="L785" s="256"/>
      <c r="M785" s="256"/>
      <c r="N785" s="256"/>
      <c r="O785" s="256"/>
      <c r="P785" s="256"/>
      <c r="Q785" s="256"/>
      <c r="R785" s="256"/>
      <c r="S785" s="221"/>
      <c r="T785" s="221"/>
      <c r="U785" s="221"/>
      <c r="V785" s="221"/>
      <c r="W785" s="221"/>
      <c r="X785" s="221"/>
      <c r="Y785" s="221"/>
      <c r="Z785" s="221"/>
    </row>
    <row r="786" customFormat="false" ht="12" hidden="false" customHeight="true" outlineLevel="0" collapsed="false">
      <c r="A786" s="256"/>
      <c r="B786" s="256"/>
      <c r="C786" s="256"/>
      <c r="D786" s="256"/>
      <c r="E786" s="256"/>
      <c r="F786" s="256"/>
      <c r="G786" s="256"/>
      <c r="H786" s="256"/>
      <c r="I786" s="256"/>
      <c r="J786" s="256"/>
      <c r="K786" s="256"/>
      <c r="L786" s="256"/>
      <c r="M786" s="256"/>
      <c r="N786" s="256"/>
      <c r="O786" s="256"/>
      <c r="P786" s="256"/>
      <c r="Q786" s="256"/>
      <c r="R786" s="256"/>
      <c r="S786" s="221"/>
      <c r="T786" s="221"/>
      <c r="U786" s="221"/>
      <c r="V786" s="221"/>
      <c r="W786" s="221"/>
      <c r="X786" s="221"/>
      <c r="Y786" s="221"/>
      <c r="Z786" s="221"/>
    </row>
    <row r="787" customFormat="false" ht="12" hidden="false" customHeight="true" outlineLevel="0" collapsed="false">
      <c r="A787" s="256"/>
      <c r="B787" s="256"/>
      <c r="C787" s="256"/>
      <c r="D787" s="256"/>
      <c r="E787" s="256"/>
      <c r="F787" s="256"/>
      <c r="G787" s="256"/>
      <c r="H787" s="256"/>
      <c r="I787" s="256"/>
      <c r="J787" s="256"/>
      <c r="K787" s="256"/>
      <c r="L787" s="256"/>
      <c r="M787" s="256"/>
      <c r="N787" s="256"/>
      <c r="O787" s="256"/>
      <c r="P787" s="256"/>
      <c r="Q787" s="256"/>
      <c r="R787" s="256"/>
      <c r="S787" s="221"/>
      <c r="T787" s="221"/>
      <c r="U787" s="221"/>
      <c r="V787" s="221"/>
      <c r="W787" s="221"/>
      <c r="X787" s="221"/>
      <c r="Y787" s="221"/>
      <c r="Z787" s="221"/>
    </row>
    <row r="788" customFormat="false" ht="12" hidden="false" customHeight="true" outlineLevel="0" collapsed="false">
      <c r="A788" s="256"/>
      <c r="B788" s="256"/>
      <c r="C788" s="256"/>
      <c r="D788" s="256"/>
      <c r="E788" s="256"/>
      <c r="F788" s="256"/>
      <c r="G788" s="256"/>
      <c r="H788" s="256"/>
      <c r="I788" s="256"/>
      <c r="J788" s="256"/>
      <c r="K788" s="256"/>
      <c r="L788" s="256"/>
      <c r="M788" s="256"/>
      <c r="N788" s="256"/>
      <c r="O788" s="256"/>
      <c r="P788" s="256"/>
      <c r="Q788" s="256"/>
      <c r="R788" s="256"/>
      <c r="S788" s="221"/>
      <c r="T788" s="221"/>
      <c r="U788" s="221"/>
      <c r="V788" s="221"/>
      <c r="W788" s="221"/>
      <c r="X788" s="221"/>
      <c r="Y788" s="221"/>
      <c r="Z788" s="221"/>
    </row>
    <row r="789" customFormat="false" ht="12" hidden="false" customHeight="true" outlineLevel="0" collapsed="false">
      <c r="A789" s="256"/>
      <c r="B789" s="256"/>
      <c r="C789" s="256"/>
      <c r="D789" s="256"/>
      <c r="E789" s="256"/>
      <c r="F789" s="256"/>
      <c r="G789" s="256"/>
      <c r="H789" s="256"/>
      <c r="I789" s="256"/>
      <c r="J789" s="256"/>
      <c r="K789" s="256"/>
      <c r="L789" s="256"/>
      <c r="M789" s="256"/>
      <c r="N789" s="256"/>
      <c r="O789" s="256"/>
      <c r="P789" s="256"/>
      <c r="Q789" s="256"/>
      <c r="R789" s="256"/>
      <c r="S789" s="221"/>
      <c r="T789" s="221"/>
      <c r="U789" s="221"/>
      <c r="V789" s="221"/>
      <c r="W789" s="221"/>
      <c r="X789" s="221"/>
      <c r="Y789" s="221"/>
      <c r="Z789" s="221"/>
    </row>
    <row r="790" customFormat="false" ht="12" hidden="false" customHeight="true" outlineLevel="0" collapsed="false">
      <c r="A790" s="256"/>
      <c r="B790" s="256"/>
      <c r="C790" s="256"/>
      <c r="D790" s="256"/>
      <c r="E790" s="256"/>
      <c r="F790" s="256"/>
      <c r="G790" s="256"/>
      <c r="H790" s="256"/>
      <c r="I790" s="256"/>
      <c r="J790" s="256"/>
      <c r="K790" s="256"/>
      <c r="L790" s="256"/>
      <c r="M790" s="256"/>
      <c r="N790" s="256"/>
      <c r="O790" s="256"/>
      <c r="P790" s="256"/>
      <c r="Q790" s="256"/>
      <c r="R790" s="256"/>
      <c r="S790" s="221"/>
      <c r="T790" s="221"/>
      <c r="U790" s="221"/>
      <c r="V790" s="221"/>
      <c r="W790" s="221"/>
      <c r="X790" s="221"/>
      <c r="Y790" s="221"/>
      <c r="Z790" s="221"/>
    </row>
    <row r="791" customFormat="false" ht="12" hidden="false" customHeight="true" outlineLevel="0" collapsed="false">
      <c r="A791" s="256"/>
      <c r="B791" s="256"/>
      <c r="C791" s="256"/>
      <c r="D791" s="256"/>
      <c r="E791" s="256"/>
      <c r="F791" s="256"/>
      <c r="G791" s="256"/>
      <c r="H791" s="256"/>
      <c r="I791" s="256"/>
      <c r="J791" s="256"/>
      <c r="K791" s="256"/>
      <c r="L791" s="256"/>
      <c r="M791" s="256"/>
      <c r="N791" s="256"/>
      <c r="O791" s="256"/>
      <c r="P791" s="256"/>
      <c r="Q791" s="256"/>
      <c r="R791" s="256"/>
      <c r="S791" s="221"/>
      <c r="T791" s="221"/>
      <c r="U791" s="221"/>
      <c r="V791" s="221"/>
      <c r="W791" s="221"/>
      <c r="X791" s="221"/>
      <c r="Y791" s="221"/>
      <c r="Z791" s="221"/>
    </row>
    <row r="792" customFormat="false" ht="12" hidden="false" customHeight="true" outlineLevel="0" collapsed="false">
      <c r="A792" s="256"/>
      <c r="B792" s="256"/>
      <c r="C792" s="256"/>
      <c r="D792" s="256"/>
      <c r="E792" s="256"/>
      <c r="F792" s="256"/>
      <c r="G792" s="256"/>
      <c r="H792" s="256"/>
      <c r="I792" s="256"/>
      <c r="J792" s="256"/>
      <c r="K792" s="256"/>
      <c r="L792" s="256"/>
      <c r="M792" s="256"/>
      <c r="N792" s="256"/>
      <c r="O792" s="256"/>
      <c r="P792" s="256"/>
      <c r="Q792" s="256"/>
      <c r="R792" s="256"/>
      <c r="S792" s="221"/>
      <c r="T792" s="221"/>
      <c r="U792" s="221"/>
      <c r="V792" s="221"/>
      <c r="W792" s="221"/>
      <c r="X792" s="221"/>
      <c r="Y792" s="221"/>
      <c r="Z792" s="221"/>
    </row>
    <row r="793" customFormat="false" ht="12" hidden="false" customHeight="true" outlineLevel="0" collapsed="false">
      <c r="A793" s="256"/>
      <c r="B793" s="256"/>
      <c r="C793" s="256"/>
      <c r="D793" s="256"/>
      <c r="E793" s="256"/>
      <c r="F793" s="256"/>
      <c r="G793" s="256"/>
      <c r="H793" s="256"/>
      <c r="I793" s="256"/>
      <c r="J793" s="256"/>
      <c r="K793" s="256"/>
      <c r="L793" s="256"/>
      <c r="M793" s="256"/>
      <c r="N793" s="256"/>
      <c r="O793" s="256"/>
      <c r="P793" s="256"/>
      <c r="Q793" s="256"/>
      <c r="R793" s="256"/>
      <c r="S793" s="221"/>
      <c r="T793" s="221"/>
      <c r="U793" s="221"/>
      <c r="V793" s="221"/>
      <c r="W793" s="221"/>
      <c r="X793" s="221"/>
      <c r="Y793" s="221"/>
      <c r="Z793" s="221"/>
    </row>
    <row r="794" customFormat="false" ht="12" hidden="false" customHeight="true" outlineLevel="0" collapsed="false">
      <c r="A794" s="256"/>
      <c r="B794" s="256"/>
      <c r="C794" s="256"/>
      <c r="D794" s="256"/>
      <c r="E794" s="256"/>
      <c r="F794" s="256"/>
      <c r="G794" s="256"/>
      <c r="H794" s="256"/>
      <c r="I794" s="256"/>
      <c r="J794" s="256"/>
      <c r="K794" s="256"/>
      <c r="L794" s="256"/>
      <c r="M794" s="256"/>
      <c r="N794" s="256"/>
      <c r="O794" s="256"/>
      <c r="P794" s="256"/>
      <c r="Q794" s="256"/>
      <c r="R794" s="256"/>
      <c r="S794" s="221"/>
      <c r="T794" s="221"/>
      <c r="U794" s="221"/>
      <c r="V794" s="221"/>
      <c r="W794" s="221"/>
      <c r="X794" s="221"/>
      <c r="Y794" s="221"/>
      <c r="Z794" s="221"/>
    </row>
    <row r="795" customFormat="false" ht="12" hidden="false" customHeight="true" outlineLevel="0" collapsed="false">
      <c r="A795" s="256"/>
      <c r="B795" s="256"/>
      <c r="C795" s="256"/>
      <c r="D795" s="256"/>
      <c r="E795" s="256"/>
      <c r="F795" s="256"/>
      <c r="G795" s="256"/>
      <c r="H795" s="256"/>
      <c r="I795" s="256"/>
      <c r="J795" s="256"/>
      <c r="K795" s="256"/>
      <c r="L795" s="256"/>
      <c r="M795" s="256"/>
      <c r="N795" s="256"/>
      <c r="O795" s="256"/>
      <c r="P795" s="256"/>
      <c r="Q795" s="256"/>
      <c r="R795" s="256"/>
      <c r="S795" s="221"/>
      <c r="T795" s="221"/>
      <c r="U795" s="221"/>
      <c r="V795" s="221"/>
      <c r="W795" s="221"/>
      <c r="X795" s="221"/>
      <c r="Y795" s="221"/>
      <c r="Z795" s="221"/>
    </row>
    <row r="796" customFormat="false" ht="12" hidden="false" customHeight="true" outlineLevel="0" collapsed="false">
      <c r="A796" s="256"/>
      <c r="B796" s="256"/>
      <c r="C796" s="256"/>
      <c r="D796" s="256"/>
      <c r="E796" s="256"/>
      <c r="F796" s="256"/>
      <c r="G796" s="256"/>
      <c r="H796" s="256"/>
      <c r="I796" s="256"/>
      <c r="J796" s="256"/>
      <c r="K796" s="256"/>
      <c r="L796" s="256"/>
      <c r="M796" s="256"/>
      <c r="N796" s="256"/>
      <c r="O796" s="256"/>
      <c r="P796" s="256"/>
      <c r="Q796" s="256"/>
      <c r="R796" s="256"/>
      <c r="S796" s="221"/>
      <c r="T796" s="221"/>
      <c r="U796" s="221"/>
      <c r="V796" s="221"/>
      <c r="W796" s="221"/>
      <c r="X796" s="221"/>
      <c r="Y796" s="221"/>
      <c r="Z796" s="221"/>
    </row>
    <row r="797" customFormat="false" ht="12" hidden="false" customHeight="true" outlineLevel="0" collapsed="false">
      <c r="A797" s="256"/>
      <c r="B797" s="256"/>
      <c r="C797" s="256"/>
      <c r="D797" s="256"/>
      <c r="E797" s="256"/>
      <c r="F797" s="256"/>
      <c r="G797" s="256"/>
      <c r="H797" s="256"/>
      <c r="I797" s="256"/>
      <c r="J797" s="256"/>
      <c r="K797" s="256"/>
      <c r="L797" s="256"/>
      <c r="M797" s="256"/>
      <c r="N797" s="256"/>
      <c r="O797" s="256"/>
      <c r="P797" s="256"/>
      <c r="Q797" s="256"/>
      <c r="R797" s="256"/>
      <c r="S797" s="221"/>
      <c r="T797" s="221"/>
      <c r="U797" s="221"/>
      <c r="V797" s="221"/>
      <c r="W797" s="221"/>
      <c r="X797" s="221"/>
      <c r="Y797" s="221"/>
      <c r="Z797" s="221"/>
    </row>
    <row r="798" customFormat="false" ht="12" hidden="false" customHeight="true" outlineLevel="0" collapsed="false">
      <c r="A798" s="256"/>
      <c r="B798" s="256"/>
      <c r="C798" s="256"/>
      <c r="D798" s="256"/>
      <c r="E798" s="256"/>
      <c r="F798" s="256"/>
      <c r="G798" s="256"/>
      <c r="H798" s="256"/>
      <c r="I798" s="256"/>
      <c r="J798" s="256"/>
      <c r="K798" s="256"/>
      <c r="L798" s="256"/>
      <c r="M798" s="256"/>
      <c r="N798" s="256"/>
      <c r="O798" s="256"/>
      <c r="P798" s="256"/>
      <c r="Q798" s="256"/>
      <c r="R798" s="256"/>
      <c r="S798" s="221"/>
      <c r="T798" s="221"/>
      <c r="U798" s="221"/>
      <c r="V798" s="221"/>
      <c r="W798" s="221"/>
      <c r="X798" s="221"/>
      <c r="Y798" s="221"/>
      <c r="Z798" s="221"/>
    </row>
    <row r="799" customFormat="false" ht="12" hidden="false" customHeight="true" outlineLevel="0" collapsed="false">
      <c r="A799" s="256"/>
      <c r="B799" s="256"/>
      <c r="C799" s="256"/>
      <c r="D799" s="256"/>
      <c r="E799" s="256"/>
      <c r="F799" s="256"/>
      <c r="G799" s="256"/>
      <c r="H799" s="256"/>
      <c r="I799" s="256"/>
      <c r="J799" s="256"/>
      <c r="K799" s="256"/>
      <c r="L799" s="256"/>
      <c r="M799" s="256"/>
      <c r="N799" s="256"/>
      <c r="O799" s="256"/>
      <c r="P799" s="256"/>
      <c r="Q799" s="256"/>
      <c r="R799" s="256"/>
      <c r="S799" s="221"/>
      <c r="T799" s="221"/>
      <c r="U799" s="221"/>
      <c r="V799" s="221"/>
      <c r="W799" s="221"/>
      <c r="X799" s="221"/>
      <c r="Y799" s="221"/>
      <c r="Z799" s="221"/>
    </row>
    <row r="800" customFormat="false" ht="12" hidden="false" customHeight="true" outlineLevel="0" collapsed="false">
      <c r="A800" s="256"/>
      <c r="B800" s="256"/>
      <c r="C800" s="256"/>
      <c r="D800" s="256"/>
      <c r="E800" s="256"/>
      <c r="F800" s="256"/>
      <c r="G800" s="256"/>
      <c r="H800" s="256"/>
      <c r="I800" s="256"/>
      <c r="J800" s="256"/>
      <c r="K800" s="256"/>
      <c r="L800" s="256"/>
      <c r="M800" s="256"/>
      <c r="N800" s="256"/>
      <c r="O800" s="256"/>
      <c r="P800" s="256"/>
      <c r="Q800" s="256"/>
      <c r="R800" s="256"/>
      <c r="S800" s="221"/>
      <c r="T800" s="221"/>
      <c r="U800" s="221"/>
      <c r="V800" s="221"/>
      <c r="W800" s="221"/>
      <c r="X800" s="221"/>
      <c r="Y800" s="221"/>
      <c r="Z800" s="221"/>
    </row>
    <row r="801" customFormat="false" ht="12" hidden="false" customHeight="true" outlineLevel="0" collapsed="false">
      <c r="A801" s="256"/>
      <c r="B801" s="256"/>
      <c r="C801" s="256"/>
      <c r="D801" s="256"/>
      <c r="E801" s="256"/>
      <c r="F801" s="256"/>
      <c r="G801" s="256"/>
      <c r="H801" s="256"/>
      <c r="I801" s="256"/>
      <c r="J801" s="256"/>
      <c r="K801" s="256"/>
      <c r="L801" s="256"/>
      <c r="M801" s="256"/>
      <c r="N801" s="256"/>
      <c r="O801" s="256"/>
      <c r="P801" s="256"/>
      <c r="Q801" s="256"/>
      <c r="R801" s="256"/>
      <c r="S801" s="221"/>
      <c r="T801" s="221"/>
      <c r="U801" s="221"/>
      <c r="V801" s="221"/>
      <c r="W801" s="221"/>
      <c r="X801" s="221"/>
      <c r="Y801" s="221"/>
      <c r="Z801" s="221"/>
    </row>
    <row r="802" customFormat="false" ht="12" hidden="false" customHeight="true" outlineLevel="0" collapsed="false">
      <c r="A802" s="256"/>
      <c r="B802" s="256"/>
      <c r="C802" s="256"/>
      <c r="D802" s="256"/>
      <c r="E802" s="256"/>
      <c r="F802" s="256"/>
      <c r="G802" s="256"/>
      <c r="H802" s="256"/>
      <c r="I802" s="256"/>
      <c r="J802" s="256"/>
      <c r="K802" s="256"/>
      <c r="L802" s="256"/>
      <c r="M802" s="256"/>
      <c r="N802" s="256"/>
      <c r="O802" s="256"/>
      <c r="P802" s="256"/>
      <c r="Q802" s="256"/>
      <c r="R802" s="256"/>
      <c r="S802" s="221"/>
      <c r="T802" s="221"/>
      <c r="U802" s="221"/>
      <c r="V802" s="221"/>
      <c r="W802" s="221"/>
      <c r="X802" s="221"/>
      <c r="Y802" s="221"/>
      <c r="Z802" s="221"/>
    </row>
    <row r="803" customFormat="false" ht="12" hidden="false" customHeight="true" outlineLevel="0" collapsed="false">
      <c r="A803" s="256"/>
      <c r="B803" s="256"/>
      <c r="C803" s="256"/>
      <c r="D803" s="256"/>
      <c r="E803" s="256"/>
      <c r="F803" s="256"/>
      <c r="G803" s="256"/>
      <c r="H803" s="256"/>
      <c r="I803" s="256"/>
      <c r="J803" s="256"/>
      <c r="K803" s="256"/>
      <c r="L803" s="256"/>
      <c r="M803" s="256"/>
      <c r="N803" s="256"/>
      <c r="O803" s="256"/>
      <c r="P803" s="256"/>
      <c r="Q803" s="256"/>
      <c r="R803" s="256"/>
      <c r="S803" s="221"/>
      <c r="T803" s="221"/>
      <c r="U803" s="221"/>
      <c r="V803" s="221"/>
      <c r="W803" s="221"/>
      <c r="X803" s="221"/>
      <c r="Y803" s="221"/>
      <c r="Z803" s="221"/>
    </row>
    <row r="804" customFormat="false" ht="12" hidden="false" customHeight="true" outlineLevel="0" collapsed="false">
      <c r="A804" s="256"/>
      <c r="B804" s="256"/>
      <c r="C804" s="256"/>
      <c r="D804" s="256"/>
      <c r="E804" s="256"/>
      <c r="F804" s="256"/>
      <c r="G804" s="256"/>
      <c r="H804" s="256"/>
      <c r="I804" s="256"/>
      <c r="J804" s="256"/>
      <c r="K804" s="256"/>
      <c r="L804" s="256"/>
      <c r="M804" s="256"/>
      <c r="N804" s="256"/>
      <c r="O804" s="256"/>
      <c r="P804" s="256"/>
      <c r="Q804" s="256"/>
      <c r="R804" s="256"/>
      <c r="S804" s="221"/>
      <c r="T804" s="221"/>
      <c r="U804" s="221"/>
      <c r="V804" s="221"/>
      <c r="W804" s="221"/>
      <c r="X804" s="221"/>
      <c r="Y804" s="221"/>
      <c r="Z804" s="221"/>
    </row>
    <row r="805" customFormat="false" ht="12" hidden="false" customHeight="true" outlineLevel="0" collapsed="false">
      <c r="A805" s="256"/>
      <c r="B805" s="256"/>
      <c r="C805" s="256"/>
      <c r="D805" s="256"/>
      <c r="E805" s="256"/>
      <c r="F805" s="256"/>
      <c r="G805" s="256"/>
      <c r="H805" s="256"/>
      <c r="I805" s="256"/>
      <c r="J805" s="256"/>
      <c r="K805" s="256"/>
      <c r="L805" s="256"/>
      <c r="M805" s="256"/>
      <c r="N805" s="256"/>
      <c r="O805" s="256"/>
      <c r="P805" s="256"/>
      <c r="Q805" s="256"/>
      <c r="R805" s="256"/>
      <c r="S805" s="221"/>
      <c r="T805" s="221"/>
      <c r="U805" s="221"/>
      <c r="V805" s="221"/>
      <c r="W805" s="221"/>
      <c r="X805" s="221"/>
      <c r="Y805" s="221"/>
      <c r="Z805" s="221"/>
    </row>
    <row r="806" customFormat="false" ht="12" hidden="false" customHeight="true" outlineLevel="0" collapsed="false">
      <c r="A806" s="256"/>
      <c r="B806" s="256"/>
      <c r="C806" s="256"/>
      <c r="D806" s="256"/>
      <c r="E806" s="256"/>
      <c r="F806" s="256"/>
      <c r="G806" s="256"/>
      <c r="H806" s="256"/>
      <c r="I806" s="256"/>
      <c r="J806" s="256"/>
      <c r="K806" s="256"/>
      <c r="L806" s="256"/>
      <c r="M806" s="256"/>
      <c r="N806" s="256"/>
      <c r="O806" s="256"/>
      <c r="P806" s="256"/>
      <c r="Q806" s="256"/>
      <c r="R806" s="256"/>
      <c r="S806" s="221"/>
      <c r="T806" s="221"/>
      <c r="U806" s="221"/>
      <c r="V806" s="221"/>
      <c r="W806" s="221"/>
      <c r="X806" s="221"/>
      <c r="Y806" s="221"/>
      <c r="Z806" s="221"/>
    </row>
    <row r="807" customFormat="false" ht="12" hidden="false" customHeight="true" outlineLevel="0" collapsed="false">
      <c r="A807" s="256"/>
      <c r="B807" s="256"/>
      <c r="C807" s="256"/>
      <c r="D807" s="256"/>
      <c r="E807" s="256"/>
      <c r="F807" s="256"/>
      <c r="G807" s="256"/>
      <c r="H807" s="256"/>
      <c r="I807" s="256"/>
      <c r="J807" s="256"/>
      <c r="K807" s="256"/>
      <c r="L807" s="256"/>
      <c r="M807" s="256"/>
      <c r="N807" s="256"/>
      <c r="O807" s="256"/>
      <c r="P807" s="256"/>
      <c r="Q807" s="256"/>
      <c r="R807" s="256"/>
      <c r="S807" s="221"/>
      <c r="T807" s="221"/>
      <c r="U807" s="221"/>
      <c r="V807" s="221"/>
      <c r="W807" s="221"/>
      <c r="X807" s="221"/>
      <c r="Y807" s="221"/>
      <c r="Z807" s="221"/>
    </row>
    <row r="808" customFormat="false" ht="12" hidden="false" customHeight="true" outlineLevel="0" collapsed="false">
      <c r="A808" s="256"/>
      <c r="B808" s="256"/>
      <c r="C808" s="256"/>
      <c r="D808" s="256"/>
      <c r="E808" s="256"/>
      <c r="F808" s="256"/>
      <c r="G808" s="256"/>
      <c r="H808" s="256"/>
      <c r="I808" s="256"/>
      <c r="J808" s="256"/>
      <c r="K808" s="256"/>
      <c r="L808" s="256"/>
      <c r="M808" s="256"/>
      <c r="N808" s="256"/>
      <c r="O808" s="256"/>
      <c r="P808" s="256"/>
      <c r="Q808" s="256"/>
      <c r="R808" s="256"/>
      <c r="S808" s="221"/>
      <c r="T808" s="221"/>
      <c r="U808" s="221"/>
      <c r="V808" s="221"/>
      <c r="W808" s="221"/>
      <c r="X808" s="221"/>
      <c r="Y808" s="221"/>
      <c r="Z808" s="221"/>
    </row>
    <row r="809" customFormat="false" ht="12" hidden="false" customHeight="true" outlineLevel="0" collapsed="false">
      <c r="A809" s="256"/>
      <c r="B809" s="256"/>
      <c r="C809" s="256"/>
      <c r="D809" s="256"/>
      <c r="E809" s="256"/>
      <c r="F809" s="256"/>
      <c r="G809" s="256"/>
      <c r="H809" s="256"/>
      <c r="I809" s="256"/>
      <c r="J809" s="256"/>
      <c r="K809" s="256"/>
      <c r="L809" s="256"/>
      <c r="M809" s="256"/>
      <c r="N809" s="256"/>
      <c r="O809" s="256"/>
      <c r="P809" s="256"/>
      <c r="Q809" s="256"/>
      <c r="R809" s="256"/>
      <c r="S809" s="221"/>
      <c r="T809" s="221"/>
      <c r="U809" s="221"/>
      <c r="V809" s="221"/>
      <c r="W809" s="221"/>
      <c r="X809" s="221"/>
      <c r="Y809" s="221"/>
      <c r="Z809" s="221"/>
    </row>
    <row r="810" customFormat="false" ht="12" hidden="false" customHeight="true" outlineLevel="0" collapsed="false">
      <c r="A810" s="256"/>
      <c r="B810" s="256"/>
      <c r="C810" s="256"/>
      <c r="D810" s="256"/>
      <c r="E810" s="256"/>
      <c r="F810" s="256"/>
      <c r="G810" s="256"/>
      <c r="H810" s="256"/>
      <c r="I810" s="256"/>
      <c r="J810" s="256"/>
      <c r="K810" s="256"/>
      <c r="L810" s="256"/>
      <c r="M810" s="256"/>
      <c r="N810" s="256"/>
      <c r="O810" s="256"/>
      <c r="P810" s="256"/>
      <c r="Q810" s="256"/>
      <c r="R810" s="256"/>
      <c r="S810" s="221"/>
      <c r="T810" s="221"/>
      <c r="U810" s="221"/>
      <c r="V810" s="221"/>
      <c r="W810" s="221"/>
      <c r="X810" s="221"/>
      <c r="Y810" s="221"/>
      <c r="Z810" s="221"/>
    </row>
    <row r="811" customFormat="false" ht="12" hidden="false" customHeight="true" outlineLevel="0" collapsed="false">
      <c r="A811" s="256"/>
      <c r="B811" s="256"/>
      <c r="C811" s="256"/>
      <c r="D811" s="256"/>
      <c r="E811" s="256"/>
      <c r="F811" s="256"/>
      <c r="G811" s="256"/>
      <c r="H811" s="256"/>
      <c r="I811" s="256"/>
      <c r="J811" s="256"/>
      <c r="K811" s="256"/>
      <c r="L811" s="256"/>
      <c r="M811" s="256"/>
      <c r="N811" s="256"/>
      <c r="O811" s="256"/>
      <c r="P811" s="256"/>
      <c r="Q811" s="256"/>
      <c r="R811" s="256"/>
      <c r="S811" s="221"/>
      <c r="T811" s="221"/>
      <c r="U811" s="221"/>
      <c r="V811" s="221"/>
      <c r="W811" s="221"/>
      <c r="X811" s="221"/>
      <c r="Y811" s="221"/>
      <c r="Z811" s="221"/>
    </row>
    <row r="812" customFormat="false" ht="12" hidden="false" customHeight="true" outlineLevel="0" collapsed="false">
      <c r="A812" s="256"/>
      <c r="B812" s="256"/>
      <c r="C812" s="256"/>
      <c r="D812" s="256"/>
      <c r="E812" s="256"/>
      <c r="F812" s="256"/>
      <c r="G812" s="256"/>
      <c r="H812" s="256"/>
      <c r="I812" s="256"/>
      <c r="J812" s="256"/>
      <c r="K812" s="256"/>
      <c r="L812" s="256"/>
      <c r="M812" s="256"/>
      <c r="N812" s="256"/>
      <c r="O812" s="256"/>
      <c r="P812" s="256"/>
      <c r="Q812" s="256"/>
      <c r="R812" s="256"/>
      <c r="S812" s="221"/>
      <c r="T812" s="221"/>
      <c r="U812" s="221"/>
      <c r="V812" s="221"/>
      <c r="W812" s="221"/>
      <c r="X812" s="221"/>
      <c r="Y812" s="221"/>
      <c r="Z812" s="221"/>
    </row>
    <row r="813" customFormat="false" ht="12" hidden="false" customHeight="true" outlineLevel="0" collapsed="false">
      <c r="A813" s="256"/>
      <c r="B813" s="256"/>
      <c r="C813" s="256"/>
      <c r="D813" s="256"/>
      <c r="E813" s="256"/>
      <c r="F813" s="256"/>
      <c r="G813" s="256"/>
      <c r="H813" s="256"/>
      <c r="I813" s="256"/>
      <c r="J813" s="256"/>
      <c r="K813" s="256"/>
      <c r="L813" s="256"/>
      <c r="M813" s="256"/>
      <c r="N813" s="256"/>
      <c r="O813" s="256"/>
      <c r="P813" s="256"/>
      <c r="Q813" s="256"/>
      <c r="R813" s="256"/>
      <c r="S813" s="221"/>
      <c r="T813" s="221"/>
      <c r="U813" s="221"/>
      <c r="V813" s="221"/>
      <c r="W813" s="221"/>
      <c r="X813" s="221"/>
      <c r="Y813" s="221"/>
      <c r="Z813" s="221"/>
    </row>
    <row r="814" customFormat="false" ht="12" hidden="false" customHeight="true" outlineLevel="0" collapsed="false">
      <c r="A814" s="256"/>
      <c r="B814" s="256"/>
      <c r="C814" s="256"/>
      <c r="D814" s="256"/>
      <c r="E814" s="256"/>
      <c r="F814" s="256"/>
      <c r="G814" s="256"/>
      <c r="H814" s="256"/>
      <c r="I814" s="256"/>
      <c r="J814" s="256"/>
      <c r="K814" s="256"/>
      <c r="L814" s="256"/>
      <c r="M814" s="256"/>
      <c r="N814" s="256"/>
      <c r="O814" s="256"/>
      <c r="P814" s="256"/>
      <c r="Q814" s="256"/>
      <c r="R814" s="256"/>
      <c r="S814" s="221"/>
      <c r="T814" s="221"/>
      <c r="U814" s="221"/>
      <c r="V814" s="221"/>
      <c r="W814" s="221"/>
      <c r="X814" s="221"/>
      <c r="Y814" s="221"/>
      <c r="Z814" s="221"/>
    </row>
    <row r="815" customFormat="false" ht="12" hidden="false" customHeight="true" outlineLevel="0" collapsed="false">
      <c r="A815" s="256"/>
      <c r="B815" s="256"/>
      <c r="C815" s="256"/>
      <c r="D815" s="256"/>
      <c r="E815" s="256"/>
      <c r="F815" s="256"/>
      <c r="G815" s="256"/>
      <c r="H815" s="256"/>
      <c r="I815" s="256"/>
      <c r="J815" s="256"/>
      <c r="K815" s="256"/>
      <c r="L815" s="256"/>
      <c r="M815" s="256"/>
      <c r="N815" s="256"/>
      <c r="O815" s="256"/>
      <c r="P815" s="256"/>
      <c r="Q815" s="256"/>
      <c r="R815" s="256"/>
      <c r="S815" s="221"/>
      <c r="T815" s="221"/>
      <c r="U815" s="221"/>
      <c r="V815" s="221"/>
      <c r="W815" s="221"/>
      <c r="X815" s="221"/>
      <c r="Y815" s="221"/>
      <c r="Z815" s="221"/>
    </row>
    <row r="816" customFormat="false" ht="12" hidden="false" customHeight="true" outlineLevel="0" collapsed="false">
      <c r="A816" s="256"/>
      <c r="B816" s="256"/>
      <c r="C816" s="256"/>
      <c r="D816" s="256"/>
      <c r="E816" s="256"/>
      <c r="F816" s="256"/>
      <c r="G816" s="256"/>
      <c r="H816" s="256"/>
      <c r="I816" s="256"/>
      <c r="J816" s="256"/>
      <c r="K816" s="256"/>
      <c r="L816" s="256"/>
      <c r="M816" s="256"/>
      <c r="N816" s="256"/>
      <c r="O816" s="256"/>
      <c r="P816" s="256"/>
      <c r="Q816" s="256"/>
      <c r="R816" s="256"/>
      <c r="S816" s="221"/>
      <c r="T816" s="221"/>
      <c r="U816" s="221"/>
      <c r="V816" s="221"/>
      <c r="W816" s="221"/>
      <c r="X816" s="221"/>
      <c r="Y816" s="221"/>
      <c r="Z816" s="221"/>
    </row>
    <row r="817" customFormat="false" ht="12" hidden="false" customHeight="true" outlineLevel="0" collapsed="false">
      <c r="A817" s="256"/>
      <c r="B817" s="256"/>
      <c r="C817" s="256"/>
      <c r="D817" s="256"/>
      <c r="E817" s="256"/>
      <c r="F817" s="256"/>
      <c r="G817" s="256"/>
      <c r="H817" s="256"/>
      <c r="I817" s="256"/>
      <c r="J817" s="256"/>
      <c r="K817" s="256"/>
      <c r="L817" s="256"/>
      <c r="M817" s="256"/>
      <c r="N817" s="256"/>
      <c r="O817" s="256"/>
      <c r="P817" s="256"/>
      <c r="Q817" s="256"/>
      <c r="R817" s="256"/>
      <c r="S817" s="221"/>
      <c r="T817" s="221"/>
      <c r="U817" s="221"/>
      <c r="V817" s="221"/>
      <c r="W817" s="221"/>
      <c r="X817" s="221"/>
      <c r="Y817" s="221"/>
      <c r="Z817" s="221"/>
    </row>
    <row r="818" customFormat="false" ht="12" hidden="false" customHeight="true" outlineLevel="0" collapsed="false">
      <c r="A818" s="256"/>
      <c r="B818" s="256"/>
      <c r="C818" s="256"/>
      <c r="D818" s="256"/>
      <c r="E818" s="256"/>
      <c r="F818" s="256"/>
      <c r="G818" s="256"/>
      <c r="H818" s="256"/>
      <c r="I818" s="256"/>
      <c r="J818" s="256"/>
      <c r="K818" s="256"/>
      <c r="L818" s="256"/>
      <c r="M818" s="256"/>
      <c r="N818" s="256"/>
      <c r="O818" s="256"/>
      <c r="P818" s="256"/>
      <c r="Q818" s="256"/>
      <c r="R818" s="256"/>
      <c r="S818" s="221"/>
      <c r="T818" s="221"/>
      <c r="U818" s="221"/>
      <c r="V818" s="221"/>
      <c r="W818" s="221"/>
      <c r="X818" s="221"/>
      <c r="Y818" s="221"/>
      <c r="Z818" s="221"/>
    </row>
    <row r="819" customFormat="false" ht="12" hidden="false" customHeight="true" outlineLevel="0" collapsed="false">
      <c r="A819" s="256"/>
      <c r="B819" s="256"/>
      <c r="C819" s="256"/>
      <c r="D819" s="256"/>
      <c r="E819" s="256"/>
      <c r="F819" s="256"/>
      <c r="G819" s="256"/>
      <c r="H819" s="256"/>
      <c r="I819" s="256"/>
      <c r="J819" s="256"/>
      <c r="K819" s="256"/>
      <c r="L819" s="256"/>
      <c r="M819" s="256"/>
      <c r="N819" s="256"/>
      <c r="O819" s="256"/>
      <c r="P819" s="256"/>
      <c r="Q819" s="256"/>
      <c r="R819" s="256"/>
      <c r="S819" s="221"/>
      <c r="T819" s="221"/>
      <c r="U819" s="221"/>
      <c r="V819" s="221"/>
      <c r="W819" s="221"/>
      <c r="X819" s="221"/>
      <c r="Y819" s="221"/>
      <c r="Z819" s="221"/>
    </row>
    <row r="820" customFormat="false" ht="12" hidden="false" customHeight="true" outlineLevel="0" collapsed="false">
      <c r="A820" s="256"/>
      <c r="B820" s="256"/>
      <c r="C820" s="256"/>
      <c r="D820" s="256"/>
      <c r="E820" s="256"/>
      <c r="F820" s="256"/>
      <c r="G820" s="256"/>
      <c r="H820" s="256"/>
      <c r="I820" s="256"/>
      <c r="J820" s="256"/>
      <c r="K820" s="256"/>
      <c r="L820" s="256"/>
      <c r="M820" s="256"/>
      <c r="N820" s="256"/>
      <c r="O820" s="256"/>
      <c r="P820" s="256"/>
      <c r="Q820" s="256"/>
      <c r="R820" s="256"/>
      <c r="S820" s="221"/>
      <c r="T820" s="221"/>
      <c r="U820" s="221"/>
      <c r="V820" s="221"/>
      <c r="W820" s="221"/>
      <c r="X820" s="221"/>
      <c r="Y820" s="221"/>
      <c r="Z820" s="221"/>
    </row>
    <row r="821" customFormat="false" ht="12" hidden="false" customHeight="true" outlineLevel="0" collapsed="false">
      <c r="A821" s="256"/>
      <c r="B821" s="256"/>
      <c r="C821" s="256"/>
      <c r="D821" s="256"/>
      <c r="E821" s="256"/>
      <c r="F821" s="256"/>
      <c r="G821" s="256"/>
      <c r="H821" s="256"/>
      <c r="I821" s="256"/>
      <c r="J821" s="256"/>
      <c r="K821" s="256"/>
      <c r="L821" s="256"/>
      <c r="M821" s="256"/>
      <c r="N821" s="256"/>
      <c r="O821" s="256"/>
      <c r="P821" s="256"/>
      <c r="Q821" s="256"/>
      <c r="R821" s="256"/>
      <c r="S821" s="221"/>
      <c r="T821" s="221"/>
      <c r="U821" s="221"/>
      <c r="V821" s="221"/>
      <c r="W821" s="221"/>
      <c r="X821" s="221"/>
      <c r="Y821" s="221"/>
      <c r="Z821" s="221"/>
    </row>
    <row r="822" customFormat="false" ht="12" hidden="false" customHeight="true" outlineLevel="0" collapsed="false">
      <c r="A822" s="256"/>
      <c r="B822" s="256"/>
      <c r="C822" s="256"/>
      <c r="D822" s="256"/>
      <c r="E822" s="256"/>
      <c r="F822" s="256"/>
      <c r="G822" s="256"/>
      <c r="H822" s="256"/>
      <c r="I822" s="256"/>
      <c r="J822" s="256"/>
      <c r="K822" s="256"/>
      <c r="L822" s="256"/>
      <c r="M822" s="256"/>
      <c r="N822" s="256"/>
      <c r="O822" s="256"/>
      <c r="P822" s="256"/>
      <c r="Q822" s="256"/>
      <c r="R822" s="256"/>
      <c r="S822" s="221"/>
      <c r="T822" s="221"/>
      <c r="U822" s="221"/>
      <c r="V822" s="221"/>
      <c r="W822" s="221"/>
      <c r="X822" s="221"/>
      <c r="Y822" s="221"/>
      <c r="Z822" s="221"/>
    </row>
    <row r="823" customFormat="false" ht="12" hidden="false" customHeight="true" outlineLevel="0" collapsed="false">
      <c r="A823" s="256"/>
      <c r="B823" s="256"/>
      <c r="C823" s="256"/>
      <c r="D823" s="256"/>
      <c r="E823" s="256"/>
      <c r="F823" s="256"/>
      <c r="G823" s="256"/>
      <c r="H823" s="256"/>
      <c r="I823" s="256"/>
      <c r="J823" s="256"/>
      <c r="K823" s="256"/>
      <c r="L823" s="256"/>
      <c r="M823" s="256"/>
      <c r="N823" s="256"/>
      <c r="O823" s="256"/>
      <c r="P823" s="256"/>
      <c r="Q823" s="256"/>
      <c r="R823" s="256"/>
      <c r="S823" s="221"/>
      <c r="T823" s="221"/>
      <c r="U823" s="221"/>
      <c r="V823" s="221"/>
      <c r="W823" s="221"/>
      <c r="X823" s="221"/>
      <c r="Y823" s="221"/>
      <c r="Z823" s="221"/>
    </row>
    <row r="824" customFormat="false" ht="12" hidden="false" customHeight="true" outlineLevel="0" collapsed="false">
      <c r="A824" s="256"/>
      <c r="B824" s="256"/>
      <c r="C824" s="256"/>
      <c r="D824" s="256"/>
      <c r="E824" s="256"/>
      <c r="F824" s="256"/>
      <c r="G824" s="256"/>
      <c r="H824" s="256"/>
      <c r="I824" s="256"/>
      <c r="J824" s="256"/>
      <c r="K824" s="256"/>
      <c r="L824" s="256"/>
      <c r="M824" s="256"/>
      <c r="N824" s="256"/>
      <c r="O824" s="256"/>
      <c r="P824" s="256"/>
      <c r="Q824" s="256"/>
      <c r="R824" s="256"/>
      <c r="S824" s="221"/>
      <c r="T824" s="221"/>
      <c r="U824" s="221"/>
      <c r="V824" s="221"/>
      <c r="W824" s="221"/>
      <c r="X824" s="221"/>
      <c r="Y824" s="221"/>
      <c r="Z824" s="221"/>
    </row>
    <row r="825" customFormat="false" ht="12" hidden="false" customHeight="true" outlineLevel="0" collapsed="false">
      <c r="A825" s="256"/>
      <c r="B825" s="256"/>
      <c r="C825" s="256"/>
      <c r="D825" s="256"/>
      <c r="E825" s="256"/>
      <c r="F825" s="256"/>
      <c r="G825" s="256"/>
      <c r="H825" s="256"/>
      <c r="I825" s="256"/>
      <c r="J825" s="256"/>
      <c r="K825" s="256"/>
      <c r="L825" s="256"/>
      <c r="M825" s="256"/>
      <c r="N825" s="256"/>
      <c r="O825" s="256"/>
      <c r="P825" s="256"/>
      <c r="Q825" s="256"/>
      <c r="R825" s="256"/>
      <c r="S825" s="221"/>
      <c r="T825" s="221"/>
      <c r="U825" s="221"/>
      <c r="V825" s="221"/>
      <c r="W825" s="221"/>
      <c r="X825" s="221"/>
      <c r="Y825" s="221"/>
      <c r="Z825" s="221"/>
    </row>
    <row r="826" customFormat="false" ht="12" hidden="false" customHeight="true" outlineLevel="0" collapsed="false">
      <c r="A826" s="256"/>
      <c r="B826" s="256"/>
      <c r="C826" s="256"/>
      <c r="D826" s="256"/>
      <c r="E826" s="256"/>
      <c r="F826" s="256"/>
      <c r="G826" s="256"/>
      <c r="H826" s="256"/>
      <c r="I826" s="256"/>
      <c r="J826" s="256"/>
      <c r="K826" s="256"/>
      <c r="L826" s="256"/>
      <c r="M826" s="256"/>
      <c r="N826" s="256"/>
      <c r="O826" s="256"/>
      <c r="P826" s="256"/>
      <c r="Q826" s="256"/>
      <c r="R826" s="256"/>
      <c r="S826" s="221"/>
      <c r="T826" s="221"/>
      <c r="U826" s="221"/>
      <c r="V826" s="221"/>
      <c r="W826" s="221"/>
      <c r="X826" s="221"/>
      <c r="Y826" s="221"/>
      <c r="Z826" s="221"/>
    </row>
    <row r="827" customFormat="false" ht="12" hidden="false" customHeight="true" outlineLevel="0" collapsed="false">
      <c r="A827" s="256"/>
      <c r="B827" s="256"/>
      <c r="C827" s="256"/>
      <c r="D827" s="256"/>
      <c r="E827" s="256"/>
      <c r="F827" s="256"/>
      <c r="G827" s="256"/>
      <c r="H827" s="256"/>
      <c r="I827" s="256"/>
      <c r="J827" s="256"/>
      <c r="K827" s="256"/>
      <c r="L827" s="256"/>
      <c r="M827" s="256"/>
      <c r="N827" s="256"/>
      <c r="O827" s="256"/>
      <c r="P827" s="256"/>
      <c r="Q827" s="256"/>
      <c r="R827" s="256"/>
      <c r="S827" s="221"/>
      <c r="T827" s="221"/>
      <c r="U827" s="221"/>
      <c r="V827" s="221"/>
      <c r="W827" s="221"/>
      <c r="X827" s="221"/>
      <c r="Y827" s="221"/>
      <c r="Z827" s="221"/>
    </row>
    <row r="828" customFormat="false" ht="12" hidden="false" customHeight="true" outlineLevel="0" collapsed="false">
      <c r="A828" s="256"/>
      <c r="B828" s="256"/>
      <c r="C828" s="256"/>
      <c r="D828" s="256"/>
      <c r="E828" s="256"/>
      <c r="F828" s="256"/>
      <c r="G828" s="256"/>
      <c r="H828" s="256"/>
      <c r="I828" s="256"/>
      <c r="J828" s="256"/>
      <c r="K828" s="256"/>
      <c r="L828" s="256"/>
      <c r="M828" s="256"/>
      <c r="N828" s="256"/>
      <c r="O828" s="256"/>
      <c r="P828" s="256"/>
      <c r="Q828" s="256"/>
      <c r="R828" s="256"/>
      <c r="S828" s="221"/>
      <c r="T828" s="221"/>
      <c r="U828" s="221"/>
      <c r="V828" s="221"/>
      <c r="W828" s="221"/>
      <c r="X828" s="221"/>
      <c r="Y828" s="221"/>
      <c r="Z828" s="221"/>
    </row>
    <row r="829" customFormat="false" ht="12" hidden="false" customHeight="true" outlineLevel="0" collapsed="false">
      <c r="A829" s="256"/>
      <c r="B829" s="256"/>
      <c r="C829" s="256"/>
      <c r="D829" s="256"/>
      <c r="E829" s="256"/>
      <c r="F829" s="256"/>
      <c r="G829" s="256"/>
      <c r="H829" s="256"/>
      <c r="I829" s="256"/>
      <c r="J829" s="256"/>
      <c r="K829" s="256"/>
      <c r="L829" s="256"/>
      <c r="M829" s="256"/>
      <c r="N829" s="256"/>
      <c r="O829" s="256"/>
      <c r="P829" s="256"/>
      <c r="Q829" s="256"/>
      <c r="R829" s="256"/>
      <c r="S829" s="221"/>
      <c r="T829" s="221"/>
      <c r="U829" s="221"/>
      <c r="V829" s="221"/>
      <c r="W829" s="221"/>
      <c r="X829" s="221"/>
      <c r="Y829" s="221"/>
      <c r="Z829" s="221"/>
    </row>
    <row r="830" customFormat="false" ht="12" hidden="false" customHeight="true" outlineLevel="0" collapsed="false">
      <c r="A830" s="256"/>
      <c r="B830" s="256"/>
      <c r="C830" s="256"/>
      <c r="D830" s="256"/>
      <c r="E830" s="256"/>
      <c r="F830" s="256"/>
      <c r="G830" s="256"/>
      <c r="H830" s="256"/>
      <c r="I830" s="256"/>
      <c r="J830" s="256"/>
      <c r="K830" s="256"/>
      <c r="L830" s="256"/>
      <c r="M830" s="256"/>
      <c r="N830" s="256"/>
      <c r="O830" s="256"/>
      <c r="P830" s="256"/>
      <c r="Q830" s="256"/>
      <c r="R830" s="256"/>
      <c r="S830" s="221"/>
      <c r="T830" s="221"/>
      <c r="U830" s="221"/>
      <c r="V830" s="221"/>
      <c r="W830" s="221"/>
      <c r="X830" s="221"/>
      <c r="Y830" s="221"/>
      <c r="Z830" s="221"/>
    </row>
    <row r="831" customFormat="false" ht="12" hidden="false" customHeight="true" outlineLevel="0" collapsed="false">
      <c r="A831" s="256"/>
      <c r="B831" s="256"/>
      <c r="C831" s="256"/>
      <c r="D831" s="256"/>
      <c r="E831" s="256"/>
      <c r="F831" s="256"/>
      <c r="G831" s="256"/>
      <c r="H831" s="256"/>
      <c r="I831" s="256"/>
      <c r="J831" s="256"/>
      <c r="K831" s="256"/>
      <c r="L831" s="256"/>
      <c r="M831" s="256"/>
      <c r="N831" s="256"/>
      <c r="O831" s="256"/>
      <c r="P831" s="256"/>
      <c r="Q831" s="256"/>
      <c r="R831" s="256"/>
      <c r="S831" s="221"/>
      <c r="T831" s="221"/>
      <c r="U831" s="221"/>
      <c r="V831" s="221"/>
      <c r="W831" s="221"/>
      <c r="X831" s="221"/>
      <c r="Y831" s="221"/>
      <c r="Z831" s="221"/>
    </row>
    <row r="832" customFormat="false" ht="12" hidden="false" customHeight="true" outlineLevel="0" collapsed="false">
      <c r="A832" s="256"/>
      <c r="B832" s="256"/>
      <c r="C832" s="256"/>
      <c r="D832" s="256"/>
      <c r="E832" s="256"/>
      <c r="F832" s="256"/>
      <c r="G832" s="256"/>
      <c r="H832" s="256"/>
      <c r="I832" s="256"/>
      <c r="J832" s="256"/>
      <c r="K832" s="256"/>
      <c r="L832" s="256"/>
      <c r="M832" s="256"/>
      <c r="N832" s="256"/>
      <c r="O832" s="256"/>
      <c r="P832" s="256"/>
      <c r="Q832" s="256"/>
      <c r="R832" s="256"/>
      <c r="S832" s="221"/>
      <c r="T832" s="221"/>
      <c r="U832" s="221"/>
      <c r="V832" s="221"/>
      <c r="W832" s="221"/>
      <c r="X832" s="221"/>
      <c r="Y832" s="221"/>
      <c r="Z832" s="221"/>
    </row>
    <row r="833" customFormat="false" ht="12" hidden="false" customHeight="true" outlineLevel="0" collapsed="false">
      <c r="A833" s="256"/>
      <c r="B833" s="256"/>
      <c r="C833" s="256"/>
      <c r="D833" s="256"/>
      <c r="E833" s="256"/>
      <c r="F833" s="256"/>
      <c r="G833" s="256"/>
      <c r="H833" s="256"/>
      <c r="I833" s="256"/>
      <c r="J833" s="256"/>
      <c r="K833" s="256"/>
      <c r="L833" s="256"/>
      <c r="M833" s="256"/>
      <c r="N833" s="256"/>
      <c r="O833" s="256"/>
      <c r="P833" s="256"/>
      <c r="Q833" s="256"/>
      <c r="R833" s="256"/>
      <c r="S833" s="221"/>
      <c r="T833" s="221"/>
      <c r="U833" s="221"/>
      <c r="V833" s="221"/>
      <c r="W833" s="221"/>
      <c r="X833" s="221"/>
      <c r="Y833" s="221"/>
      <c r="Z833" s="221"/>
    </row>
    <row r="834" customFormat="false" ht="12" hidden="false" customHeight="true" outlineLevel="0" collapsed="false">
      <c r="A834" s="256"/>
      <c r="B834" s="256"/>
      <c r="C834" s="256"/>
      <c r="D834" s="256"/>
      <c r="E834" s="256"/>
      <c r="F834" s="256"/>
      <c r="G834" s="256"/>
      <c r="H834" s="256"/>
      <c r="I834" s="256"/>
      <c r="J834" s="256"/>
      <c r="K834" s="256"/>
      <c r="L834" s="256"/>
      <c r="M834" s="256"/>
      <c r="N834" s="256"/>
      <c r="O834" s="256"/>
      <c r="P834" s="256"/>
      <c r="Q834" s="256"/>
      <c r="R834" s="256"/>
      <c r="S834" s="221"/>
      <c r="T834" s="221"/>
      <c r="U834" s="221"/>
      <c r="V834" s="221"/>
      <c r="W834" s="221"/>
      <c r="X834" s="221"/>
      <c r="Y834" s="221"/>
      <c r="Z834" s="221"/>
    </row>
    <row r="835" customFormat="false" ht="12" hidden="false" customHeight="true" outlineLevel="0" collapsed="false">
      <c r="A835" s="256"/>
      <c r="B835" s="256"/>
      <c r="C835" s="256"/>
      <c r="D835" s="256"/>
      <c r="E835" s="256"/>
      <c r="F835" s="256"/>
      <c r="G835" s="256"/>
      <c r="H835" s="256"/>
      <c r="I835" s="256"/>
      <c r="J835" s="256"/>
      <c r="K835" s="256"/>
      <c r="L835" s="256"/>
      <c r="M835" s="256"/>
      <c r="N835" s="256"/>
      <c r="O835" s="256"/>
      <c r="P835" s="256"/>
      <c r="Q835" s="256"/>
      <c r="R835" s="256"/>
      <c r="S835" s="221"/>
      <c r="T835" s="221"/>
      <c r="U835" s="221"/>
      <c r="V835" s="221"/>
      <c r="W835" s="221"/>
      <c r="X835" s="221"/>
      <c r="Y835" s="221"/>
      <c r="Z835" s="221"/>
    </row>
    <row r="836" customFormat="false" ht="12" hidden="false" customHeight="true" outlineLevel="0" collapsed="false">
      <c r="A836" s="256"/>
      <c r="B836" s="256"/>
      <c r="C836" s="256"/>
      <c r="D836" s="256"/>
      <c r="E836" s="256"/>
      <c r="F836" s="256"/>
      <c r="G836" s="256"/>
      <c r="H836" s="256"/>
      <c r="I836" s="256"/>
      <c r="J836" s="256"/>
      <c r="K836" s="256"/>
      <c r="L836" s="256"/>
      <c r="M836" s="256"/>
      <c r="N836" s="256"/>
      <c r="O836" s="256"/>
      <c r="P836" s="256"/>
      <c r="Q836" s="256"/>
      <c r="R836" s="256"/>
      <c r="S836" s="221"/>
      <c r="T836" s="221"/>
      <c r="U836" s="221"/>
      <c r="V836" s="221"/>
      <c r="W836" s="221"/>
      <c r="X836" s="221"/>
      <c r="Y836" s="221"/>
      <c r="Z836" s="221"/>
    </row>
    <row r="837" customFormat="false" ht="12" hidden="false" customHeight="true" outlineLevel="0" collapsed="false">
      <c r="A837" s="256"/>
      <c r="B837" s="256"/>
      <c r="C837" s="256"/>
      <c r="D837" s="256"/>
      <c r="E837" s="256"/>
      <c r="F837" s="256"/>
      <c r="G837" s="256"/>
      <c r="H837" s="256"/>
      <c r="I837" s="256"/>
      <c r="J837" s="256"/>
      <c r="K837" s="256"/>
      <c r="L837" s="256"/>
      <c r="M837" s="256"/>
      <c r="N837" s="256"/>
      <c r="O837" s="256"/>
      <c r="P837" s="256"/>
      <c r="Q837" s="256"/>
      <c r="R837" s="256"/>
      <c r="S837" s="221"/>
      <c r="T837" s="221"/>
      <c r="U837" s="221"/>
      <c r="V837" s="221"/>
      <c r="W837" s="221"/>
      <c r="X837" s="221"/>
      <c r="Y837" s="221"/>
      <c r="Z837" s="221"/>
    </row>
    <row r="838" customFormat="false" ht="12" hidden="false" customHeight="true" outlineLevel="0" collapsed="false">
      <c r="A838" s="256"/>
      <c r="B838" s="256"/>
      <c r="C838" s="256"/>
      <c r="D838" s="256"/>
      <c r="E838" s="256"/>
      <c r="F838" s="256"/>
      <c r="G838" s="256"/>
      <c r="H838" s="256"/>
      <c r="I838" s="256"/>
      <c r="J838" s="256"/>
      <c r="K838" s="256"/>
      <c r="L838" s="256"/>
      <c r="M838" s="256"/>
      <c r="N838" s="256"/>
      <c r="O838" s="256"/>
      <c r="P838" s="256"/>
      <c r="Q838" s="256"/>
      <c r="R838" s="256"/>
      <c r="S838" s="221"/>
      <c r="T838" s="221"/>
      <c r="U838" s="221"/>
      <c r="V838" s="221"/>
      <c r="W838" s="221"/>
      <c r="X838" s="221"/>
      <c r="Y838" s="221"/>
      <c r="Z838" s="221"/>
    </row>
    <row r="839" customFormat="false" ht="12" hidden="false" customHeight="true" outlineLevel="0" collapsed="false">
      <c r="A839" s="256"/>
      <c r="B839" s="256"/>
      <c r="C839" s="256"/>
      <c r="D839" s="256"/>
      <c r="E839" s="256"/>
      <c r="F839" s="256"/>
      <c r="G839" s="256"/>
      <c r="H839" s="256"/>
      <c r="I839" s="256"/>
      <c r="J839" s="256"/>
      <c r="K839" s="256"/>
      <c r="L839" s="256"/>
      <c r="M839" s="256"/>
      <c r="N839" s="256"/>
      <c r="O839" s="256"/>
      <c r="P839" s="256"/>
      <c r="Q839" s="256"/>
      <c r="R839" s="256"/>
      <c r="S839" s="221"/>
      <c r="T839" s="221"/>
      <c r="U839" s="221"/>
      <c r="V839" s="221"/>
      <c r="W839" s="221"/>
      <c r="X839" s="221"/>
      <c r="Y839" s="221"/>
      <c r="Z839" s="221"/>
    </row>
    <row r="840" customFormat="false" ht="12" hidden="false" customHeight="true" outlineLevel="0" collapsed="false">
      <c r="A840" s="256"/>
      <c r="B840" s="256"/>
      <c r="C840" s="256"/>
      <c r="D840" s="256"/>
      <c r="E840" s="256"/>
      <c r="F840" s="256"/>
      <c r="G840" s="256"/>
      <c r="H840" s="256"/>
      <c r="I840" s="256"/>
      <c r="J840" s="256"/>
      <c r="K840" s="256"/>
      <c r="L840" s="256"/>
      <c r="M840" s="256"/>
      <c r="N840" s="256"/>
      <c r="O840" s="256"/>
      <c r="P840" s="256"/>
      <c r="Q840" s="256"/>
      <c r="R840" s="256"/>
      <c r="S840" s="221"/>
      <c r="T840" s="221"/>
      <c r="U840" s="221"/>
      <c r="V840" s="221"/>
      <c r="W840" s="221"/>
      <c r="X840" s="221"/>
      <c r="Y840" s="221"/>
      <c r="Z840" s="221"/>
    </row>
    <row r="841" customFormat="false" ht="12" hidden="false" customHeight="true" outlineLevel="0" collapsed="false">
      <c r="A841" s="256"/>
      <c r="B841" s="256"/>
      <c r="C841" s="256"/>
      <c r="D841" s="256"/>
      <c r="E841" s="256"/>
      <c r="F841" s="256"/>
      <c r="G841" s="256"/>
      <c r="H841" s="256"/>
      <c r="I841" s="256"/>
      <c r="J841" s="256"/>
      <c r="K841" s="256"/>
      <c r="L841" s="256"/>
      <c r="M841" s="256"/>
      <c r="N841" s="256"/>
      <c r="O841" s="256"/>
      <c r="P841" s="256"/>
      <c r="Q841" s="256"/>
      <c r="R841" s="256"/>
      <c r="S841" s="221"/>
      <c r="T841" s="221"/>
      <c r="U841" s="221"/>
      <c r="V841" s="221"/>
      <c r="W841" s="221"/>
      <c r="X841" s="221"/>
      <c r="Y841" s="221"/>
      <c r="Z841" s="221"/>
    </row>
    <row r="842" customFormat="false" ht="12" hidden="false" customHeight="true" outlineLevel="0" collapsed="false">
      <c r="A842" s="256"/>
      <c r="B842" s="256"/>
      <c r="C842" s="256"/>
      <c r="D842" s="256"/>
      <c r="E842" s="256"/>
      <c r="F842" s="256"/>
      <c r="G842" s="256"/>
      <c r="H842" s="256"/>
      <c r="I842" s="256"/>
      <c r="J842" s="256"/>
      <c r="K842" s="256"/>
      <c r="L842" s="256"/>
      <c r="M842" s="256"/>
      <c r="N842" s="256"/>
      <c r="O842" s="256"/>
      <c r="P842" s="256"/>
      <c r="Q842" s="256"/>
      <c r="R842" s="256"/>
      <c r="S842" s="221"/>
      <c r="T842" s="221"/>
      <c r="U842" s="221"/>
      <c r="V842" s="221"/>
      <c r="W842" s="221"/>
      <c r="X842" s="221"/>
      <c r="Y842" s="221"/>
      <c r="Z842" s="221"/>
    </row>
    <row r="843" customFormat="false" ht="12" hidden="false" customHeight="true" outlineLevel="0" collapsed="false">
      <c r="A843" s="256"/>
      <c r="B843" s="256"/>
      <c r="C843" s="256"/>
      <c r="D843" s="256"/>
      <c r="E843" s="256"/>
      <c r="F843" s="256"/>
      <c r="G843" s="256"/>
      <c r="H843" s="256"/>
      <c r="I843" s="256"/>
      <c r="J843" s="256"/>
      <c r="K843" s="256"/>
      <c r="L843" s="256"/>
      <c r="M843" s="256"/>
      <c r="N843" s="256"/>
      <c r="O843" s="256"/>
      <c r="P843" s="256"/>
      <c r="Q843" s="256"/>
      <c r="R843" s="256"/>
      <c r="S843" s="221"/>
      <c r="T843" s="221"/>
      <c r="U843" s="221"/>
      <c r="V843" s="221"/>
      <c r="W843" s="221"/>
      <c r="X843" s="221"/>
      <c r="Y843" s="221"/>
      <c r="Z843" s="221"/>
    </row>
    <row r="844" customFormat="false" ht="12" hidden="false" customHeight="true" outlineLevel="0" collapsed="false">
      <c r="A844" s="256"/>
      <c r="B844" s="256"/>
      <c r="C844" s="256"/>
      <c r="D844" s="256"/>
      <c r="E844" s="256"/>
      <c r="F844" s="256"/>
      <c r="G844" s="256"/>
      <c r="H844" s="256"/>
      <c r="I844" s="256"/>
      <c r="J844" s="256"/>
      <c r="K844" s="256"/>
      <c r="L844" s="256"/>
      <c r="M844" s="256"/>
      <c r="N844" s="256"/>
      <c r="O844" s="256"/>
      <c r="P844" s="256"/>
      <c r="Q844" s="256"/>
      <c r="R844" s="256"/>
      <c r="S844" s="221"/>
      <c r="T844" s="221"/>
      <c r="U844" s="221"/>
      <c r="V844" s="221"/>
      <c r="W844" s="221"/>
      <c r="X844" s="221"/>
      <c r="Y844" s="221"/>
      <c r="Z844" s="221"/>
    </row>
    <row r="845" customFormat="false" ht="12" hidden="false" customHeight="true" outlineLevel="0" collapsed="false">
      <c r="A845" s="256"/>
      <c r="B845" s="256"/>
      <c r="C845" s="256"/>
      <c r="D845" s="256"/>
      <c r="E845" s="256"/>
      <c r="F845" s="256"/>
      <c r="G845" s="256"/>
      <c r="H845" s="256"/>
      <c r="I845" s="256"/>
      <c r="J845" s="256"/>
      <c r="K845" s="256"/>
      <c r="L845" s="256"/>
      <c r="M845" s="256"/>
      <c r="N845" s="256"/>
      <c r="O845" s="256"/>
      <c r="P845" s="256"/>
      <c r="Q845" s="256"/>
      <c r="R845" s="256"/>
      <c r="S845" s="221"/>
      <c r="T845" s="221"/>
      <c r="U845" s="221"/>
      <c r="V845" s="221"/>
      <c r="W845" s="221"/>
      <c r="X845" s="221"/>
      <c r="Y845" s="221"/>
      <c r="Z845" s="221"/>
    </row>
    <row r="846" customFormat="false" ht="12" hidden="false" customHeight="true" outlineLevel="0" collapsed="false">
      <c r="A846" s="256"/>
      <c r="B846" s="256"/>
      <c r="C846" s="256"/>
      <c r="D846" s="256"/>
      <c r="E846" s="256"/>
      <c r="F846" s="256"/>
      <c r="G846" s="256"/>
      <c r="H846" s="256"/>
      <c r="I846" s="256"/>
      <c r="J846" s="256"/>
      <c r="K846" s="256"/>
      <c r="L846" s="256"/>
      <c r="M846" s="256"/>
      <c r="N846" s="256"/>
      <c r="O846" s="256"/>
      <c r="P846" s="256"/>
      <c r="Q846" s="256"/>
      <c r="R846" s="256"/>
      <c r="S846" s="221"/>
      <c r="T846" s="221"/>
      <c r="U846" s="221"/>
      <c r="V846" s="221"/>
      <c r="W846" s="221"/>
      <c r="X846" s="221"/>
      <c r="Y846" s="221"/>
      <c r="Z846" s="221"/>
    </row>
    <row r="847" customFormat="false" ht="12" hidden="false" customHeight="true" outlineLevel="0" collapsed="false">
      <c r="A847" s="256"/>
      <c r="B847" s="256"/>
      <c r="C847" s="256"/>
      <c r="D847" s="256"/>
      <c r="E847" s="256"/>
      <c r="F847" s="256"/>
      <c r="G847" s="256"/>
      <c r="H847" s="256"/>
      <c r="I847" s="256"/>
      <c r="J847" s="256"/>
      <c r="K847" s="256"/>
      <c r="L847" s="256"/>
      <c r="M847" s="256"/>
      <c r="N847" s="256"/>
      <c r="O847" s="256"/>
      <c r="P847" s="256"/>
      <c r="Q847" s="256"/>
      <c r="R847" s="256"/>
      <c r="S847" s="221"/>
      <c r="T847" s="221"/>
      <c r="U847" s="221"/>
      <c r="V847" s="221"/>
      <c r="W847" s="221"/>
      <c r="X847" s="221"/>
      <c r="Y847" s="221"/>
      <c r="Z847" s="221"/>
    </row>
    <row r="848" customFormat="false" ht="12" hidden="false" customHeight="true" outlineLevel="0" collapsed="false">
      <c r="A848" s="256"/>
      <c r="B848" s="256"/>
      <c r="C848" s="256"/>
      <c r="D848" s="256"/>
      <c r="E848" s="256"/>
      <c r="F848" s="256"/>
      <c r="G848" s="256"/>
      <c r="H848" s="256"/>
      <c r="I848" s="256"/>
      <c r="J848" s="256"/>
      <c r="K848" s="256"/>
      <c r="L848" s="256"/>
      <c r="M848" s="256"/>
      <c r="N848" s="256"/>
      <c r="O848" s="256"/>
      <c r="P848" s="256"/>
      <c r="Q848" s="256"/>
      <c r="R848" s="256"/>
      <c r="S848" s="221"/>
      <c r="T848" s="221"/>
      <c r="U848" s="221"/>
      <c r="V848" s="221"/>
      <c r="W848" s="221"/>
      <c r="X848" s="221"/>
      <c r="Y848" s="221"/>
      <c r="Z848" s="221"/>
    </row>
    <row r="849" customFormat="false" ht="12" hidden="false" customHeight="true" outlineLevel="0" collapsed="false">
      <c r="A849" s="256"/>
      <c r="B849" s="256"/>
      <c r="C849" s="256"/>
      <c r="D849" s="256"/>
      <c r="E849" s="256"/>
      <c r="F849" s="256"/>
      <c r="G849" s="256"/>
      <c r="H849" s="256"/>
      <c r="I849" s="256"/>
      <c r="J849" s="256"/>
      <c r="K849" s="256"/>
      <c r="L849" s="256"/>
      <c r="M849" s="256"/>
      <c r="N849" s="256"/>
      <c r="O849" s="256"/>
      <c r="P849" s="256"/>
      <c r="Q849" s="256"/>
      <c r="R849" s="256"/>
      <c r="S849" s="221"/>
      <c r="T849" s="221"/>
      <c r="U849" s="221"/>
      <c r="V849" s="221"/>
      <c r="W849" s="221"/>
      <c r="X849" s="221"/>
      <c r="Y849" s="221"/>
      <c r="Z849" s="221"/>
    </row>
    <row r="850" customFormat="false" ht="12" hidden="false" customHeight="true" outlineLevel="0" collapsed="false">
      <c r="A850" s="256"/>
      <c r="B850" s="256"/>
      <c r="C850" s="256"/>
      <c r="D850" s="256"/>
      <c r="E850" s="256"/>
      <c r="F850" s="256"/>
      <c r="G850" s="256"/>
      <c r="H850" s="256"/>
      <c r="I850" s="256"/>
      <c r="J850" s="256"/>
      <c r="K850" s="256"/>
      <c r="L850" s="256"/>
      <c r="M850" s="256"/>
      <c r="N850" s="256"/>
      <c r="O850" s="256"/>
      <c r="P850" s="256"/>
      <c r="Q850" s="256"/>
      <c r="R850" s="256"/>
      <c r="S850" s="221"/>
      <c r="T850" s="221"/>
      <c r="U850" s="221"/>
      <c r="V850" s="221"/>
      <c r="W850" s="221"/>
      <c r="X850" s="221"/>
      <c r="Y850" s="221"/>
      <c r="Z850" s="221"/>
    </row>
    <row r="851" customFormat="false" ht="12" hidden="false" customHeight="true" outlineLevel="0" collapsed="false">
      <c r="A851" s="256"/>
      <c r="B851" s="256"/>
      <c r="C851" s="256"/>
      <c r="D851" s="256"/>
      <c r="E851" s="256"/>
      <c r="F851" s="256"/>
      <c r="G851" s="256"/>
      <c r="H851" s="256"/>
      <c r="I851" s="256"/>
      <c r="J851" s="256"/>
      <c r="K851" s="256"/>
      <c r="L851" s="256"/>
      <c r="M851" s="256"/>
      <c r="N851" s="256"/>
      <c r="O851" s="256"/>
      <c r="P851" s="256"/>
      <c r="Q851" s="256"/>
      <c r="R851" s="256"/>
      <c r="S851" s="221"/>
      <c r="T851" s="221"/>
      <c r="U851" s="221"/>
      <c r="V851" s="221"/>
      <c r="W851" s="221"/>
      <c r="X851" s="221"/>
      <c r="Y851" s="221"/>
      <c r="Z851" s="221"/>
    </row>
    <row r="852" customFormat="false" ht="12" hidden="false" customHeight="true" outlineLevel="0" collapsed="false">
      <c r="A852" s="256"/>
      <c r="B852" s="256"/>
      <c r="C852" s="256"/>
      <c r="D852" s="256"/>
      <c r="E852" s="256"/>
      <c r="F852" s="256"/>
      <c r="G852" s="256"/>
      <c r="H852" s="256"/>
      <c r="I852" s="256"/>
      <c r="J852" s="256"/>
      <c r="K852" s="256"/>
      <c r="L852" s="256"/>
      <c r="M852" s="256"/>
      <c r="N852" s="256"/>
      <c r="O852" s="256"/>
      <c r="P852" s="256"/>
      <c r="Q852" s="256"/>
      <c r="R852" s="256"/>
      <c r="S852" s="221"/>
      <c r="T852" s="221"/>
      <c r="U852" s="221"/>
      <c r="V852" s="221"/>
      <c r="W852" s="221"/>
      <c r="X852" s="221"/>
      <c r="Y852" s="221"/>
      <c r="Z852" s="221"/>
    </row>
    <row r="853" customFormat="false" ht="12" hidden="false" customHeight="true" outlineLevel="0" collapsed="false">
      <c r="A853" s="256"/>
      <c r="B853" s="256"/>
      <c r="C853" s="256"/>
      <c r="D853" s="256"/>
      <c r="E853" s="256"/>
      <c r="F853" s="256"/>
      <c r="G853" s="256"/>
      <c r="H853" s="256"/>
      <c r="I853" s="256"/>
      <c r="J853" s="256"/>
      <c r="K853" s="256"/>
      <c r="L853" s="256"/>
      <c r="M853" s="256"/>
      <c r="N853" s="256"/>
      <c r="O853" s="256"/>
      <c r="P853" s="256"/>
      <c r="Q853" s="256"/>
      <c r="R853" s="256"/>
      <c r="S853" s="221"/>
      <c r="T853" s="221"/>
      <c r="U853" s="221"/>
      <c r="V853" s="221"/>
      <c r="W853" s="221"/>
      <c r="X853" s="221"/>
      <c r="Y853" s="221"/>
      <c r="Z853" s="221"/>
    </row>
    <row r="854" customFormat="false" ht="12" hidden="false" customHeight="true" outlineLevel="0" collapsed="false">
      <c r="A854" s="256"/>
      <c r="B854" s="256"/>
      <c r="C854" s="256"/>
      <c r="D854" s="256"/>
      <c r="E854" s="256"/>
      <c r="F854" s="256"/>
      <c r="G854" s="256"/>
      <c r="H854" s="256"/>
      <c r="I854" s="256"/>
      <c r="J854" s="256"/>
      <c r="K854" s="256"/>
      <c r="L854" s="256"/>
      <c r="M854" s="256"/>
      <c r="N854" s="256"/>
      <c r="O854" s="256"/>
      <c r="P854" s="256"/>
      <c r="Q854" s="256"/>
      <c r="R854" s="256"/>
      <c r="S854" s="221"/>
      <c r="T854" s="221"/>
      <c r="U854" s="221"/>
      <c r="V854" s="221"/>
      <c r="W854" s="221"/>
      <c r="X854" s="221"/>
      <c r="Y854" s="221"/>
      <c r="Z854" s="221"/>
    </row>
    <row r="855" customFormat="false" ht="12" hidden="false" customHeight="true" outlineLevel="0" collapsed="false">
      <c r="A855" s="256"/>
      <c r="B855" s="256"/>
      <c r="C855" s="256"/>
      <c r="D855" s="256"/>
      <c r="E855" s="256"/>
      <c r="F855" s="256"/>
      <c r="G855" s="256"/>
      <c r="H855" s="256"/>
      <c r="I855" s="256"/>
      <c r="J855" s="256"/>
      <c r="K855" s="256"/>
      <c r="L855" s="256"/>
      <c r="M855" s="256"/>
      <c r="N855" s="256"/>
      <c r="O855" s="256"/>
      <c r="P855" s="256"/>
      <c r="Q855" s="256"/>
      <c r="R855" s="256"/>
      <c r="S855" s="221"/>
      <c r="T855" s="221"/>
      <c r="U855" s="221"/>
      <c r="V855" s="221"/>
      <c r="W855" s="221"/>
      <c r="X855" s="221"/>
      <c r="Y855" s="221"/>
      <c r="Z855" s="221"/>
    </row>
    <row r="856" customFormat="false" ht="12" hidden="false" customHeight="true" outlineLevel="0" collapsed="false">
      <c r="A856" s="256"/>
      <c r="B856" s="256"/>
      <c r="C856" s="256"/>
      <c r="D856" s="256"/>
      <c r="E856" s="256"/>
      <c r="F856" s="256"/>
      <c r="G856" s="256"/>
      <c r="H856" s="256"/>
      <c r="I856" s="256"/>
      <c r="J856" s="256"/>
      <c r="K856" s="256"/>
      <c r="L856" s="256"/>
      <c r="M856" s="256"/>
      <c r="N856" s="256"/>
      <c r="O856" s="256"/>
      <c r="P856" s="256"/>
      <c r="Q856" s="256"/>
      <c r="R856" s="256"/>
      <c r="S856" s="221"/>
      <c r="T856" s="221"/>
      <c r="U856" s="221"/>
      <c r="V856" s="221"/>
      <c r="W856" s="221"/>
      <c r="X856" s="221"/>
      <c r="Y856" s="221"/>
      <c r="Z856" s="221"/>
    </row>
    <row r="857" customFormat="false" ht="12" hidden="false" customHeight="true" outlineLevel="0" collapsed="false">
      <c r="A857" s="256"/>
      <c r="B857" s="256"/>
      <c r="C857" s="256"/>
      <c r="D857" s="256"/>
      <c r="E857" s="256"/>
      <c r="F857" s="256"/>
      <c r="G857" s="256"/>
      <c r="H857" s="256"/>
      <c r="I857" s="256"/>
      <c r="J857" s="256"/>
      <c r="K857" s="256"/>
      <c r="L857" s="256"/>
      <c r="M857" s="256"/>
      <c r="N857" s="256"/>
      <c r="O857" s="256"/>
      <c r="P857" s="256"/>
      <c r="Q857" s="256"/>
      <c r="R857" s="256"/>
      <c r="S857" s="221"/>
      <c r="T857" s="221"/>
      <c r="U857" s="221"/>
      <c r="V857" s="221"/>
      <c r="W857" s="221"/>
      <c r="X857" s="221"/>
      <c r="Y857" s="221"/>
      <c r="Z857" s="221"/>
    </row>
    <row r="858" customFormat="false" ht="12" hidden="false" customHeight="true" outlineLevel="0" collapsed="false">
      <c r="A858" s="256"/>
      <c r="B858" s="256"/>
      <c r="C858" s="256"/>
      <c r="D858" s="256"/>
      <c r="E858" s="256"/>
      <c r="F858" s="256"/>
      <c r="G858" s="256"/>
      <c r="H858" s="256"/>
      <c r="I858" s="256"/>
      <c r="J858" s="256"/>
      <c r="K858" s="256"/>
      <c r="L858" s="256"/>
      <c r="M858" s="256"/>
      <c r="N858" s="256"/>
      <c r="O858" s="256"/>
      <c r="P858" s="256"/>
      <c r="Q858" s="256"/>
      <c r="R858" s="256"/>
      <c r="S858" s="221"/>
      <c r="T858" s="221"/>
      <c r="U858" s="221"/>
      <c r="V858" s="221"/>
      <c r="W858" s="221"/>
      <c r="X858" s="221"/>
      <c r="Y858" s="221"/>
      <c r="Z858" s="221"/>
    </row>
    <row r="859" customFormat="false" ht="12" hidden="false" customHeight="true" outlineLevel="0" collapsed="false">
      <c r="A859" s="256"/>
      <c r="B859" s="256"/>
      <c r="C859" s="256"/>
      <c r="D859" s="256"/>
      <c r="E859" s="256"/>
      <c r="F859" s="256"/>
      <c r="G859" s="256"/>
      <c r="H859" s="256"/>
      <c r="I859" s="256"/>
      <c r="J859" s="256"/>
      <c r="K859" s="256"/>
      <c r="L859" s="256"/>
      <c r="M859" s="256"/>
      <c r="N859" s="256"/>
      <c r="O859" s="256"/>
      <c r="P859" s="256"/>
      <c r="Q859" s="256"/>
      <c r="R859" s="256"/>
      <c r="S859" s="221"/>
      <c r="T859" s="221"/>
      <c r="U859" s="221"/>
      <c r="V859" s="221"/>
      <c r="W859" s="221"/>
      <c r="X859" s="221"/>
      <c r="Y859" s="221"/>
      <c r="Z859" s="221"/>
    </row>
    <row r="860" customFormat="false" ht="12" hidden="false" customHeight="true" outlineLevel="0" collapsed="false">
      <c r="A860" s="256"/>
      <c r="B860" s="256"/>
      <c r="C860" s="256"/>
      <c r="D860" s="256"/>
      <c r="E860" s="256"/>
      <c r="F860" s="256"/>
      <c r="G860" s="256"/>
      <c r="H860" s="256"/>
      <c r="I860" s="256"/>
      <c r="J860" s="256"/>
      <c r="K860" s="256"/>
      <c r="L860" s="256"/>
      <c r="M860" s="256"/>
      <c r="N860" s="256"/>
      <c r="O860" s="256"/>
      <c r="P860" s="256"/>
      <c r="Q860" s="256"/>
      <c r="R860" s="256"/>
      <c r="S860" s="221"/>
      <c r="T860" s="221"/>
      <c r="U860" s="221"/>
      <c r="V860" s="221"/>
      <c r="W860" s="221"/>
      <c r="X860" s="221"/>
      <c r="Y860" s="221"/>
      <c r="Z860" s="221"/>
    </row>
    <row r="861" customFormat="false" ht="12" hidden="false" customHeight="true" outlineLevel="0" collapsed="false">
      <c r="A861" s="256"/>
      <c r="B861" s="256"/>
      <c r="C861" s="256"/>
      <c r="D861" s="256"/>
      <c r="E861" s="256"/>
      <c r="F861" s="256"/>
      <c r="G861" s="256"/>
      <c r="H861" s="256"/>
      <c r="I861" s="256"/>
      <c r="J861" s="256"/>
      <c r="K861" s="256"/>
      <c r="L861" s="256"/>
      <c r="M861" s="256"/>
      <c r="N861" s="256"/>
      <c r="O861" s="256"/>
      <c r="P861" s="256"/>
      <c r="Q861" s="256"/>
      <c r="R861" s="256"/>
      <c r="S861" s="221"/>
      <c r="T861" s="221"/>
      <c r="U861" s="221"/>
      <c r="V861" s="221"/>
      <c r="W861" s="221"/>
      <c r="X861" s="221"/>
      <c r="Y861" s="221"/>
      <c r="Z861" s="221"/>
    </row>
    <row r="862" customFormat="false" ht="12" hidden="false" customHeight="true" outlineLevel="0" collapsed="false">
      <c r="A862" s="256"/>
      <c r="B862" s="256"/>
      <c r="C862" s="256"/>
      <c r="D862" s="256"/>
      <c r="E862" s="256"/>
      <c r="F862" s="256"/>
      <c r="G862" s="256"/>
      <c r="H862" s="256"/>
      <c r="I862" s="256"/>
      <c r="J862" s="256"/>
      <c r="K862" s="256"/>
      <c r="L862" s="256"/>
      <c r="M862" s="256"/>
      <c r="N862" s="256"/>
      <c r="O862" s="256"/>
      <c r="P862" s="256"/>
      <c r="Q862" s="256"/>
      <c r="R862" s="256"/>
      <c r="S862" s="221"/>
      <c r="T862" s="221"/>
      <c r="U862" s="221"/>
      <c r="V862" s="221"/>
      <c r="W862" s="221"/>
      <c r="X862" s="221"/>
      <c r="Y862" s="221"/>
      <c r="Z862" s="221"/>
    </row>
    <row r="863" customFormat="false" ht="12" hidden="false" customHeight="true" outlineLevel="0" collapsed="false">
      <c r="A863" s="256"/>
      <c r="B863" s="256"/>
      <c r="C863" s="256"/>
      <c r="D863" s="256"/>
      <c r="E863" s="256"/>
      <c r="F863" s="256"/>
      <c r="G863" s="256"/>
      <c r="H863" s="256"/>
      <c r="I863" s="256"/>
      <c r="J863" s="256"/>
      <c r="K863" s="256"/>
      <c r="L863" s="256"/>
      <c r="M863" s="256"/>
      <c r="N863" s="256"/>
      <c r="O863" s="256"/>
      <c r="P863" s="256"/>
      <c r="Q863" s="256"/>
      <c r="R863" s="256"/>
      <c r="S863" s="221"/>
      <c r="T863" s="221"/>
      <c r="U863" s="221"/>
      <c r="V863" s="221"/>
      <c r="W863" s="221"/>
      <c r="X863" s="221"/>
      <c r="Y863" s="221"/>
      <c r="Z863" s="221"/>
    </row>
    <row r="864" customFormat="false" ht="12" hidden="false" customHeight="true" outlineLevel="0" collapsed="false">
      <c r="A864" s="256"/>
      <c r="B864" s="256"/>
      <c r="C864" s="256"/>
      <c r="D864" s="256"/>
      <c r="E864" s="256"/>
      <c r="F864" s="256"/>
      <c r="G864" s="256"/>
      <c r="H864" s="256"/>
      <c r="I864" s="256"/>
      <c r="J864" s="256"/>
      <c r="K864" s="256"/>
      <c r="L864" s="256"/>
      <c r="M864" s="256"/>
      <c r="N864" s="256"/>
      <c r="O864" s="256"/>
      <c r="P864" s="256"/>
      <c r="Q864" s="256"/>
      <c r="R864" s="256"/>
      <c r="S864" s="221"/>
      <c r="T864" s="221"/>
      <c r="U864" s="221"/>
      <c r="V864" s="221"/>
      <c r="W864" s="221"/>
      <c r="X864" s="221"/>
      <c r="Y864" s="221"/>
      <c r="Z864" s="221"/>
    </row>
    <row r="865" customFormat="false" ht="12" hidden="false" customHeight="true" outlineLevel="0" collapsed="false">
      <c r="A865" s="256"/>
      <c r="B865" s="256"/>
      <c r="C865" s="256"/>
      <c r="D865" s="256"/>
      <c r="E865" s="256"/>
      <c r="F865" s="256"/>
      <c r="G865" s="256"/>
      <c r="H865" s="256"/>
      <c r="I865" s="256"/>
      <c r="J865" s="256"/>
      <c r="K865" s="256"/>
      <c r="L865" s="256"/>
      <c r="M865" s="256"/>
      <c r="N865" s="256"/>
      <c r="O865" s="256"/>
      <c r="P865" s="256"/>
      <c r="Q865" s="256"/>
      <c r="R865" s="256"/>
      <c r="S865" s="221"/>
      <c r="T865" s="221"/>
      <c r="U865" s="221"/>
      <c r="V865" s="221"/>
      <c r="W865" s="221"/>
      <c r="X865" s="221"/>
      <c r="Y865" s="221"/>
      <c r="Z865" s="221"/>
    </row>
    <row r="866" customFormat="false" ht="12" hidden="false" customHeight="true" outlineLevel="0" collapsed="false">
      <c r="A866" s="256"/>
      <c r="B866" s="256"/>
      <c r="C866" s="256"/>
      <c r="D866" s="256"/>
      <c r="E866" s="256"/>
      <c r="F866" s="256"/>
      <c r="G866" s="256"/>
      <c r="H866" s="256"/>
      <c r="I866" s="256"/>
      <c r="J866" s="256"/>
      <c r="K866" s="256"/>
      <c r="L866" s="256"/>
      <c r="M866" s="256"/>
      <c r="N866" s="256"/>
      <c r="O866" s="256"/>
      <c r="P866" s="256"/>
      <c r="Q866" s="256"/>
      <c r="R866" s="256"/>
      <c r="S866" s="221"/>
      <c r="T866" s="221"/>
      <c r="U866" s="221"/>
      <c r="V866" s="221"/>
      <c r="W866" s="221"/>
      <c r="X866" s="221"/>
      <c r="Y866" s="221"/>
      <c r="Z866" s="221"/>
    </row>
    <row r="867" customFormat="false" ht="12" hidden="false" customHeight="true" outlineLevel="0" collapsed="false">
      <c r="A867" s="256"/>
      <c r="B867" s="256"/>
      <c r="C867" s="256"/>
      <c r="D867" s="256"/>
      <c r="E867" s="256"/>
      <c r="F867" s="256"/>
      <c r="G867" s="256"/>
      <c r="H867" s="256"/>
      <c r="I867" s="256"/>
      <c r="J867" s="256"/>
      <c r="K867" s="256"/>
      <c r="L867" s="256"/>
      <c r="M867" s="256"/>
      <c r="N867" s="256"/>
      <c r="O867" s="256"/>
      <c r="P867" s="256"/>
      <c r="Q867" s="256"/>
      <c r="R867" s="256"/>
      <c r="S867" s="221"/>
      <c r="T867" s="221"/>
      <c r="U867" s="221"/>
      <c r="V867" s="221"/>
      <c r="W867" s="221"/>
      <c r="X867" s="221"/>
      <c r="Y867" s="221"/>
      <c r="Z867" s="221"/>
    </row>
    <row r="868" customFormat="false" ht="12" hidden="false" customHeight="true" outlineLevel="0" collapsed="false">
      <c r="A868" s="256"/>
      <c r="B868" s="256"/>
      <c r="C868" s="256"/>
      <c r="D868" s="256"/>
      <c r="E868" s="256"/>
      <c r="F868" s="256"/>
      <c r="G868" s="256"/>
      <c r="H868" s="256"/>
      <c r="I868" s="256"/>
      <c r="J868" s="256"/>
      <c r="K868" s="256"/>
      <c r="L868" s="256"/>
      <c r="M868" s="256"/>
      <c r="N868" s="256"/>
      <c r="O868" s="256"/>
      <c r="P868" s="256"/>
      <c r="Q868" s="256"/>
      <c r="R868" s="256"/>
      <c r="S868" s="221"/>
      <c r="T868" s="221"/>
      <c r="U868" s="221"/>
      <c r="V868" s="221"/>
      <c r="W868" s="221"/>
      <c r="X868" s="221"/>
      <c r="Y868" s="221"/>
      <c r="Z868" s="221"/>
    </row>
    <row r="869" customFormat="false" ht="12" hidden="false" customHeight="true" outlineLevel="0" collapsed="false">
      <c r="A869" s="256"/>
      <c r="B869" s="256"/>
      <c r="C869" s="256"/>
      <c r="D869" s="256"/>
      <c r="E869" s="256"/>
      <c r="F869" s="256"/>
      <c r="G869" s="256"/>
      <c r="H869" s="256"/>
      <c r="I869" s="256"/>
      <c r="J869" s="256"/>
      <c r="K869" s="256"/>
      <c r="L869" s="256"/>
      <c r="M869" s="256"/>
      <c r="N869" s="256"/>
      <c r="O869" s="256"/>
      <c r="P869" s="256"/>
      <c r="Q869" s="256"/>
      <c r="R869" s="256"/>
      <c r="S869" s="221"/>
      <c r="T869" s="221"/>
      <c r="U869" s="221"/>
      <c r="V869" s="221"/>
      <c r="W869" s="221"/>
      <c r="X869" s="221"/>
      <c r="Y869" s="221"/>
      <c r="Z869" s="221"/>
    </row>
    <row r="870" customFormat="false" ht="12" hidden="false" customHeight="true" outlineLevel="0" collapsed="false">
      <c r="A870" s="256"/>
      <c r="B870" s="256"/>
      <c r="C870" s="256"/>
      <c r="D870" s="256"/>
      <c r="E870" s="256"/>
      <c r="F870" s="256"/>
      <c r="G870" s="256"/>
      <c r="H870" s="256"/>
      <c r="I870" s="256"/>
      <c r="J870" s="256"/>
      <c r="K870" s="256"/>
      <c r="L870" s="256"/>
      <c r="M870" s="256"/>
      <c r="N870" s="256"/>
      <c r="O870" s="256"/>
      <c r="P870" s="256"/>
      <c r="Q870" s="256"/>
      <c r="R870" s="256"/>
      <c r="S870" s="221"/>
      <c r="T870" s="221"/>
      <c r="U870" s="221"/>
      <c r="V870" s="221"/>
      <c r="W870" s="221"/>
      <c r="X870" s="221"/>
      <c r="Y870" s="221"/>
      <c r="Z870" s="221"/>
    </row>
    <row r="871" customFormat="false" ht="12" hidden="false" customHeight="true" outlineLevel="0" collapsed="false">
      <c r="A871" s="256"/>
      <c r="B871" s="256"/>
      <c r="C871" s="256"/>
      <c r="D871" s="256"/>
      <c r="E871" s="256"/>
      <c r="F871" s="256"/>
      <c r="G871" s="256"/>
      <c r="H871" s="256"/>
      <c r="I871" s="256"/>
      <c r="J871" s="256"/>
      <c r="K871" s="256"/>
      <c r="L871" s="256"/>
      <c r="M871" s="256"/>
      <c r="N871" s="256"/>
      <c r="O871" s="256"/>
      <c r="P871" s="256"/>
      <c r="Q871" s="256"/>
      <c r="R871" s="256"/>
      <c r="S871" s="221"/>
      <c r="T871" s="221"/>
      <c r="U871" s="221"/>
      <c r="V871" s="221"/>
      <c r="W871" s="221"/>
      <c r="X871" s="221"/>
      <c r="Y871" s="221"/>
      <c r="Z871" s="221"/>
    </row>
    <row r="872" customFormat="false" ht="12" hidden="false" customHeight="true" outlineLevel="0" collapsed="false">
      <c r="A872" s="256"/>
      <c r="B872" s="256"/>
      <c r="C872" s="256"/>
      <c r="D872" s="256"/>
      <c r="E872" s="256"/>
      <c r="F872" s="256"/>
      <c r="G872" s="256"/>
      <c r="H872" s="256"/>
      <c r="I872" s="256"/>
      <c r="J872" s="256"/>
      <c r="K872" s="256"/>
      <c r="L872" s="256"/>
      <c r="M872" s="256"/>
      <c r="N872" s="256"/>
      <c r="O872" s="256"/>
      <c r="P872" s="256"/>
      <c r="Q872" s="256"/>
      <c r="R872" s="256"/>
      <c r="S872" s="221"/>
      <c r="T872" s="221"/>
      <c r="U872" s="221"/>
      <c r="V872" s="221"/>
      <c r="W872" s="221"/>
      <c r="X872" s="221"/>
      <c r="Y872" s="221"/>
      <c r="Z872" s="221"/>
    </row>
    <row r="873" customFormat="false" ht="12" hidden="false" customHeight="true" outlineLevel="0" collapsed="false">
      <c r="A873" s="256"/>
      <c r="B873" s="256"/>
      <c r="C873" s="256"/>
      <c r="D873" s="256"/>
      <c r="E873" s="256"/>
      <c r="F873" s="256"/>
      <c r="G873" s="256"/>
      <c r="H873" s="256"/>
      <c r="I873" s="256"/>
      <c r="J873" s="256"/>
      <c r="K873" s="256"/>
      <c r="L873" s="256"/>
      <c r="M873" s="256"/>
      <c r="N873" s="256"/>
      <c r="O873" s="256"/>
      <c r="P873" s="256"/>
      <c r="Q873" s="256"/>
      <c r="R873" s="256"/>
      <c r="S873" s="221"/>
      <c r="T873" s="221"/>
      <c r="U873" s="221"/>
      <c r="V873" s="221"/>
      <c r="W873" s="221"/>
      <c r="X873" s="221"/>
      <c r="Y873" s="221"/>
      <c r="Z873" s="221"/>
    </row>
    <row r="874" customFormat="false" ht="12" hidden="false" customHeight="true" outlineLevel="0" collapsed="false">
      <c r="A874" s="256"/>
      <c r="B874" s="256"/>
      <c r="C874" s="256"/>
      <c r="D874" s="256"/>
      <c r="E874" s="256"/>
      <c r="F874" s="256"/>
      <c r="G874" s="256"/>
      <c r="H874" s="256"/>
      <c r="I874" s="256"/>
      <c r="J874" s="256"/>
      <c r="K874" s="256"/>
      <c r="L874" s="256"/>
      <c r="M874" s="256"/>
      <c r="N874" s="256"/>
      <c r="O874" s="256"/>
      <c r="P874" s="256"/>
      <c r="Q874" s="256"/>
      <c r="R874" s="256"/>
      <c r="S874" s="221"/>
      <c r="T874" s="221"/>
      <c r="U874" s="221"/>
      <c r="V874" s="221"/>
      <c r="W874" s="221"/>
      <c r="X874" s="221"/>
      <c r="Y874" s="221"/>
      <c r="Z874" s="221"/>
    </row>
    <row r="875" customFormat="false" ht="12" hidden="false" customHeight="true" outlineLevel="0" collapsed="false">
      <c r="A875" s="256"/>
      <c r="B875" s="256"/>
      <c r="C875" s="256"/>
      <c r="D875" s="256"/>
      <c r="E875" s="256"/>
      <c r="F875" s="256"/>
      <c r="G875" s="256"/>
      <c r="H875" s="256"/>
      <c r="I875" s="256"/>
      <c r="J875" s="256"/>
      <c r="K875" s="256"/>
      <c r="L875" s="256"/>
      <c r="M875" s="256"/>
      <c r="N875" s="256"/>
      <c r="O875" s="256"/>
      <c r="P875" s="256"/>
      <c r="Q875" s="256"/>
      <c r="R875" s="256"/>
      <c r="S875" s="221"/>
      <c r="T875" s="221"/>
      <c r="U875" s="221"/>
      <c r="V875" s="221"/>
      <c r="W875" s="221"/>
      <c r="X875" s="221"/>
      <c r="Y875" s="221"/>
      <c r="Z875" s="221"/>
    </row>
    <row r="876" customFormat="false" ht="12" hidden="false" customHeight="true" outlineLevel="0" collapsed="false">
      <c r="A876" s="256"/>
      <c r="B876" s="256"/>
      <c r="C876" s="256"/>
      <c r="D876" s="256"/>
      <c r="E876" s="256"/>
      <c r="F876" s="256"/>
      <c r="G876" s="256"/>
      <c r="H876" s="256"/>
      <c r="I876" s="256"/>
      <c r="J876" s="256"/>
      <c r="K876" s="256"/>
      <c r="L876" s="256"/>
      <c r="M876" s="256"/>
      <c r="N876" s="256"/>
      <c r="O876" s="256"/>
      <c r="P876" s="256"/>
      <c r="Q876" s="256"/>
      <c r="R876" s="256"/>
      <c r="S876" s="221"/>
      <c r="T876" s="221"/>
      <c r="U876" s="221"/>
      <c r="V876" s="221"/>
      <c r="W876" s="221"/>
      <c r="X876" s="221"/>
      <c r="Y876" s="221"/>
      <c r="Z876" s="221"/>
    </row>
    <row r="877" customFormat="false" ht="12" hidden="false" customHeight="true" outlineLevel="0" collapsed="false">
      <c r="A877" s="256"/>
      <c r="B877" s="256"/>
      <c r="C877" s="256"/>
      <c r="D877" s="256"/>
      <c r="E877" s="256"/>
      <c r="F877" s="256"/>
      <c r="G877" s="256"/>
      <c r="H877" s="256"/>
      <c r="I877" s="256"/>
      <c r="J877" s="256"/>
      <c r="K877" s="256"/>
      <c r="L877" s="256"/>
      <c r="M877" s="256"/>
      <c r="N877" s="256"/>
      <c r="O877" s="256"/>
      <c r="P877" s="256"/>
      <c r="Q877" s="256"/>
      <c r="R877" s="256"/>
      <c r="S877" s="221"/>
      <c r="T877" s="221"/>
      <c r="U877" s="221"/>
      <c r="V877" s="221"/>
      <c r="W877" s="221"/>
      <c r="X877" s="221"/>
      <c r="Y877" s="221"/>
      <c r="Z877" s="221"/>
    </row>
    <row r="878" customFormat="false" ht="12" hidden="false" customHeight="true" outlineLevel="0" collapsed="false">
      <c r="A878" s="256"/>
      <c r="B878" s="256"/>
      <c r="C878" s="256"/>
      <c r="D878" s="256"/>
      <c r="E878" s="256"/>
      <c r="F878" s="256"/>
      <c r="G878" s="256"/>
      <c r="H878" s="256"/>
      <c r="I878" s="256"/>
      <c r="J878" s="256"/>
      <c r="K878" s="256"/>
      <c r="L878" s="256"/>
      <c r="M878" s="256"/>
      <c r="N878" s="256"/>
      <c r="O878" s="256"/>
      <c r="P878" s="256"/>
      <c r="Q878" s="256"/>
      <c r="R878" s="256"/>
      <c r="S878" s="221"/>
      <c r="T878" s="221"/>
      <c r="U878" s="221"/>
      <c r="V878" s="221"/>
      <c r="W878" s="221"/>
      <c r="X878" s="221"/>
      <c r="Y878" s="221"/>
      <c r="Z878" s="221"/>
    </row>
    <row r="879" customFormat="false" ht="12" hidden="false" customHeight="true" outlineLevel="0" collapsed="false">
      <c r="A879" s="256"/>
      <c r="B879" s="256"/>
      <c r="C879" s="256"/>
      <c r="D879" s="256"/>
      <c r="E879" s="256"/>
      <c r="F879" s="256"/>
      <c r="G879" s="256"/>
      <c r="H879" s="256"/>
      <c r="I879" s="256"/>
      <c r="J879" s="256"/>
      <c r="K879" s="256"/>
      <c r="L879" s="256"/>
      <c r="M879" s="256"/>
      <c r="N879" s="256"/>
      <c r="O879" s="256"/>
      <c r="P879" s="256"/>
      <c r="Q879" s="256"/>
      <c r="R879" s="256"/>
      <c r="S879" s="221"/>
      <c r="T879" s="221"/>
      <c r="U879" s="221"/>
      <c r="V879" s="221"/>
      <c r="W879" s="221"/>
      <c r="X879" s="221"/>
      <c r="Y879" s="221"/>
      <c r="Z879" s="221"/>
    </row>
    <row r="880" customFormat="false" ht="12" hidden="false" customHeight="true" outlineLevel="0" collapsed="false">
      <c r="A880" s="256"/>
      <c r="B880" s="256"/>
      <c r="C880" s="256"/>
      <c r="D880" s="256"/>
      <c r="E880" s="256"/>
      <c r="F880" s="256"/>
      <c r="G880" s="256"/>
      <c r="H880" s="256"/>
      <c r="I880" s="256"/>
      <c r="J880" s="256"/>
      <c r="K880" s="256"/>
      <c r="L880" s="256"/>
      <c r="M880" s="256"/>
      <c r="N880" s="256"/>
      <c r="O880" s="256"/>
      <c r="P880" s="256"/>
      <c r="Q880" s="256"/>
      <c r="R880" s="256"/>
      <c r="S880" s="221"/>
      <c r="T880" s="221"/>
      <c r="U880" s="221"/>
      <c r="V880" s="221"/>
      <c r="W880" s="221"/>
      <c r="X880" s="221"/>
      <c r="Y880" s="221"/>
      <c r="Z880" s="221"/>
    </row>
    <row r="881" customFormat="false" ht="12" hidden="false" customHeight="true" outlineLevel="0" collapsed="false">
      <c r="A881" s="256"/>
      <c r="B881" s="256"/>
      <c r="C881" s="256"/>
      <c r="D881" s="256"/>
      <c r="E881" s="256"/>
      <c r="F881" s="256"/>
      <c r="G881" s="256"/>
      <c r="H881" s="256"/>
      <c r="I881" s="256"/>
      <c r="J881" s="256"/>
      <c r="K881" s="256"/>
      <c r="L881" s="256"/>
      <c r="M881" s="256"/>
      <c r="N881" s="256"/>
      <c r="O881" s="256"/>
      <c r="P881" s="256"/>
      <c r="Q881" s="256"/>
      <c r="R881" s="256"/>
      <c r="S881" s="221"/>
      <c r="T881" s="221"/>
      <c r="U881" s="221"/>
      <c r="V881" s="221"/>
      <c r="W881" s="221"/>
      <c r="X881" s="221"/>
      <c r="Y881" s="221"/>
      <c r="Z881" s="221"/>
    </row>
    <row r="882" customFormat="false" ht="12" hidden="false" customHeight="true" outlineLevel="0" collapsed="false">
      <c r="A882" s="256"/>
      <c r="B882" s="256"/>
      <c r="C882" s="256"/>
      <c r="D882" s="256"/>
      <c r="E882" s="256"/>
      <c r="F882" s="256"/>
      <c r="G882" s="256"/>
      <c r="H882" s="256"/>
      <c r="I882" s="256"/>
      <c r="J882" s="256"/>
      <c r="K882" s="256"/>
      <c r="L882" s="256"/>
      <c r="M882" s="256"/>
      <c r="N882" s="256"/>
      <c r="O882" s="256"/>
      <c r="P882" s="256"/>
      <c r="Q882" s="256"/>
      <c r="R882" s="256"/>
      <c r="S882" s="221"/>
      <c r="T882" s="221"/>
      <c r="U882" s="221"/>
      <c r="V882" s="221"/>
      <c r="W882" s="221"/>
      <c r="X882" s="221"/>
      <c r="Y882" s="221"/>
      <c r="Z882" s="221"/>
    </row>
    <row r="883" customFormat="false" ht="12" hidden="false" customHeight="true" outlineLevel="0" collapsed="false">
      <c r="A883" s="256"/>
      <c r="B883" s="256"/>
      <c r="C883" s="256"/>
      <c r="D883" s="256"/>
      <c r="E883" s="256"/>
      <c r="F883" s="256"/>
      <c r="G883" s="256"/>
      <c r="H883" s="256"/>
      <c r="I883" s="256"/>
      <c r="J883" s="256"/>
      <c r="K883" s="256"/>
      <c r="L883" s="256"/>
      <c r="M883" s="256"/>
      <c r="N883" s="256"/>
      <c r="O883" s="256"/>
      <c r="P883" s="256"/>
      <c r="Q883" s="256"/>
      <c r="R883" s="256"/>
      <c r="S883" s="221"/>
      <c r="T883" s="221"/>
      <c r="U883" s="221"/>
      <c r="V883" s="221"/>
      <c r="W883" s="221"/>
      <c r="X883" s="221"/>
      <c r="Y883" s="221"/>
      <c r="Z883" s="221"/>
    </row>
    <row r="884" customFormat="false" ht="12" hidden="false" customHeight="true" outlineLevel="0" collapsed="false">
      <c r="A884" s="256"/>
      <c r="B884" s="256"/>
      <c r="C884" s="256"/>
      <c r="D884" s="256"/>
      <c r="E884" s="256"/>
      <c r="F884" s="256"/>
      <c r="G884" s="256"/>
      <c r="H884" s="256"/>
      <c r="I884" s="256"/>
      <c r="J884" s="256"/>
      <c r="K884" s="256"/>
      <c r="L884" s="256"/>
      <c r="M884" s="256"/>
      <c r="N884" s="256"/>
      <c r="O884" s="256"/>
      <c r="P884" s="256"/>
      <c r="Q884" s="256"/>
      <c r="R884" s="256"/>
      <c r="S884" s="221"/>
      <c r="T884" s="221"/>
      <c r="U884" s="221"/>
      <c r="V884" s="221"/>
      <c r="W884" s="221"/>
      <c r="X884" s="221"/>
      <c r="Y884" s="221"/>
      <c r="Z884" s="221"/>
    </row>
    <row r="885" customFormat="false" ht="12" hidden="false" customHeight="true" outlineLevel="0" collapsed="false">
      <c r="A885" s="256"/>
      <c r="B885" s="256"/>
      <c r="C885" s="256"/>
      <c r="D885" s="256"/>
      <c r="E885" s="256"/>
      <c r="F885" s="256"/>
      <c r="G885" s="256"/>
      <c r="H885" s="256"/>
      <c r="I885" s="256"/>
      <c r="J885" s="256"/>
      <c r="K885" s="256"/>
      <c r="L885" s="256"/>
      <c r="M885" s="256"/>
      <c r="N885" s="256"/>
      <c r="O885" s="256"/>
      <c r="P885" s="256"/>
      <c r="Q885" s="256"/>
      <c r="R885" s="256"/>
      <c r="S885" s="221"/>
      <c r="T885" s="221"/>
      <c r="U885" s="221"/>
      <c r="V885" s="221"/>
      <c r="W885" s="221"/>
      <c r="X885" s="221"/>
      <c r="Y885" s="221"/>
      <c r="Z885" s="221"/>
    </row>
    <row r="886" customFormat="false" ht="12" hidden="false" customHeight="true" outlineLevel="0" collapsed="false">
      <c r="A886" s="256"/>
      <c r="B886" s="256"/>
      <c r="C886" s="256"/>
      <c r="D886" s="256"/>
      <c r="E886" s="256"/>
      <c r="F886" s="256"/>
      <c r="G886" s="256"/>
      <c r="H886" s="256"/>
      <c r="I886" s="256"/>
      <c r="J886" s="256"/>
      <c r="K886" s="256"/>
      <c r="L886" s="256"/>
      <c r="M886" s="256"/>
      <c r="N886" s="256"/>
      <c r="O886" s="256"/>
      <c r="P886" s="256"/>
      <c r="Q886" s="256"/>
      <c r="R886" s="256"/>
      <c r="S886" s="221"/>
      <c r="T886" s="221"/>
      <c r="U886" s="221"/>
      <c r="V886" s="221"/>
      <c r="W886" s="221"/>
      <c r="X886" s="221"/>
      <c r="Y886" s="221"/>
      <c r="Z886" s="221"/>
    </row>
    <row r="887" customFormat="false" ht="12" hidden="false" customHeight="true" outlineLevel="0" collapsed="false">
      <c r="A887" s="256"/>
      <c r="B887" s="256"/>
      <c r="C887" s="256"/>
      <c r="D887" s="256"/>
      <c r="E887" s="256"/>
      <c r="F887" s="256"/>
      <c r="G887" s="256"/>
      <c r="H887" s="256"/>
      <c r="I887" s="256"/>
      <c r="J887" s="256"/>
      <c r="K887" s="256"/>
      <c r="L887" s="256"/>
      <c r="M887" s="256"/>
      <c r="N887" s="256"/>
      <c r="O887" s="256"/>
      <c r="P887" s="256"/>
      <c r="Q887" s="256"/>
      <c r="R887" s="256"/>
      <c r="S887" s="221"/>
      <c r="T887" s="221"/>
      <c r="U887" s="221"/>
      <c r="V887" s="221"/>
      <c r="W887" s="221"/>
      <c r="X887" s="221"/>
      <c r="Y887" s="221"/>
      <c r="Z887" s="221"/>
    </row>
    <row r="888" customFormat="false" ht="12" hidden="false" customHeight="true" outlineLevel="0" collapsed="false">
      <c r="A888" s="256"/>
      <c r="B888" s="256"/>
      <c r="C888" s="256"/>
      <c r="D888" s="256"/>
      <c r="E888" s="256"/>
      <c r="F888" s="256"/>
      <c r="G888" s="256"/>
      <c r="H888" s="256"/>
      <c r="I888" s="256"/>
      <c r="J888" s="256"/>
      <c r="K888" s="256"/>
      <c r="L888" s="256"/>
      <c r="M888" s="256"/>
      <c r="N888" s="256"/>
      <c r="O888" s="256"/>
      <c r="P888" s="256"/>
      <c r="Q888" s="256"/>
      <c r="R888" s="256"/>
      <c r="S888" s="221"/>
      <c r="T888" s="221"/>
      <c r="U888" s="221"/>
      <c r="V888" s="221"/>
      <c r="W888" s="221"/>
      <c r="X888" s="221"/>
      <c r="Y888" s="221"/>
      <c r="Z888" s="221"/>
    </row>
    <row r="889" customFormat="false" ht="12" hidden="false" customHeight="true" outlineLevel="0" collapsed="false">
      <c r="A889" s="256"/>
      <c r="B889" s="256"/>
      <c r="C889" s="256"/>
      <c r="D889" s="256"/>
      <c r="E889" s="256"/>
      <c r="F889" s="256"/>
      <c r="G889" s="256"/>
      <c r="H889" s="256"/>
      <c r="I889" s="256"/>
      <c r="J889" s="256"/>
      <c r="K889" s="256"/>
      <c r="L889" s="256"/>
      <c r="M889" s="256"/>
      <c r="N889" s="256"/>
      <c r="O889" s="256"/>
      <c r="P889" s="256"/>
      <c r="Q889" s="256"/>
      <c r="R889" s="256"/>
      <c r="S889" s="221"/>
      <c r="T889" s="221"/>
      <c r="U889" s="221"/>
      <c r="V889" s="221"/>
      <c r="W889" s="221"/>
      <c r="X889" s="221"/>
      <c r="Y889" s="221"/>
      <c r="Z889" s="221"/>
    </row>
    <row r="890" customFormat="false" ht="12" hidden="false" customHeight="true" outlineLevel="0" collapsed="false">
      <c r="A890" s="256"/>
      <c r="B890" s="256"/>
      <c r="C890" s="256"/>
      <c r="D890" s="256"/>
      <c r="E890" s="256"/>
      <c r="F890" s="256"/>
      <c r="G890" s="256"/>
      <c r="H890" s="256"/>
      <c r="I890" s="256"/>
      <c r="J890" s="256"/>
      <c r="K890" s="256"/>
      <c r="L890" s="256"/>
      <c r="M890" s="256"/>
      <c r="N890" s="256"/>
      <c r="O890" s="256"/>
      <c r="P890" s="256"/>
      <c r="Q890" s="256"/>
      <c r="R890" s="256"/>
      <c r="S890" s="221"/>
      <c r="T890" s="221"/>
      <c r="U890" s="221"/>
      <c r="V890" s="221"/>
      <c r="W890" s="221"/>
      <c r="X890" s="221"/>
      <c r="Y890" s="221"/>
      <c r="Z890" s="221"/>
    </row>
    <row r="891" customFormat="false" ht="12" hidden="false" customHeight="true" outlineLevel="0" collapsed="false">
      <c r="A891" s="256"/>
      <c r="B891" s="256"/>
      <c r="C891" s="256"/>
      <c r="D891" s="256"/>
      <c r="E891" s="256"/>
      <c r="F891" s="256"/>
      <c r="G891" s="256"/>
      <c r="H891" s="256"/>
      <c r="I891" s="256"/>
      <c r="J891" s="256"/>
      <c r="K891" s="256"/>
      <c r="L891" s="256"/>
      <c r="M891" s="256"/>
      <c r="N891" s="256"/>
      <c r="O891" s="256"/>
      <c r="P891" s="256"/>
      <c r="Q891" s="256"/>
      <c r="R891" s="256"/>
      <c r="S891" s="221"/>
      <c r="T891" s="221"/>
      <c r="U891" s="221"/>
      <c r="V891" s="221"/>
      <c r="W891" s="221"/>
      <c r="X891" s="221"/>
      <c r="Y891" s="221"/>
      <c r="Z891" s="221"/>
    </row>
    <row r="892" customFormat="false" ht="12" hidden="false" customHeight="true" outlineLevel="0" collapsed="false">
      <c r="A892" s="256"/>
      <c r="B892" s="256"/>
      <c r="C892" s="256"/>
      <c r="D892" s="256"/>
      <c r="E892" s="256"/>
      <c r="F892" s="256"/>
      <c r="G892" s="256"/>
      <c r="H892" s="256"/>
      <c r="I892" s="256"/>
      <c r="J892" s="256"/>
      <c r="K892" s="256"/>
      <c r="L892" s="256"/>
      <c r="M892" s="256"/>
      <c r="N892" s="256"/>
      <c r="O892" s="256"/>
      <c r="P892" s="256"/>
      <c r="Q892" s="256"/>
      <c r="R892" s="256"/>
      <c r="S892" s="221"/>
      <c r="T892" s="221"/>
      <c r="U892" s="221"/>
      <c r="V892" s="221"/>
      <c r="W892" s="221"/>
      <c r="X892" s="221"/>
      <c r="Y892" s="221"/>
      <c r="Z892" s="221"/>
    </row>
    <row r="893" customFormat="false" ht="12" hidden="false" customHeight="true" outlineLevel="0" collapsed="false">
      <c r="A893" s="256"/>
      <c r="B893" s="256"/>
      <c r="C893" s="256"/>
      <c r="D893" s="256"/>
      <c r="E893" s="256"/>
      <c r="F893" s="256"/>
      <c r="G893" s="256"/>
      <c r="H893" s="256"/>
      <c r="I893" s="256"/>
      <c r="J893" s="256"/>
      <c r="K893" s="256"/>
      <c r="L893" s="256"/>
      <c r="M893" s="256"/>
      <c r="N893" s="256"/>
      <c r="O893" s="256"/>
      <c r="P893" s="256"/>
      <c r="Q893" s="256"/>
      <c r="R893" s="256"/>
      <c r="S893" s="221"/>
      <c r="T893" s="221"/>
      <c r="U893" s="221"/>
      <c r="V893" s="221"/>
      <c r="W893" s="221"/>
      <c r="X893" s="221"/>
      <c r="Y893" s="221"/>
      <c r="Z893" s="221"/>
    </row>
    <row r="894" customFormat="false" ht="12" hidden="false" customHeight="true" outlineLevel="0" collapsed="false">
      <c r="A894" s="256"/>
      <c r="B894" s="256"/>
      <c r="C894" s="256"/>
      <c r="D894" s="256"/>
      <c r="E894" s="256"/>
      <c r="F894" s="256"/>
      <c r="G894" s="256"/>
      <c r="H894" s="256"/>
      <c r="I894" s="256"/>
      <c r="J894" s="256"/>
      <c r="K894" s="256"/>
      <c r="L894" s="256"/>
      <c r="M894" s="256"/>
      <c r="N894" s="256"/>
      <c r="O894" s="256"/>
      <c r="P894" s="256"/>
      <c r="Q894" s="256"/>
      <c r="R894" s="256"/>
      <c r="S894" s="221"/>
      <c r="T894" s="221"/>
      <c r="U894" s="221"/>
      <c r="V894" s="221"/>
      <c r="W894" s="221"/>
      <c r="X894" s="221"/>
      <c r="Y894" s="221"/>
      <c r="Z894" s="221"/>
    </row>
    <row r="895" customFormat="false" ht="12" hidden="false" customHeight="true" outlineLevel="0" collapsed="false">
      <c r="A895" s="256"/>
      <c r="B895" s="256"/>
      <c r="C895" s="256"/>
      <c r="D895" s="256"/>
      <c r="E895" s="256"/>
      <c r="F895" s="256"/>
      <c r="G895" s="256"/>
      <c r="H895" s="256"/>
      <c r="I895" s="256"/>
      <c r="J895" s="256"/>
      <c r="K895" s="256"/>
      <c r="L895" s="256"/>
      <c r="M895" s="256"/>
      <c r="N895" s="256"/>
      <c r="O895" s="256"/>
      <c r="P895" s="256"/>
      <c r="Q895" s="256"/>
      <c r="R895" s="256"/>
      <c r="S895" s="221"/>
      <c r="T895" s="221"/>
      <c r="U895" s="221"/>
      <c r="V895" s="221"/>
      <c r="W895" s="221"/>
      <c r="X895" s="221"/>
      <c r="Y895" s="221"/>
      <c r="Z895" s="221"/>
    </row>
    <row r="896" customFormat="false" ht="12" hidden="false" customHeight="true" outlineLevel="0" collapsed="false">
      <c r="A896" s="256"/>
      <c r="B896" s="256"/>
      <c r="C896" s="256"/>
      <c r="D896" s="256"/>
      <c r="E896" s="256"/>
      <c r="F896" s="256"/>
      <c r="G896" s="256"/>
      <c r="H896" s="256"/>
      <c r="I896" s="256"/>
      <c r="J896" s="256"/>
      <c r="K896" s="256"/>
      <c r="L896" s="256"/>
      <c r="M896" s="256"/>
      <c r="N896" s="256"/>
      <c r="O896" s="256"/>
      <c r="P896" s="256"/>
      <c r="Q896" s="256"/>
      <c r="R896" s="256"/>
      <c r="S896" s="221"/>
      <c r="T896" s="221"/>
      <c r="U896" s="221"/>
      <c r="V896" s="221"/>
      <c r="W896" s="221"/>
      <c r="X896" s="221"/>
      <c r="Y896" s="221"/>
      <c r="Z896" s="221"/>
    </row>
    <row r="897" customFormat="false" ht="12" hidden="false" customHeight="true" outlineLevel="0" collapsed="false">
      <c r="A897" s="256"/>
      <c r="B897" s="256"/>
      <c r="C897" s="256"/>
      <c r="D897" s="256"/>
      <c r="E897" s="256"/>
      <c r="F897" s="256"/>
      <c r="G897" s="256"/>
      <c r="H897" s="256"/>
      <c r="I897" s="256"/>
      <c r="J897" s="256"/>
      <c r="K897" s="256"/>
      <c r="L897" s="256"/>
      <c r="M897" s="256"/>
      <c r="N897" s="256"/>
      <c r="O897" s="256"/>
      <c r="P897" s="256"/>
      <c r="Q897" s="256"/>
      <c r="R897" s="256"/>
      <c r="S897" s="221"/>
      <c r="T897" s="221"/>
      <c r="U897" s="221"/>
      <c r="V897" s="221"/>
      <c r="W897" s="221"/>
      <c r="X897" s="221"/>
      <c r="Y897" s="221"/>
      <c r="Z897" s="221"/>
    </row>
    <row r="898" customFormat="false" ht="12" hidden="false" customHeight="true" outlineLevel="0" collapsed="false">
      <c r="A898" s="256"/>
      <c r="B898" s="256"/>
      <c r="C898" s="256"/>
      <c r="D898" s="256"/>
      <c r="E898" s="256"/>
      <c r="F898" s="256"/>
      <c r="G898" s="256"/>
      <c r="H898" s="256"/>
      <c r="I898" s="256"/>
      <c r="J898" s="256"/>
      <c r="K898" s="256"/>
      <c r="L898" s="256"/>
      <c r="M898" s="256"/>
      <c r="N898" s="256"/>
      <c r="O898" s="256"/>
      <c r="P898" s="256"/>
      <c r="Q898" s="256"/>
      <c r="R898" s="256"/>
      <c r="S898" s="221"/>
      <c r="T898" s="221"/>
      <c r="U898" s="221"/>
      <c r="V898" s="221"/>
      <c r="W898" s="221"/>
      <c r="X898" s="221"/>
      <c r="Y898" s="221"/>
      <c r="Z898" s="221"/>
    </row>
    <row r="899" customFormat="false" ht="12" hidden="false" customHeight="true" outlineLevel="0" collapsed="false">
      <c r="A899" s="256"/>
      <c r="B899" s="256"/>
      <c r="C899" s="256"/>
      <c r="D899" s="256"/>
      <c r="E899" s="256"/>
      <c r="F899" s="256"/>
      <c r="G899" s="256"/>
      <c r="H899" s="256"/>
      <c r="I899" s="256"/>
      <c r="J899" s="256"/>
      <c r="K899" s="256"/>
      <c r="L899" s="256"/>
      <c r="M899" s="256"/>
      <c r="N899" s="256"/>
      <c r="O899" s="256"/>
      <c r="P899" s="256"/>
      <c r="Q899" s="256"/>
      <c r="R899" s="256"/>
      <c r="S899" s="221"/>
      <c r="T899" s="221"/>
      <c r="U899" s="221"/>
      <c r="V899" s="221"/>
      <c r="W899" s="221"/>
      <c r="X899" s="221"/>
      <c r="Y899" s="221"/>
      <c r="Z899" s="221"/>
    </row>
    <row r="900" customFormat="false" ht="12" hidden="false" customHeight="true" outlineLevel="0" collapsed="false">
      <c r="A900" s="256"/>
      <c r="B900" s="256"/>
      <c r="C900" s="256"/>
      <c r="D900" s="256"/>
      <c r="E900" s="256"/>
      <c r="F900" s="256"/>
      <c r="G900" s="256"/>
      <c r="H900" s="256"/>
      <c r="I900" s="256"/>
      <c r="J900" s="256"/>
      <c r="K900" s="256"/>
      <c r="L900" s="256"/>
      <c r="M900" s="256"/>
      <c r="N900" s="256"/>
      <c r="O900" s="256"/>
      <c r="P900" s="256"/>
      <c r="Q900" s="256"/>
      <c r="R900" s="256"/>
      <c r="S900" s="221"/>
      <c r="T900" s="221"/>
      <c r="U900" s="221"/>
      <c r="V900" s="221"/>
      <c r="W900" s="221"/>
      <c r="X900" s="221"/>
      <c r="Y900" s="221"/>
      <c r="Z900" s="221"/>
    </row>
    <row r="901" customFormat="false" ht="12" hidden="false" customHeight="true" outlineLevel="0" collapsed="false">
      <c r="A901" s="256"/>
      <c r="B901" s="256"/>
      <c r="C901" s="256"/>
      <c r="D901" s="256"/>
      <c r="E901" s="256"/>
      <c r="F901" s="256"/>
      <c r="G901" s="256"/>
      <c r="H901" s="256"/>
      <c r="I901" s="256"/>
      <c r="J901" s="256"/>
      <c r="K901" s="256"/>
      <c r="L901" s="256"/>
      <c r="M901" s="256"/>
      <c r="N901" s="256"/>
      <c r="O901" s="256"/>
      <c r="P901" s="256"/>
      <c r="Q901" s="256"/>
      <c r="R901" s="256"/>
      <c r="S901" s="221"/>
      <c r="T901" s="221"/>
      <c r="U901" s="221"/>
      <c r="V901" s="221"/>
      <c r="W901" s="221"/>
      <c r="X901" s="221"/>
      <c r="Y901" s="221"/>
      <c r="Z901" s="221"/>
    </row>
    <row r="902" customFormat="false" ht="12" hidden="false" customHeight="true" outlineLevel="0" collapsed="false">
      <c r="A902" s="256"/>
      <c r="B902" s="256"/>
      <c r="C902" s="256"/>
      <c r="D902" s="256"/>
      <c r="E902" s="256"/>
      <c r="F902" s="256"/>
      <c r="G902" s="256"/>
      <c r="H902" s="256"/>
      <c r="I902" s="256"/>
      <c r="J902" s="256"/>
      <c r="K902" s="256"/>
      <c r="L902" s="256"/>
      <c r="M902" s="256"/>
      <c r="N902" s="256"/>
      <c r="O902" s="256"/>
      <c r="P902" s="256"/>
      <c r="Q902" s="256"/>
      <c r="R902" s="256"/>
      <c r="S902" s="221"/>
      <c r="T902" s="221"/>
      <c r="U902" s="221"/>
      <c r="V902" s="221"/>
      <c r="W902" s="221"/>
      <c r="X902" s="221"/>
      <c r="Y902" s="221"/>
      <c r="Z902" s="221"/>
    </row>
    <row r="903" customFormat="false" ht="12" hidden="false" customHeight="true" outlineLevel="0" collapsed="false">
      <c r="A903" s="256"/>
      <c r="B903" s="256"/>
      <c r="C903" s="256"/>
      <c r="D903" s="256"/>
      <c r="E903" s="256"/>
      <c r="F903" s="256"/>
      <c r="G903" s="256"/>
      <c r="H903" s="256"/>
      <c r="I903" s="256"/>
      <c r="J903" s="256"/>
      <c r="K903" s="256"/>
      <c r="L903" s="256"/>
      <c r="M903" s="256"/>
      <c r="N903" s="256"/>
      <c r="O903" s="256"/>
      <c r="P903" s="256"/>
      <c r="Q903" s="256"/>
      <c r="R903" s="256"/>
      <c r="S903" s="221"/>
      <c r="T903" s="221"/>
      <c r="U903" s="221"/>
      <c r="V903" s="221"/>
      <c r="W903" s="221"/>
      <c r="X903" s="221"/>
      <c r="Y903" s="221"/>
      <c r="Z903" s="221"/>
    </row>
    <row r="904" customFormat="false" ht="12" hidden="false" customHeight="true" outlineLevel="0" collapsed="false">
      <c r="A904" s="256"/>
      <c r="B904" s="256"/>
      <c r="C904" s="256"/>
      <c r="D904" s="256"/>
      <c r="E904" s="256"/>
      <c r="F904" s="256"/>
      <c r="G904" s="256"/>
      <c r="H904" s="256"/>
      <c r="I904" s="256"/>
      <c r="J904" s="256"/>
      <c r="K904" s="256"/>
      <c r="L904" s="256"/>
      <c r="M904" s="256"/>
      <c r="N904" s="256"/>
      <c r="O904" s="256"/>
      <c r="P904" s="256"/>
      <c r="Q904" s="256"/>
      <c r="R904" s="256"/>
      <c r="S904" s="221"/>
      <c r="T904" s="221"/>
      <c r="U904" s="221"/>
      <c r="V904" s="221"/>
      <c r="W904" s="221"/>
      <c r="X904" s="221"/>
      <c r="Y904" s="221"/>
      <c r="Z904" s="221"/>
    </row>
    <row r="905" customFormat="false" ht="12" hidden="false" customHeight="true" outlineLevel="0" collapsed="false">
      <c r="A905" s="256"/>
      <c r="B905" s="256"/>
      <c r="C905" s="256"/>
      <c r="D905" s="256"/>
      <c r="E905" s="256"/>
      <c r="F905" s="256"/>
      <c r="G905" s="256"/>
      <c r="H905" s="256"/>
      <c r="I905" s="256"/>
      <c r="J905" s="256"/>
      <c r="K905" s="256"/>
      <c r="L905" s="256"/>
      <c r="M905" s="256"/>
      <c r="N905" s="256"/>
      <c r="O905" s="256"/>
      <c r="P905" s="256"/>
      <c r="Q905" s="256"/>
      <c r="R905" s="256"/>
      <c r="S905" s="221"/>
      <c r="T905" s="221"/>
      <c r="U905" s="221"/>
      <c r="V905" s="221"/>
      <c r="W905" s="221"/>
      <c r="X905" s="221"/>
      <c r="Y905" s="221"/>
      <c r="Z905" s="221"/>
    </row>
    <row r="906" customFormat="false" ht="12" hidden="false" customHeight="true" outlineLevel="0" collapsed="false">
      <c r="A906" s="256"/>
      <c r="B906" s="256"/>
      <c r="C906" s="256"/>
      <c r="D906" s="256"/>
      <c r="E906" s="256"/>
      <c r="F906" s="256"/>
      <c r="G906" s="256"/>
      <c r="H906" s="256"/>
      <c r="I906" s="256"/>
      <c r="J906" s="256"/>
      <c r="K906" s="256"/>
      <c r="L906" s="256"/>
      <c r="M906" s="256"/>
      <c r="N906" s="256"/>
      <c r="O906" s="256"/>
      <c r="P906" s="256"/>
      <c r="Q906" s="256"/>
      <c r="R906" s="256"/>
      <c r="S906" s="221"/>
      <c r="T906" s="221"/>
      <c r="U906" s="221"/>
      <c r="V906" s="221"/>
      <c r="W906" s="221"/>
      <c r="X906" s="221"/>
      <c r="Y906" s="221"/>
      <c r="Z906" s="221"/>
    </row>
    <row r="907" customFormat="false" ht="12" hidden="false" customHeight="true" outlineLevel="0" collapsed="false">
      <c r="A907" s="256"/>
      <c r="B907" s="256"/>
      <c r="C907" s="256"/>
      <c r="D907" s="256"/>
      <c r="E907" s="256"/>
      <c r="F907" s="256"/>
      <c r="G907" s="256"/>
      <c r="H907" s="256"/>
      <c r="I907" s="256"/>
      <c r="J907" s="256"/>
      <c r="K907" s="256"/>
      <c r="L907" s="256"/>
      <c r="M907" s="256"/>
      <c r="N907" s="256"/>
      <c r="O907" s="256"/>
      <c r="P907" s="256"/>
      <c r="Q907" s="256"/>
      <c r="R907" s="256"/>
      <c r="S907" s="221"/>
      <c r="T907" s="221"/>
      <c r="U907" s="221"/>
      <c r="V907" s="221"/>
      <c r="W907" s="221"/>
      <c r="X907" s="221"/>
      <c r="Y907" s="221"/>
      <c r="Z907" s="221"/>
    </row>
    <row r="908" customFormat="false" ht="12" hidden="false" customHeight="true" outlineLevel="0" collapsed="false">
      <c r="A908" s="256"/>
      <c r="B908" s="256"/>
      <c r="C908" s="256"/>
      <c r="D908" s="256"/>
      <c r="E908" s="256"/>
      <c r="F908" s="256"/>
      <c r="G908" s="256"/>
      <c r="H908" s="256"/>
      <c r="I908" s="256"/>
      <c r="J908" s="256"/>
      <c r="K908" s="256"/>
      <c r="L908" s="256"/>
      <c r="M908" s="256"/>
      <c r="N908" s="256"/>
      <c r="O908" s="256"/>
      <c r="P908" s="256"/>
      <c r="Q908" s="256"/>
      <c r="R908" s="256"/>
      <c r="S908" s="221"/>
      <c r="T908" s="221"/>
      <c r="U908" s="221"/>
      <c r="V908" s="221"/>
      <c r="W908" s="221"/>
      <c r="X908" s="221"/>
      <c r="Y908" s="221"/>
      <c r="Z908" s="221"/>
    </row>
    <row r="909" customFormat="false" ht="12" hidden="false" customHeight="true" outlineLevel="0" collapsed="false">
      <c r="A909" s="256"/>
      <c r="B909" s="256"/>
      <c r="C909" s="256"/>
      <c r="D909" s="256"/>
      <c r="E909" s="256"/>
      <c r="F909" s="256"/>
      <c r="G909" s="256"/>
      <c r="H909" s="256"/>
      <c r="I909" s="256"/>
      <c r="J909" s="256"/>
      <c r="K909" s="256"/>
      <c r="L909" s="256"/>
      <c r="M909" s="256"/>
      <c r="N909" s="256"/>
      <c r="O909" s="256"/>
      <c r="P909" s="256"/>
      <c r="Q909" s="256"/>
      <c r="R909" s="256"/>
      <c r="S909" s="221"/>
      <c r="T909" s="221"/>
      <c r="U909" s="221"/>
      <c r="V909" s="221"/>
      <c r="W909" s="221"/>
      <c r="X909" s="221"/>
      <c r="Y909" s="221"/>
      <c r="Z909" s="221"/>
    </row>
    <row r="910" customFormat="false" ht="12" hidden="false" customHeight="true" outlineLevel="0" collapsed="false">
      <c r="A910" s="256"/>
      <c r="B910" s="256"/>
      <c r="C910" s="256"/>
      <c r="D910" s="256"/>
      <c r="E910" s="256"/>
      <c r="F910" s="256"/>
      <c r="G910" s="256"/>
      <c r="H910" s="256"/>
      <c r="I910" s="256"/>
      <c r="J910" s="256"/>
      <c r="K910" s="256"/>
      <c r="L910" s="256"/>
      <c r="M910" s="256"/>
      <c r="N910" s="256"/>
      <c r="O910" s="256"/>
      <c r="P910" s="256"/>
      <c r="Q910" s="256"/>
      <c r="R910" s="256"/>
      <c r="S910" s="221"/>
      <c r="T910" s="221"/>
      <c r="U910" s="221"/>
      <c r="V910" s="221"/>
      <c r="W910" s="221"/>
      <c r="X910" s="221"/>
      <c r="Y910" s="221"/>
      <c r="Z910" s="221"/>
    </row>
    <row r="911" customFormat="false" ht="12" hidden="false" customHeight="true" outlineLevel="0" collapsed="false">
      <c r="A911" s="256"/>
      <c r="B911" s="256"/>
      <c r="C911" s="256"/>
      <c r="D911" s="256"/>
      <c r="E911" s="256"/>
      <c r="F911" s="256"/>
      <c r="G911" s="256"/>
      <c r="H911" s="256"/>
      <c r="I911" s="256"/>
      <c r="J911" s="256"/>
      <c r="K911" s="256"/>
      <c r="L911" s="256"/>
      <c r="M911" s="256"/>
      <c r="N911" s="256"/>
      <c r="O911" s="256"/>
      <c r="P911" s="256"/>
      <c r="Q911" s="256"/>
      <c r="R911" s="256"/>
      <c r="S911" s="221"/>
      <c r="T911" s="221"/>
      <c r="U911" s="221"/>
      <c r="V911" s="221"/>
      <c r="W911" s="221"/>
      <c r="X911" s="221"/>
      <c r="Y911" s="221"/>
      <c r="Z911" s="221"/>
    </row>
    <row r="912" customFormat="false" ht="12" hidden="false" customHeight="true" outlineLevel="0" collapsed="false">
      <c r="A912" s="256"/>
      <c r="B912" s="256"/>
      <c r="C912" s="256"/>
      <c r="D912" s="256"/>
      <c r="E912" s="256"/>
      <c r="F912" s="256"/>
      <c r="G912" s="256"/>
      <c r="H912" s="256"/>
      <c r="I912" s="256"/>
      <c r="J912" s="256"/>
      <c r="K912" s="256"/>
      <c r="L912" s="256"/>
      <c r="M912" s="256"/>
      <c r="N912" s="256"/>
      <c r="O912" s="256"/>
      <c r="P912" s="256"/>
      <c r="Q912" s="256"/>
      <c r="R912" s="256"/>
      <c r="S912" s="221"/>
      <c r="T912" s="221"/>
      <c r="U912" s="221"/>
      <c r="V912" s="221"/>
      <c r="W912" s="221"/>
      <c r="X912" s="221"/>
      <c r="Y912" s="221"/>
      <c r="Z912" s="221"/>
    </row>
    <row r="913" customFormat="false" ht="12" hidden="false" customHeight="true" outlineLevel="0" collapsed="false">
      <c r="A913" s="256"/>
      <c r="B913" s="256"/>
      <c r="C913" s="256"/>
      <c r="D913" s="256"/>
      <c r="E913" s="256"/>
      <c r="F913" s="256"/>
      <c r="G913" s="256"/>
      <c r="H913" s="256"/>
      <c r="I913" s="256"/>
      <c r="J913" s="256"/>
      <c r="K913" s="256"/>
      <c r="L913" s="256"/>
      <c r="M913" s="256"/>
      <c r="N913" s="256"/>
      <c r="O913" s="256"/>
      <c r="P913" s="256"/>
      <c r="Q913" s="256"/>
      <c r="R913" s="256"/>
      <c r="S913" s="221"/>
      <c r="T913" s="221"/>
      <c r="U913" s="221"/>
      <c r="V913" s="221"/>
      <c r="W913" s="221"/>
      <c r="X913" s="221"/>
      <c r="Y913" s="221"/>
      <c r="Z913" s="221"/>
    </row>
    <row r="914" customFormat="false" ht="12" hidden="false" customHeight="true" outlineLevel="0" collapsed="false">
      <c r="A914" s="256"/>
      <c r="B914" s="256"/>
      <c r="C914" s="256"/>
      <c r="D914" s="256"/>
      <c r="E914" s="256"/>
      <c r="F914" s="256"/>
      <c r="G914" s="256"/>
      <c r="H914" s="256"/>
      <c r="I914" s="256"/>
      <c r="J914" s="256"/>
      <c r="K914" s="256"/>
      <c r="L914" s="256"/>
      <c r="M914" s="256"/>
      <c r="N914" s="256"/>
      <c r="O914" s="256"/>
      <c r="P914" s="256"/>
      <c r="Q914" s="256"/>
      <c r="R914" s="256"/>
      <c r="S914" s="221"/>
      <c r="T914" s="221"/>
      <c r="U914" s="221"/>
      <c r="V914" s="221"/>
      <c r="W914" s="221"/>
      <c r="X914" s="221"/>
      <c r="Y914" s="221"/>
      <c r="Z914" s="221"/>
    </row>
    <row r="915" customFormat="false" ht="12" hidden="false" customHeight="true" outlineLevel="0" collapsed="false">
      <c r="A915" s="256"/>
      <c r="B915" s="256"/>
      <c r="C915" s="256"/>
      <c r="D915" s="256"/>
      <c r="E915" s="256"/>
      <c r="F915" s="256"/>
      <c r="G915" s="256"/>
      <c r="H915" s="256"/>
      <c r="I915" s="256"/>
      <c r="J915" s="256"/>
      <c r="K915" s="256"/>
      <c r="L915" s="256"/>
      <c r="M915" s="256"/>
      <c r="N915" s="256"/>
      <c r="O915" s="256"/>
      <c r="P915" s="256"/>
      <c r="Q915" s="256"/>
      <c r="R915" s="256"/>
      <c r="S915" s="221"/>
      <c r="T915" s="221"/>
      <c r="U915" s="221"/>
      <c r="V915" s="221"/>
      <c r="W915" s="221"/>
      <c r="X915" s="221"/>
      <c r="Y915" s="221"/>
      <c r="Z915" s="221"/>
    </row>
    <row r="916" customFormat="false" ht="12" hidden="false" customHeight="true" outlineLevel="0" collapsed="false">
      <c r="A916" s="256"/>
      <c r="B916" s="256"/>
      <c r="C916" s="256"/>
      <c r="D916" s="256"/>
      <c r="E916" s="256"/>
      <c r="F916" s="256"/>
      <c r="G916" s="256"/>
      <c r="H916" s="256"/>
      <c r="I916" s="256"/>
      <c r="J916" s="256"/>
      <c r="K916" s="256"/>
      <c r="L916" s="256"/>
      <c r="M916" s="256"/>
      <c r="N916" s="256"/>
      <c r="O916" s="256"/>
      <c r="P916" s="256"/>
      <c r="Q916" s="256"/>
      <c r="R916" s="256"/>
      <c r="S916" s="221"/>
      <c r="T916" s="221"/>
      <c r="U916" s="221"/>
      <c r="V916" s="221"/>
      <c r="W916" s="221"/>
      <c r="X916" s="221"/>
      <c r="Y916" s="221"/>
      <c r="Z916" s="221"/>
    </row>
    <row r="917" customFormat="false" ht="12" hidden="false" customHeight="true" outlineLevel="0" collapsed="false">
      <c r="A917" s="256"/>
      <c r="B917" s="256"/>
      <c r="C917" s="256"/>
      <c r="D917" s="256"/>
      <c r="E917" s="256"/>
      <c r="F917" s="256"/>
      <c r="G917" s="256"/>
      <c r="H917" s="256"/>
      <c r="I917" s="256"/>
      <c r="J917" s="256"/>
      <c r="K917" s="256"/>
      <c r="L917" s="256"/>
      <c r="M917" s="256"/>
      <c r="N917" s="256"/>
      <c r="O917" s="256"/>
      <c r="P917" s="256"/>
      <c r="Q917" s="256"/>
      <c r="R917" s="256"/>
      <c r="S917" s="221"/>
      <c r="T917" s="221"/>
      <c r="U917" s="221"/>
      <c r="V917" s="221"/>
      <c r="W917" s="221"/>
      <c r="X917" s="221"/>
      <c r="Y917" s="221"/>
      <c r="Z917" s="221"/>
    </row>
    <row r="918" customFormat="false" ht="12" hidden="false" customHeight="true" outlineLevel="0" collapsed="false">
      <c r="A918" s="256"/>
      <c r="B918" s="256"/>
      <c r="C918" s="256"/>
      <c r="D918" s="256"/>
      <c r="E918" s="256"/>
      <c r="F918" s="256"/>
      <c r="G918" s="256"/>
      <c r="H918" s="256"/>
      <c r="I918" s="256"/>
      <c r="J918" s="256"/>
      <c r="K918" s="256"/>
      <c r="L918" s="256"/>
      <c r="M918" s="256"/>
      <c r="N918" s="256"/>
      <c r="O918" s="256"/>
      <c r="P918" s="256"/>
      <c r="Q918" s="256"/>
      <c r="R918" s="256"/>
      <c r="S918" s="221"/>
      <c r="T918" s="221"/>
      <c r="U918" s="221"/>
      <c r="V918" s="221"/>
      <c r="W918" s="221"/>
      <c r="X918" s="221"/>
      <c r="Y918" s="221"/>
      <c r="Z918" s="221"/>
    </row>
    <row r="919" customFormat="false" ht="12" hidden="false" customHeight="true" outlineLevel="0" collapsed="false">
      <c r="A919" s="256"/>
      <c r="B919" s="256"/>
      <c r="C919" s="256"/>
      <c r="D919" s="256"/>
      <c r="E919" s="256"/>
      <c r="F919" s="256"/>
      <c r="G919" s="256"/>
      <c r="H919" s="256"/>
      <c r="I919" s="256"/>
      <c r="J919" s="256"/>
      <c r="K919" s="256"/>
      <c r="L919" s="256"/>
      <c r="M919" s="256"/>
      <c r="N919" s="256"/>
      <c r="O919" s="256"/>
      <c r="P919" s="256"/>
      <c r="Q919" s="256"/>
      <c r="R919" s="256"/>
      <c r="S919" s="221"/>
      <c r="T919" s="221"/>
      <c r="U919" s="221"/>
      <c r="V919" s="221"/>
      <c r="W919" s="221"/>
      <c r="X919" s="221"/>
      <c r="Y919" s="221"/>
      <c r="Z919" s="221"/>
    </row>
    <row r="920" customFormat="false" ht="12" hidden="false" customHeight="true" outlineLevel="0" collapsed="false">
      <c r="A920" s="256"/>
      <c r="B920" s="256"/>
      <c r="C920" s="256"/>
      <c r="D920" s="256"/>
      <c r="E920" s="256"/>
      <c r="F920" s="256"/>
      <c r="G920" s="256"/>
      <c r="H920" s="256"/>
      <c r="I920" s="256"/>
      <c r="J920" s="256"/>
      <c r="K920" s="256"/>
      <c r="L920" s="256"/>
      <c r="M920" s="256"/>
      <c r="N920" s="256"/>
      <c r="O920" s="256"/>
      <c r="P920" s="256"/>
      <c r="Q920" s="256"/>
      <c r="R920" s="256"/>
      <c r="S920" s="221"/>
      <c r="T920" s="221"/>
      <c r="U920" s="221"/>
      <c r="V920" s="221"/>
      <c r="W920" s="221"/>
      <c r="X920" s="221"/>
      <c r="Y920" s="221"/>
      <c r="Z920" s="221"/>
    </row>
    <row r="921" customFormat="false" ht="12" hidden="false" customHeight="true" outlineLevel="0" collapsed="false">
      <c r="A921" s="256"/>
      <c r="B921" s="256"/>
      <c r="C921" s="256"/>
      <c r="D921" s="256"/>
      <c r="E921" s="256"/>
      <c r="F921" s="256"/>
      <c r="G921" s="256"/>
      <c r="H921" s="256"/>
      <c r="I921" s="256"/>
      <c r="J921" s="256"/>
      <c r="K921" s="256"/>
      <c r="L921" s="256"/>
      <c r="M921" s="256"/>
      <c r="N921" s="256"/>
      <c r="O921" s="256"/>
      <c r="P921" s="256"/>
      <c r="Q921" s="256"/>
      <c r="R921" s="256"/>
      <c r="S921" s="221"/>
      <c r="T921" s="221"/>
      <c r="U921" s="221"/>
      <c r="V921" s="221"/>
      <c r="W921" s="221"/>
      <c r="X921" s="221"/>
      <c r="Y921" s="221"/>
      <c r="Z921" s="221"/>
    </row>
    <row r="922" customFormat="false" ht="12" hidden="false" customHeight="true" outlineLevel="0" collapsed="false">
      <c r="A922" s="256"/>
      <c r="B922" s="256"/>
      <c r="C922" s="256"/>
      <c r="D922" s="256"/>
      <c r="E922" s="256"/>
      <c r="F922" s="256"/>
      <c r="G922" s="256"/>
      <c r="H922" s="256"/>
      <c r="I922" s="256"/>
      <c r="J922" s="256"/>
      <c r="K922" s="256"/>
      <c r="L922" s="256"/>
      <c r="M922" s="256"/>
      <c r="N922" s="256"/>
      <c r="O922" s="256"/>
      <c r="P922" s="256"/>
      <c r="Q922" s="256"/>
      <c r="R922" s="256"/>
      <c r="S922" s="221"/>
      <c r="T922" s="221"/>
      <c r="U922" s="221"/>
      <c r="V922" s="221"/>
      <c r="W922" s="221"/>
      <c r="X922" s="221"/>
      <c r="Y922" s="221"/>
      <c r="Z922" s="221"/>
    </row>
    <row r="923" customFormat="false" ht="12" hidden="false" customHeight="true" outlineLevel="0" collapsed="false">
      <c r="A923" s="256"/>
      <c r="B923" s="256"/>
      <c r="C923" s="256"/>
      <c r="D923" s="256"/>
      <c r="E923" s="256"/>
      <c r="F923" s="256"/>
      <c r="G923" s="256"/>
      <c r="H923" s="256"/>
      <c r="I923" s="256"/>
      <c r="J923" s="256"/>
      <c r="K923" s="256"/>
      <c r="L923" s="256"/>
      <c r="M923" s="256"/>
      <c r="N923" s="256"/>
      <c r="O923" s="256"/>
      <c r="P923" s="256"/>
      <c r="Q923" s="256"/>
      <c r="R923" s="256"/>
      <c r="S923" s="221"/>
      <c r="T923" s="221"/>
      <c r="U923" s="221"/>
      <c r="V923" s="221"/>
      <c r="W923" s="221"/>
      <c r="X923" s="221"/>
      <c r="Y923" s="221"/>
      <c r="Z923" s="221"/>
    </row>
    <row r="924" customFormat="false" ht="12" hidden="false" customHeight="true" outlineLevel="0" collapsed="false">
      <c r="A924" s="256"/>
      <c r="B924" s="256"/>
      <c r="C924" s="256"/>
      <c r="D924" s="256"/>
      <c r="E924" s="256"/>
      <c r="F924" s="256"/>
      <c r="G924" s="256"/>
      <c r="H924" s="256"/>
      <c r="I924" s="256"/>
      <c r="J924" s="256"/>
      <c r="K924" s="256"/>
      <c r="L924" s="256"/>
      <c r="M924" s="256"/>
      <c r="N924" s="256"/>
      <c r="O924" s="256"/>
      <c r="P924" s="256"/>
      <c r="Q924" s="256"/>
      <c r="R924" s="256"/>
      <c r="S924" s="221"/>
      <c r="T924" s="221"/>
      <c r="U924" s="221"/>
      <c r="V924" s="221"/>
      <c r="W924" s="221"/>
      <c r="X924" s="221"/>
      <c r="Y924" s="221"/>
      <c r="Z924" s="221"/>
    </row>
    <row r="925" customFormat="false" ht="12" hidden="false" customHeight="true" outlineLevel="0" collapsed="false">
      <c r="A925" s="256"/>
      <c r="B925" s="256"/>
      <c r="C925" s="256"/>
      <c r="D925" s="256"/>
      <c r="E925" s="256"/>
      <c r="F925" s="256"/>
      <c r="G925" s="256"/>
      <c r="H925" s="256"/>
      <c r="I925" s="256"/>
      <c r="J925" s="256"/>
      <c r="K925" s="256"/>
      <c r="L925" s="256"/>
      <c r="M925" s="256"/>
      <c r="N925" s="256"/>
      <c r="O925" s="256"/>
      <c r="P925" s="256"/>
      <c r="Q925" s="256"/>
      <c r="R925" s="256"/>
      <c r="S925" s="221"/>
      <c r="T925" s="221"/>
      <c r="U925" s="221"/>
      <c r="V925" s="221"/>
      <c r="W925" s="221"/>
      <c r="X925" s="221"/>
      <c r="Y925" s="221"/>
      <c r="Z925" s="221"/>
    </row>
    <row r="926" customFormat="false" ht="12" hidden="false" customHeight="true" outlineLevel="0" collapsed="false">
      <c r="A926" s="256"/>
      <c r="B926" s="256"/>
      <c r="C926" s="256"/>
      <c r="D926" s="256"/>
      <c r="E926" s="256"/>
      <c r="F926" s="256"/>
      <c r="G926" s="256"/>
      <c r="H926" s="256"/>
      <c r="I926" s="256"/>
      <c r="J926" s="256"/>
      <c r="K926" s="256"/>
      <c r="L926" s="256"/>
      <c r="M926" s="256"/>
      <c r="N926" s="256"/>
      <c r="O926" s="256"/>
      <c r="P926" s="256"/>
      <c r="Q926" s="256"/>
      <c r="R926" s="256"/>
      <c r="S926" s="221"/>
      <c r="T926" s="221"/>
      <c r="U926" s="221"/>
      <c r="V926" s="221"/>
      <c r="W926" s="221"/>
      <c r="X926" s="221"/>
      <c r="Y926" s="221"/>
      <c r="Z926" s="221"/>
    </row>
    <row r="927" customFormat="false" ht="12" hidden="false" customHeight="true" outlineLevel="0" collapsed="false">
      <c r="A927" s="256"/>
      <c r="B927" s="256"/>
      <c r="C927" s="256"/>
      <c r="D927" s="256"/>
      <c r="E927" s="256"/>
      <c r="F927" s="256"/>
      <c r="G927" s="256"/>
      <c r="H927" s="256"/>
      <c r="I927" s="256"/>
      <c r="J927" s="256"/>
      <c r="K927" s="256"/>
      <c r="L927" s="256"/>
      <c r="M927" s="256"/>
      <c r="N927" s="256"/>
      <c r="O927" s="256"/>
      <c r="P927" s="256"/>
      <c r="Q927" s="256"/>
      <c r="R927" s="256"/>
      <c r="S927" s="221"/>
      <c r="T927" s="221"/>
      <c r="U927" s="221"/>
      <c r="V927" s="221"/>
      <c r="W927" s="221"/>
      <c r="X927" s="221"/>
      <c r="Y927" s="221"/>
      <c r="Z927" s="221"/>
    </row>
    <row r="928" customFormat="false" ht="12" hidden="false" customHeight="true" outlineLevel="0" collapsed="false">
      <c r="A928" s="256"/>
      <c r="B928" s="256"/>
      <c r="C928" s="256"/>
      <c r="D928" s="256"/>
      <c r="E928" s="256"/>
      <c r="F928" s="256"/>
      <c r="G928" s="256"/>
      <c r="H928" s="256"/>
      <c r="I928" s="256"/>
      <c r="J928" s="256"/>
      <c r="K928" s="256"/>
      <c r="L928" s="256"/>
      <c r="M928" s="256"/>
      <c r="N928" s="256"/>
      <c r="O928" s="256"/>
      <c r="P928" s="256"/>
      <c r="Q928" s="256"/>
      <c r="R928" s="256"/>
      <c r="S928" s="221"/>
      <c r="T928" s="221"/>
      <c r="U928" s="221"/>
      <c r="V928" s="221"/>
      <c r="W928" s="221"/>
      <c r="X928" s="221"/>
      <c r="Y928" s="221"/>
      <c r="Z928" s="221"/>
    </row>
    <row r="929" customFormat="false" ht="12" hidden="false" customHeight="true" outlineLevel="0" collapsed="false">
      <c r="A929" s="256"/>
      <c r="B929" s="256"/>
      <c r="C929" s="256"/>
      <c r="D929" s="256"/>
      <c r="E929" s="256"/>
      <c r="F929" s="256"/>
      <c r="G929" s="256"/>
      <c r="H929" s="256"/>
      <c r="I929" s="256"/>
      <c r="J929" s="256"/>
      <c r="K929" s="256"/>
      <c r="L929" s="256"/>
      <c r="M929" s="256"/>
      <c r="N929" s="256"/>
      <c r="O929" s="256"/>
      <c r="P929" s="256"/>
      <c r="Q929" s="256"/>
      <c r="R929" s="256"/>
      <c r="S929" s="221"/>
      <c r="T929" s="221"/>
      <c r="U929" s="221"/>
      <c r="V929" s="221"/>
      <c r="W929" s="221"/>
      <c r="X929" s="221"/>
      <c r="Y929" s="221"/>
      <c r="Z929" s="221"/>
    </row>
    <row r="930" customFormat="false" ht="12" hidden="false" customHeight="true" outlineLevel="0" collapsed="false">
      <c r="A930" s="256"/>
      <c r="B930" s="256"/>
      <c r="C930" s="256"/>
      <c r="D930" s="256"/>
      <c r="E930" s="256"/>
      <c r="F930" s="256"/>
      <c r="G930" s="256"/>
      <c r="H930" s="256"/>
      <c r="I930" s="256"/>
      <c r="J930" s="256"/>
      <c r="K930" s="256"/>
      <c r="L930" s="256"/>
      <c r="M930" s="256"/>
      <c r="N930" s="256"/>
      <c r="O930" s="256"/>
      <c r="P930" s="256"/>
      <c r="Q930" s="256"/>
      <c r="R930" s="256"/>
      <c r="S930" s="221"/>
      <c r="T930" s="221"/>
      <c r="U930" s="221"/>
      <c r="V930" s="221"/>
      <c r="W930" s="221"/>
      <c r="X930" s="221"/>
      <c r="Y930" s="221"/>
      <c r="Z930" s="221"/>
    </row>
    <row r="931" customFormat="false" ht="12" hidden="false" customHeight="true" outlineLevel="0" collapsed="false">
      <c r="A931" s="256"/>
      <c r="B931" s="256"/>
      <c r="C931" s="256"/>
      <c r="D931" s="256"/>
      <c r="E931" s="256"/>
      <c r="F931" s="256"/>
      <c r="G931" s="256"/>
      <c r="H931" s="256"/>
      <c r="I931" s="256"/>
      <c r="J931" s="256"/>
      <c r="K931" s="256"/>
      <c r="L931" s="256"/>
      <c r="M931" s="256"/>
      <c r="N931" s="256"/>
      <c r="O931" s="256"/>
      <c r="P931" s="256"/>
      <c r="Q931" s="256"/>
      <c r="R931" s="256"/>
      <c r="S931" s="221"/>
      <c r="T931" s="221"/>
      <c r="U931" s="221"/>
      <c r="V931" s="221"/>
      <c r="W931" s="221"/>
      <c r="X931" s="221"/>
      <c r="Y931" s="221"/>
      <c r="Z931" s="221"/>
    </row>
    <row r="932" customFormat="false" ht="12" hidden="false" customHeight="true" outlineLevel="0" collapsed="false">
      <c r="A932" s="256"/>
      <c r="B932" s="256"/>
      <c r="C932" s="256"/>
      <c r="D932" s="256"/>
      <c r="E932" s="256"/>
      <c r="F932" s="256"/>
      <c r="G932" s="256"/>
      <c r="H932" s="256"/>
      <c r="I932" s="256"/>
      <c r="J932" s="256"/>
      <c r="K932" s="256"/>
      <c r="L932" s="256"/>
      <c r="M932" s="256"/>
      <c r="N932" s="256"/>
      <c r="O932" s="256"/>
      <c r="P932" s="256"/>
      <c r="Q932" s="256"/>
      <c r="R932" s="256"/>
      <c r="S932" s="221"/>
      <c r="T932" s="221"/>
      <c r="U932" s="221"/>
      <c r="V932" s="221"/>
      <c r="W932" s="221"/>
      <c r="X932" s="221"/>
      <c r="Y932" s="221"/>
      <c r="Z932" s="221"/>
    </row>
    <row r="933" customFormat="false" ht="12" hidden="false" customHeight="true" outlineLevel="0" collapsed="false">
      <c r="A933" s="256"/>
      <c r="B933" s="256"/>
      <c r="C933" s="256"/>
      <c r="D933" s="256"/>
      <c r="E933" s="256"/>
      <c r="F933" s="256"/>
      <c r="G933" s="256"/>
      <c r="H933" s="256"/>
      <c r="I933" s="256"/>
      <c r="J933" s="256"/>
      <c r="K933" s="256"/>
      <c r="L933" s="256"/>
      <c r="M933" s="256"/>
      <c r="N933" s="256"/>
      <c r="O933" s="256"/>
      <c r="P933" s="256"/>
      <c r="Q933" s="256"/>
      <c r="R933" s="256"/>
      <c r="S933" s="221"/>
      <c r="T933" s="221"/>
      <c r="U933" s="221"/>
      <c r="V933" s="221"/>
      <c r="W933" s="221"/>
      <c r="X933" s="221"/>
      <c r="Y933" s="221"/>
      <c r="Z933" s="221"/>
    </row>
    <row r="934" customFormat="false" ht="12" hidden="false" customHeight="true" outlineLevel="0" collapsed="false">
      <c r="A934" s="256"/>
      <c r="B934" s="256"/>
      <c r="C934" s="256"/>
      <c r="D934" s="256"/>
      <c r="E934" s="256"/>
      <c r="F934" s="256"/>
      <c r="G934" s="256"/>
      <c r="H934" s="256"/>
      <c r="I934" s="256"/>
      <c r="J934" s="256"/>
      <c r="K934" s="256"/>
      <c r="L934" s="256"/>
      <c r="M934" s="256"/>
      <c r="N934" s="256"/>
      <c r="O934" s="256"/>
      <c r="P934" s="256"/>
      <c r="Q934" s="256"/>
      <c r="R934" s="256"/>
      <c r="S934" s="221"/>
      <c r="T934" s="221"/>
      <c r="U934" s="221"/>
      <c r="V934" s="221"/>
      <c r="W934" s="221"/>
      <c r="X934" s="221"/>
      <c r="Y934" s="221"/>
      <c r="Z934" s="221"/>
    </row>
    <row r="935" customFormat="false" ht="12" hidden="false" customHeight="true" outlineLevel="0" collapsed="false">
      <c r="A935" s="256"/>
      <c r="B935" s="256"/>
      <c r="C935" s="256"/>
      <c r="D935" s="256"/>
      <c r="E935" s="256"/>
      <c r="F935" s="256"/>
      <c r="G935" s="256"/>
      <c r="H935" s="256"/>
      <c r="I935" s="256"/>
      <c r="J935" s="256"/>
      <c r="K935" s="256"/>
      <c r="L935" s="256"/>
      <c r="M935" s="256"/>
      <c r="N935" s="256"/>
      <c r="O935" s="256"/>
      <c r="P935" s="256"/>
      <c r="Q935" s="256"/>
      <c r="R935" s="256"/>
      <c r="S935" s="221"/>
      <c r="T935" s="221"/>
      <c r="U935" s="221"/>
      <c r="V935" s="221"/>
      <c r="W935" s="221"/>
      <c r="X935" s="221"/>
      <c r="Y935" s="221"/>
      <c r="Z935" s="221"/>
    </row>
    <row r="936" customFormat="false" ht="12" hidden="false" customHeight="true" outlineLevel="0" collapsed="false">
      <c r="A936" s="256"/>
      <c r="B936" s="256"/>
      <c r="C936" s="256"/>
      <c r="D936" s="256"/>
      <c r="E936" s="256"/>
      <c r="F936" s="256"/>
      <c r="G936" s="256"/>
      <c r="H936" s="256"/>
      <c r="I936" s="256"/>
      <c r="J936" s="256"/>
      <c r="K936" s="256"/>
      <c r="L936" s="256"/>
      <c r="M936" s="256"/>
      <c r="N936" s="256"/>
      <c r="O936" s="256"/>
      <c r="P936" s="256"/>
      <c r="Q936" s="256"/>
      <c r="R936" s="256"/>
      <c r="S936" s="221"/>
      <c r="T936" s="221"/>
      <c r="U936" s="221"/>
      <c r="V936" s="221"/>
      <c r="W936" s="221"/>
      <c r="X936" s="221"/>
      <c r="Y936" s="221"/>
      <c r="Z936" s="221"/>
    </row>
    <row r="937" customFormat="false" ht="12" hidden="false" customHeight="true" outlineLevel="0" collapsed="false">
      <c r="A937" s="256"/>
      <c r="B937" s="256"/>
      <c r="C937" s="256"/>
      <c r="D937" s="256"/>
      <c r="E937" s="256"/>
      <c r="F937" s="256"/>
      <c r="G937" s="256"/>
      <c r="H937" s="256"/>
      <c r="I937" s="256"/>
      <c r="J937" s="256"/>
      <c r="K937" s="256"/>
      <c r="L937" s="256"/>
      <c r="M937" s="256"/>
      <c r="N937" s="256"/>
      <c r="O937" s="256"/>
      <c r="P937" s="256"/>
      <c r="Q937" s="256"/>
      <c r="R937" s="256"/>
      <c r="S937" s="221"/>
      <c r="T937" s="221"/>
      <c r="U937" s="221"/>
      <c r="V937" s="221"/>
      <c r="W937" s="221"/>
      <c r="X937" s="221"/>
      <c r="Y937" s="221"/>
      <c r="Z937" s="221"/>
    </row>
    <row r="938" customFormat="false" ht="12" hidden="false" customHeight="true" outlineLevel="0" collapsed="false">
      <c r="A938" s="256"/>
      <c r="B938" s="256"/>
      <c r="C938" s="256"/>
      <c r="D938" s="256"/>
      <c r="E938" s="256"/>
      <c r="F938" s="256"/>
      <c r="G938" s="256"/>
      <c r="H938" s="256"/>
      <c r="I938" s="256"/>
      <c r="J938" s="256"/>
      <c r="K938" s="256"/>
      <c r="L938" s="256"/>
      <c r="M938" s="256"/>
      <c r="N938" s="256"/>
      <c r="O938" s="256"/>
      <c r="P938" s="256"/>
      <c r="Q938" s="256"/>
      <c r="R938" s="256"/>
      <c r="S938" s="221"/>
      <c r="T938" s="221"/>
      <c r="U938" s="221"/>
      <c r="V938" s="221"/>
      <c r="W938" s="221"/>
      <c r="X938" s="221"/>
      <c r="Y938" s="221"/>
      <c r="Z938" s="221"/>
    </row>
    <row r="939" customFormat="false" ht="12" hidden="false" customHeight="true" outlineLevel="0" collapsed="false">
      <c r="A939" s="256"/>
      <c r="B939" s="256"/>
      <c r="C939" s="256"/>
      <c r="D939" s="256"/>
      <c r="E939" s="256"/>
      <c r="F939" s="256"/>
      <c r="G939" s="256"/>
      <c r="H939" s="256"/>
      <c r="I939" s="256"/>
      <c r="J939" s="256"/>
      <c r="K939" s="256"/>
      <c r="L939" s="256"/>
      <c r="M939" s="256"/>
      <c r="N939" s="256"/>
      <c r="O939" s="256"/>
      <c r="P939" s="256"/>
      <c r="Q939" s="256"/>
      <c r="R939" s="256"/>
      <c r="S939" s="221"/>
      <c r="T939" s="221"/>
      <c r="U939" s="221"/>
      <c r="V939" s="221"/>
      <c r="W939" s="221"/>
      <c r="X939" s="221"/>
      <c r="Y939" s="221"/>
      <c r="Z939" s="221"/>
    </row>
    <row r="940" customFormat="false" ht="12" hidden="false" customHeight="true" outlineLevel="0" collapsed="false">
      <c r="A940" s="256"/>
      <c r="B940" s="256"/>
      <c r="C940" s="256"/>
      <c r="D940" s="256"/>
      <c r="E940" s="256"/>
      <c r="F940" s="256"/>
      <c r="G940" s="256"/>
      <c r="H940" s="256"/>
      <c r="I940" s="256"/>
      <c r="J940" s="256"/>
      <c r="K940" s="256"/>
      <c r="L940" s="256"/>
      <c r="M940" s="256"/>
      <c r="N940" s="256"/>
      <c r="O940" s="256"/>
      <c r="P940" s="256"/>
      <c r="Q940" s="256"/>
      <c r="R940" s="256"/>
      <c r="S940" s="221"/>
      <c r="T940" s="221"/>
      <c r="U940" s="221"/>
      <c r="V940" s="221"/>
      <c r="W940" s="221"/>
      <c r="X940" s="221"/>
      <c r="Y940" s="221"/>
      <c r="Z940" s="221"/>
    </row>
    <row r="941" customFormat="false" ht="12" hidden="false" customHeight="true" outlineLevel="0" collapsed="false">
      <c r="A941" s="256"/>
      <c r="B941" s="256"/>
      <c r="C941" s="256"/>
      <c r="D941" s="256"/>
      <c r="E941" s="256"/>
      <c r="F941" s="256"/>
      <c r="G941" s="256"/>
      <c r="H941" s="256"/>
      <c r="I941" s="256"/>
      <c r="J941" s="256"/>
      <c r="K941" s="256"/>
      <c r="L941" s="256"/>
      <c r="M941" s="256"/>
      <c r="N941" s="256"/>
      <c r="O941" s="256"/>
      <c r="P941" s="256"/>
      <c r="Q941" s="256"/>
      <c r="R941" s="256"/>
      <c r="S941" s="221"/>
      <c r="T941" s="221"/>
      <c r="U941" s="221"/>
      <c r="V941" s="221"/>
      <c r="W941" s="221"/>
      <c r="X941" s="221"/>
      <c r="Y941" s="221"/>
      <c r="Z941" s="221"/>
    </row>
    <row r="942" customFormat="false" ht="12" hidden="false" customHeight="true" outlineLevel="0" collapsed="false">
      <c r="A942" s="256"/>
      <c r="B942" s="256"/>
      <c r="C942" s="256"/>
      <c r="D942" s="256"/>
      <c r="E942" s="256"/>
      <c r="F942" s="256"/>
      <c r="G942" s="256"/>
      <c r="H942" s="256"/>
      <c r="I942" s="256"/>
      <c r="J942" s="256"/>
      <c r="K942" s="256"/>
      <c r="L942" s="256"/>
      <c r="M942" s="256"/>
      <c r="N942" s="256"/>
      <c r="O942" s="256"/>
      <c r="P942" s="256"/>
      <c r="Q942" s="256"/>
      <c r="R942" s="256"/>
      <c r="S942" s="221"/>
      <c r="T942" s="221"/>
      <c r="U942" s="221"/>
      <c r="V942" s="221"/>
      <c r="W942" s="221"/>
      <c r="X942" s="221"/>
      <c r="Y942" s="221"/>
      <c r="Z942" s="221"/>
    </row>
    <row r="943" customFormat="false" ht="12" hidden="false" customHeight="true" outlineLevel="0" collapsed="false">
      <c r="A943" s="256"/>
      <c r="B943" s="256"/>
      <c r="C943" s="256"/>
      <c r="D943" s="256"/>
      <c r="E943" s="256"/>
      <c r="F943" s="256"/>
      <c r="G943" s="256"/>
      <c r="H943" s="256"/>
      <c r="I943" s="256"/>
      <c r="J943" s="256"/>
      <c r="K943" s="256"/>
      <c r="L943" s="256"/>
      <c r="M943" s="256"/>
      <c r="N943" s="256"/>
      <c r="O943" s="256"/>
      <c r="P943" s="256"/>
      <c r="Q943" s="256"/>
      <c r="R943" s="256"/>
      <c r="S943" s="221"/>
      <c r="T943" s="221"/>
      <c r="U943" s="221"/>
      <c r="V943" s="221"/>
      <c r="W943" s="221"/>
      <c r="X943" s="221"/>
      <c r="Y943" s="221"/>
      <c r="Z943" s="221"/>
    </row>
    <row r="944" customFormat="false" ht="12" hidden="false" customHeight="true" outlineLevel="0" collapsed="false">
      <c r="A944" s="256"/>
      <c r="B944" s="256"/>
      <c r="C944" s="256"/>
      <c r="D944" s="256"/>
      <c r="E944" s="256"/>
      <c r="F944" s="256"/>
      <c r="G944" s="256"/>
      <c r="H944" s="256"/>
      <c r="I944" s="256"/>
      <c r="J944" s="256"/>
      <c r="K944" s="256"/>
      <c r="L944" s="256"/>
      <c r="M944" s="256"/>
      <c r="N944" s="256"/>
      <c r="O944" s="256"/>
      <c r="P944" s="256"/>
      <c r="Q944" s="256"/>
      <c r="R944" s="256"/>
      <c r="S944" s="221"/>
      <c r="T944" s="221"/>
      <c r="U944" s="221"/>
      <c r="V944" s="221"/>
      <c r="W944" s="221"/>
      <c r="X944" s="221"/>
      <c r="Y944" s="221"/>
      <c r="Z944" s="221"/>
    </row>
    <row r="945" customFormat="false" ht="12" hidden="false" customHeight="true" outlineLevel="0" collapsed="false">
      <c r="A945" s="256"/>
      <c r="B945" s="256"/>
      <c r="C945" s="256"/>
      <c r="D945" s="256"/>
      <c r="E945" s="256"/>
      <c r="F945" s="256"/>
      <c r="G945" s="256"/>
      <c r="H945" s="256"/>
      <c r="I945" s="256"/>
      <c r="J945" s="256"/>
      <c r="K945" s="256"/>
      <c r="L945" s="256"/>
      <c r="M945" s="256"/>
      <c r="N945" s="256"/>
      <c r="O945" s="256"/>
      <c r="P945" s="256"/>
      <c r="Q945" s="256"/>
      <c r="R945" s="256"/>
      <c r="S945" s="221"/>
      <c r="T945" s="221"/>
      <c r="U945" s="221"/>
      <c r="V945" s="221"/>
      <c r="W945" s="221"/>
      <c r="X945" s="221"/>
      <c r="Y945" s="221"/>
      <c r="Z945" s="221"/>
    </row>
    <row r="946" customFormat="false" ht="12" hidden="false" customHeight="true" outlineLevel="0" collapsed="false">
      <c r="A946" s="256"/>
      <c r="B946" s="256"/>
      <c r="C946" s="256"/>
      <c r="D946" s="256"/>
      <c r="E946" s="256"/>
      <c r="F946" s="256"/>
      <c r="G946" s="256"/>
      <c r="H946" s="256"/>
      <c r="I946" s="256"/>
      <c r="J946" s="256"/>
      <c r="K946" s="256"/>
      <c r="L946" s="256"/>
      <c r="M946" s="256"/>
      <c r="N946" s="256"/>
      <c r="O946" s="256"/>
      <c r="P946" s="256"/>
      <c r="Q946" s="256"/>
      <c r="R946" s="256"/>
      <c r="S946" s="221"/>
      <c r="T946" s="221"/>
      <c r="U946" s="221"/>
      <c r="V946" s="221"/>
      <c r="W946" s="221"/>
      <c r="X946" s="221"/>
      <c r="Y946" s="221"/>
      <c r="Z946" s="221"/>
    </row>
    <row r="947" customFormat="false" ht="12" hidden="false" customHeight="true" outlineLevel="0" collapsed="false">
      <c r="A947" s="256"/>
      <c r="B947" s="256"/>
      <c r="C947" s="256"/>
      <c r="D947" s="256"/>
      <c r="E947" s="256"/>
      <c r="F947" s="256"/>
      <c r="G947" s="256"/>
      <c r="H947" s="256"/>
      <c r="I947" s="256"/>
      <c r="J947" s="256"/>
      <c r="K947" s="256"/>
      <c r="L947" s="256"/>
      <c r="M947" s="256"/>
      <c r="N947" s="256"/>
      <c r="O947" s="256"/>
      <c r="P947" s="256"/>
      <c r="Q947" s="256"/>
      <c r="R947" s="256"/>
      <c r="S947" s="221"/>
      <c r="T947" s="221"/>
      <c r="U947" s="221"/>
      <c r="V947" s="221"/>
      <c r="W947" s="221"/>
      <c r="X947" s="221"/>
      <c r="Y947" s="221"/>
      <c r="Z947" s="221"/>
    </row>
    <row r="948" customFormat="false" ht="12" hidden="false" customHeight="true" outlineLevel="0" collapsed="false">
      <c r="A948" s="256"/>
      <c r="B948" s="256"/>
      <c r="C948" s="256"/>
      <c r="D948" s="256"/>
      <c r="E948" s="256"/>
      <c r="F948" s="256"/>
      <c r="G948" s="256"/>
      <c r="H948" s="256"/>
      <c r="I948" s="256"/>
      <c r="J948" s="256"/>
      <c r="K948" s="256"/>
      <c r="L948" s="256"/>
      <c r="M948" s="256"/>
      <c r="N948" s="256"/>
      <c r="O948" s="256"/>
      <c r="P948" s="256"/>
      <c r="Q948" s="256"/>
      <c r="R948" s="256"/>
      <c r="S948" s="221"/>
      <c r="T948" s="221"/>
      <c r="U948" s="221"/>
      <c r="V948" s="221"/>
      <c r="W948" s="221"/>
      <c r="X948" s="221"/>
      <c r="Y948" s="221"/>
      <c r="Z948" s="221"/>
    </row>
    <row r="949" customFormat="false" ht="12" hidden="false" customHeight="true" outlineLevel="0" collapsed="false">
      <c r="A949" s="256"/>
      <c r="B949" s="256"/>
      <c r="C949" s="256"/>
      <c r="D949" s="256"/>
      <c r="E949" s="256"/>
      <c r="F949" s="256"/>
      <c r="G949" s="256"/>
      <c r="H949" s="256"/>
      <c r="I949" s="256"/>
      <c r="J949" s="256"/>
      <c r="K949" s="256"/>
      <c r="L949" s="256"/>
      <c r="M949" s="256"/>
      <c r="N949" s="256"/>
      <c r="O949" s="256"/>
      <c r="P949" s="256"/>
      <c r="Q949" s="256"/>
      <c r="R949" s="256"/>
      <c r="S949" s="221"/>
      <c r="T949" s="221"/>
      <c r="U949" s="221"/>
      <c r="V949" s="221"/>
      <c r="W949" s="221"/>
      <c r="X949" s="221"/>
      <c r="Y949" s="221"/>
      <c r="Z949" s="221"/>
    </row>
    <row r="950" customFormat="false" ht="12" hidden="false" customHeight="true" outlineLevel="0" collapsed="false">
      <c r="A950" s="256"/>
      <c r="B950" s="256"/>
      <c r="C950" s="256"/>
      <c r="D950" s="256"/>
      <c r="E950" s="256"/>
      <c r="F950" s="256"/>
      <c r="G950" s="256"/>
      <c r="H950" s="256"/>
      <c r="I950" s="256"/>
      <c r="J950" s="256"/>
      <c r="K950" s="256"/>
      <c r="L950" s="256"/>
      <c r="M950" s="256"/>
      <c r="N950" s="256"/>
      <c r="O950" s="256"/>
      <c r="P950" s="256"/>
      <c r="Q950" s="256"/>
      <c r="R950" s="256"/>
      <c r="S950" s="221"/>
      <c r="T950" s="221"/>
      <c r="U950" s="221"/>
      <c r="V950" s="221"/>
      <c r="W950" s="221"/>
      <c r="X950" s="221"/>
      <c r="Y950" s="221"/>
      <c r="Z950" s="221"/>
    </row>
    <row r="951" customFormat="false" ht="12" hidden="false" customHeight="true" outlineLevel="0" collapsed="false">
      <c r="A951" s="256"/>
      <c r="B951" s="256"/>
      <c r="C951" s="256"/>
      <c r="D951" s="256"/>
      <c r="E951" s="256"/>
      <c r="F951" s="256"/>
      <c r="G951" s="256"/>
      <c r="H951" s="256"/>
      <c r="I951" s="256"/>
      <c r="J951" s="256"/>
      <c r="K951" s="256"/>
      <c r="L951" s="256"/>
      <c r="M951" s="256"/>
      <c r="N951" s="256"/>
      <c r="O951" s="256"/>
      <c r="P951" s="256"/>
      <c r="Q951" s="256"/>
      <c r="R951" s="256"/>
      <c r="S951" s="221"/>
      <c r="T951" s="221"/>
      <c r="U951" s="221"/>
      <c r="V951" s="221"/>
      <c r="W951" s="221"/>
      <c r="X951" s="221"/>
      <c r="Y951" s="221"/>
      <c r="Z951" s="221"/>
    </row>
    <row r="952" customFormat="false" ht="12" hidden="false" customHeight="true" outlineLevel="0" collapsed="false">
      <c r="A952" s="256"/>
      <c r="B952" s="256"/>
      <c r="C952" s="256"/>
      <c r="D952" s="256"/>
      <c r="E952" s="256"/>
      <c r="F952" s="256"/>
      <c r="G952" s="256"/>
      <c r="H952" s="256"/>
      <c r="I952" s="256"/>
      <c r="J952" s="256"/>
      <c r="K952" s="256"/>
      <c r="L952" s="256"/>
      <c r="M952" s="256"/>
      <c r="N952" s="256"/>
      <c r="O952" s="256"/>
      <c r="P952" s="256"/>
      <c r="Q952" s="256"/>
      <c r="R952" s="256"/>
      <c r="S952" s="221"/>
      <c r="T952" s="221"/>
      <c r="U952" s="221"/>
      <c r="V952" s="221"/>
      <c r="W952" s="221"/>
      <c r="X952" s="221"/>
      <c r="Y952" s="221"/>
      <c r="Z952" s="221"/>
    </row>
    <row r="953" customFormat="false" ht="12" hidden="false" customHeight="true" outlineLevel="0" collapsed="false">
      <c r="A953" s="256"/>
      <c r="B953" s="256"/>
      <c r="C953" s="256"/>
      <c r="D953" s="256"/>
      <c r="E953" s="256"/>
      <c r="F953" s="256"/>
      <c r="G953" s="256"/>
      <c r="H953" s="256"/>
      <c r="I953" s="256"/>
      <c r="J953" s="256"/>
      <c r="K953" s="256"/>
      <c r="L953" s="256"/>
      <c r="M953" s="256"/>
      <c r="N953" s="256"/>
      <c r="O953" s="256"/>
      <c r="P953" s="256"/>
      <c r="Q953" s="256"/>
      <c r="R953" s="256"/>
      <c r="S953" s="221"/>
      <c r="T953" s="221"/>
      <c r="U953" s="221"/>
      <c r="V953" s="221"/>
      <c r="W953" s="221"/>
      <c r="X953" s="221"/>
      <c r="Y953" s="221"/>
      <c r="Z953" s="221"/>
    </row>
    <row r="954" customFormat="false" ht="12" hidden="false" customHeight="true" outlineLevel="0" collapsed="false">
      <c r="A954" s="256"/>
      <c r="B954" s="256"/>
      <c r="C954" s="256"/>
      <c r="D954" s="256"/>
      <c r="E954" s="256"/>
      <c r="F954" s="256"/>
      <c r="G954" s="256"/>
      <c r="H954" s="256"/>
      <c r="I954" s="256"/>
      <c r="J954" s="256"/>
      <c r="K954" s="256"/>
      <c r="L954" s="256"/>
      <c r="M954" s="256"/>
      <c r="N954" s="256"/>
      <c r="O954" s="256"/>
      <c r="P954" s="256"/>
      <c r="Q954" s="256"/>
      <c r="R954" s="256"/>
      <c r="S954" s="221"/>
      <c r="T954" s="221"/>
      <c r="U954" s="221"/>
      <c r="V954" s="221"/>
      <c r="W954" s="221"/>
      <c r="X954" s="221"/>
      <c r="Y954" s="221"/>
      <c r="Z954" s="221"/>
    </row>
    <row r="955" customFormat="false" ht="12" hidden="false" customHeight="true" outlineLevel="0" collapsed="false">
      <c r="A955" s="256"/>
      <c r="B955" s="256"/>
      <c r="C955" s="256"/>
      <c r="D955" s="256"/>
      <c r="E955" s="256"/>
      <c r="F955" s="256"/>
      <c r="G955" s="256"/>
      <c r="H955" s="256"/>
      <c r="I955" s="256"/>
      <c r="J955" s="256"/>
      <c r="K955" s="256"/>
      <c r="L955" s="256"/>
      <c r="M955" s="256"/>
      <c r="N955" s="256"/>
      <c r="O955" s="256"/>
      <c r="P955" s="256"/>
      <c r="Q955" s="256"/>
      <c r="R955" s="256"/>
      <c r="S955" s="221"/>
      <c r="T955" s="221"/>
      <c r="U955" s="221"/>
      <c r="V955" s="221"/>
      <c r="W955" s="221"/>
      <c r="X955" s="221"/>
      <c r="Y955" s="221"/>
      <c r="Z955" s="221"/>
    </row>
    <row r="956" customFormat="false" ht="12" hidden="false" customHeight="true" outlineLevel="0" collapsed="false">
      <c r="A956" s="256"/>
      <c r="B956" s="256"/>
      <c r="C956" s="256"/>
      <c r="D956" s="256"/>
      <c r="E956" s="256"/>
      <c r="F956" s="256"/>
      <c r="G956" s="256"/>
      <c r="H956" s="256"/>
      <c r="I956" s="256"/>
      <c r="J956" s="256"/>
      <c r="K956" s="256"/>
      <c r="L956" s="256"/>
      <c r="M956" s="256"/>
      <c r="N956" s="256"/>
      <c r="O956" s="256"/>
      <c r="P956" s="256"/>
      <c r="Q956" s="256"/>
      <c r="R956" s="256"/>
      <c r="S956" s="221"/>
      <c r="T956" s="221"/>
      <c r="U956" s="221"/>
      <c r="V956" s="221"/>
      <c r="W956" s="221"/>
      <c r="X956" s="221"/>
      <c r="Y956" s="221"/>
      <c r="Z956" s="221"/>
    </row>
    <row r="957" customFormat="false" ht="12" hidden="false" customHeight="true" outlineLevel="0" collapsed="false">
      <c r="A957" s="256"/>
      <c r="B957" s="256"/>
      <c r="C957" s="256"/>
      <c r="D957" s="256"/>
      <c r="E957" s="256"/>
      <c r="F957" s="256"/>
      <c r="G957" s="256"/>
      <c r="H957" s="256"/>
      <c r="I957" s="256"/>
      <c r="J957" s="256"/>
      <c r="K957" s="256"/>
      <c r="L957" s="256"/>
      <c r="M957" s="256"/>
      <c r="N957" s="256"/>
      <c r="O957" s="256"/>
      <c r="P957" s="256"/>
      <c r="Q957" s="256"/>
      <c r="R957" s="256"/>
      <c r="S957" s="221"/>
      <c r="T957" s="221"/>
      <c r="U957" s="221"/>
      <c r="V957" s="221"/>
      <c r="W957" s="221"/>
      <c r="X957" s="221"/>
      <c r="Y957" s="221"/>
      <c r="Z957" s="221"/>
    </row>
    <row r="958" customFormat="false" ht="12" hidden="false" customHeight="true" outlineLevel="0" collapsed="false">
      <c r="A958" s="256"/>
      <c r="B958" s="256"/>
      <c r="C958" s="256"/>
      <c r="D958" s="256"/>
      <c r="E958" s="256"/>
      <c r="F958" s="256"/>
      <c r="G958" s="256"/>
      <c r="H958" s="256"/>
      <c r="I958" s="256"/>
      <c r="J958" s="256"/>
      <c r="K958" s="256"/>
      <c r="L958" s="256"/>
      <c r="M958" s="256"/>
      <c r="N958" s="256"/>
      <c r="O958" s="256"/>
      <c r="P958" s="256"/>
      <c r="Q958" s="256"/>
      <c r="R958" s="256"/>
      <c r="S958" s="221"/>
      <c r="T958" s="221"/>
      <c r="U958" s="221"/>
      <c r="V958" s="221"/>
      <c r="W958" s="221"/>
      <c r="X958" s="221"/>
      <c r="Y958" s="221"/>
      <c r="Z958" s="221"/>
    </row>
    <row r="959" customFormat="false" ht="12" hidden="false" customHeight="true" outlineLevel="0" collapsed="false">
      <c r="A959" s="256"/>
      <c r="B959" s="256"/>
      <c r="C959" s="256"/>
      <c r="D959" s="256"/>
      <c r="E959" s="256"/>
      <c r="F959" s="256"/>
      <c r="G959" s="256"/>
      <c r="H959" s="256"/>
      <c r="I959" s="256"/>
      <c r="J959" s="256"/>
      <c r="K959" s="256"/>
      <c r="L959" s="256"/>
      <c r="M959" s="256"/>
      <c r="N959" s="256"/>
      <c r="O959" s="256"/>
      <c r="P959" s="256"/>
      <c r="Q959" s="256"/>
      <c r="R959" s="256"/>
      <c r="S959" s="221"/>
      <c r="T959" s="221"/>
      <c r="U959" s="221"/>
      <c r="V959" s="221"/>
      <c r="W959" s="221"/>
      <c r="X959" s="221"/>
      <c r="Y959" s="221"/>
      <c r="Z959" s="221"/>
    </row>
    <row r="960" customFormat="false" ht="12" hidden="false" customHeight="true" outlineLevel="0" collapsed="false">
      <c r="A960" s="256"/>
      <c r="B960" s="256"/>
      <c r="C960" s="256"/>
      <c r="D960" s="256"/>
      <c r="E960" s="256"/>
      <c r="F960" s="256"/>
      <c r="G960" s="256"/>
      <c r="H960" s="256"/>
      <c r="I960" s="256"/>
      <c r="J960" s="256"/>
      <c r="K960" s="256"/>
      <c r="L960" s="256"/>
      <c r="M960" s="256"/>
      <c r="N960" s="256"/>
      <c r="O960" s="256"/>
      <c r="P960" s="256"/>
      <c r="Q960" s="256"/>
      <c r="R960" s="256"/>
      <c r="S960" s="221"/>
      <c r="T960" s="221"/>
      <c r="U960" s="221"/>
      <c r="V960" s="221"/>
      <c r="W960" s="221"/>
      <c r="X960" s="221"/>
      <c r="Y960" s="221"/>
      <c r="Z960" s="221"/>
    </row>
    <row r="961" customFormat="false" ht="12" hidden="false" customHeight="true" outlineLevel="0" collapsed="false">
      <c r="A961" s="256"/>
      <c r="B961" s="256"/>
      <c r="C961" s="256"/>
      <c r="D961" s="256"/>
      <c r="E961" s="256"/>
      <c r="F961" s="256"/>
      <c r="G961" s="256"/>
      <c r="H961" s="256"/>
      <c r="I961" s="256"/>
      <c r="J961" s="256"/>
      <c r="K961" s="256"/>
      <c r="L961" s="256"/>
      <c r="M961" s="256"/>
      <c r="N961" s="256"/>
      <c r="O961" s="256"/>
      <c r="P961" s="256"/>
      <c r="Q961" s="256"/>
      <c r="R961" s="256"/>
      <c r="S961" s="221"/>
      <c r="T961" s="221"/>
      <c r="U961" s="221"/>
      <c r="V961" s="221"/>
      <c r="W961" s="221"/>
      <c r="X961" s="221"/>
      <c r="Y961" s="221"/>
      <c r="Z961" s="221"/>
    </row>
    <row r="962" customFormat="false" ht="12" hidden="false" customHeight="true" outlineLevel="0" collapsed="false">
      <c r="A962" s="256"/>
      <c r="B962" s="256"/>
      <c r="C962" s="256"/>
      <c r="D962" s="256"/>
      <c r="E962" s="256"/>
      <c r="F962" s="256"/>
      <c r="G962" s="256"/>
      <c r="H962" s="256"/>
      <c r="I962" s="256"/>
      <c r="J962" s="256"/>
      <c r="K962" s="256"/>
      <c r="L962" s="256"/>
      <c r="M962" s="256"/>
      <c r="N962" s="256"/>
      <c r="O962" s="256"/>
      <c r="P962" s="256"/>
      <c r="Q962" s="256"/>
      <c r="R962" s="256"/>
      <c r="S962" s="221"/>
      <c r="T962" s="221"/>
      <c r="U962" s="221"/>
      <c r="V962" s="221"/>
      <c r="W962" s="221"/>
      <c r="X962" s="221"/>
      <c r="Y962" s="221"/>
      <c r="Z962" s="221"/>
    </row>
    <row r="963" customFormat="false" ht="12" hidden="false" customHeight="true" outlineLevel="0" collapsed="false">
      <c r="A963" s="256"/>
      <c r="B963" s="256"/>
      <c r="C963" s="256"/>
      <c r="D963" s="256"/>
      <c r="E963" s="256"/>
      <c r="F963" s="256"/>
      <c r="G963" s="256"/>
      <c r="H963" s="256"/>
      <c r="I963" s="256"/>
      <c r="J963" s="256"/>
      <c r="K963" s="256"/>
      <c r="L963" s="256"/>
      <c r="M963" s="256"/>
      <c r="N963" s="256"/>
      <c r="O963" s="256"/>
      <c r="P963" s="256"/>
      <c r="Q963" s="256"/>
      <c r="R963" s="256"/>
      <c r="S963" s="221"/>
      <c r="T963" s="221"/>
      <c r="U963" s="221"/>
      <c r="V963" s="221"/>
      <c r="W963" s="221"/>
      <c r="X963" s="221"/>
      <c r="Y963" s="221"/>
      <c r="Z963" s="221"/>
    </row>
    <row r="964" customFormat="false" ht="12" hidden="false" customHeight="true" outlineLevel="0" collapsed="false">
      <c r="A964" s="256"/>
      <c r="B964" s="256"/>
      <c r="C964" s="256"/>
      <c r="D964" s="256"/>
      <c r="E964" s="256"/>
      <c r="F964" s="256"/>
      <c r="G964" s="256"/>
      <c r="H964" s="256"/>
      <c r="I964" s="256"/>
      <c r="J964" s="256"/>
      <c r="K964" s="256"/>
      <c r="L964" s="256"/>
      <c r="M964" s="256"/>
      <c r="N964" s="256"/>
      <c r="O964" s="256"/>
      <c r="P964" s="256"/>
      <c r="Q964" s="256"/>
      <c r="R964" s="256"/>
      <c r="S964" s="221"/>
      <c r="T964" s="221"/>
      <c r="U964" s="221"/>
      <c r="V964" s="221"/>
      <c r="W964" s="221"/>
      <c r="X964" s="221"/>
      <c r="Y964" s="221"/>
      <c r="Z964" s="221"/>
    </row>
    <row r="965" customFormat="false" ht="12" hidden="false" customHeight="true" outlineLevel="0" collapsed="false">
      <c r="A965" s="256"/>
      <c r="B965" s="256"/>
      <c r="C965" s="256"/>
      <c r="D965" s="256"/>
      <c r="E965" s="256"/>
      <c r="F965" s="256"/>
      <c r="G965" s="256"/>
      <c r="H965" s="256"/>
      <c r="I965" s="256"/>
      <c r="J965" s="256"/>
      <c r="K965" s="256"/>
      <c r="L965" s="256"/>
      <c r="M965" s="256"/>
      <c r="N965" s="256"/>
      <c r="O965" s="256"/>
      <c r="P965" s="256"/>
      <c r="Q965" s="256"/>
      <c r="R965" s="256"/>
      <c r="S965" s="221"/>
      <c r="T965" s="221"/>
      <c r="U965" s="221"/>
      <c r="V965" s="221"/>
      <c r="W965" s="221"/>
      <c r="X965" s="221"/>
      <c r="Y965" s="221"/>
      <c r="Z965" s="221"/>
    </row>
    <row r="966" customFormat="false" ht="12" hidden="false" customHeight="true" outlineLevel="0" collapsed="false">
      <c r="A966" s="256"/>
      <c r="B966" s="256"/>
      <c r="C966" s="256"/>
      <c r="D966" s="256"/>
      <c r="E966" s="256"/>
      <c r="F966" s="256"/>
      <c r="G966" s="256"/>
      <c r="H966" s="256"/>
      <c r="I966" s="256"/>
      <c r="J966" s="256"/>
      <c r="K966" s="256"/>
      <c r="L966" s="256"/>
      <c r="M966" s="256"/>
      <c r="N966" s="256"/>
      <c r="O966" s="256"/>
      <c r="P966" s="256"/>
      <c r="Q966" s="256"/>
      <c r="R966" s="256"/>
      <c r="S966" s="221"/>
      <c r="T966" s="221"/>
      <c r="U966" s="221"/>
      <c r="V966" s="221"/>
      <c r="W966" s="221"/>
      <c r="X966" s="221"/>
      <c r="Y966" s="221"/>
      <c r="Z966" s="221"/>
    </row>
    <row r="967" customFormat="false" ht="12" hidden="false" customHeight="true" outlineLevel="0" collapsed="false">
      <c r="A967" s="256"/>
      <c r="B967" s="256"/>
      <c r="C967" s="256"/>
      <c r="D967" s="256"/>
      <c r="E967" s="256"/>
      <c r="F967" s="256"/>
      <c r="G967" s="256"/>
      <c r="H967" s="256"/>
      <c r="I967" s="256"/>
      <c r="J967" s="256"/>
      <c r="K967" s="256"/>
      <c r="L967" s="256"/>
      <c r="M967" s="256"/>
      <c r="N967" s="256"/>
      <c r="O967" s="256"/>
      <c r="P967" s="256"/>
      <c r="Q967" s="256"/>
      <c r="R967" s="256"/>
      <c r="S967" s="221"/>
      <c r="T967" s="221"/>
      <c r="U967" s="221"/>
      <c r="V967" s="221"/>
      <c r="W967" s="221"/>
      <c r="X967" s="221"/>
      <c r="Y967" s="221"/>
      <c r="Z967" s="221"/>
    </row>
    <row r="968" customFormat="false" ht="12" hidden="false" customHeight="true" outlineLevel="0" collapsed="false">
      <c r="A968" s="256"/>
      <c r="B968" s="256"/>
      <c r="C968" s="256"/>
      <c r="D968" s="256"/>
      <c r="E968" s="256"/>
      <c r="F968" s="256"/>
      <c r="G968" s="256"/>
      <c r="H968" s="256"/>
      <c r="I968" s="256"/>
      <c r="J968" s="256"/>
      <c r="K968" s="256"/>
      <c r="L968" s="256"/>
      <c r="M968" s="256"/>
      <c r="N968" s="256"/>
      <c r="O968" s="256"/>
      <c r="P968" s="256"/>
      <c r="Q968" s="256"/>
      <c r="R968" s="256"/>
      <c r="S968" s="221"/>
      <c r="T968" s="221"/>
      <c r="U968" s="221"/>
      <c r="V968" s="221"/>
      <c r="W968" s="221"/>
      <c r="X968" s="221"/>
      <c r="Y968" s="221"/>
      <c r="Z968" s="221"/>
    </row>
    <row r="969" customFormat="false" ht="12" hidden="false" customHeight="true" outlineLevel="0" collapsed="false">
      <c r="A969" s="256"/>
      <c r="B969" s="256"/>
      <c r="C969" s="256"/>
      <c r="D969" s="256"/>
      <c r="E969" s="256"/>
      <c r="F969" s="256"/>
      <c r="G969" s="256"/>
      <c r="H969" s="256"/>
      <c r="I969" s="256"/>
      <c r="J969" s="256"/>
      <c r="K969" s="256"/>
      <c r="L969" s="256"/>
      <c r="M969" s="256"/>
      <c r="N969" s="256"/>
      <c r="O969" s="256"/>
      <c r="P969" s="256"/>
      <c r="Q969" s="256"/>
      <c r="R969" s="256"/>
      <c r="S969" s="221"/>
      <c r="T969" s="221"/>
      <c r="U969" s="221"/>
      <c r="V969" s="221"/>
      <c r="W969" s="221"/>
      <c r="X969" s="221"/>
      <c r="Y969" s="221"/>
      <c r="Z969" s="221"/>
    </row>
    <row r="970" customFormat="false" ht="12" hidden="false" customHeight="true" outlineLevel="0" collapsed="false">
      <c r="A970" s="256"/>
      <c r="B970" s="256"/>
      <c r="C970" s="256"/>
      <c r="D970" s="256"/>
      <c r="E970" s="256"/>
      <c r="F970" s="256"/>
      <c r="G970" s="256"/>
      <c r="H970" s="256"/>
      <c r="I970" s="256"/>
      <c r="J970" s="256"/>
      <c r="K970" s="256"/>
      <c r="L970" s="256"/>
      <c r="M970" s="256"/>
      <c r="N970" s="256"/>
      <c r="O970" s="256"/>
      <c r="P970" s="256"/>
      <c r="Q970" s="256"/>
      <c r="R970" s="256"/>
      <c r="S970" s="221"/>
      <c r="T970" s="221"/>
      <c r="U970" s="221"/>
      <c r="V970" s="221"/>
      <c r="W970" s="221"/>
      <c r="X970" s="221"/>
      <c r="Y970" s="221"/>
      <c r="Z970" s="221"/>
    </row>
    <row r="971" customFormat="false" ht="12" hidden="false" customHeight="true" outlineLevel="0" collapsed="false">
      <c r="A971" s="256"/>
      <c r="B971" s="256"/>
      <c r="C971" s="256"/>
      <c r="D971" s="256"/>
      <c r="E971" s="256"/>
      <c r="F971" s="256"/>
      <c r="G971" s="256"/>
      <c r="H971" s="256"/>
      <c r="I971" s="256"/>
      <c r="J971" s="256"/>
      <c r="K971" s="256"/>
      <c r="L971" s="256"/>
      <c r="M971" s="256"/>
      <c r="N971" s="256"/>
      <c r="O971" s="256"/>
      <c r="P971" s="256"/>
      <c r="Q971" s="256"/>
      <c r="R971" s="256"/>
      <c r="S971" s="221"/>
      <c r="T971" s="221"/>
      <c r="U971" s="221"/>
      <c r="V971" s="221"/>
      <c r="W971" s="221"/>
      <c r="X971" s="221"/>
      <c r="Y971" s="221"/>
      <c r="Z971" s="221"/>
    </row>
    <row r="972" customFormat="false" ht="12" hidden="false" customHeight="true" outlineLevel="0" collapsed="false">
      <c r="A972" s="256"/>
      <c r="B972" s="256"/>
      <c r="C972" s="256"/>
      <c r="D972" s="256"/>
      <c r="E972" s="256"/>
      <c r="F972" s="256"/>
      <c r="G972" s="256"/>
      <c r="H972" s="256"/>
      <c r="I972" s="256"/>
      <c r="J972" s="256"/>
      <c r="K972" s="256"/>
      <c r="L972" s="256"/>
      <c r="M972" s="256"/>
      <c r="N972" s="256"/>
      <c r="O972" s="256"/>
      <c r="P972" s="256"/>
      <c r="Q972" s="256"/>
      <c r="R972" s="256"/>
      <c r="S972" s="221"/>
      <c r="T972" s="221"/>
      <c r="U972" s="221"/>
      <c r="V972" s="221"/>
      <c r="W972" s="221"/>
      <c r="X972" s="221"/>
      <c r="Y972" s="221"/>
      <c r="Z972" s="221"/>
    </row>
    <row r="973" customFormat="false" ht="12" hidden="false" customHeight="true" outlineLevel="0" collapsed="false">
      <c r="A973" s="256"/>
      <c r="B973" s="256"/>
      <c r="C973" s="256"/>
      <c r="D973" s="256"/>
      <c r="E973" s="256"/>
      <c r="F973" s="256"/>
      <c r="G973" s="256"/>
      <c r="H973" s="256"/>
      <c r="I973" s="256"/>
      <c r="J973" s="256"/>
      <c r="K973" s="256"/>
      <c r="L973" s="256"/>
      <c r="M973" s="256"/>
      <c r="N973" s="256"/>
      <c r="O973" s="256"/>
      <c r="P973" s="256"/>
      <c r="Q973" s="256"/>
      <c r="R973" s="256"/>
      <c r="S973" s="221"/>
      <c r="T973" s="221"/>
      <c r="U973" s="221"/>
      <c r="V973" s="221"/>
      <c r="W973" s="221"/>
      <c r="X973" s="221"/>
      <c r="Y973" s="221"/>
      <c r="Z973" s="221"/>
    </row>
    <row r="974" customFormat="false" ht="12" hidden="false" customHeight="true" outlineLevel="0" collapsed="false">
      <c r="A974" s="256"/>
      <c r="B974" s="256"/>
      <c r="C974" s="256"/>
      <c r="D974" s="256"/>
      <c r="E974" s="256"/>
      <c r="F974" s="256"/>
      <c r="G974" s="256"/>
      <c r="H974" s="256"/>
      <c r="I974" s="256"/>
      <c r="J974" s="256"/>
      <c r="K974" s="256"/>
      <c r="L974" s="256"/>
      <c r="M974" s="256"/>
      <c r="N974" s="256"/>
      <c r="O974" s="256"/>
      <c r="P974" s="256"/>
      <c r="Q974" s="256"/>
      <c r="R974" s="256"/>
      <c r="S974" s="221"/>
      <c r="T974" s="221"/>
      <c r="U974" s="221"/>
      <c r="V974" s="221"/>
      <c r="W974" s="221"/>
      <c r="X974" s="221"/>
      <c r="Y974" s="221"/>
      <c r="Z974" s="221"/>
    </row>
    <row r="975" customFormat="false" ht="12" hidden="false" customHeight="true" outlineLevel="0" collapsed="false">
      <c r="A975" s="256"/>
      <c r="B975" s="256"/>
      <c r="C975" s="256"/>
      <c r="D975" s="256"/>
      <c r="E975" s="256"/>
      <c r="F975" s="256"/>
      <c r="G975" s="256"/>
      <c r="H975" s="256"/>
      <c r="I975" s="256"/>
      <c r="J975" s="256"/>
      <c r="K975" s="256"/>
      <c r="L975" s="256"/>
      <c r="M975" s="256"/>
      <c r="N975" s="256"/>
      <c r="O975" s="256"/>
      <c r="P975" s="256"/>
      <c r="Q975" s="256"/>
      <c r="R975" s="256"/>
      <c r="S975" s="221"/>
      <c r="T975" s="221"/>
      <c r="U975" s="221"/>
      <c r="V975" s="221"/>
      <c r="W975" s="221"/>
      <c r="X975" s="221"/>
      <c r="Y975" s="221"/>
      <c r="Z975" s="221"/>
    </row>
    <row r="976" customFormat="false" ht="12" hidden="false" customHeight="true" outlineLevel="0" collapsed="false">
      <c r="A976" s="256"/>
      <c r="B976" s="256"/>
      <c r="C976" s="256"/>
      <c r="D976" s="256"/>
      <c r="E976" s="256"/>
      <c r="F976" s="256"/>
      <c r="G976" s="256"/>
      <c r="H976" s="256"/>
      <c r="I976" s="256"/>
      <c r="J976" s="256"/>
      <c r="K976" s="256"/>
      <c r="L976" s="256"/>
      <c r="M976" s="256"/>
      <c r="N976" s="256"/>
      <c r="O976" s="256"/>
      <c r="P976" s="256"/>
      <c r="Q976" s="256"/>
      <c r="R976" s="256"/>
      <c r="S976" s="221"/>
      <c r="T976" s="221"/>
      <c r="U976" s="221"/>
      <c r="V976" s="221"/>
      <c r="W976" s="221"/>
      <c r="X976" s="221"/>
      <c r="Y976" s="221"/>
      <c r="Z976" s="221"/>
    </row>
    <row r="977" customFormat="false" ht="12" hidden="false" customHeight="true" outlineLevel="0" collapsed="false">
      <c r="A977" s="256"/>
      <c r="B977" s="256"/>
      <c r="C977" s="256"/>
      <c r="D977" s="256"/>
      <c r="E977" s="256"/>
      <c r="F977" s="256"/>
      <c r="G977" s="256"/>
      <c r="H977" s="256"/>
      <c r="I977" s="256"/>
      <c r="J977" s="256"/>
      <c r="K977" s="256"/>
      <c r="L977" s="256"/>
      <c r="M977" s="256"/>
      <c r="N977" s="256"/>
      <c r="O977" s="256"/>
      <c r="P977" s="256"/>
      <c r="Q977" s="256"/>
      <c r="R977" s="256"/>
      <c r="S977" s="221"/>
      <c r="T977" s="221"/>
      <c r="U977" s="221"/>
      <c r="V977" s="221"/>
      <c r="W977" s="221"/>
      <c r="X977" s="221"/>
      <c r="Y977" s="221"/>
      <c r="Z977" s="221"/>
    </row>
    <row r="978" customFormat="false" ht="12" hidden="false" customHeight="true" outlineLevel="0" collapsed="false">
      <c r="A978" s="256"/>
      <c r="B978" s="256"/>
      <c r="C978" s="256"/>
      <c r="D978" s="256"/>
      <c r="E978" s="256"/>
      <c r="F978" s="256"/>
      <c r="G978" s="256"/>
      <c r="H978" s="256"/>
      <c r="I978" s="256"/>
      <c r="J978" s="256"/>
      <c r="K978" s="256"/>
      <c r="L978" s="256"/>
      <c r="M978" s="256"/>
      <c r="N978" s="256"/>
      <c r="O978" s="256"/>
      <c r="P978" s="256"/>
      <c r="Q978" s="256"/>
      <c r="R978" s="256"/>
      <c r="S978" s="221"/>
      <c r="T978" s="221"/>
      <c r="U978" s="221"/>
      <c r="V978" s="221"/>
      <c r="W978" s="221"/>
      <c r="X978" s="221"/>
      <c r="Y978" s="221"/>
      <c r="Z978" s="221"/>
    </row>
    <row r="979" customFormat="false" ht="12" hidden="false" customHeight="true" outlineLevel="0" collapsed="false">
      <c r="A979" s="256"/>
      <c r="B979" s="256"/>
      <c r="C979" s="256"/>
      <c r="D979" s="256"/>
      <c r="E979" s="256"/>
      <c r="F979" s="256"/>
      <c r="G979" s="256"/>
      <c r="H979" s="256"/>
      <c r="I979" s="256"/>
      <c r="J979" s="256"/>
      <c r="K979" s="256"/>
      <c r="L979" s="256"/>
      <c r="M979" s="256"/>
      <c r="N979" s="256"/>
      <c r="O979" s="256"/>
      <c r="P979" s="256"/>
      <c r="Q979" s="256"/>
      <c r="R979" s="256"/>
      <c r="S979" s="221"/>
      <c r="T979" s="221"/>
      <c r="U979" s="221"/>
      <c r="V979" s="221"/>
      <c r="W979" s="221"/>
      <c r="X979" s="221"/>
      <c r="Y979" s="221"/>
      <c r="Z979" s="221"/>
    </row>
    <row r="980" customFormat="false" ht="12" hidden="false" customHeight="true" outlineLevel="0" collapsed="false">
      <c r="A980" s="256"/>
      <c r="B980" s="256"/>
      <c r="C980" s="256"/>
      <c r="D980" s="256"/>
      <c r="E980" s="256"/>
      <c r="F980" s="256"/>
      <c r="G980" s="256"/>
      <c r="H980" s="256"/>
      <c r="I980" s="256"/>
      <c r="J980" s="256"/>
      <c r="K980" s="256"/>
      <c r="L980" s="256"/>
      <c r="M980" s="256"/>
      <c r="N980" s="256"/>
      <c r="O980" s="256"/>
      <c r="P980" s="256"/>
      <c r="Q980" s="256"/>
      <c r="R980" s="256"/>
      <c r="S980" s="221"/>
      <c r="T980" s="221"/>
      <c r="U980" s="221"/>
      <c r="V980" s="221"/>
      <c r="W980" s="221"/>
      <c r="X980" s="221"/>
      <c r="Y980" s="221"/>
      <c r="Z980" s="221"/>
    </row>
    <row r="981" customFormat="false" ht="12" hidden="false" customHeight="true" outlineLevel="0" collapsed="false">
      <c r="A981" s="256"/>
      <c r="B981" s="256"/>
      <c r="C981" s="256"/>
      <c r="D981" s="256"/>
      <c r="E981" s="256"/>
      <c r="F981" s="256"/>
      <c r="G981" s="256"/>
      <c r="H981" s="256"/>
      <c r="I981" s="256"/>
      <c r="J981" s="256"/>
      <c r="K981" s="256"/>
      <c r="L981" s="256"/>
      <c r="M981" s="256"/>
      <c r="N981" s="256"/>
      <c r="O981" s="256"/>
      <c r="P981" s="256"/>
      <c r="Q981" s="256"/>
      <c r="R981" s="256"/>
      <c r="S981" s="221"/>
      <c r="T981" s="221"/>
      <c r="U981" s="221"/>
      <c r="V981" s="221"/>
      <c r="W981" s="221"/>
      <c r="X981" s="221"/>
      <c r="Y981" s="221"/>
      <c r="Z981" s="221"/>
    </row>
    <row r="982" customFormat="false" ht="12" hidden="false" customHeight="true" outlineLevel="0" collapsed="false">
      <c r="A982" s="256"/>
      <c r="B982" s="256"/>
      <c r="C982" s="256"/>
      <c r="D982" s="256"/>
      <c r="E982" s="256"/>
      <c r="F982" s="256"/>
      <c r="G982" s="256"/>
      <c r="H982" s="256"/>
      <c r="I982" s="256"/>
      <c r="J982" s="256"/>
      <c r="K982" s="256"/>
      <c r="L982" s="256"/>
      <c r="M982" s="256"/>
      <c r="N982" s="256"/>
      <c r="O982" s="256"/>
      <c r="P982" s="256"/>
      <c r="Q982" s="256"/>
      <c r="R982" s="256"/>
      <c r="S982" s="221"/>
      <c r="T982" s="221"/>
      <c r="U982" s="221"/>
      <c r="V982" s="221"/>
      <c r="W982" s="221"/>
      <c r="X982" s="221"/>
      <c r="Y982" s="221"/>
      <c r="Z982" s="221"/>
    </row>
    <row r="983" customFormat="false" ht="12" hidden="false" customHeight="true" outlineLevel="0" collapsed="false">
      <c r="A983" s="256"/>
      <c r="B983" s="256"/>
      <c r="C983" s="256"/>
      <c r="D983" s="256"/>
      <c r="E983" s="256"/>
      <c r="F983" s="256"/>
      <c r="G983" s="256"/>
      <c r="H983" s="256"/>
      <c r="I983" s="256"/>
      <c r="J983" s="256"/>
      <c r="K983" s="256"/>
      <c r="L983" s="256"/>
      <c r="M983" s="256"/>
      <c r="N983" s="256"/>
      <c r="O983" s="256"/>
      <c r="P983" s="256"/>
      <c r="Q983" s="256"/>
      <c r="R983" s="256"/>
      <c r="S983" s="221"/>
      <c r="T983" s="221"/>
      <c r="U983" s="221"/>
      <c r="V983" s="221"/>
      <c r="W983" s="221"/>
      <c r="X983" s="221"/>
      <c r="Y983" s="221"/>
      <c r="Z983" s="221"/>
    </row>
    <row r="984" customFormat="false" ht="12" hidden="false" customHeight="true" outlineLevel="0" collapsed="false">
      <c r="A984" s="256"/>
      <c r="B984" s="256"/>
      <c r="C984" s="256"/>
      <c r="D984" s="256"/>
      <c r="E984" s="256"/>
      <c r="F984" s="256"/>
      <c r="G984" s="256"/>
      <c r="H984" s="256"/>
      <c r="I984" s="256"/>
      <c r="J984" s="256"/>
      <c r="K984" s="256"/>
      <c r="L984" s="256"/>
      <c r="M984" s="256"/>
      <c r="N984" s="256"/>
      <c r="O984" s="256"/>
      <c r="P984" s="256"/>
      <c r="Q984" s="256"/>
      <c r="R984" s="256"/>
      <c r="S984" s="221"/>
      <c r="T984" s="221"/>
      <c r="U984" s="221"/>
      <c r="V984" s="221"/>
      <c r="W984" s="221"/>
      <c r="X984" s="221"/>
      <c r="Y984" s="221"/>
      <c r="Z984" s="221"/>
    </row>
    <row r="985" customFormat="false" ht="12" hidden="false" customHeight="true" outlineLevel="0" collapsed="false">
      <c r="A985" s="256"/>
      <c r="B985" s="256"/>
      <c r="C985" s="256"/>
      <c r="D985" s="256"/>
      <c r="E985" s="256"/>
      <c r="F985" s="256"/>
      <c r="G985" s="256"/>
      <c r="H985" s="256"/>
      <c r="I985" s="256"/>
      <c r="J985" s="256"/>
      <c r="K985" s="256"/>
      <c r="L985" s="256"/>
      <c r="M985" s="256"/>
      <c r="N985" s="256"/>
      <c r="O985" s="256"/>
      <c r="P985" s="256"/>
      <c r="Q985" s="256"/>
      <c r="R985" s="256"/>
      <c r="S985" s="221"/>
      <c r="T985" s="221"/>
      <c r="U985" s="221"/>
      <c r="V985" s="221"/>
      <c r="W985" s="221"/>
      <c r="X985" s="221"/>
      <c r="Y985" s="221"/>
      <c r="Z985" s="221"/>
    </row>
    <row r="986" customFormat="false" ht="12" hidden="false" customHeight="true" outlineLevel="0" collapsed="false">
      <c r="A986" s="256"/>
      <c r="B986" s="256"/>
      <c r="C986" s="256"/>
      <c r="D986" s="256"/>
      <c r="E986" s="256"/>
      <c r="F986" s="256"/>
      <c r="G986" s="256"/>
      <c r="H986" s="256"/>
      <c r="I986" s="256"/>
      <c r="J986" s="256"/>
      <c r="K986" s="256"/>
      <c r="L986" s="256"/>
      <c r="M986" s="256"/>
      <c r="N986" s="256"/>
      <c r="O986" s="256"/>
      <c r="P986" s="256"/>
      <c r="Q986" s="256"/>
      <c r="R986" s="256"/>
      <c r="S986" s="221"/>
      <c r="T986" s="221"/>
      <c r="U986" s="221"/>
      <c r="V986" s="221"/>
      <c r="W986" s="221"/>
      <c r="X986" s="221"/>
      <c r="Y986" s="221"/>
      <c r="Z986" s="221"/>
    </row>
    <row r="987" customFormat="false" ht="12" hidden="false" customHeight="true" outlineLevel="0" collapsed="false">
      <c r="A987" s="256"/>
      <c r="B987" s="256"/>
      <c r="C987" s="256"/>
      <c r="D987" s="256"/>
      <c r="E987" s="256"/>
      <c r="F987" s="256"/>
      <c r="G987" s="256"/>
      <c r="H987" s="256"/>
      <c r="I987" s="256"/>
      <c r="J987" s="256"/>
      <c r="K987" s="256"/>
      <c r="L987" s="256"/>
      <c r="M987" s="256"/>
      <c r="N987" s="256"/>
      <c r="O987" s="256"/>
      <c r="P987" s="256"/>
      <c r="Q987" s="256"/>
      <c r="R987" s="256"/>
      <c r="S987" s="221"/>
      <c r="T987" s="221"/>
      <c r="U987" s="221"/>
      <c r="V987" s="221"/>
      <c r="W987" s="221"/>
      <c r="X987" s="221"/>
      <c r="Y987" s="221"/>
      <c r="Z987" s="221"/>
    </row>
    <row r="988" customFormat="false" ht="12" hidden="false" customHeight="true" outlineLevel="0" collapsed="false">
      <c r="A988" s="256"/>
      <c r="B988" s="256"/>
      <c r="C988" s="256"/>
      <c r="D988" s="256"/>
      <c r="E988" s="256"/>
      <c r="F988" s="256"/>
      <c r="G988" s="256"/>
      <c r="H988" s="256"/>
      <c r="I988" s="256"/>
      <c r="J988" s="256"/>
      <c r="K988" s="256"/>
      <c r="L988" s="256"/>
      <c r="M988" s="256"/>
      <c r="N988" s="256"/>
      <c r="O988" s="256"/>
      <c r="P988" s="256"/>
      <c r="Q988" s="256"/>
      <c r="R988" s="256"/>
      <c r="S988" s="221"/>
      <c r="T988" s="221"/>
      <c r="U988" s="221"/>
      <c r="V988" s="221"/>
      <c r="W988" s="221"/>
      <c r="X988" s="221"/>
      <c r="Y988" s="221"/>
      <c r="Z988" s="221"/>
    </row>
    <row r="989" customFormat="false" ht="12" hidden="false" customHeight="true" outlineLevel="0" collapsed="false">
      <c r="A989" s="256"/>
      <c r="B989" s="256"/>
      <c r="C989" s="256"/>
      <c r="D989" s="256"/>
      <c r="E989" s="256"/>
      <c r="F989" s="256"/>
      <c r="G989" s="256"/>
      <c r="H989" s="256"/>
      <c r="I989" s="256"/>
      <c r="J989" s="256"/>
      <c r="K989" s="256"/>
      <c r="L989" s="256"/>
      <c r="M989" s="256"/>
      <c r="N989" s="256"/>
      <c r="O989" s="256"/>
      <c r="P989" s="256"/>
      <c r="Q989" s="256"/>
      <c r="R989" s="256"/>
      <c r="S989" s="221"/>
      <c r="T989" s="221"/>
      <c r="U989" s="221"/>
      <c r="V989" s="221"/>
      <c r="W989" s="221"/>
      <c r="X989" s="221"/>
      <c r="Y989" s="221"/>
      <c r="Z989" s="221"/>
    </row>
    <row r="990" customFormat="false" ht="12" hidden="false" customHeight="true" outlineLevel="0" collapsed="false">
      <c r="A990" s="256"/>
      <c r="B990" s="256"/>
      <c r="C990" s="256"/>
      <c r="D990" s="256"/>
      <c r="E990" s="256"/>
      <c r="F990" s="256"/>
      <c r="G990" s="256"/>
      <c r="H990" s="256"/>
      <c r="I990" s="256"/>
      <c r="J990" s="256"/>
      <c r="K990" s="256"/>
      <c r="L990" s="256"/>
      <c r="M990" s="256"/>
      <c r="N990" s="256"/>
      <c r="O990" s="256"/>
      <c r="P990" s="256"/>
      <c r="Q990" s="256"/>
      <c r="R990" s="256"/>
      <c r="S990" s="221"/>
      <c r="T990" s="221"/>
      <c r="U990" s="221"/>
      <c r="V990" s="221"/>
      <c r="W990" s="221"/>
      <c r="X990" s="221"/>
      <c r="Y990" s="221"/>
      <c r="Z990" s="221"/>
    </row>
    <row r="991" customFormat="false" ht="12" hidden="false" customHeight="true" outlineLevel="0" collapsed="false">
      <c r="A991" s="256"/>
      <c r="B991" s="256"/>
      <c r="C991" s="256"/>
      <c r="D991" s="256"/>
      <c r="E991" s="256"/>
      <c r="F991" s="256"/>
      <c r="G991" s="256"/>
      <c r="H991" s="256"/>
      <c r="I991" s="256"/>
      <c r="J991" s="256"/>
      <c r="K991" s="256"/>
      <c r="L991" s="256"/>
      <c r="M991" s="256"/>
      <c r="N991" s="256"/>
      <c r="O991" s="256"/>
      <c r="P991" s="256"/>
      <c r="Q991" s="256"/>
      <c r="R991" s="256"/>
      <c r="S991" s="221"/>
      <c r="T991" s="221"/>
      <c r="U991" s="221"/>
      <c r="V991" s="221"/>
      <c r="W991" s="221"/>
      <c r="X991" s="221"/>
      <c r="Y991" s="221"/>
      <c r="Z991" s="221"/>
    </row>
    <row r="992" customFormat="false" ht="12" hidden="false" customHeight="true" outlineLevel="0" collapsed="false">
      <c r="A992" s="256"/>
      <c r="B992" s="256"/>
      <c r="C992" s="256"/>
      <c r="D992" s="256"/>
      <c r="E992" s="256"/>
      <c r="F992" s="256"/>
      <c r="G992" s="256"/>
      <c r="H992" s="256"/>
      <c r="I992" s="256"/>
      <c r="J992" s="256"/>
      <c r="K992" s="256"/>
      <c r="L992" s="256"/>
      <c r="M992" s="256"/>
      <c r="N992" s="256"/>
      <c r="O992" s="256"/>
      <c r="P992" s="256"/>
      <c r="Q992" s="256"/>
      <c r="R992" s="256"/>
      <c r="S992" s="221"/>
      <c r="T992" s="221"/>
      <c r="U992" s="221"/>
      <c r="V992" s="221"/>
      <c r="W992" s="221"/>
      <c r="X992" s="221"/>
      <c r="Y992" s="221"/>
      <c r="Z992" s="221"/>
    </row>
    <row r="993" customFormat="false" ht="12" hidden="false" customHeight="true" outlineLevel="0" collapsed="false">
      <c r="A993" s="256"/>
      <c r="B993" s="256"/>
      <c r="C993" s="256"/>
      <c r="D993" s="256"/>
      <c r="E993" s="256"/>
      <c r="F993" s="256"/>
      <c r="G993" s="256"/>
      <c r="H993" s="256"/>
      <c r="I993" s="256"/>
      <c r="J993" s="256"/>
      <c r="K993" s="256"/>
      <c r="L993" s="256"/>
      <c r="M993" s="256"/>
      <c r="N993" s="256"/>
      <c r="O993" s="256"/>
      <c r="P993" s="256"/>
      <c r="Q993" s="256"/>
      <c r="R993" s="256"/>
      <c r="S993" s="221"/>
      <c r="T993" s="221"/>
      <c r="U993" s="221"/>
      <c r="V993" s="221"/>
      <c r="W993" s="221"/>
      <c r="X993" s="221"/>
      <c r="Y993" s="221"/>
      <c r="Z993" s="221"/>
    </row>
    <row r="994" customFormat="false" ht="12" hidden="false" customHeight="true" outlineLevel="0" collapsed="false">
      <c r="A994" s="256"/>
      <c r="B994" s="256"/>
      <c r="C994" s="256"/>
      <c r="D994" s="256"/>
      <c r="E994" s="256"/>
      <c r="F994" s="256"/>
      <c r="G994" s="256"/>
      <c r="H994" s="256"/>
      <c r="I994" s="256"/>
      <c r="J994" s="256"/>
      <c r="K994" s="256"/>
      <c r="L994" s="256"/>
      <c r="M994" s="256"/>
      <c r="N994" s="256"/>
      <c r="O994" s="256"/>
      <c r="P994" s="256"/>
      <c r="Q994" s="256"/>
      <c r="R994" s="256"/>
      <c r="S994" s="221"/>
      <c r="T994" s="221"/>
      <c r="U994" s="221"/>
      <c r="V994" s="221"/>
      <c r="W994" s="221"/>
      <c r="X994" s="221"/>
      <c r="Y994" s="221"/>
      <c r="Z994" s="221"/>
    </row>
    <row r="995" customFormat="false" ht="12" hidden="false" customHeight="true" outlineLevel="0" collapsed="false">
      <c r="A995" s="256"/>
      <c r="B995" s="256"/>
      <c r="C995" s="256"/>
      <c r="D995" s="256"/>
      <c r="E995" s="256"/>
      <c r="F995" s="256"/>
      <c r="G995" s="256"/>
      <c r="H995" s="256"/>
      <c r="I995" s="256"/>
      <c r="J995" s="256"/>
      <c r="K995" s="256"/>
      <c r="L995" s="256"/>
      <c r="M995" s="256"/>
      <c r="N995" s="256"/>
      <c r="O995" s="256"/>
      <c r="P995" s="256"/>
      <c r="Q995" s="256"/>
      <c r="R995" s="256"/>
      <c r="S995" s="221"/>
      <c r="T995" s="221"/>
      <c r="U995" s="221"/>
      <c r="V995" s="221"/>
      <c r="W995" s="221"/>
      <c r="X995" s="221"/>
      <c r="Y995" s="221"/>
      <c r="Z995" s="221"/>
    </row>
    <row r="996" customFormat="false" ht="12" hidden="false" customHeight="true" outlineLevel="0" collapsed="false">
      <c r="A996" s="256"/>
      <c r="B996" s="256"/>
      <c r="C996" s="256"/>
      <c r="D996" s="256"/>
      <c r="E996" s="256"/>
      <c r="F996" s="256"/>
      <c r="G996" s="256"/>
      <c r="H996" s="256"/>
      <c r="I996" s="256"/>
      <c r="J996" s="256"/>
      <c r="K996" s="256"/>
      <c r="L996" s="256"/>
      <c r="M996" s="256"/>
      <c r="N996" s="256"/>
      <c r="O996" s="256"/>
      <c r="P996" s="256"/>
      <c r="Q996" s="256"/>
      <c r="R996" s="256"/>
      <c r="S996" s="221"/>
      <c r="T996" s="221"/>
      <c r="U996" s="221"/>
      <c r="V996" s="221"/>
      <c r="W996" s="221"/>
      <c r="X996" s="221"/>
      <c r="Y996" s="221"/>
      <c r="Z996" s="221"/>
    </row>
    <row r="997" customFormat="false" ht="12" hidden="false" customHeight="true" outlineLevel="0" collapsed="false">
      <c r="A997" s="256"/>
      <c r="B997" s="256"/>
      <c r="C997" s="256"/>
      <c r="D997" s="256"/>
      <c r="E997" s="256"/>
      <c r="F997" s="256"/>
      <c r="G997" s="256"/>
      <c r="H997" s="256"/>
      <c r="I997" s="256"/>
      <c r="J997" s="256"/>
      <c r="K997" s="256"/>
      <c r="L997" s="256"/>
      <c r="M997" s="256"/>
      <c r="N997" s="256"/>
      <c r="O997" s="256"/>
      <c r="P997" s="256"/>
      <c r="Q997" s="256"/>
      <c r="R997" s="256"/>
      <c r="S997" s="221"/>
      <c r="T997" s="221"/>
      <c r="U997" s="221"/>
      <c r="V997" s="221"/>
      <c r="W997" s="221"/>
      <c r="X997" s="221"/>
      <c r="Y997" s="221"/>
      <c r="Z997" s="221"/>
    </row>
    <row r="998" customFormat="false" ht="12" hidden="false" customHeight="true" outlineLevel="0" collapsed="false">
      <c r="A998" s="256"/>
      <c r="B998" s="256"/>
      <c r="C998" s="256"/>
      <c r="D998" s="256"/>
      <c r="E998" s="256"/>
      <c r="F998" s="256"/>
      <c r="G998" s="256"/>
      <c r="H998" s="256"/>
      <c r="I998" s="256"/>
      <c r="J998" s="256"/>
      <c r="K998" s="256"/>
      <c r="L998" s="256"/>
      <c r="M998" s="256"/>
      <c r="N998" s="256"/>
      <c r="O998" s="256"/>
      <c r="P998" s="256"/>
      <c r="Q998" s="256"/>
      <c r="R998" s="256"/>
      <c r="S998" s="221"/>
      <c r="T998" s="221"/>
      <c r="U998" s="221"/>
      <c r="V998" s="221"/>
      <c r="W998" s="221"/>
      <c r="X998" s="221"/>
      <c r="Y998" s="221"/>
      <c r="Z998" s="221"/>
    </row>
    <row r="999" customFormat="false" ht="12" hidden="false" customHeight="true" outlineLevel="0" collapsed="false">
      <c r="A999" s="256"/>
      <c r="B999" s="256"/>
      <c r="C999" s="256"/>
      <c r="D999" s="256"/>
      <c r="E999" s="256"/>
      <c r="F999" s="256"/>
      <c r="G999" s="256"/>
      <c r="H999" s="256"/>
      <c r="I999" s="256"/>
      <c r="J999" s="256"/>
      <c r="K999" s="256"/>
      <c r="L999" s="256"/>
      <c r="M999" s="256"/>
      <c r="N999" s="256"/>
      <c r="O999" s="256"/>
      <c r="P999" s="256"/>
      <c r="Q999" s="256"/>
      <c r="R999" s="256"/>
      <c r="S999" s="221"/>
      <c r="T999" s="221"/>
      <c r="U999" s="221"/>
      <c r="V999" s="221"/>
      <c r="W999" s="221"/>
      <c r="X999" s="221"/>
      <c r="Y999" s="221"/>
      <c r="Z999" s="221"/>
    </row>
    <row r="1000" customFormat="false" ht="12" hidden="false" customHeight="true" outlineLevel="0" collapsed="false">
      <c r="A1000" s="256"/>
      <c r="B1000" s="256"/>
      <c r="C1000" s="256"/>
      <c r="D1000" s="256"/>
      <c r="E1000" s="256"/>
      <c r="F1000" s="256"/>
      <c r="G1000" s="256"/>
      <c r="H1000" s="256"/>
      <c r="I1000" s="256"/>
      <c r="J1000" s="256"/>
      <c r="K1000" s="256"/>
      <c r="L1000" s="256"/>
      <c r="M1000" s="256"/>
      <c r="N1000" s="256"/>
      <c r="O1000" s="256"/>
      <c r="P1000" s="256"/>
      <c r="Q1000" s="256"/>
      <c r="R1000" s="256"/>
      <c r="S1000" s="221"/>
      <c r="T1000" s="221"/>
      <c r="U1000" s="221"/>
      <c r="V1000" s="221"/>
      <c r="W1000" s="221"/>
      <c r="X1000" s="221"/>
      <c r="Y1000" s="221"/>
      <c r="Z1000" s="221"/>
    </row>
  </sheetData>
  <autoFilter ref="A4:R4"/>
  <mergeCells count="2">
    <mergeCell ref="A2:E2"/>
    <mergeCell ref="F3:H3"/>
  </mergeCells>
  <hyperlinks>
    <hyperlink ref="J5" r:id="rId1" display="https://thesharpdaily.com/the-sanlam-jubilee-deal/&#10;&#10;https://www.moneycontrol.com/news/business/markets/sanlam-invests-rs-105-crore-in-shriram-amc-to-become-co-promoter-shares-surge-up-to-10-percent-13048512.html&#10;&#10;https://timesofindia.indiatimes.com/business/india-business/sas-sanlam-to-hike-stake-in-shrirams-insurance-companies/articleshow/109075102.cms&#10;https://businessnewsweek.in/business/sanlam-enters-indian-asset-management-market-with-strategic-investment-in-shriram-amc/&#10;&#10;https://theinvestigatornews.com/2025/10/the-mega-merger-insurance-giants-sanlam-and-allianz-officially-unveils-launches-sanlamallianz-brand-in-uganda/&#10;&#10;https://senspdf.jse.co.za/documents/SENS_20260305_S518047.pdf&#10;&#10;https://www.marketscreener.com/news/sanlam-ltd-appoints-theo-mabaso-as-group-chief-ai-officer-ce7e5ed2d08df327&#10;&#10;https://www.sanlamonline.co.za/knowledge-hub/sanlam-2025-interim-results"/>
    <hyperlink ref="M5" display="https://eyindia.sharepoint.com/:b:/r/sites/InsuranceResearch/Shared%20Documents/Insurance%20Research/Top%2020%20Africa/Sanlam-AFS-2025-spreads.pdf?csf=1&amp;web=1&amp;e=QsxXiv"/>
    <hyperlink ref="J6" r:id="rId2" display="https://www.moonstone.co.za/old-mutual-earnings-rise-as-insurance-investments-and-africa-drive-results/&#10;&#10;https://www.oldmutual.com/investor-relations/2025-annual-results/&#10;&#10;https://www.comptrib.co.za/info-library/press-room/merger-alert-old-mutual-life-assurance-company-south-africa-ltd-and-guardrisk-life-ltd-rights-and-obligations-pertaining-to-life-insurance-annuity-policy&#10;&#10;https://www.oldmutual.co.za/news/old-mutual-harnesses-ai-to-transform-customer-experience-in-the-south-african-mass-market/&#10;&#10;https://www.financialafrik.com/en/2026/03/23/old-mutual-enters-the-south-african-banking-market/"/>
    <hyperlink ref="M6" display="https://eyindia.sharepoint.com/:b:/r/sites/InsuranceResearch/Shared%20Documents/Insurance%20Research/Top%2020%20Africa/OMLACSA_Financial_Statements_for_the_year_ended_31_December_2025.pdf?csf=1&amp;web=1&amp;e=WmoLoF"/>
    <hyperlink ref="J7" r:id="rId3" display="https://neweralive.na/sanlamallianz-expands-insurance-and-financial-services-across-africa/&#10;&#10;https://www.sanlam.com/pdf/media-releases/2025/sanlam-strategy-16102025.pdf&#10;&#10;https://disruptafrica.com/2025/06/19/global-continental-insurance-powerhouses-sanlam-and-allianz-merge-to-enhance-operations-in-nigeria/&#10;&#10;https://www.sanlamonline.co.za/knowledge-hub/sanlam-2025-interim-results"/>
    <hyperlink ref="M7" r:id="rId4" display="https://www.sanlam.com/downloads/integrated-report-and-annual-financial-statements/2025/Sanlam-AFS-2025-spreads.pdf"/>
    <hyperlink ref="J8" r:id="rId5" display="https://www.iol.co.za/business/2026-01-06-discovery-health-members-face-financial-shock-due-to-medical-aid-error&#10;&#10;https://www.fanews.co.za/article/company-news-results/1/discovery/1051/discovery-delivers-strong-interim-performance-as-the-shared-value-model-accelerates-growth-and-ai-unlocks-a-new-phase-of-hyper-personalised-engagement/43464&#10;&#10;https://www.fanews.co.za/article/company-news-results/1/discovery/1051/vitality-health-international-africa-changes-its-name-to-discovery-health-global-health-solutions/43423&#10;&#10;https://www.dailymaverick.co.za/article/2026-01-12-regulator-probe-public-uproar-spare-16506507-discovery-health-members-from-r125m/"/>
    <hyperlink ref="M8" display="https://eyindia.sharepoint.com/:b:/r/sites/InsuranceResearch/Shared%20Documents/Insurance%20Research/Top%2020%20Africa/discovery-health-afs-30-june-2025.pdf?csf=1&amp;web=1&amp;e=y3IFgO"/>
    <hyperlink ref="J9" r:id="rId6" display="https://www.listcorp.com/jse/mtm/momentum-metropolitan-holdings/news/operating-update-for-the-three-months-ended-30-september-2025-3279259.html&#10;&#10;https://www.momentumgroupltd.co.za/remote-assets/s3/clt_mmh_s3/docs/annual-res-2025/momentum-metropolitan-life-annual-financial-statements-f2025.pdf&#10;&#10;https://citywire.com/za/news/company/momentum/j74686&#10;&#10;https://www.metropolitan.co.za/press-releases/articles/Momentum-Group-delivers-record-earnings/"/>
    <hyperlink ref="M9" display="https://eyindia.sharepoint.com/:b:/r/sites/InsuranceResearch/Shared%20Documents/Insurance%20Research/Top%2020%20Africa/momentum-metropolitan-life-annual-financial-statements-f2025.pdf?csf=1&amp;web=1&amp;e=m4gdLR"/>
    <hyperlink ref="J10" r:id="rId7" display="https://www.santam.com/about-us/media-centre/investor-news/santam-delivers-strong-performance-for-2025-financial-year/&#10;&#10;https://www.insurancebusinessmag.com/uk/news/breaking-news/santam-posts-strong-2025-results-eyes-global-growth-567916.aspx&#10;&#10;https://www.fanews.co.za/article/surveys-reports-and-ratings/34/general/1195/santam-2025-insurance-barometer-highlights-ongoing-socioeconomic-infrastructure-and-climate-change-risks/41924&#10;&#10;https://www.sanlamonline.co.za/knowledge-hub/sanlam-2025-interim-results&#10;&#10;https://www.fanews.co.za/article/company-news-results/1/santam/1048/santam-group-granted-licence-to-establish-operations-in-india-s-global-finance-hub/43390"/>
    <hyperlink ref="M10" display="https://eyindia.sharepoint.com/:b:/r/sites/InsuranceResearch/Shared%20Documents/Insurance%20Research/Top%2020%20Africa/Santam%20Limited%202025-financial-statements.pdf?csf=1&amp;web=1&amp;e=0Wv0T3"/>
    <hyperlink ref="J11" r:id="rId8" display="https://africanfinancials.com/document/ke-lbty-2025-ab-00/&#10;&#10;https://tradingroom.co.ke/liberty-kenya-reports-profit-decline-in-fy-2025/&#10;&#10;https://www.libertyholdings.co.za/results-and-reports&#10;&#10;https://www.msn.com/en-za/news/other/liberty-reunites-7-000-beneficiaries-with-r130m-using-innovative-tracing-methods/ar-AA1QLDYs"/>
    <hyperlink ref="M11" display="https://eyindia.sharepoint.com/:b:/r/sites/InsuranceResearch/Shared%20Documents/Insurance%20Research/Top%2020%20Africa/31122025-liberty-group-limited-afs-2025.pdf?csf=1&amp;web=1&amp;e=zhJ1bE"/>
    <hyperlink ref="J12" r:id="rId9" display="https://dailyinvestor.com/finance/93584/south-africas-best-known-insurance-company-shooting-the-lights-out/"/>
    <hyperlink ref="M12" display="https://eyindia.sharepoint.com/:b:/r/sites/InsuranceResearch/Shared%20Documents/Insurance%20Research/Top%2020%20Africa/RMH-Audited-financial-Statements-2025.pdf?csf=1&amp;web=1&amp;e=rvckya"/>
    <hyperlink ref="J13" r:id="rId10" display="https://www.munichre.com/en/company/media-relations/media-information-and-corporate-news/business-news/2025/business-news-2025-09-15.html&#10;&#10;https://www.reinsurancene.ws/walter-voigts-von-forster-named-ceo-of-munich-re-africa-branch/&#10;&#10;https://www.resbank.co.za/en/home/publications/prudential-authority&#10;&#10;https://www.insurancebusinessmag.com/reinsurance/news/breaking-news/walter-voigtsvon-forster-appointed-ceo-of-munich-re-africa-549806.aspx&#10;&#10;https://www.fanews.co.za/article/company-news-results/1/general/1056/itoo-special-risks-launches-africa-s-first-ai-performance-insurance-in-partnership-with-munich-re/43563"/>
    <hyperlink ref="M13" display="https://eyindia.sharepoint.com/:b:/r/sites/InsuranceResearch/Shared%20Documents/Insurance%20Research/Top%2020%20Africa/MunichRe-Group-Annual-Report-2025-en.pdf?csf=1&amp;web=1&amp;e=8RwMZe"/>
    <hyperlink ref="J14" r:id="rId11" display="https://www.businessinsurance.com/africa-res-profits-climb-20/&#10;&#10;https://punchng.com/africa-re-posts-644-30m-h1-gross-written-premium/&#10;&#10;https://apanews.net/africa-re-posts-22-5m-profit-for-q1-of-2025/"/>
    <hyperlink ref="M14" r:id="rId12" display="https://www.africa-re.com/uploads/content/download_translation/download/e2594192-5ff9-4cd7-b60d-fcd713e723d5.pdf"/>
    <hyperlink ref="J15" r:id="rId13" display="https://www.hannover-re.com/en/news/2026/hannover-re-increases-earnings-and-dividend-reinforces-sustained-profitability-significantly/&#10;&#10;https://www.ainvest.com/news/hannover-ck-se-strategic-resilience-shareholder-climate-driven-reinsurance-landscape-2510/&#10;&#10;https://www.linkedin.com/feed/update/urn:li:activity:7397634922552766464/"/>
    <hyperlink ref="M15" r:id="rId14" display="https://assets.hannover-re.com/asset/533267266226/document_vm5644i6q91ol8khnekpbcrt3s/2025_GBKonzern_e.pdf?content-disposition=inline"/>
    <hyperlink ref="J16" r:id="rId15" display="https://techcabal.com/2025/06/10/sanlam-and-allianz-merge-nigerian-operations/?utm.com&#10;&#10;https://www.newscase.com/allianz-reshapes-emea-leadership-to-drive-commercial-growth/&#10;&#10;https://theafricanmirror.africa/business/new-investments-and-tie-ups-as-insurers-target-rising-incomes-in-africa/"/>
    <hyperlink ref="M16" r:id="rId16" display="https://www.allianz.com/en/investor_relations/results-reports/financial-statements.html"/>
    <hyperlink ref="J17" r:id="rId17" display="https://www.moroccoworldnews.com/2026/03/282141/axa-makes-casablanca-hub-of-new-atlantic-africa-insurance-region/&#10;&#10;https://businessfinanceint.com/lassureur-axa-centralise-la-gouvernance-de-ses-marches-en-afrique/&#10;&#10;https://news.frontierafricareports.com/article/axa-makes-casablanca-hub-of-new-atlantic-africa-insurance-region"/>
    <hyperlink ref="M17" r:id="rId18" display="https://www.atlas-mag.net/en/articles/axa-2025-results"/>
    <hyperlink ref="J18" r:id="rId19" display="Morocco’s Wafa Assurance Launches Takeover Bid for Egypt’s Delta Insurance - Ecofin Agency&#10;&#10;https://serrarigroup.com/wafa-assurances-317-million-delta-insurance-bid-sparks-concerns-for-kenyas-insurance-sector/"/>
    <hyperlink ref="M18" r:id="rId20" display="https://www.atlas-mag.net/en/articles/wafa-assurance-2025-results"/>
    <hyperlink ref="J19" r:id="rId21" display="https://www.linkedin.com/posts/morocco-world-news_morocco-um6p-rma-activity-7449749364429737984-kOjk&#10;&#10;https://en.7news.ma/moroccan-banks-overtake-brokers-in-insurance-sales-for-the-first-time/"/>
    <hyperlink ref="M19" display="file:///C:/Users/GY357SQ/Downloads/rapport_annuel_rma_2023.pdf"/>
    <hyperlink ref="J20" r:id="rId22" display="https://www.meinsurancereview.com/Magazine/ReadMagazineArticle?aid=60089&#10;&#10;https://www.meinsurancereview.com/Magazine/ReadMagazineArticle?aid=39646"/>
    <hyperlink ref="M20" r:id="rId23" display="https://www.atlas-mag.net/en/articles/ranking-moroccan-insurers-according-2024-turnover-0"/>
    <hyperlink ref="J21" r:id="rId24" display="https://www.moroccoworldnews.com/2026/03/282609/sanlam-maroc-to-absorb-allianz-maroc-in-insurance-mega-merger/&#10;&#10;https://www.financialafrik.com/en/2026/02/12/sanlam-morocco-announces-an-increase-in-profit-and-a-decrease-in-revenue-in-2025/&#10;&#10;https://www.billionaires.africa/2025/12/29/sanlam-partly-owned-by-patrice-motsepe-invests-2-2-million-in-moroccan-startup/"/>
    <hyperlink ref="M21" r:id="rId25" display="https://www.financialafrik.com/en/2026/02/12/sanlam-morocco-announces-an-increase-in-profit-and-a-decrease-in-revenue-in-2025/"/>
    <hyperlink ref="J22" r:id="rId26" display="https://thegulfobserver.com/atlantasanad-assurance-launches-moroccos-first-ai-powered-insurance-assistant-assia/&#10;&#10;https://thedigitalbanker.com/credit-du-maroc-atlantasanad-team-up-to-expand-insurance-and-savings-offerings/"/>
    <hyperlink ref="J23" r:id="rId27" display="https://www.fanews.co.za/article/company-news-results/1/hollard/1301/hollard-international-deepens-its-africa-expansion-strategy-as-the-insurer-acquires-absa-s-life-insurance-businesses-in-mozambique-and-botswana/41584&#10;&#10;https://www.fanews.co.za/article/company-news-results/1/hollard/1301/hollard-unveils-a-new-brand-repositioning-strategy-as-hollard-international-expands-into-the-continent/40056&#10;&#10;https://www.fanews.co.za/article/company-news-results/1/hollard/1301/hollard-and-specialist-partner-itoo-special-risks-poised-to-offer-world-class-green-transition-in-africa/42503"/>
    <hyperlink ref="M23" r:id="rId28" display="https://www.hollard.com.au/media/jxyfchit/hic-financial-statement-20250630.pdf"/>
    <hyperlink ref="J24" r:id="rId29" display="https://www.metropolitan.co.za/press-releases/articles/ASK-AFRICA-Orange-Index-Awards/&#10;&#10;https://www.metropolitan.co.za/press-releases/articles/Momentum-Group-delivers-record-earnings/&#10;&#10;https://www.metropolitan.co.za/press-releases/articles/Momentum-Group-delivers-record-earnings/&#10;&#10;https://cio-sa.co.za/articles/metropolitan-life-cio-irwhan-rakiep-nominated-for-2025-cio-awards/&#10;https://www.metropolitan.co.za/news/articles/Farmers-weekly-Article/"/>
    <hyperlink ref="M24" display="file:///C:/Users/GY357SQ/Downloads/momentum-group-f2025-annual-financial-statements.pdf"/>
    <hyperlink ref="J27" r:id="rId30" display="https://www.moroccoworldnews.com/2026/03/282141/axa-makes-casablanca-hub-of-new-atlantic-africa-insurance-region/&#10;&#10;https://www.african-markets.com/en/stock-markets/bvc/stellantis-finalizes-acquisition-of-axa-credit-majority-stake-from-axa-assurance-maroc"/>
    <hyperlink ref="M27" r:id="rId31" display="https://www-axa-com.cdn.prismic.io/www-axa-com/ab1gEB5fn6DF3CqE_axa_urd2025_accessible_va.pdf"/>
    <hyperlink ref="J28" r:id="rId32" display="https://www.businessinsurance.com/egypts-largest-insurers-posts-record-profit/&#10;&#10;https://www.dailynewsegypt.com/2025/08/31/stm-investment-misr-insurance-sign-protocol-to-provide-comprehensive-project-coverage/&#10;&#10;https://www.fitchratings.com/research/insurance/fitch-affirms-misr-insurance-company-national-ifs-rating-at-aaa-egy-12-11-2025"/>
    <hyperlink ref="M28" r:id="rId33" display="https://www.businessinsurance.com/egypts-largest-insurers-posts-record-profit/"/>
    <hyperlink ref="J29" r:id="rId34" display="https://www.archyde.com/moroccan-climate-insurance-success-story-mamdas-role-in-agricultural-risk-management/&#10;&#10;https://www.fma.org.ma/wp-content/uploads/2025/06/juin-2025-en.pdf"/>
    <hyperlink ref="M29" r:id="rId35" display="https://www.mamda-mcma.ma/qui-sommes-nous/chiffres-cles"/>
    <hyperlink ref="J30" r:id="rId36" display="https://www.insurancebusinessmag.com/reinsurance/news/breaking-news/continental-reinsurance-restructures-with-new-holdings-and-nigeria-leaders-537209.aspx&#10;&#10;https://www.continental-re.com/investor-relations/&#10;&#10;https://secure.businesswire.com/news/home/20251204551323/en/AM-Best-Affirms-Credit-Ratings-of-Continental-Reinsurance-Plc"/>
    <hyperlink ref="M30" r:id="rId37" display="https://www.continental-re.com/wp-content/uploads/2025/07/CReFinStmts-31122024b.pdf"/>
    <hyperlink ref="J31" r:id="rId38" location="google_vignette" display="https://www.graphic.com.gh/news/general-news/ghana-news-prudential-life-settles-ghc100-000-medical-bills.html#google_vignette&#10;&#10;https://thebftonline.com/2026/04/01/prudential-africa-ceo-working-visit-to-ghana-sets-pace-for-business-excellence-and-agency-expansion/"/>
    <hyperlink ref="M31" display="https://eyindia.sharepoint.com/:b:/r/sites/InsuranceResearch/Shared%20Documents/Insurance%20Research/Top%2020%20Africa/prudential-plc-ar-2025.pdf?csf=1&amp;web=1&amp;e=vOjeNU"/>
    <hyperlink ref="J32" r:id="rId39" display="https://clone.businessday.ng/cica-re-pushes-expansion-open-north-african-regional-office-soon/&#10;&#10;https://markets.financialcontent.com/stocks/article/bizwire-2025-4-2-am-best-affirms-credit-ratings-of-compagnie-commune-de-rassurance-des-etats-membres-de-la-cima"/>
    <hyperlink ref="M32" r:id="rId40" display="https://cica-re.com/-Rapports-Annuels-.html"/>
    <hyperlink ref="J33" r:id="rId41" display="https://www.thefreelibrary.com/How+will+the+SanlamAllianz+merger+transform+Africa%27s+insurance...-a0823368203&#10;&#10; https://www.allianz.com/en/mediacenter/news/articles/251119-a-strategic-partnership-driving-africas-long-term-prosperity.html"/>
    <hyperlink ref="M33" r:id="rId42" display="https://www.allianz.com/content/dam/onemarketing/azcom/Allianz_com/investor-relations/en/results-reports/annual-report/ar-2025/en-allianz-se-annual-report-2025.pdf"/>
    <hyperlink ref="J34" r:id="rId43" display="https://www.financialafrik.com/en/2026/03/31/kenya-re-records-a-26-9-decline-in-net-profits-in-2025/&#10;&#10;https://www.businessdailyafrica.com/bd/corporate/companies/kenya-re-eyes-50pc-growth-in-life-business-on-new-unit-4943324"/>
    <hyperlink ref="M34" r:id="rId44" display="https://www.nse.co.ke/wp-content/uploads/Kenya-Re-Insurance-Corporation-Ltd-Audited-Financial-Statements-for-the-Period-Ended-31-Dec-2025.pdf"/>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4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2.62890625" defaultRowHeight="15" zeroHeight="false" outlineLevelRow="0" outlineLevelCol="0"/>
  <cols>
    <col collapsed="false" customWidth="true" hidden="false" outlineLevel="0" max="1" min="1" style="0" width="8.5"/>
    <col collapsed="false" customWidth="true" hidden="false" outlineLevel="0" max="2" min="2" style="0" width="28.88"/>
    <col collapsed="false" customWidth="true" hidden="false" outlineLevel="0" max="5" min="3" style="0" width="19.5"/>
    <col collapsed="false" customWidth="true" hidden="false" outlineLevel="0" max="6" min="6" style="0" width="14.5"/>
    <col collapsed="false" customWidth="true" hidden="false" outlineLevel="0" max="7" min="7" style="0" width="24"/>
    <col collapsed="false" customWidth="true" hidden="false" outlineLevel="0" max="8" min="8" style="0" width="80.25"/>
    <col collapsed="false" customWidth="true" hidden="false" outlineLevel="0" max="9" min="9" style="0" width="53.88"/>
    <col collapsed="false" customWidth="true" hidden="false" outlineLevel="0" max="10" min="10" style="0" width="41.5"/>
    <col collapsed="false" customWidth="true" hidden="false" outlineLevel="0" max="11" min="11" style="0" width="26.13"/>
    <col collapsed="false" customWidth="true" hidden="true" outlineLevel="0" max="12" min="12" style="0" width="23.88"/>
    <col collapsed="false" customWidth="true" hidden="true" outlineLevel="0" max="13" min="13" style="0" width="45.5"/>
    <col collapsed="false" customWidth="true" hidden="false" outlineLevel="0" max="14" min="14" style="0" width="23.88"/>
    <col collapsed="false" customWidth="true" hidden="false" outlineLevel="0" max="15" min="15" style="0" width="13.5"/>
    <col collapsed="false" customWidth="true" hidden="false" outlineLevel="0" max="16" min="16" style="0" width="13.75"/>
    <col collapsed="false" customWidth="true" hidden="true" outlineLevel="0" max="17" min="17" style="0" width="23.76"/>
    <col collapsed="false" customWidth="true" hidden="false" outlineLevel="0" max="26" min="18" style="0" width="8.76"/>
  </cols>
  <sheetData>
    <row r="1" customFormat="false" ht="12" hidden="false" customHeight="true" outlineLevel="0" collapsed="false">
      <c r="A1" s="258" t="s">
        <v>2073</v>
      </c>
      <c r="B1" s="259"/>
      <c r="C1" s="259"/>
      <c r="D1" s="259"/>
      <c r="E1" s="260"/>
      <c r="F1" s="261"/>
      <c r="G1" s="259"/>
      <c r="H1" s="259"/>
      <c r="I1" s="259"/>
      <c r="J1" s="262"/>
      <c r="K1" s="259"/>
      <c r="L1" s="259"/>
      <c r="M1" s="259"/>
      <c r="N1" s="259"/>
      <c r="O1" s="259"/>
      <c r="P1" s="259"/>
      <c r="Q1" s="259"/>
      <c r="R1" s="259"/>
      <c r="S1" s="259"/>
      <c r="T1" s="259"/>
      <c r="U1" s="259"/>
      <c r="V1" s="259"/>
      <c r="W1" s="259"/>
      <c r="X1" s="259"/>
      <c r="Y1" s="259"/>
      <c r="Z1" s="259"/>
    </row>
    <row r="2" customFormat="false" ht="12" hidden="false" customHeight="true" outlineLevel="0" collapsed="false">
      <c r="A2" s="259"/>
      <c r="B2" s="259"/>
      <c r="C2" s="259"/>
      <c r="D2" s="259"/>
      <c r="E2" s="260"/>
      <c r="F2" s="261"/>
      <c r="G2" s="259"/>
      <c r="H2" s="259"/>
      <c r="I2" s="259"/>
      <c r="J2" s="262"/>
      <c r="K2" s="259"/>
      <c r="L2" s="259"/>
      <c r="M2" s="259"/>
      <c r="N2" s="259"/>
      <c r="O2" s="259"/>
      <c r="P2" s="259"/>
      <c r="Q2" s="259"/>
      <c r="R2" s="259"/>
      <c r="S2" s="259"/>
      <c r="T2" s="259"/>
      <c r="U2" s="259"/>
      <c r="V2" s="259"/>
      <c r="W2" s="259"/>
      <c r="X2" s="259"/>
      <c r="Y2" s="259"/>
      <c r="Z2" s="259"/>
    </row>
    <row r="3" customFormat="false" ht="12" hidden="false" customHeight="true" outlineLevel="0" collapsed="false">
      <c r="A3" s="259"/>
      <c r="B3" s="259"/>
      <c r="C3" s="259"/>
      <c r="D3" s="259"/>
      <c r="E3" s="263" t="s">
        <v>1505</v>
      </c>
      <c r="F3" s="263"/>
      <c r="G3" s="263"/>
      <c r="H3" s="259"/>
      <c r="I3" s="262"/>
      <c r="J3" s="259"/>
      <c r="K3" s="259"/>
      <c r="L3" s="259"/>
      <c r="M3" s="259"/>
      <c r="N3" s="259"/>
      <c r="O3" s="259"/>
      <c r="P3" s="259"/>
      <c r="Q3" s="259"/>
      <c r="R3" s="259"/>
      <c r="S3" s="259"/>
      <c r="T3" s="259"/>
      <c r="U3" s="259"/>
      <c r="V3" s="259"/>
      <c r="W3" s="259"/>
      <c r="X3" s="259"/>
      <c r="Y3" s="259"/>
      <c r="Z3" s="259"/>
    </row>
    <row r="4" customFormat="false" ht="12" hidden="false" customHeight="true" outlineLevel="0" collapsed="false">
      <c r="A4" s="264" t="s">
        <v>6</v>
      </c>
      <c r="B4" s="264" t="s">
        <v>7</v>
      </c>
      <c r="C4" s="264" t="s">
        <v>441</v>
      </c>
      <c r="D4" s="264" t="s">
        <v>165</v>
      </c>
      <c r="E4" s="264" t="s">
        <v>166</v>
      </c>
      <c r="F4" s="264" t="s">
        <v>167</v>
      </c>
      <c r="G4" s="264" t="s">
        <v>168</v>
      </c>
      <c r="H4" s="264" t="s">
        <v>170</v>
      </c>
      <c r="I4" s="264" t="s">
        <v>331</v>
      </c>
      <c r="J4" s="264" t="s">
        <v>2074</v>
      </c>
      <c r="K4" s="264" t="s">
        <v>2075</v>
      </c>
      <c r="L4" s="265" t="s">
        <v>1737</v>
      </c>
      <c r="M4" s="265" t="s">
        <v>1738</v>
      </c>
      <c r="N4" s="265" t="s">
        <v>713</v>
      </c>
      <c r="O4" s="265" t="s">
        <v>1739</v>
      </c>
      <c r="P4" s="265" t="s">
        <v>164</v>
      </c>
      <c r="Q4" s="266" t="s">
        <v>2076</v>
      </c>
      <c r="R4" s="259"/>
      <c r="S4" s="259"/>
      <c r="T4" s="259"/>
      <c r="U4" s="259"/>
      <c r="V4" s="259"/>
      <c r="W4" s="259"/>
      <c r="X4" s="259"/>
      <c r="Y4" s="259"/>
      <c r="Z4" s="259"/>
    </row>
    <row r="5" customFormat="false" ht="12" hidden="false" customHeight="true" outlineLevel="0" collapsed="false">
      <c r="A5" s="92" t="n">
        <v>1</v>
      </c>
      <c r="B5" s="114" t="s">
        <v>2077</v>
      </c>
      <c r="C5" s="114" t="s">
        <v>452</v>
      </c>
      <c r="D5" s="116" t="s">
        <v>2078</v>
      </c>
      <c r="E5" s="99" t="s">
        <v>175</v>
      </c>
      <c r="F5" s="114" t="s">
        <v>2079</v>
      </c>
      <c r="G5" s="116" t="s">
        <v>1724</v>
      </c>
      <c r="H5" s="116" t="s">
        <v>2080</v>
      </c>
      <c r="I5" s="208" t="s">
        <v>2081</v>
      </c>
      <c r="J5" s="92" t="s">
        <v>1561</v>
      </c>
      <c r="K5" s="267" t="n">
        <v>4979</v>
      </c>
      <c r="L5" s="268" t="s">
        <v>2082</v>
      </c>
      <c r="M5" s="114" t="s">
        <v>2083</v>
      </c>
      <c r="N5" s="114" t="s">
        <v>2084</v>
      </c>
      <c r="O5" s="114" t="s">
        <v>2085</v>
      </c>
      <c r="P5" s="116" t="s">
        <v>2086</v>
      </c>
      <c r="Q5" s="269" t="s">
        <v>17</v>
      </c>
      <c r="R5" s="259"/>
      <c r="S5" s="259"/>
      <c r="T5" s="259"/>
      <c r="U5" s="259"/>
      <c r="V5" s="259"/>
      <c r="W5" s="259"/>
      <c r="X5" s="259"/>
      <c r="Y5" s="259"/>
      <c r="Z5" s="259"/>
    </row>
    <row r="6" customFormat="false" ht="12" hidden="false" customHeight="true" outlineLevel="0" collapsed="false">
      <c r="A6" s="92" t="n">
        <f aca="false">A5+1</f>
        <v>2</v>
      </c>
      <c r="B6" s="114" t="s">
        <v>2087</v>
      </c>
      <c r="C6" s="114" t="s">
        <v>452</v>
      </c>
      <c r="D6" s="116" t="s">
        <v>2088</v>
      </c>
      <c r="E6" s="99" t="s">
        <v>175</v>
      </c>
      <c r="F6" s="114" t="s">
        <v>2089</v>
      </c>
      <c r="G6" s="116" t="s">
        <v>1724</v>
      </c>
      <c r="H6" s="116" t="s">
        <v>2090</v>
      </c>
      <c r="I6" s="208" t="s">
        <v>2091</v>
      </c>
      <c r="J6" s="92" t="s">
        <v>1518</v>
      </c>
      <c r="K6" s="267" t="n">
        <v>1512.2</v>
      </c>
      <c r="L6" s="268" t="s">
        <v>2092</v>
      </c>
      <c r="M6" s="267" t="s">
        <v>2093</v>
      </c>
      <c r="N6" s="114" t="s">
        <v>2094</v>
      </c>
      <c r="O6" s="114" t="s">
        <v>2095</v>
      </c>
      <c r="P6" s="116" t="s">
        <v>2096</v>
      </c>
      <c r="Q6" s="269" t="s">
        <v>17</v>
      </c>
      <c r="R6" s="259"/>
      <c r="S6" s="259"/>
      <c r="T6" s="259"/>
      <c r="U6" s="259"/>
      <c r="V6" s="259"/>
      <c r="W6" s="259"/>
      <c r="X6" s="259"/>
      <c r="Y6" s="259"/>
      <c r="Z6" s="259"/>
    </row>
    <row r="7" customFormat="false" ht="12" hidden="false" customHeight="true" outlineLevel="0" collapsed="false">
      <c r="A7" s="92" t="n">
        <f aca="false">A6+1</f>
        <v>3</v>
      </c>
      <c r="B7" s="114" t="s">
        <v>2097</v>
      </c>
      <c r="C7" s="114" t="s">
        <v>452</v>
      </c>
      <c r="D7" s="116" t="s">
        <v>2098</v>
      </c>
      <c r="E7" s="99" t="s">
        <v>202</v>
      </c>
      <c r="F7" s="114" t="s">
        <v>2099</v>
      </c>
      <c r="G7" s="116" t="s">
        <v>2100</v>
      </c>
      <c r="H7" s="116" t="s">
        <v>2101</v>
      </c>
      <c r="I7" s="208" t="s">
        <v>2102</v>
      </c>
      <c r="J7" s="92" t="s">
        <v>1561</v>
      </c>
      <c r="K7" s="267" t="n">
        <v>2285.7</v>
      </c>
      <c r="L7" s="268" t="s">
        <v>2103</v>
      </c>
      <c r="M7" s="267" t="s">
        <v>2104</v>
      </c>
      <c r="N7" s="114" t="s">
        <v>2105</v>
      </c>
      <c r="O7" s="114" t="s">
        <v>2106</v>
      </c>
      <c r="P7" s="116" t="s">
        <v>2107</v>
      </c>
      <c r="Q7" s="269" t="s">
        <v>17</v>
      </c>
      <c r="R7" s="259"/>
      <c r="S7" s="259"/>
      <c r="T7" s="259"/>
      <c r="U7" s="259"/>
      <c r="V7" s="259"/>
      <c r="W7" s="259"/>
      <c r="X7" s="259"/>
      <c r="Y7" s="259"/>
      <c r="Z7" s="259"/>
    </row>
    <row r="8" customFormat="false" ht="12" hidden="false" customHeight="true" outlineLevel="0" collapsed="false">
      <c r="A8" s="92" t="n">
        <f aca="false">A7+1</f>
        <v>4</v>
      </c>
      <c r="B8" s="114" t="s">
        <v>2108</v>
      </c>
      <c r="C8" s="114" t="s">
        <v>452</v>
      </c>
      <c r="D8" s="116" t="s">
        <v>2109</v>
      </c>
      <c r="E8" s="99" t="s">
        <v>202</v>
      </c>
      <c r="F8" s="114" t="s">
        <v>457</v>
      </c>
      <c r="G8" s="116" t="s">
        <v>2110</v>
      </c>
      <c r="H8" s="116" t="s">
        <v>2111</v>
      </c>
      <c r="I8" s="208" t="s">
        <v>2112</v>
      </c>
      <c r="J8" s="92" t="s">
        <v>1519</v>
      </c>
      <c r="K8" s="267" t="n">
        <v>2993.1</v>
      </c>
      <c r="L8" s="268" t="s">
        <v>2113</v>
      </c>
      <c r="M8" s="267" t="s">
        <v>2114</v>
      </c>
      <c r="N8" s="114" t="s">
        <v>2115</v>
      </c>
      <c r="O8" s="114" t="s">
        <v>2116</v>
      </c>
      <c r="P8" s="116" t="s">
        <v>2117</v>
      </c>
      <c r="Q8" s="269" t="s">
        <v>17</v>
      </c>
      <c r="R8" s="259"/>
      <c r="S8" s="259"/>
      <c r="T8" s="259"/>
      <c r="U8" s="259"/>
      <c r="V8" s="259"/>
      <c r="W8" s="259"/>
      <c r="X8" s="259"/>
      <c r="Y8" s="259"/>
      <c r="Z8" s="259"/>
    </row>
    <row r="9" customFormat="false" ht="12" hidden="false" customHeight="true" outlineLevel="0" collapsed="false">
      <c r="A9" s="92" t="n">
        <f aca="false">A8+1</f>
        <v>5</v>
      </c>
      <c r="B9" s="114" t="s">
        <v>2118</v>
      </c>
      <c r="C9" s="114" t="s">
        <v>448</v>
      </c>
      <c r="D9" s="116" t="s">
        <v>2119</v>
      </c>
      <c r="E9" s="99" t="s">
        <v>482</v>
      </c>
      <c r="F9" s="114" t="s">
        <v>427</v>
      </c>
      <c r="G9" s="116" t="s">
        <v>2120</v>
      </c>
      <c r="H9" s="116" t="s">
        <v>2121</v>
      </c>
      <c r="I9" s="208" t="s">
        <v>2122</v>
      </c>
      <c r="J9" s="92" t="s">
        <v>1561</v>
      </c>
      <c r="K9" s="267" t="n">
        <v>9787</v>
      </c>
      <c r="L9" s="268" t="s">
        <v>2123</v>
      </c>
      <c r="M9" s="267" t="s">
        <v>1747</v>
      </c>
      <c r="N9" s="114" t="s">
        <v>2124</v>
      </c>
      <c r="O9" s="114" t="s">
        <v>2125</v>
      </c>
      <c r="P9" s="116" t="s">
        <v>2126</v>
      </c>
      <c r="Q9" s="269" t="s">
        <v>17</v>
      </c>
      <c r="R9" s="259"/>
      <c r="S9" s="259"/>
      <c r="T9" s="259"/>
      <c r="U9" s="259"/>
      <c r="V9" s="259"/>
      <c r="W9" s="259"/>
      <c r="X9" s="259"/>
      <c r="Y9" s="259"/>
      <c r="Z9" s="259"/>
    </row>
    <row r="10" customFormat="false" ht="12" hidden="false" customHeight="true" outlineLevel="0" collapsed="false">
      <c r="A10" s="92" t="n">
        <f aca="false">A9+1</f>
        <v>6</v>
      </c>
      <c r="B10" s="114" t="s">
        <v>2127</v>
      </c>
      <c r="C10" s="114" t="s">
        <v>452</v>
      </c>
      <c r="D10" s="116" t="s">
        <v>2128</v>
      </c>
      <c r="E10" s="99" t="s">
        <v>482</v>
      </c>
      <c r="F10" s="114" t="s">
        <v>2006</v>
      </c>
      <c r="G10" s="116" t="s">
        <v>2129</v>
      </c>
      <c r="H10" s="116" t="s">
        <v>2130</v>
      </c>
      <c r="I10" s="208" t="s">
        <v>2131</v>
      </c>
      <c r="J10" s="92" t="s">
        <v>1561</v>
      </c>
      <c r="K10" s="270" t="s">
        <v>2132</v>
      </c>
      <c r="L10" s="268" t="s">
        <v>2133</v>
      </c>
      <c r="M10" s="267" t="s">
        <v>2134</v>
      </c>
      <c r="N10" s="114" t="s">
        <v>2135</v>
      </c>
      <c r="O10" s="114" t="s">
        <v>2136</v>
      </c>
      <c r="P10" s="116" t="s">
        <v>2137</v>
      </c>
      <c r="Q10" s="205" t="s">
        <v>2138</v>
      </c>
      <c r="R10" s="259"/>
      <c r="S10" s="259"/>
      <c r="T10" s="259"/>
      <c r="U10" s="259"/>
      <c r="V10" s="259"/>
      <c r="W10" s="259"/>
      <c r="X10" s="259"/>
      <c r="Y10" s="259"/>
      <c r="Z10" s="259"/>
    </row>
    <row r="11" customFormat="false" ht="12" hidden="false" customHeight="true" outlineLevel="0" collapsed="false">
      <c r="A11" s="92" t="n">
        <f aca="false">A10+1</f>
        <v>7</v>
      </c>
      <c r="B11" s="114" t="s">
        <v>2139</v>
      </c>
      <c r="C11" s="114" t="s">
        <v>108</v>
      </c>
      <c r="D11" s="116" t="s">
        <v>2140</v>
      </c>
      <c r="E11" s="99" t="s">
        <v>175</v>
      </c>
      <c r="F11" s="114" t="s">
        <v>2141</v>
      </c>
      <c r="G11" s="116" t="s">
        <v>2142</v>
      </c>
      <c r="H11" s="116" t="s">
        <v>2143</v>
      </c>
      <c r="I11" s="208" t="s">
        <v>2144</v>
      </c>
      <c r="J11" s="92" t="s">
        <v>1518</v>
      </c>
      <c r="K11" s="267" t="n">
        <v>5756</v>
      </c>
      <c r="L11" s="268" t="s">
        <v>2145</v>
      </c>
      <c r="M11" s="267" t="s">
        <v>1747</v>
      </c>
      <c r="N11" s="114" t="s">
        <v>2146</v>
      </c>
      <c r="O11" s="114" t="s">
        <v>2147</v>
      </c>
      <c r="P11" s="116" t="s">
        <v>2148</v>
      </c>
      <c r="Q11" s="205" t="s">
        <v>2138</v>
      </c>
      <c r="R11" s="259"/>
      <c r="S11" s="259"/>
      <c r="T11" s="259"/>
      <c r="U11" s="259"/>
      <c r="V11" s="259"/>
      <c r="W11" s="259"/>
      <c r="X11" s="259"/>
      <c r="Y11" s="259"/>
      <c r="Z11" s="259"/>
    </row>
    <row r="12" customFormat="false" ht="12" hidden="false" customHeight="true" outlineLevel="0" collapsed="false">
      <c r="A12" s="92" t="n">
        <f aca="false">A11+1</f>
        <v>8</v>
      </c>
      <c r="B12" s="114" t="s">
        <v>2149</v>
      </c>
      <c r="C12" s="114" t="s">
        <v>1844</v>
      </c>
      <c r="D12" s="116" t="s">
        <v>2150</v>
      </c>
      <c r="E12" s="99" t="s">
        <v>175</v>
      </c>
      <c r="F12" s="114" t="s">
        <v>254</v>
      </c>
      <c r="G12" s="116" t="s">
        <v>1542</v>
      </c>
      <c r="H12" s="116" t="s">
        <v>2151</v>
      </c>
      <c r="I12" s="208" t="s">
        <v>2152</v>
      </c>
      <c r="J12" s="92" t="s">
        <v>1561</v>
      </c>
      <c r="K12" s="267" t="n">
        <v>9222</v>
      </c>
      <c r="L12" s="268" t="s">
        <v>2153</v>
      </c>
      <c r="M12" s="267" t="s">
        <v>2154</v>
      </c>
      <c r="N12" s="114" t="s">
        <v>2155</v>
      </c>
      <c r="O12" s="114" t="s">
        <v>2156</v>
      </c>
      <c r="P12" s="271" t="s">
        <v>2157</v>
      </c>
      <c r="Q12" s="205" t="s">
        <v>2158</v>
      </c>
      <c r="R12" s="259"/>
      <c r="S12" s="259"/>
      <c r="T12" s="259"/>
      <c r="U12" s="259"/>
      <c r="V12" s="259"/>
      <c r="W12" s="259"/>
      <c r="X12" s="259"/>
      <c r="Y12" s="259"/>
      <c r="Z12" s="259"/>
    </row>
    <row r="13" customFormat="false" ht="12" hidden="false" customHeight="true" outlineLevel="0" collapsed="false">
      <c r="A13" s="92" t="n">
        <f aca="false">A12+1</f>
        <v>9</v>
      </c>
      <c r="B13" s="116" t="s">
        <v>2159</v>
      </c>
      <c r="C13" s="114" t="s">
        <v>2160</v>
      </c>
      <c r="D13" s="116" t="s">
        <v>2161</v>
      </c>
      <c r="E13" s="99" t="s">
        <v>175</v>
      </c>
      <c r="F13" s="114" t="s">
        <v>254</v>
      </c>
      <c r="G13" s="116" t="s">
        <v>1542</v>
      </c>
      <c r="H13" s="272" t="s">
        <v>2162</v>
      </c>
      <c r="I13" s="208" t="s">
        <v>2163</v>
      </c>
      <c r="J13" s="92" t="s">
        <v>1518</v>
      </c>
      <c r="K13" s="267" t="n">
        <v>737</v>
      </c>
      <c r="L13" s="268" t="s">
        <v>2164</v>
      </c>
      <c r="M13" s="267" t="s">
        <v>2165</v>
      </c>
      <c r="N13" s="114" t="s">
        <v>2166</v>
      </c>
      <c r="O13" s="114" t="s">
        <v>2167</v>
      </c>
      <c r="P13" s="116" t="s">
        <v>2168</v>
      </c>
      <c r="Q13" s="269" t="s">
        <v>2169</v>
      </c>
      <c r="R13" s="259"/>
      <c r="S13" s="259"/>
      <c r="T13" s="259"/>
      <c r="U13" s="259"/>
      <c r="V13" s="259"/>
      <c r="W13" s="259"/>
      <c r="X13" s="259"/>
      <c r="Y13" s="259"/>
      <c r="Z13" s="259"/>
    </row>
    <row r="14" customFormat="false" ht="12" hidden="false" customHeight="true" outlineLevel="0" collapsed="false">
      <c r="A14" s="92" t="n">
        <f aca="false">A13+1</f>
        <v>10</v>
      </c>
      <c r="B14" s="114" t="s">
        <v>2170</v>
      </c>
      <c r="C14" s="114" t="s">
        <v>448</v>
      </c>
      <c r="D14" s="116" t="s">
        <v>2171</v>
      </c>
      <c r="E14" s="99" t="s">
        <v>175</v>
      </c>
      <c r="F14" s="114" t="s">
        <v>2172</v>
      </c>
      <c r="G14" s="116" t="s">
        <v>446</v>
      </c>
      <c r="H14" s="272" t="s">
        <v>2173</v>
      </c>
      <c r="I14" s="208" t="s">
        <v>2174</v>
      </c>
      <c r="J14" s="92" t="s">
        <v>1518</v>
      </c>
      <c r="K14" s="267" t="n">
        <v>2459</v>
      </c>
      <c r="L14" s="208" t="s">
        <v>2175</v>
      </c>
      <c r="M14" s="267" t="s">
        <v>2083</v>
      </c>
      <c r="N14" s="114" t="s">
        <v>2176</v>
      </c>
      <c r="O14" s="114" t="s">
        <v>2177</v>
      </c>
      <c r="P14" s="116" t="s">
        <v>2178</v>
      </c>
      <c r="Q14" s="269" t="s">
        <v>2169</v>
      </c>
      <c r="R14" s="259"/>
      <c r="S14" s="259"/>
      <c r="T14" s="259"/>
      <c r="U14" s="259"/>
      <c r="V14" s="259"/>
      <c r="W14" s="259"/>
      <c r="X14" s="259"/>
      <c r="Y14" s="259"/>
      <c r="Z14" s="259"/>
    </row>
    <row r="15" customFormat="false" ht="12" hidden="false" customHeight="true" outlineLevel="0" collapsed="false">
      <c r="A15" s="92" t="n">
        <f aca="false">A14+1</f>
        <v>11</v>
      </c>
      <c r="B15" s="116" t="s">
        <v>2179</v>
      </c>
      <c r="C15" s="114" t="s">
        <v>15</v>
      </c>
      <c r="D15" s="116" t="s">
        <v>2180</v>
      </c>
      <c r="E15" s="99" t="s">
        <v>175</v>
      </c>
      <c r="F15" s="114" t="s">
        <v>254</v>
      </c>
      <c r="G15" s="116" t="s">
        <v>1542</v>
      </c>
      <c r="H15" s="116" t="s">
        <v>2181</v>
      </c>
      <c r="I15" s="208" t="s">
        <v>2182</v>
      </c>
      <c r="J15" s="92" t="s">
        <v>1561</v>
      </c>
      <c r="K15" s="267" t="n">
        <v>5139</v>
      </c>
      <c r="L15" s="208" t="s">
        <v>2183</v>
      </c>
      <c r="M15" s="267" t="s">
        <v>2184</v>
      </c>
      <c r="N15" s="114" t="s">
        <v>2185</v>
      </c>
      <c r="O15" s="114" t="s">
        <v>2186</v>
      </c>
      <c r="P15" s="116" t="s">
        <v>2187</v>
      </c>
      <c r="Q15" s="269" t="s">
        <v>2169</v>
      </c>
      <c r="R15" s="259"/>
      <c r="S15" s="259"/>
      <c r="T15" s="259"/>
      <c r="U15" s="259"/>
      <c r="V15" s="259"/>
      <c r="W15" s="259"/>
      <c r="X15" s="259"/>
      <c r="Y15" s="259"/>
      <c r="Z15" s="259"/>
    </row>
    <row r="16" customFormat="false" ht="12" hidden="false" customHeight="true" outlineLevel="0" collapsed="false">
      <c r="A16" s="92" t="n">
        <f aca="false">A15+1</f>
        <v>12</v>
      </c>
      <c r="B16" s="114" t="s">
        <v>2188</v>
      </c>
      <c r="C16" s="114" t="s">
        <v>2189</v>
      </c>
      <c r="D16" s="116" t="s">
        <v>1100</v>
      </c>
      <c r="E16" s="99" t="s">
        <v>482</v>
      </c>
      <c r="F16" s="114" t="s">
        <v>2190</v>
      </c>
      <c r="G16" s="116"/>
      <c r="H16" s="272" t="s">
        <v>2191</v>
      </c>
      <c r="I16" s="208" t="s">
        <v>2192</v>
      </c>
      <c r="J16" s="92" t="s">
        <v>1561</v>
      </c>
      <c r="K16" s="270" t="s">
        <v>2193</v>
      </c>
      <c r="L16" s="208" t="s">
        <v>2194</v>
      </c>
      <c r="M16" s="267" t="s">
        <v>2195</v>
      </c>
      <c r="N16" s="114" t="s">
        <v>17</v>
      </c>
      <c r="O16" s="114" t="s">
        <v>2196</v>
      </c>
      <c r="P16" s="116" t="s">
        <v>2197</v>
      </c>
      <c r="Q16" s="269" t="s">
        <v>17</v>
      </c>
      <c r="R16" s="259"/>
      <c r="S16" s="259"/>
      <c r="T16" s="259"/>
      <c r="U16" s="259"/>
      <c r="V16" s="259"/>
      <c r="W16" s="259"/>
      <c r="X16" s="259"/>
      <c r="Y16" s="259"/>
      <c r="Z16" s="259"/>
    </row>
    <row r="17" customFormat="false" ht="12" hidden="false" customHeight="true" outlineLevel="0" collapsed="false">
      <c r="A17" s="92" t="n">
        <f aca="false">A16+1</f>
        <v>13</v>
      </c>
      <c r="B17" s="116" t="s">
        <v>2198</v>
      </c>
      <c r="C17" s="114" t="s">
        <v>452</v>
      </c>
      <c r="D17" s="116" t="s">
        <v>2199</v>
      </c>
      <c r="E17" s="99" t="s">
        <v>190</v>
      </c>
      <c r="F17" s="114" t="s">
        <v>2200</v>
      </c>
      <c r="G17" s="116" t="s">
        <v>2201</v>
      </c>
      <c r="H17" s="272" t="s">
        <v>2202</v>
      </c>
      <c r="I17" s="208" t="s">
        <v>2203</v>
      </c>
      <c r="J17" s="92" t="s">
        <v>1518</v>
      </c>
      <c r="K17" s="267" t="n">
        <v>3916</v>
      </c>
      <c r="L17" s="268" t="s">
        <v>2204</v>
      </c>
      <c r="M17" s="267" t="s">
        <v>2205</v>
      </c>
      <c r="N17" s="114" t="s">
        <v>2206</v>
      </c>
      <c r="O17" s="114" t="s">
        <v>2207</v>
      </c>
      <c r="P17" s="116" t="s">
        <v>2208</v>
      </c>
      <c r="Q17" s="269" t="s">
        <v>17</v>
      </c>
      <c r="R17" s="259"/>
      <c r="S17" s="259"/>
      <c r="T17" s="259"/>
      <c r="U17" s="259"/>
      <c r="V17" s="259"/>
      <c r="W17" s="259"/>
      <c r="X17" s="259"/>
      <c r="Y17" s="259"/>
      <c r="Z17" s="259"/>
    </row>
    <row r="18" customFormat="false" ht="12" hidden="false" customHeight="true" outlineLevel="0" collapsed="false">
      <c r="A18" s="92" t="n">
        <f aca="false">A17+1</f>
        <v>14</v>
      </c>
      <c r="B18" s="114" t="s">
        <v>2209</v>
      </c>
      <c r="C18" s="114" t="s">
        <v>1844</v>
      </c>
      <c r="D18" s="116" t="s">
        <v>2210</v>
      </c>
      <c r="E18" s="99" t="s">
        <v>482</v>
      </c>
      <c r="F18" s="114" t="s">
        <v>297</v>
      </c>
      <c r="G18" s="116" t="s">
        <v>2201</v>
      </c>
      <c r="H18" s="272" t="s">
        <v>2211</v>
      </c>
      <c r="I18" s="208" t="s">
        <v>2212</v>
      </c>
      <c r="J18" s="92" t="s">
        <v>1518</v>
      </c>
      <c r="K18" s="267" t="n">
        <f aca="false">3879+973</f>
        <v>4852</v>
      </c>
      <c r="L18" s="208" t="s">
        <v>2213</v>
      </c>
      <c r="M18" s="267" t="s">
        <v>2214</v>
      </c>
      <c r="N18" s="114" t="s">
        <v>2215</v>
      </c>
      <c r="O18" s="114" t="s">
        <v>2216</v>
      </c>
      <c r="P18" s="116" t="s">
        <v>2217</v>
      </c>
      <c r="Q18" s="269" t="s">
        <v>2169</v>
      </c>
      <c r="R18" s="259"/>
      <c r="S18" s="259"/>
      <c r="T18" s="259"/>
      <c r="U18" s="259"/>
      <c r="V18" s="259"/>
      <c r="W18" s="259"/>
      <c r="X18" s="259"/>
      <c r="Y18" s="259"/>
      <c r="Z18" s="259"/>
    </row>
    <row r="19" customFormat="false" ht="12" hidden="false" customHeight="true" outlineLevel="0" collapsed="false">
      <c r="A19" s="92" t="n">
        <f aca="false">A18+1</f>
        <v>15</v>
      </c>
      <c r="B19" s="114" t="s">
        <v>2218</v>
      </c>
      <c r="C19" s="114" t="s">
        <v>15</v>
      </c>
      <c r="D19" s="116" t="s">
        <v>2219</v>
      </c>
      <c r="E19" s="99" t="s">
        <v>175</v>
      </c>
      <c r="F19" s="114" t="s">
        <v>2220</v>
      </c>
      <c r="G19" s="116" t="s">
        <v>446</v>
      </c>
      <c r="H19" s="272" t="s">
        <v>2221</v>
      </c>
      <c r="I19" s="208" t="s">
        <v>2222</v>
      </c>
      <c r="J19" s="92" t="s">
        <v>1518</v>
      </c>
      <c r="K19" s="270" t="s">
        <v>2223</v>
      </c>
      <c r="L19" s="208" t="s">
        <v>2224</v>
      </c>
      <c r="M19" s="267" t="s">
        <v>2225</v>
      </c>
      <c r="N19" s="114" t="s">
        <v>2226</v>
      </c>
      <c r="O19" s="114" t="s">
        <v>2227</v>
      </c>
      <c r="P19" s="116" t="s">
        <v>2228</v>
      </c>
      <c r="Q19" s="269" t="s">
        <v>2169</v>
      </c>
      <c r="R19" s="259"/>
      <c r="S19" s="259"/>
      <c r="T19" s="259"/>
      <c r="U19" s="259"/>
      <c r="V19" s="259"/>
      <c r="W19" s="259"/>
      <c r="X19" s="259"/>
      <c r="Y19" s="259"/>
      <c r="Z19" s="259"/>
    </row>
    <row r="20" customFormat="false" ht="12" hidden="false" customHeight="true" outlineLevel="0" collapsed="false">
      <c r="A20" s="92" t="n">
        <f aca="false">A19+1</f>
        <v>16</v>
      </c>
      <c r="B20" s="114" t="s">
        <v>2229</v>
      </c>
      <c r="C20" s="114" t="s">
        <v>452</v>
      </c>
      <c r="D20" s="116" t="s">
        <v>2230</v>
      </c>
      <c r="E20" s="99" t="s">
        <v>175</v>
      </c>
      <c r="F20" s="114" t="s">
        <v>2231</v>
      </c>
      <c r="G20" s="116" t="s">
        <v>1724</v>
      </c>
      <c r="H20" s="116" t="s">
        <v>2232</v>
      </c>
      <c r="I20" s="208" t="s">
        <v>2233</v>
      </c>
      <c r="J20" s="92" t="s">
        <v>1518</v>
      </c>
      <c r="K20" s="267" t="n">
        <v>2000</v>
      </c>
      <c r="L20" s="208" t="s">
        <v>2234</v>
      </c>
      <c r="M20" s="267" t="s">
        <v>2214</v>
      </c>
      <c r="N20" s="114" t="s">
        <v>17</v>
      </c>
      <c r="O20" s="114" t="s">
        <v>2235</v>
      </c>
      <c r="P20" s="116" t="s">
        <v>2236</v>
      </c>
      <c r="Q20" s="269" t="s">
        <v>2169</v>
      </c>
      <c r="R20" s="259"/>
      <c r="S20" s="259"/>
      <c r="T20" s="259"/>
      <c r="U20" s="259"/>
      <c r="V20" s="259"/>
      <c r="W20" s="259"/>
      <c r="X20" s="259"/>
      <c r="Y20" s="259"/>
      <c r="Z20" s="259"/>
    </row>
    <row r="21" customFormat="false" ht="12" hidden="false" customHeight="true" outlineLevel="0" collapsed="false">
      <c r="A21" s="92" t="n">
        <f aca="false">A20+1</f>
        <v>17</v>
      </c>
      <c r="B21" s="114" t="s">
        <v>2237</v>
      </c>
      <c r="C21" s="114" t="s">
        <v>452</v>
      </c>
      <c r="D21" s="116" t="s">
        <v>2238</v>
      </c>
      <c r="E21" s="99" t="s">
        <v>175</v>
      </c>
      <c r="F21" s="273" t="s">
        <v>2220</v>
      </c>
      <c r="G21" s="116" t="s">
        <v>1724</v>
      </c>
      <c r="H21" s="272" t="s">
        <v>2239</v>
      </c>
      <c r="I21" s="208" t="s">
        <v>2240</v>
      </c>
      <c r="J21" s="92" t="s">
        <v>1518</v>
      </c>
      <c r="K21" s="267" t="n">
        <v>653.7</v>
      </c>
      <c r="L21" s="208" t="s">
        <v>2241</v>
      </c>
      <c r="M21" s="267" t="s">
        <v>2242</v>
      </c>
      <c r="N21" s="114" t="s">
        <v>2243</v>
      </c>
      <c r="O21" s="114" t="s">
        <v>2244</v>
      </c>
      <c r="P21" s="116" t="s">
        <v>2245</v>
      </c>
      <c r="Q21" s="269" t="s">
        <v>17</v>
      </c>
      <c r="R21" s="259"/>
      <c r="S21" s="259"/>
      <c r="T21" s="259"/>
      <c r="U21" s="259"/>
      <c r="V21" s="259"/>
      <c r="W21" s="259"/>
      <c r="X21" s="259"/>
      <c r="Y21" s="259"/>
      <c r="Z21" s="259"/>
    </row>
    <row r="22" customFormat="false" ht="12" hidden="false" customHeight="true" outlineLevel="0" collapsed="false">
      <c r="A22" s="92" t="n">
        <f aca="false">A21+1</f>
        <v>18</v>
      </c>
      <c r="B22" s="114" t="s">
        <v>2246</v>
      </c>
      <c r="C22" s="114" t="s">
        <v>452</v>
      </c>
      <c r="D22" s="116" t="s">
        <v>2247</v>
      </c>
      <c r="E22" s="99" t="s">
        <v>175</v>
      </c>
      <c r="F22" s="273" t="s">
        <v>2248</v>
      </c>
      <c r="G22" s="116" t="s">
        <v>2249</v>
      </c>
      <c r="H22" s="116" t="s">
        <v>2250</v>
      </c>
      <c r="I22" s="208" t="s">
        <v>2251</v>
      </c>
      <c r="J22" s="92" t="s">
        <v>1518</v>
      </c>
      <c r="K22" s="274" t="s">
        <v>2252</v>
      </c>
      <c r="L22" s="208" t="s">
        <v>2253</v>
      </c>
      <c r="M22" s="267" t="s">
        <v>2214</v>
      </c>
      <c r="N22" s="114" t="s">
        <v>2254</v>
      </c>
      <c r="O22" s="114" t="s">
        <v>2255</v>
      </c>
      <c r="P22" s="116" t="s">
        <v>2256</v>
      </c>
      <c r="Q22" s="269" t="s">
        <v>2169</v>
      </c>
      <c r="R22" s="259"/>
      <c r="S22" s="259"/>
      <c r="T22" s="259"/>
      <c r="U22" s="259"/>
      <c r="V22" s="259"/>
      <c r="W22" s="259"/>
      <c r="X22" s="259"/>
      <c r="Y22" s="259"/>
      <c r="Z22" s="259"/>
    </row>
    <row r="23" customFormat="false" ht="12" hidden="false" customHeight="true" outlineLevel="0" collapsed="false">
      <c r="A23" s="92" t="n">
        <f aca="false">A22+1</f>
        <v>19</v>
      </c>
      <c r="B23" s="114" t="s">
        <v>2257</v>
      </c>
      <c r="C23" s="114" t="s">
        <v>452</v>
      </c>
      <c r="D23" s="116" t="s">
        <v>2258</v>
      </c>
      <c r="E23" s="99" t="s">
        <v>175</v>
      </c>
      <c r="F23" s="114" t="s">
        <v>2259</v>
      </c>
      <c r="G23" s="116" t="s">
        <v>1317</v>
      </c>
      <c r="H23" s="116" t="s">
        <v>2260</v>
      </c>
      <c r="I23" s="208" t="s">
        <v>2261</v>
      </c>
      <c r="J23" s="92" t="s">
        <v>1518</v>
      </c>
      <c r="K23" s="267" t="n">
        <v>653.4</v>
      </c>
      <c r="L23" s="208" t="s">
        <v>2262</v>
      </c>
      <c r="M23" s="267" t="s">
        <v>2263</v>
      </c>
      <c r="N23" s="116" t="s">
        <v>2264</v>
      </c>
      <c r="O23" s="114" t="s">
        <v>2265</v>
      </c>
      <c r="P23" s="116" t="s">
        <v>2266</v>
      </c>
      <c r="Q23" s="269" t="s">
        <v>2169</v>
      </c>
      <c r="R23" s="259"/>
      <c r="S23" s="259"/>
      <c r="T23" s="259"/>
      <c r="U23" s="259"/>
      <c r="V23" s="259"/>
      <c r="W23" s="259"/>
      <c r="X23" s="259"/>
      <c r="Y23" s="259"/>
      <c r="Z23" s="259"/>
    </row>
    <row r="24" customFormat="false" ht="12" hidden="false" customHeight="true" outlineLevel="0" collapsed="false">
      <c r="A24" s="92" t="n">
        <f aca="false">A23+1</f>
        <v>20</v>
      </c>
      <c r="B24" s="114" t="s">
        <v>2267</v>
      </c>
      <c r="C24" s="114" t="s">
        <v>452</v>
      </c>
      <c r="D24" s="116" t="s">
        <v>2268</v>
      </c>
      <c r="E24" s="99" t="s">
        <v>175</v>
      </c>
      <c r="F24" s="114" t="s">
        <v>2269</v>
      </c>
      <c r="G24" s="116" t="s">
        <v>1724</v>
      </c>
      <c r="H24" s="116" t="s">
        <v>2270</v>
      </c>
      <c r="I24" s="208" t="s">
        <v>2271</v>
      </c>
      <c r="J24" s="92" t="s">
        <v>1518</v>
      </c>
      <c r="K24" s="267" t="n">
        <v>694</v>
      </c>
      <c r="L24" s="208" t="s">
        <v>2272</v>
      </c>
      <c r="M24" s="267" t="s">
        <v>2273</v>
      </c>
      <c r="N24" s="114" t="s">
        <v>2274</v>
      </c>
      <c r="O24" s="114" t="s">
        <v>2275</v>
      </c>
      <c r="P24" s="116" t="s">
        <v>2276</v>
      </c>
      <c r="Q24" s="269" t="s">
        <v>2169</v>
      </c>
      <c r="R24" s="259"/>
      <c r="S24" s="259"/>
      <c r="T24" s="259"/>
      <c r="U24" s="259"/>
      <c r="V24" s="259"/>
      <c r="W24" s="259"/>
      <c r="X24" s="259"/>
      <c r="Y24" s="259"/>
      <c r="Z24" s="259"/>
    </row>
    <row r="25" customFormat="false" ht="12" hidden="false" customHeight="true" outlineLevel="0" collapsed="false">
      <c r="A25" s="173"/>
      <c r="B25" s="81"/>
      <c r="C25" s="81"/>
      <c r="D25" s="102"/>
      <c r="E25" s="78"/>
      <c r="F25" s="81"/>
      <c r="G25" s="102"/>
      <c r="H25" s="102"/>
      <c r="I25" s="200"/>
      <c r="J25" s="173"/>
      <c r="K25" s="275"/>
      <c r="L25" s="200"/>
      <c r="M25" s="275"/>
      <c r="N25" s="81"/>
      <c r="O25" s="81"/>
      <c r="P25" s="81"/>
      <c r="Q25" s="259"/>
      <c r="R25" s="259"/>
      <c r="S25" s="259"/>
      <c r="T25" s="259"/>
      <c r="U25" s="259"/>
      <c r="V25" s="259"/>
      <c r="W25" s="259"/>
      <c r="X25" s="259"/>
      <c r="Y25" s="259"/>
      <c r="Z25" s="259"/>
    </row>
    <row r="26" customFormat="false" ht="12" hidden="false" customHeight="true" outlineLevel="0" collapsed="false">
      <c r="A26" s="173"/>
      <c r="B26" s="81"/>
      <c r="C26" s="81"/>
      <c r="D26" s="102"/>
      <c r="E26" s="78"/>
      <c r="F26" s="81"/>
      <c r="G26" s="102"/>
      <c r="H26" s="102"/>
      <c r="I26" s="200"/>
      <c r="J26" s="173"/>
      <c r="K26" s="275"/>
      <c r="L26" s="200"/>
      <c r="M26" s="275"/>
      <c r="N26" s="81"/>
      <c r="O26" s="81"/>
      <c r="P26" s="81"/>
      <c r="Q26" s="259"/>
      <c r="R26" s="259"/>
      <c r="S26" s="259"/>
      <c r="T26" s="259"/>
      <c r="U26" s="259"/>
      <c r="V26" s="259"/>
      <c r="W26" s="259"/>
      <c r="X26" s="259"/>
      <c r="Y26" s="259"/>
      <c r="Z26" s="259"/>
    </row>
    <row r="27" customFormat="false" ht="12" hidden="false" customHeight="true" outlineLevel="0" collapsed="false">
      <c r="A27" s="78" t="s">
        <v>2277</v>
      </c>
      <c r="B27" s="81"/>
      <c r="C27" s="81"/>
      <c r="D27" s="102"/>
      <c r="E27" s="78"/>
      <c r="F27" s="81"/>
      <c r="G27" s="102"/>
      <c r="H27" s="102"/>
      <c r="I27" s="200"/>
      <c r="J27" s="173"/>
      <c r="K27" s="275"/>
      <c r="L27" s="200"/>
      <c r="M27" s="275"/>
      <c r="N27" s="81"/>
      <c r="O27" s="81"/>
      <c r="P27" s="81"/>
      <c r="Q27" s="259"/>
      <c r="R27" s="259"/>
      <c r="S27" s="259"/>
      <c r="T27" s="259"/>
      <c r="U27" s="259"/>
      <c r="V27" s="259"/>
      <c r="W27" s="259"/>
      <c r="X27" s="259"/>
      <c r="Y27" s="259"/>
      <c r="Z27" s="259"/>
    </row>
    <row r="28" customFormat="false" ht="12" hidden="false" customHeight="true" outlineLevel="0" collapsed="false">
      <c r="A28" s="92" t="n">
        <f aca="false">A24+1</f>
        <v>21</v>
      </c>
      <c r="B28" s="114" t="s">
        <v>2278</v>
      </c>
      <c r="C28" s="114" t="s">
        <v>15</v>
      </c>
      <c r="D28" s="116" t="s">
        <v>2279</v>
      </c>
      <c r="E28" s="99" t="s">
        <v>482</v>
      </c>
      <c r="F28" s="114" t="s">
        <v>2280</v>
      </c>
      <c r="G28" s="116" t="s">
        <v>2281</v>
      </c>
      <c r="H28" s="116" t="s">
        <v>2282</v>
      </c>
      <c r="I28" s="208" t="s">
        <v>2283</v>
      </c>
      <c r="J28" s="92" t="s">
        <v>1518</v>
      </c>
      <c r="K28" s="267" t="n">
        <v>465.8</v>
      </c>
      <c r="L28" s="268" t="s">
        <v>2284</v>
      </c>
      <c r="M28" s="267" t="s">
        <v>2285</v>
      </c>
      <c r="N28" s="114" t="s">
        <v>2286</v>
      </c>
      <c r="O28" s="114" t="s">
        <v>2287</v>
      </c>
      <c r="P28" s="114" t="s">
        <v>2288</v>
      </c>
      <c r="Q28" s="269" t="s">
        <v>17</v>
      </c>
      <c r="R28" s="259"/>
      <c r="S28" s="259"/>
      <c r="T28" s="259"/>
      <c r="U28" s="259"/>
      <c r="V28" s="259"/>
      <c r="W28" s="259"/>
      <c r="X28" s="259"/>
      <c r="Y28" s="259"/>
      <c r="Z28" s="259"/>
    </row>
    <row r="29" customFormat="false" ht="12" hidden="false" customHeight="true" outlineLevel="0" collapsed="false">
      <c r="A29" s="92" t="n">
        <f aca="false">A28+1</f>
        <v>22</v>
      </c>
      <c r="B29" s="114" t="s">
        <v>2289</v>
      </c>
      <c r="C29" s="114" t="s">
        <v>452</v>
      </c>
      <c r="D29" s="116" t="s">
        <v>2290</v>
      </c>
      <c r="E29" s="99" t="s">
        <v>190</v>
      </c>
      <c r="F29" s="114" t="s">
        <v>2291</v>
      </c>
      <c r="G29" s="116" t="s">
        <v>2201</v>
      </c>
      <c r="H29" s="272" t="s">
        <v>2292</v>
      </c>
      <c r="I29" s="208" t="s">
        <v>2293</v>
      </c>
      <c r="J29" s="92" t="s">
        <v>1561</v>
      </c>
      <c r="K29" s="270" t="s">
        <v>2294</v>
      </c>
      <c r="L29" s="268" t="s">
        <v>2295</v>
      </c>
      <c r="M29" s="267" t="s">
        <v>2263</v>
      </c>
      <c r="N29" s="114" t="s">
        <v>2296</v>
      </c>
      <c r="O29" s="114" t="s">
        <v>2297</v>
      </c>
      <c r="P29" s="114" t="s">
        <v>2298</v>
      </c>
      <c r="Q29" s="269" t="s">
        <v>17</v>
      </c>
      <c r="R29" s="259"/>
      <c r="S29" s="259"/>
      <c r="T29" s="259"/>
      <c r="U29" s="259"/>
      <c r="V29" s="259"/>
      <c r="W29" s="259"/>
      <c r="X29" s="259"/>
      <c r="Y29" s="259"/>
      <c r="Z29" s="259"/>
    </row>
    <row r="30" customFormat="false" ht="12" hidden="false" customHeight="true" outlineLevel="0" collapsed="false">
      <c r="A30" s="173"/>
      <c r="B30" s="81"/>
      <c r="C30" s="81"/>
      <c r="D30" s="102"/>
      <c r="E30" s="78"/>
      <c r="F30" s="81"/>
      <c r="G30" s="102"/>
      <c r="H30" s="102"/>
      <c r="I30" s="200"/>
      <c r="J30" s="173"/>
      <c r="K30" s="275"/>
      <c r="L30" s="276"/>
      <c r="M30" s="275"/>
      <c r="N30" s="81"/>
      <c r="O30" s="81"/>
      <c r="P30" s="81"/>
      <c r="Q30" s="259"/>
      <c r="R30" s="259"/>
      <c r="S30" s="259"/>
      <c r="T30" s="259"/>
      <c r="U30" s="259"/>
      <c r="V30" s="259"/>
      <c r="W30" s="259"/>
      <c r="X30" s="259"/>
      <c r="Y30" s="259"/>
      <c r="Z30" s="259"/>
    </row>
    <row r="31" customFormat="false" ht="12" hidden="false" customHeight="true" outlineLevel="0" collapsed="false">
      <c r="A31" s="78" t="s">
        <v>2299</v>
      </c>
      <c r="B31" s="81"/>
      <c r="C31" s="81"/>
      <c r="D31" s="102"/>
      <c r="E31" s="78"/>
      <c r="F31" s="81"/>
      <c r="G31" s="102"/>
      <c r="H31" s="102"/>
      <c r="I31" s="200"/>
      <c r="J31" s="173"/>
      <c r="K31" s="275"/>
      <c r="L31" s="276"/>
      <c r="M31" s="275"/>
      <c r="N31" s="81"/>
      <c r="O31" s="81"/>
      <c r="P31" s="81"/>
      <c r="Q31" s="259"/>
      <c r="R31" s="259"/>
      <c r="S31" s="259"/>
      <c r="T31" s="259"/>
      <c r="U31" s="259"/>
      <c r="V31" s="259"/>
      <c r="W31" s="259"/>
      <c r="X31" s="259"/>
      <c r="Y31" s="259"/>
      <c r="Z31" s="259"/>
    </row>
    <row r="32" customFormat="false" ht="12" hidden="false" customHeight="true" outlineLevel="0" collapsed="false">
      <c r="A32" s="277" t="s">
        <v>2300</v>
      </c>
      <c r="B32" s="81"/>
      <c r="C32" s="81"/>
      <c r="D32" s="102"/>
      <c r="E32" s="78"/>
      <c r="F32" s="81"/>
      <c r="G32" s="102"/>
      <c r="H32" s="102"/>
      <c r="I32" s="200"/>
      <c r="J32" s="173"/>
      <c r="K32" s="275"/>
      <c r="L32" s="276"/>
      <c r="M32" s="275"/>
      <c r="N32" s="81"/>
      <c r="O32" s="81"/>
      <c r="P32" s="81"/>
      <c r="Q32" s="259"/>
      <c r="R32" s="259"/>
      <c r="S32" s="259"/>
      <c r="T32" s="259"/>
      <c r="U32" s="259"/>
      <c r="V32" s="259"/>
      <c r="W32" s="259"/>
      <c r="X32" s="259"/>
      <c r="Y32" s="259"/>
      <c r="Z32" s="259"/>
    </row>
    <row r="33" customFormat="false" ht="12" hidden="false" customHeight="true" outlineLevel="0" collapsed="false">
      <c r="A33" s="92" t="n">
        <f aca="false">A29+1</f>
        <v>23</v>
      </c>
      <c r="B33" s="114" t="s">
        <v>2301</v>
      </c>
      <c r="C33" s="114" t="s">
        <v>2302</v>
      </c>
      <c r="D33" s="116" t="s">
        <v>2303</v>
      </c>
      <c r="E33" s="99" t="s">
        <v>482</v>
      </c>
      <c r="F33" s="114" t="s">
        <v>2304</v>
      </c>
      <c r="G33" s="116" t="s">
        <v>2305</v>
      </c>
      <c r="H33" s="116" t="s">
        <v>2306</v>
      </c>
      <c r="I33" s="208" t="s">
        <v>2307</v>
      </c>
      <c r="J33" s="92" t="s">
        <v>1561</v>
      </c>
      <c r="K33" s="270" t="s">
        <v>2308</v>
      </c>
      <c r="L33" s="268" t="s">
        <v>2309</v>
      </c>
      <c r="M33" s="267" t="s">
        <v>2310</v>
      </c>
      <c r="N33" s="114" t="s">
        <v>17</v>
      </c>
      <c r="O33" s="114" t="s">
        <v>2311</v>
      </c>
      <c r="P33" s="114" t="s">
        <v>2312</v>
      </c>
      <c r="Q33" s="269" t="s">
        <v>463</v>
      </c>
      <c r="R33" s="259"/>
      <c r="S33" s="259"/>
      <c r="T33" s="259"/>
      <c r="U33" s="259"/>
      <c r="V33" s="259"/>
      <c r="W33" s="259"/>
      <c r="X33" s="259"/>
      <c r="Y33" s="259"/>
      <c r="Z33" s="259"/>
    </row>
    <row r="34" customFormat="false" ht="12" hidden="false" customHeight="true" outlineLevel="0" collapsed="false">
      <c r="A34" s="92" t="n">
        <f aca="false">A33+1</f>
        <v>24</v>
      </c>
      <c r="B34" s="114" t="s">
        <v>2313</v>
      </c>
      <c r="C34" s="114" t="s">
        <v>2302</v>
      </c>
      <c r="D34" s="116" t="s">
        <v>2314</v>
      </c>
      <c r="E34" s="99" t="s">
        <v>175</v>
      </c>
      <c r="F34" s="114" t="s">
        <v>2315</v>
      </c>
      <c r="G34" s="116" t="s">
        <v>446</v>
      </c>
      <c r="H34" s="116" t="s">
        <v>2316</v>
      </c>
      <c r="I34" s="208" t="s">
        <v>2317</v>
      </c>
      <c r="J34" s="92" t="s">
        <v>1561</v>
      </c>
      <c r="K34" s="270" t="s">
        <v>2318</v>
      </c>
      <c r="L34" s="268" t="s">
        <v>2319</v>
      </c>
      <c r="M34" s="267" t="s">
        <v>2320</v>
      </c>
      <c r="N34" s="114" t="s">
        <v>17</v>
      </c>
      <c r="O34" s="114" t="s">
        <v>2321</v>
      </c>
      <c r="P34" s="114" t="s">
        <v>17</v>
      </c>
      <c r="Q34" s="269" t="s">
        <v>463</v>
      </c>
      <c r="R34" s="259"/>
      <c r="S34" s="259"/>
      <c r="T34" s="259"/>
      <c r="U34" s="259"/>
      <c r="V34" s="259"/>
      <c r="W34" s="259"/>
      <c r="X34" s="259"/>
      <c r="Y34" s="259"/>
      <c r="Z34" s="259"/>
    </row>
    <row r="35" customFormat="false" ht="12" hidden="false" customHeight="true" outlineLevel="0" collapsed="false">
      <c r="A35" s="92" t="n">
        <f aca="false">A34+1</f>
        <v>25</v>
      </c>
      <c r="B35" s="114" t="s">
        <v>602</v>
      </c>
      <c r="C35" s="114" t="s">
        <v>2302</v>
      </c>
      <c r="D35" s="116" t="s">
        <v>2322</v>
      </c>
      <c r="E35" s="99" t="s">
        <v>190</v>
      </c>
      <c r="F35" s="114" t="s">
        <v>2323</v>
      </c>
      <c r="G35" s="116" t="s">
        <v>2324</v>
      </c>
      <c r="H35" s="116" t="s">
        <v>2325</v>
      </c>
      <c r="I35" s="208" t="s">
        <v>2326</v>
      </c>
      <c r="J35" s="92" t="s">
        <v>1518</v>
      </c>
      <c r="K35" s="267" t="n">
        <v>3010</v>
      </c>
      <c r="L35" s="208" t="s">
        <v>2327</v>
      </c>
      <c r="M35" s="267" t="s">
        <v>2214</v>
      </c>
      <c r="N35" s="114" t="s">
        <v>2328</v>
      </c>
      <c r="O35" s="114" t="s">
        <v>2329</v>
      </c>
      <c r="P35" s="114" t="s">
        <v>2330</v>
      </c>
      <c r="Q35" s="269" t="s">
        <v>2169</v>
      </c>
      <c r="R35" s="259"/>
      <c r="S35" s="259"/>
      <c r="T35" s="259"/>
      <c r="U35" s="259"/>
      <c r="V35" s="259"/>
      <c r="W35" s="259"/>
      <c r="X35" s="259"/>
      <c r="Y35" s="259"/>
      <c r="Z35" s="259"/>
    </row>
    <row r="36" customFormat="false" ht="12" hidden="false" customHeight="true" outlineLevel="0" collapsed="false">
      <c r="A36" s="173"/>
      <c r="B36" s="81"/>
      <c r="C36" s="81"/>
      <c r="D36" s="102"/>
      <c r="E36" s="78"/>
      <c r="F36" s="81"/>
      <c r="G36" s="102"/>
      <c r="H36" s="102"/>
      <c r="I36" s="200"/>
      <c r="J36" s="173"/>
      <c r="K36" s="275"/>
      <c r="L36" s="276"/>
      <c r="M36" s="275"/>
      <c r="N36" s="81"/>
      <c r="O36" s="81"/>
      <c r="P36" s="81"/>
      <c r="Q36" s="259"/>
      <c r="R36" s="259"/>
      <c r="S36" s="259"/>
      <c r="T36" s="259"/>
      <c r="U36" s="259"/>
      <c r="V36" s="259"/>
      <c r="W36" s="259"/>
      <c r="X36" s="259"/>
      <c r="Y36" s="259"/>
      <c r="Z36" s="259"/>
    </row>
    <row r="37" customFormat="false" ht="12" hidden="false" customHeight="true" outlineLevel="0" collapsed="false">
      <c r="A37" s="78" t="s">
        <v>2331</v>
      </c>
      <c r="B37" s="259"/>
      <c r="C37" s="259"/>
      <c r="D37" s="259"/>
      <c r="E37" s="261"/>
      <c r="F37" s="259"/>
      <c r="G37" s="259"/>
      <c r="H37" s="262"/>
      <c r="I37" s="262"/>
      <c r="J37" s="259"/>
      <c r="K37" s="259"/>
      <c r="L37" s="259"/>
      <c r="M37" s="259"/>
      <c r="N37" s="259"/>
      <c r="O37" s="259"/>
      <c r="P37" s="259"/>
      <c r="Q37" s="259"/>
      <c r="R37" s="259"/>
      <c r="S37" s="259"/>
      <c r="T37" s="259"/>
      <c r="U37" s="259"/>
      <c r="V37" s="259"/>
      <c r="W37" s="259"/>
      <c r="X37" s="259"/>
      <c r="Y37" s="259"/>
      <c r="Z37" s="259"/>
    </row>
    <row r="38" customFormat="false" ht="12" hidden="false" customHeight="true" outlineLevel="0" collapsed="false">
      <c r="A38" s="259"/>
      <c r="B38" s="259"/>
      <c r="C38" s="259"/>
      <c r="D38" s="259"/>
      <c r="E38" s="261"/>
      <c r="F38" s="259"/>
      <c r="G38" s="259"/>
      <c r="H38" s="262"/>
      <c r="I38" s="262"/>
      <c r="J38" s="259"/>
      <c r="K38" s="259"/>
      <c r="L38" s="259"/>
      <c r="M38" s="259"/>
      <c r="N38" s="259"/>
      <c r="O38" s="259"/>
      <c r="P38" s="259"/>
      <c r="Q38" s="259"/>
      <c r="R38" s="259"/>
      <c r="S38" s="259"/>
      <c r="T38" s="259"/>
      <c r="U38" s="259"/>
      <c r="V38" s="259"/>
      <c r="W38" s="259"/>
      <c r="X38" s="259"/>
      <c r="Y38" s="259"/>
      <c r="Z38" s="259"/>
    </row>
    <row r="39" customFormat="false" ht="12" hidden="false" customHeight="true" outlineLevel="0" collapsed="false">
      <c r="A39" s="259"/>
      <c r="B39" s="259"/>
      <c r="C39" s="259"/>
      <c r="D39" s="259"/>
      <c r="E39" s="259"/>
      <c r="F39" s="259"/>
      <c r="G39" s="259"/>
      <c r="H39" s="262"/>
      <c r="I39" s="259"/>
      <c r="J39" s="259"/>
      <c r="K39" s="259"/>
      <c r="L39" s="259"/>
      <c r="M39" s="259"/>
      <c r="N39" s="259"/>
      <c r="O39" s="259"/>
      <c r="P39" s="259"/>
      <c r="Q39" s="259"/>
      <c r="R39" s="259"/>
      <c r="S39" s="259"/>
      <c r="T39" s="259"/>
      <c r="U39" s="259"/>
      <c r="V39" s="259"/>
      <c r="W39" s="259"/>
      <c r="X39" s="259"/>
      <c r="Y39" s="259"/>
      <c r="Z39" s="259"/>
    </row>
    <row r="40" customFormat="false" ht="12" hidden="false" customHeight="true" outlineLevel="0" collapsed="false">
      <c r="A40" s="278" t="n">
        <f aca="false">A41+1</f>
        <v>9</v>
      </c>
      <c r="B40" s="279" t="s">
        <v>2332</v>
      </c>
      <c r="C40" s="279" t="s">
        <v>452</v>
      </c>
      <c r="D40" s="280" t="s">
        <v>2333</v>
      </c>
      <c r="E40" s="281" t="s">
        <v>482</v>
      </c>
      <c r="F40" s="279" t="s">
        <v>427</v>
      </c>
      <c r="G40" s="280" t="s">
        <v>2201</v>
      </c>
      <c r="H40" s="280" t="s">
        <v>2334</v>
      </c>
      <c r="I40" s="282" t="s">
        <v>2335</v>
      </c>
      <c r="J40" s="278" t="s">
        <v>1561</v>
      </c>
      <c r="K40" s="283" t="n">
        <v>4567</v>
      </c>
      <c r="L40" s="284" t="s">
        <v>2336</v>
      </c>
      <c r="M40" s="283" t="s">
        <v>2337</v>
      </c>
      <c r="N40" s="279" t="s">
        <v>2338</v>
      </c>
      <c r="O40" s="279" t="s">
        <v>2338</v>
      </c>
      <c r="P40" s="279" t="s">
        <v>2339</v>
      </c>
      <c r="Q40" s="285" t="s">
        <v>17</v>
      </c>
      <c r="R40" s="259"/>
      <c r="S40" s="259"/>
      <c r="T40" s="259"/>
      <c r="U40" s="259"/>
      <c r="V40" s="259"/>
      <c r="W40" s="259"/>
      <c r="X40" s="259"/>
      <c r="Y40" s="259"/>
      <c r="Z40" s="259"/>
    </row>
    <row r="41" customFormat="false" ht="12" hidden="false" customHeight="true" outlineLevel="0" collapsed="false">
      <c r="A41" s="278" t="n">
        <f aca="false">A11+1</f>
        <v>8</v>
      </c>
      <c r="B41" s="279" t="s">
        <v>2340</v>
      </c>
      <c r="C41" s="279" t="s">
        <v>452</v>
      </c>
      <c r="D41" s="280" t="s">
        <v>2341</v>
      </c>
      <c r="E41" s="281" t="s">
        <v>482</v>
      </c>
      <c r="F41" s="279" t="s">
        <v>427</v>
      </c>
      <c r="G41" s="280" t="s">
        <v>2201</v>
      </c>
      <c r="H41" s="280" t="s">
        <v>2342</v>
      </c>
      <c r="I41" s="282" t="s">
        <v>2343</v>
      </c>
      <c r="J41" s="278" t="s">
        <v>1518</v>
      </c>
      <c r="K41" s="283"/>
      <c r="L41" s="283"/>
      <c r="M41" s="283"/>
      <c r="N41" s="279" t="s">
        <v>17</v>
      </c>
      <c r="O41" s="279" t="s">
        <v>17</v>
      </c>
      <c r="P41" s="279" t="s">
        <v>17</v>
      </c>
      <c r="Q41" s="285" t="s">
        <v>17</v>
      </c>
      <c r="R41" s="259"/>
      <c r="S41" s="259"/>
      <c r="T41" s="259"/>
      <c r="U41" s="259"/>
      <c r="V41" s="259"/>
      <c r="W41" s="259"/>
      <c r="X41" s="259"/>
      <c r="Y41" s="259"/>
      <c r="Z41" s="259"/>
    </row>
    <row r="42" customFormat="false" ht="12" hidden="false" customHeight="true" outlineLevel="0" collapsed="false">
      <c r="A42" s="259"/>
      <c r="B42" s="259"/>
      <c r="C42" s="259"/>
      <c r="D42" s="259"/>
      <c r="E42" s="259"/>
      <c r="F42" s="261"/>
      <c r="G42" s="259"/>
      <c r="H42" s="259"/>
      <c r="I42" s="259"/>
      <c r="J42" s="262"/>
      <c r="K42" s="259"/>
      <c r="L42" s="259"/>
      <c r="M42" s="259"/>
      <c r="N42" s="259"/>
      <c r="O42" s="259"/>
      <c r="P42" s="259"/>
      <c r="Q42" s="259"/>
      <c r="R42" s="259"/>
      <c r="S42" s="259"/>
      <c r="T42" s="259"/>
      <c r="U42" s="259"/>
      <c r="V42" s="259"/>
      <c r="W42" s="259"/>
      <c r="X42" s="259"/>
      <c r="Y42" s="259"/>
      <c r="Z42" s="259"/>
    </row>
    <row r="43" customFormat="false" ht="12" hidden="false" customHeight="true" outlineLevel="0" collapsed="false">
      <c r="A43" s="259"/>
      <c r="B43" s="259"/>
      <c r="C43" s="259"/>
      <c r="D43" s="259"/>
      <c r="E43" s="259"/>
      <c r="F43" s="261"/>
      <c r="G43" s="259"/>
      <c r="H43" s="259"/>
      <c r="I43" s="259"/>
      <c r="J43" s="262"/>
      <c r="K43" s="259"/>
      <c r="L43" s="259"/>
      <c r="M43" s="259"/>
      <c r="N43" s="259"/>
      <c r="O43" s="259"/>
      <c r="P43" s="259"/>
      <c r="Q43" s="259"/>
      <c r="R43" s="259"/>
      <c r="S43" s="259"/>
      <c r="T43" s="259"/>
      <c r="U43" s="259"/>
      <c r="V43" s="259"/>
      <c r="W43" s="259"/>
      <c r="X43" s="259"/>
      <c r="Y43" s="259"/>
      <c r="Z43" s="259"/>
    </row>
    <row r="44" customFormat="false" ht="12" hidden="false" customHeight="true" outlineLevel="0" collapsed="false">
      <c r="A44" s="259"/>
      <c r="B44" s="259"/>
      <c r="C44" s="259"/>
      <c r="D44" s="259"/>
      <c r="E44" s="259"/>
      <c r="F44" s="261"/>
      <c r="G44" s="259"/>
      <c r="H44" s="259"/>
      <c r="I44" s="259"/>
      <c r="J44" s="262"/>
      <c r="K44" s="259"/>
      <c r="L44" s="259"/>
      <c r="M44" s="259"/>
      <c r="N44" s="259"/>
      <c r="O44" s="259"/>
      <c r="P44" s="259"/>
      <c r="Q44" s="259"/>
      <c r="R44" s="259"/>
      <c r="S44" s="259"/>
      <c r="T44" s="259"/>
      <c r="U44" s="259"/>
      <c r="V44" s="259"/>
      <c r="W44" s="259"/>
      <c r="X44" s="259"/>
      <c r="Y44" s="259"/>
      <c r="Z44" s="259"/>
    </row>
    <row r="45" customFormat="false" ht="12" hidden="false" customHeight="true" outlineLevel="0" collapsed="false">
      <c r="A45" s="259"/>
      <c r="B45" s="259"/>
      <c r="C45" s="259"/>
      <c r="D45" s="259"/>
      <c r="E45" s="259"/>
      <c r="F45" s="261"/>
      <c r="G45" s="259"/>
      <c r="H45" s="259"/>
      <c r="I45" s="259"/>
      <c r="J45" s="262"/>
      <c r="K45" s="259"/>
      <c r="L45" s="259"/>
      <c r="M45" s="259"/>
      <c r="N45" s="259"/>
      <c r="O45" s="259"/>
      <c r="P45" s="259"/>
      <c r="Q45" s="259"/>
      <c r="R45" s="259"/>
      <c r="S45" s="259"/>
      <c r="T45" s="259"/>
      <c r="U45" s="259"/>
      <c r="V45" s="259"/>
      <c r="W45" s="259"/>
      <c r="X45" s="259"/>
      <c r="Y45" s="259"/>
      <c r="Z45" s="259"/>
    </row>
    <row r="46" customFormat="false" ht="12" hidden="false" customHeight="true" outlineLevel="0" collapsed="false">
      <c r="A46" s="259"/>
      <c r="B46" s="259"/>
      <c r="C46" s="259"/>
      <c r="D46" s="259"/>
      <c r="E46" s="259"/>
      <c r="F46" s="261"/>
      <c r="G46" s="259"/>
      <c r="H46" s="259"/>
      <c r="I46" s="259"/>
      <c r="J46" s="262"/>
      <c r="K46" s="259"/>
      <c r="L46" s="259"/>
      <c r="M46" s="259"/>
      <c r="N46" s="259"/>
      <c r="O46" s="259"/>
      <c r="P46" s="259"/>
      <c r="Q46" s="259"/>
      <c r="R46" s="259"/>
      <c r="S46" s="259"/>
      <c r="T46" s="259"/>
      <c r="U46" s="259"/>
      <c r="V46" s="259"/>
      <c r="W46" s="259"/>
      <c r="X46" s="259"/>
      <c r="Y46" s="259"/>
      <c r="Z46" s="259"/>
    </row>
    <row r="47" customFormat="false" ht="12" hidden="false" customHeight="true" outlineLevel="0" collapsed="false">
      <c r="A47" s="259"/>
      <c r="B47" s="259"/>
      <c r="C47" s="259"/>
      <c r="D47" s="259"/>
      <c r="E47" s="259"/>
      <c r="F47" s="261"/>
      <c r="G47" s="259"/>
      <c r="H47" s="259"/>
      <c r="I47" s="259"/>
      <c r="J47" s="262"/>
      <c r="K47" s="259"/>
      <c r="L47" s="259"/>
      <c r="M47" s="259"/>
      <c r="N47" s="259"/>
      <c r="O47" s="259"/>
      <c r="P47" s="259"/>
      <c r="Q47" s="259"/>
      <c r="R47" s="259"/>
      <c r="S47" s="259"/>
      <c r="T47" s="259"/>
      <c r="U47" s="259"/>
      <c r="V47" s="259"/>
      <c r="W47" s="259"/>
      <c r="X47" s="259"/>
      <c r="Y47" s="259"/>
      <c r="Z47" s="259"/>
    </row>
    <row r="48" customFormat="false" ht="12" hidden="false" customHeight="true" outlineLevel="0" collapsed="false">
      <c r="A48" s="259"/>
      <c r="B48" s="259"/>
      <c r="C48" s="259"/>
      <c r="D48" s="259"/>
      <c r="E48" s="259"/>
      <c r="F48" s="261"/>
      <c r="G48" s="259"/>
      <c r="H48" s="259"/>
      <c r="I48" s="259"/>
      <c r="J48" s="262"/>
      <c r="K48" s="259"/>
      <c r="L48" s="259"/>
      <c r="M48" s="259"/>
      <c r="N48" s="259"/>
      <c r="O48" s="259"/>
      <c r="P48" s="259"/>
      <c r="Q48" s="259"/>
      <c r="R48" s="259"/>
      <c r="S48" s="259"/>
      <c r="T48" s="259"/>
      <c r="U48" s="259"/>
      <c r="V48" s="259"/>
      <c r="W48" s="259"/>
      <c r="X48" s="259"/>
      <c r="Y48" s="259"/>
      <c r="Z48" s="259"/>
    </row>
    <row r="49" customFormat="false" ht="12" hidden="false" customHeight="true" outlineLevel="0" collapsed="false">
      <c r="A49" s="259"/>
      <c r="B49" s="259"/>
      <c r="C49" s="259"/>
      <c r="D49" s="259"/>
      <c r="E49" s="259"/>
      <c r="F49" s="261"/>
      <c r="G49" s="259"/>
      <c r="H49" s="259"/>
      <c r="I49" s="259"/>
      <c r="J49" s="262"/>
      <c r="K49" s="259"/>
      <c r="L49" s="259"/>
      <c r="M49" s="259"/>
      <c r="N49" s="259"/>
      <c r="O49" s="259"/>
      <c r="P49" s="259"/>
      <c r="Q49" s="259"/>
      <c r="R49" s="259"/>
      <c r="S49" s="259"/>
      <c r="T49" s="259"/>
      <c r="U49" s="259"/>
      <c r="V49" s="259"/>
      <c r="W49" s="259"/>
      <c r="X49" s="259"/>
      <c r="Y49" s="259"/>
      <c r="Z49" s="259"/>
    </row>
    <row r="50" customFormat="false" ht="12" hidden="false" customHeight="true" outlineLevel="0" collapsed="false">
      <c r="A50" s="259"/>
      <c r="B50" s="259"/>
      <c r="C50" s="259"/>
      <c r="D50" s="259"/>
      <c r="E50" s="259"/>
      <c r="F50" s="261"/>
      <c r="G50" s="259"/>
      <c r="H50" s="259"/>
      <c r="I50" s="259"/>
      <c r="J50" s="262"/>
      <c r="K50" s="259"/>
      <c r="L50" s="259"/>
      <c r="M50" s="259"/>
      <c r="N50" s="259"/>
      <c r="O50" s="259"/>
      <c r="P50" s="259"/>
      <c r="Q50" s="259"/>
      <c r="R50" s="259"/>
      <c r="S50" s="259"/>
      <c r="T50" s="259"/>
      <c r="U50" s="259"/>
      <c r="V50" s="259"/>
      <c r="W50" s="259"/>
      <c r="X50" s="259"/>
      <c r="Y50" s="259"/>
      <c r="Z50" s="259"/>
    </row>
    <row r="51" customFormat="false" ht="12" hidden="false" customHeight="true" outlineLevel="0" collapsed="false">
      <c r="A51" s="259"/>
      <c r="B51" s="259"/>
      <c r="C51" s="259"/>
      <c r="D51" s="259"/>
      <c r="E51" s="259"/>
      <c r="F51" s="261"/>
      <c r="G51" s="259"/>
      <c r="H51" s="259"/>
      <c r="I51" s="259"/>
      <c r="J51" s="262"/>
      <c r="K51" s="259"/>
      <c r="L51" s="259"/>
      <c r="M51" s="259"/>
      <c r="N51" s="259"/>
      <c r="O51" s="259"/>
      <c r="P51" s="259"/>
      <c r="Q51" s="259"/>
      <c r="R51" s="259"/>
      <c r="S51" s="259"/>
      <c r="T51" s="259"/>
      <c r="U51" s="259"/>
      <c r="V51" s="259"/>
      <c r="W51" s="259"/>
      <c r="X51" s="259"/>
      <c r="Y51" s="259"/>
      <c r="Z51" s="259"/>
    </row>
    <row r="52" customFormat="false" ht="12" hidden="false" customHeight="true" outlineLevel="0" collapsed="false">
      <c r="A52" s="259"/>
      <c r="B52" s="259"/>
      <c r="C52" s="259"/>
      <c r="D52" s="259"/>
      <c r="E52" s="259"/>
      <c r="F52" s="261"/>
      <c r="G52" s="259"/>
      <c r="H52" s="259"/>
      <c r="I52" s="259"/>
      <c r="J52" s="262"/>
      <c r="K52" s="259"/>
      <c r="L52" s="259"/>
      <c r="M52" s="259"/>
      <c r="N52" s="259"/>
      <c r="O52" s="259"/>
      <c r="P52" s="259"/>
      <c r="Q52" s="259"/>
      <c r="R52" s="259"/>
      <c r="S52" s="259"/>
      <c r="T52" s="259"/>
      <c r="U52" s="259"/>
      <c r="V52" s="259"/>
      <c r="W52" s="259"/>
      <c r="X52" s="259"/>
      <c r="Y52" s="259"/>
      <c r="Z52" s="259"/>
    </row>
    <row r="53" customFormat="false" ht="12" hidden="false" customHeight="true" outlineLevel="0" collapsed="false">
      <c r="A53" s="259"/>
      <c r="B53" s="259"/>
      <c r="C53" s="259"/>
      <c r="D53" s="259"/>
      <c r="E53" s="259"/>
      <c r="F53" s="261"/>
      <c r="G53" s="259"/>
      <c r="H53" s="259"/>
      <c r="I53" s="259"/>
      <c r="J53" s="262"/>
      <c r="K53" s="259"/>
      <c r="L53" s="259"/>
      <c r="M53" s="259"/>
      <c r="N53" s="259"/>
      <c r="O53" s="259"/>
      <c r="P53" s="259"/>
      <c r="Q53" s="259"/>
      <c r="R53" s="259"/>
      <c r="S53" s="259"/>
      <c r="T53" s="259"/>
      <c r="U53" s="259"/>
      <c r="V53" s="259"/>
      <c r="W53" s="259"/>
      <c r="X53" s="259"/>
      <c r="Y53" s="259"/>
      <c r="Z53" s="259"/>
    </row>
    <row r="54" customFormat="false" ht="12" hidden="false" customHeight="true" outlineLevel="0" collapsed="false">
      <c r="A54" s="259"/>
      <c r="B54" s="259"/>
      <c r="C54" s="259"/>
      <c r="D54" s="259"/>
      <c r="E54" s="259"/>
      <c r="F54" s="261"/>
      <c r="G54" s="259"/>
      <c r="H54" s="259"/>
      <c r="I54" s="259"/>
      <c r="J54" s="262"/>
      <c r="K54" s="259"/>
      <c r="L54" s="259"/>
      <c r="M54" s="259"/>
      <c r="N54" s="259"/>
      <c r="O54" s="259"/>
      <c r="P54" s="259"/>
      <c r="Q54" s="259"/>
      <c r="R54" s="259"/>
      <c r="S54" s="259"/>
      <c r="T54" s="259"/>
      <c r="U54" s="259"/>
      <c r="V54" s="259"/>
      <c r="W54" s="259"/>
      <c r="X54" s="259"/>
      <c r="Y54" s="259"/>
      <c r="Z54" s="259"/>
    </row>
    <row r="55" customFormat="false" ht="12" hidden="false" customHeight="true" outlineLevel="0" collapsed="false">
      <c r="A55" s="259"/>
      <c r="B55" s="259"/>
      <c r="C55" s="259"/>
      <c r="D55" s="259"/>
      <c r="E55" s="259"/>
      <c r="F55" s="261"/>
      <c r="G55" s="259"/>
      <c r="H55" s="259"/>
      <c r="I55" s="259"/>
      <c r="J55" s="262"/>
      <c r="K55" s="259"/>
      <c r="L55" s="259"/>
      <c r="M55" s="259"/>
      <c r="N55" s="259"/>
      <c r="O55" s="259"/>
      <c r="P55" s="259"/>
      <c r="Q55" s="259"/>
      <c r="R55" s="259"/>
      <c r="S55" s="259"/>
      <c r="T55" s="259"/>
      <c r="U55" s="259"/>
      <c r="V55" s="259"/>
      <c r="W55" s="259"/>
      <c r="X55" s="259"/>
      <c r="Y55" s="259"/>
      <c r="Z55" s="259"/>
    </row>
    <row r="56" customFormat="false" ht="12" hidden="false" customHeight="true" outlineLevel="0" collapsed="false">
      <c r="A56" s="259"/>
      <c r="B56" s="259"/>
      <c r="C56" s="259"/>
      <c r="D56" s="259"/>
      <c r="E56" s="259"/>
      <c r="F56" s="261"/>
      <c r="G56" s="259"/>
      <c r="H56" s="259"/>
      <c r="I56" s="259"/>
      <c r="J56" s="262"/>
      <c r="K56" s="259"/>
      <c r="L56" s="259"/>
      <c r="M56" s="259"/>
      <c r="N56" s="259"/>
      <c r="O56" s="259"/>
      <c r="P56" s="259"/>
      <c r="Q56" s="259"/>
      <c r="R56" s="259"/>
      <c r="S56" s="259"/>
      <c r="T56" s="259"/>
      <c r="U56" s="259"/>
      <c r="V56" s="259"/>
      <c r="W56" s="259"/>
      <c r="X56" s="259"/>
      <c r="Y56" s="259"/>
      <c r="Z56" s="259"/>
    </row>
    <row r="57" customFormat="false" ht="12" hidden="false" customHeight="true" outlineLevel="0" collapsed="false">
      <c r="A57" s="259"/>
      <c r="B57" s="259"/>
      <c r="C57" s="259"/>
      <c r="D57" s="259"/>
      <c r="E57" s="259"/>
      <c r="F57" s="261"/>
      <c r="G57" s="259"/>
      <c r="H57" s="259"/>
      <c r="I57" s="259"/>
      <c r="J57" s="262"/>
      <c r="K57" s="259"/>
      <c r="L57" s="259"/>
      <c r="M57" s="259"/>
      <c r="N57" s="259"/>
      <c r="O57" s="259"/>
      <c r="P57" s="259"/>
      <c r="Q57" s="259"/>
      <c r="R57" s="259"/>
      <c r="S57" s="259"/>
      <c r="T57" s="259"/>
      <c r="U57" s="259"/>
      <c r="V57" s="259"/>
      <c r="W57" s="259"/>
      <c r="X57" s="259"/>
      <c r="Y57" s="259"/>
      <c r="Z57" s="259"/>
    </row>
    <row r="58" customFormat="false" ht="12" hidden="false" customHeight="true" outlineLevel="0" collapsed="false">
      <c r="A58" s="259"/>
      <c r="B58" s="259"/>
      <c r="C58" s="259"/>
      <c r="D58" s="259"/>
      <c r="E58" s="259"/>
      <c r="F58" s="261"/>
      <c r="G58" s="259"/>
      <c r="H58" s="259"/>
      <c r="I58" s="259"/>
      <c r="J58" s="262"/>
      <c r="K58" s="259"/>
      <c r="L58" s="259"/>
      <c r="M58" s="259"/>
      <c r="N58" s="259"/>
      <c r="O58" s="259"/>
      <c r="P58" s="259"/>
      <c r="Q58" s="259"/>
      <c r="R58" s="259"/>
      <c r="S58" s="259"/>
      <c r="T58" s="259"/>
      <c r="U58" s="259"/>
      <c r="V58" s="259"/>
      <c r="W58" s="259"/>
      <c r="X58" s="259"/>
      <c r="Y58" s="259"/>
      <c r="Z58" s="259"/>
    </row>
    <row r="59" customFormat="false" ht="12" hidden="false" customHeight="true" outlineLevel="0" collapsed="false">
      <c r="A59" s="259"/>
      <c r="B59" s="259"/>
      <c r="C59" s="259"/>
      <c r="D59" s="259"/>
      <c r="E59" s="259"/>
      <c r="F59" s="261"/>
      <c r="G59" s="259"/>
      <c r="H59" s="259"/>
      <c r="I59" s="259"/>
      <c r="J59" s="262"/>
      <c r="K59" s="259"/>
      <c r="L59" s="259"/>
      <c r="M59" s="259"/>
      <c r="N59" s="259"/>
      <c r="O59" s="259"/>
      <c r="P59" s="259"/>
      <c r="Q59" s="259"/>
      <c r="R59" s="259"/>
      <c r="S59" s="259"/>
      <c r="T59" s="259"/>
      <c r="U59" s="259"/>
      <c r="V59" s="259"/>
      <c r="W59" s="259"/>
      <c r="X59" s="259"/>
      <c r="Y59" s="259"/>
      <c r="Z59" s="259"/>
    </row>
    <row r="60" customFormat="false" ht="12" hidden="false" customHeight="true" outlineLevel="0" collapsed="false">
      <c r="A60" s="259"/>
      <c r="B60" s="259"/>
      <c r="C60" s="259"/>
      <c r="D60" s="259"/>
      <c r="E60" s="259"/>
      <c r="F60" s="261"/>
      <c r="G60" s="259"/>
      <c r="H60" s="259"/>
      <c r="I60" s="259"/>
      <c r="J60" s="262"/>
      <c r="K60" s="259"/>
      <c r="L60" s="259"/>
      <c r="M60" s="259"/>
      <c r="N60" s="259"/>
      <c r="O60" s="259"/>
      <c r="P60" s="259"/>
      <c r="Q60" s="259"/>
      <c r="R60" s="259"/>
      <c r="S60" s="259"/>
      <c r="T60" s="259"/>
      <c r="U60" s="259"/>
      <c r="V60" s="259"/>
      <c r="W60" s="259"/>
      <c r="X60" s="259"/>
      <c r="Y60" s="259"/>
      <c r="Z60" s="259"/>
    </row>
    <row r="61" customFormat="false" ht="12" hidden="false" customHeight="true" outlineLevel="0" collapsed="false">
      <c r="A61" s="259"/>
      <c r="B61" s="259"/>
      <c r="C61" s="259"/>
      <c r="D61" s="259"/>
      <c r="E61" s="259"/>
      <c r="F61" s="261"/>
      <c r="G61" s="259"/>
      <c r="H61" s="259"/>
      <c r="I61" s="259"/>
      <c r="J61" s="262"/>
      <c r="K61" s="259"/>
      <c r="L61" s="259"/>
      <c r="M61" s="259"/>
      <c r="N61" s="259"/>
      <c r="O61" s="259"/>
      <c r="P61" s="259"/>
      <c r="Q61" s="259"/>
      <c r="R61" s="259"/>
      <c r="S61" s="259"/>
      <c r="T61" s="259"/>
      <c r="U61" s="259"/>
      <c r="V61" s="259"/>
      <c r="W61" s="259"/>
      <c r="X61" s="259"/>
      <c r="Y61" s="259"/>
      <c r="Z61" s="259"/>
    </row>
    <row r="62" customFormat="false" ht="12" hidden="false" customHeight="true" outlineLevel="0" collapsed="false">
      <c r="A62" s="259"/>
      <c r="B62" s="259"/>
      <c r="C62" s="259"/>
      <c r="D62" s="259"/>
      <c r="E62" s="259"/>
      <c r="F62" s="261"/>
      <c r="G62" s="259"/>
      <c r="H62" s="259"/>
      <c r="I62" s="259"/>
      <c r="J62" s="262"/>
      <c r="K62" s="259"/>
      <c r="L62" s="259"/>
      <c r="M62" s="259"/>
      <c r="N62" s="259"/>
      <c r="O62" s="259"/>
      <c r="P62" s="259"/>
      <c r="Q62" s="259"/>
      <c r="R62" s="259"/>
      <c r="S62" s="259"/>
      <c r="T62" s="259"/>
      <c r="U62" s="259"/>
      <c r="V62" s="259"/>
      <c r="W62" s="259"/>
      <c r="X62" s="259"/>
      <c r="Y62" s="259"/>
      <c r="Z62" s="259"/>
    </row>
    <row r="63" customFormat="false" ht="12" hidden="false" customHeight="true" outlineLevel="0" collapsed="false">
      <c r="A63" s="259"/>
      <c r="B63" s="259"/>
      <c r="C63" s="259"/>
      <c r="D63" s="259"/>
      <c r="E63" s="259"/>
      <c r="F63" s="261"/>
      <c r="G63" s="259"/>
      <c r="H63" s="259"/>
      <c r="I63" s="259"/>
      <c r="J63" s="262"/>
      <c r="K63" s="259"/>
      <c r="L63" s="259"/>
      <c r="M63" s="259"/>
      <c r="N63" s="259"/>
      <c r="O63" s="259"/>
      <c r="P63" s="259"/>
      <c r="Q63" s="259"/>
      <c r="R63" s="259"/>
      <c r="S63" s="259"/>
      <c r="T63" s="259"/>
      <c r="U63" s="259"/>
      <c r="V63" s="259"/>
      <c r="W63" s="259"/>
      <c r="X63" s="259"/>
      <c r="Y63" s="259"/>
      <c r="Z63" s="259"/>
    </row>
    <row r="64" customFormat="false" ht="12" hidden="false" customHeight="true" outlineLevel="0" collapsed="false">
      <c r="A64" s="259"/>
      <c r="B64" s="259"/>
      <c r="C64" s="259"/>
      <c r="D64" s="259"/>
      <c r="E64" s="259"/>
      <c r="F64" s="261"/>
      <c r="G64" s="259"/>
      <c r="H64" s="259"/>
      <c r="I64" s="259"/>
      <c r="J64" s="262"/>
      <c r="K64" s="259"/>
      <c r="L64" s="259"/>
      <c r="M64" s="259"/>
      <c r="N64" s="259"/>
      <c r="O64" s="259"/>
      <c r="P64" s="259"/>
      <c r="Q64" s="259"/>
      <c r="R64" s="259"/>
      <c r="S64" s="259"/>
      <c r="T64" s="259"/>
      <c r="U64" s="259"/>
      <c r="V64" s="259"/>
      <c r="W64" s="259"/>
      <c r="X64" s="259"/>
      <c r="Y64" s="259"/>
      <c r="Z64" s="259"/>
    </row>
    <row r="65" customFormat="false" ht="12" hidden="false" customHeight="true" outlineLevel="0" collapsed="false">
      <c r="A65" s="259"/>
      <c r="B65" s="259"/>
      <c r="C65" s="259"/>
      <c r="D65" s="259"/>
      <c r="E65" s="259"/>
      <c r="F65" s="261"/>
      <c r="G65" s="259"/>
      <c r="H65" s="259"/>
      <c r="I65" s="259"/>
      <c r="J65" s="262"/>
      <c r="K65" s="259"/>
      <c r="L65" s="259"/>
      <c r="M65" s="259"/>
      <c r="N65" s="259"/>
      <c r="O65" s="259"/>
      <c r="P65" s="259"/>
      <c r="Q65" s="259"/>
      <c r="R65" s="259"/>
      <c r="S65" s="259"/>
      <c r="T65" s="259"/>
      <c r="U65" s="259"/>
      <c r="V65" s="259"/>
      <c r="W65" s="259"/>
      <c r="X65" s="259"/>
      <c r="Y65" s="259"/>
      <c r="Z65" s="259"/>
    </row>
    <row r="66" customFormat="false" ht="12" hidden="false" customHeight="true" outlineLevel="0" collapsed="false">
      <c r="A66" s="259"/>
      <c r="B66" s="259"/>
      <c r="C66" s="259"/>
      <c r="D66" s="259"/>
      <c r="E66" s="259"/>
      <c r="F66" s="261"/>
      <c r="G66" s="259"/>
      <c r="H66" s="259"/>
      <c r="I66" s="259"/>
      <c r="J66" s="262"/>
      <c r="K66" s="259"/>
      <c r="L66" s="259"/>
      <c r="M66" s="259"/>
      <c r="N66" s="259"/>
      <c r="O66" s="259"/>
      <c r="P66" s="259"/>
      <c r="Q66" s="259"/>
      <c r="R66" s="259"/>
      <c r="S66" s="259"/>
      <c r="T66" s="259"/>
      <c r="U66" s="259"/>
      <c r="V66" s="259"/>
      <c r="W66" s="259"/>
      <c r="X66" s="259"/>
      <c r="Y66" s="259"/>
      <c r="Z66" s="259"/>
    </row>
    <row r="67" customFormat="false" ht="12" hidden="false" customHeight="true" outlineLevel="0" collapsed="false">
      <c r="A67" s="259"/>
      <c r="B67" s="259"/>
      <c r="C67" s="259"/>
      <c r="D67" s="259"/>
      <c r="E67" s="259"/>
      <c r="F67" s="261"/>
      <c r="G67" s="259"/>
      <c r="H67" s="259"/>
      <c r="I67" s="259"/>
      <c r="J67" s="262"/>
      <c r="K67" s="259"/>
      <c r="L67" s="259"/>
      <c r="M67" s="259"/>
      <c r="N67" s="259"/>
      <c r="O67" s="259"/>
      <c r="P67" s="259"/>
      <c r="Q67" s="259"/>
      <c r="R67" s="259"/>
      <c r="S67" s="259"/>
      <c r="T67" s="259"/>
      <c r="U67" s="259"/>
      <c r="V67" s="259"/>
      <c r="W67" s="259"/>
      <c r="X67" s="259"/>
      <c r="Y67" s="259"/>
      <c r="Z67" s="259"/>
    </row>
    <row r="68" customFormat="false" ht="12" hidden="false" customHeight="true" outlineLevel="0" collapsed="false">
      <c r="A68" s="259"/>
      <c r="B68" s="259"/>
      <c r="C68" s="259"/>
      <c r="D68" s="259"/>
      <c r="E68" s="259"/>
      <c r="F68" s="261"/>
      <c r="G68" s="259"/>
      <c r="H68" s="259"/>
      <c r="I68" s="259"/>
      <c r="J68" s="262"/>
      <c r="K68" s="259"/>
      <c r="L68" s="259"/>
      <c r="M68" s="259"/>
      <c r="N68" s="259"/>
      <c r="O68" s="259"/>
      <c r="P68" s="259"/>
      <c r="Q68" s="259"/>
      <c r="R68" s="259"/>
      <c r="S68" s="259"/>
      <c r="T68" s="259"/>
      <c r="U68" s="259"/>
      <c r="V68" s="259"/>
      <c r="W68" s="259"/>
      <c r="X68" s="259"/>
      <c r="Y68" s="259"/>
      <c r="Z68" s="259"/>
    </row>
    <row r="69" customFormat="false" ht="12" hidden="false" customHeight="true" outlineLevel="0" collapsed="false">
      <c r="A69" s="259"/>
      <c r="B69" s="259"/>
      <c r="C69" s="259"/>
      <c r="D69" s="259"/>
      <c r="E69" s="259"/>
      <c r="F69" s="261"/>
      <c r="G69" s="259"/>
      <c r="H69" s="259"/>
      <c r="I69" s="259"/>
      <c r="J69" s="262"/>
      <c r="K69" s="259"/>
      <c r="L69" s="259"/>
      <c r="M69" s="259"/>
      <c r="N69" s="259"/>
      <c r="O69" s="259"/>
      <c r="P69" s="259"/>
      <c r="Q69" s="259"/>
      <c r="R69" s="259"/>
      <c r="S69" s="259"/>
      <c r="T69" s="259"/>
      <c r="U69" s="259"/>
      <c r="V69" s="259"/>
      <c r="W69" s="259"/>
      <c r="X69" s="259"/>
      <c r="Y69" s="259"/>
      <c r="Z69" s="259"/>
    </row>
    <row r="70" customFormat="false" ht="12" hidden="false" customHeight="true" outlineLevel="0" collapsed="false">
      <c r="A70" s="259"/>
      <c r="B70" s="259"/>
      <c r="C70" s="259"/>
      <c r="D70" s="259"/>
      <c r="E70" s="259"/>
      <c r="F70" s="261"/>
      <c r="G70" s="259"/>
      <c r="H70" s="259"/>
      <c r="I70" s="259"/>
      <c r="J70" s="262"/>
      <c r="K70" s="259"/>
      <c r="L70" s="259"/>
      <c r="M70" s="259"/>
      <c r="N70" s="259"/>
      <c r="O70" s="259"/>
      <c r="P70" s="259"/>
      <c r="Q70" s="259"/>
      <c r="R70" s="259"/>
      <c r="S70" s="259"/>
      <c r="T70" s="259"/>
      <c r="U70" s="259"/>
      <c r="V70" s="259"/>
      <c r="W70" s="259"/>
      <c r="X70" s="259"/>
      <c r="Y70" s="259"/>
      <c r="Z70" s="259"/>
    </row>
    <row r="71" customFormat="false" ht="12" hidden="false" customHeight="true" outlineLevel="0" collapsed="false">
      <c r="A71" s="259"/>
      <c r="B71" s="259"/>
      <c r="C71" s="259"/>
      <c r="D71" s="259"/>
      <c r="E71" s="259"/>
      <c r="F71" s="261"/>
      <c r="G71" s="259"/>
      <c r="H71" s="259"/>
      <c r="I71" s="259"/>
      <c r="J71" s="262"/>
      <c r="K71" s="259"/>
      <c r="L71" s="259"/>
      <c r="M71" s="259"/>
      <c r="N71" s="259"/>
      <c r="O71" s="259"/>
      <c r="P71" s="259"/>
      <c r="Q71" s="259"/>
      <c r="R71" s="259"/>
      <c r="S71" s="259"/>
      <c r="T71" s="259"/>
      <c r="U71" s="259"/>
      <c r="V71" s="259"/>
      <c r="W71" s="259"/>
      <c r="X71" s="259"/>
      <c r="Y71" s="259"/>
      <c r="Z71" s="259"/>
    </row>
    <row r="72" customFormat="false" ht="12" hidden="false" customHeight="true" outlineLevel="0" collapsed="false">
      <c r="A72" s="259"/>
      <c r="B72" s="259"/>
      <c r="C72" s="259"/>
      <c r="D72" s="259"/>
      <c r="E72" s="259"/>
      <c r="F72" s="261"/>
      <c r="G72" s="259"/>
      <c r="H72" s="259"/>
      <c r="I72" s="259"/>
      <c r="J72" s="262"/>
      <c r="K72" s="259"/>
      <c r="L72" s="259"/>
      <c r="M72" s="259"/>
      <c r="N72" s="259"/>
      <c r="O72" s="259"/>
      <c r="P72" s="259"/>
      <c r="Q72" s="259"/>
      <c r="R72" s="259"/>
      <c r="S72" s="259"/>
      <c r="T72" s="259"/>
      <c r="U72" s="259"/>
      <c r="V72" s="259"/>
      <c r="W72" s="259"/>
      <c r="X72" s="259"/>
      <c r="Y72" s="259"/>
      <c r="Z72" s="259"/>
    </row>
    <row r="73" customFormat="false" ht="12" hidden="false" customHeight="true" outlineLevel="0" collapsed="false">
      <c r="A73" s="259"/>
      <c r="B73" s="259"/>
      <c r="C73" s="259"/>
      <c r="D73" s="259"/>
      <c r="E73" s="259"/>
      <c r="F73" s="261"/>
      <c r="G73" s="259"/>
      <c r="H73" s="259"/>
      <c r="I73" s="259"/>
      <c r="J73" s="262"/>
      <c r="K73" s="259"/>
      <c r="L73" s="259"/>
      <c r="M73" s="259"/>
      <c r="N73" s="259"/>
      <c r="O73" s="259"/>
      <c r="P73" s="259"/>
      <c r="Q73" s="259"/>
      <c r="R73" s="259"/>
      <c r="S73" s="259"/>
      <c r="T73" s="259"/>
      <c r="U73" s="259"/>
      <c r="V73" s="259"/>
      <c r="W73" s="259"/>
      <c r="X73" s="259"/>
      <c r="Y73" s="259"/>
      <c r="Z73" s="259"/>
    </row>
    <row r="74" customFormat="false" ht="12" hidden="false" customHeight="true" outlineLevel="0" collapsed="false">
      <c r="A74" s="259"/>
      <c r="B74" s="259"/>
      <c r="C74" s="259"/>
      <c r="D74" s="259"/>
      <c r="E74" s="259"/>
      <c r="F74" s="261"/>
      <c r="G74" s="259"/>
      <c r="H74" s="259"/>
      <c r="I74" s="259"/>
      <c r="J74" s="262"/>
      <c r="K74" s="259"/>
      <c r="L74" s="259"/>
      <c r="M74" s="259"/>
      <c r="N74" s="259"/>
      <c r="O74" s="259"/>
      <c r="P74" s="259"/>
      <c r="Q74" s="259"/>
      <c r="R74" s="259"/>
      <c r="S74" s="259"/>
      <c r="T74" s="259"/>
      <c r="U74" s="259"/>
      <c r="V74" s="259"/>
      <c r="W74" s="259"/>
      <c r="X74" s="259"/>
      <c r="Y74" s="259"/>
      <c r="Z74" s="259"/>
    </row>
    <row r="75" customFormat="false" ht="12" hidden="false" customHeight="true" outlineLevel="0" collapsed="false">
      <c r="A75" s="259"/>
      <c r="B75" s="259"/>
      <c r="C75" s="259"/>
      <c r="D75" s="259"/>
      <c r="E75" s="259"/>
      <c r="F75" s="261"/>
      <c r="G75" s="259"/>
      <c r="H75" s="259"/>
      <c r="I75" s="259"/>
      <c r="J75" s="262"/>
      <c r="K75" s="259"/>
      <c r="L75" s="259"/>
      <c r="M75" s="259"/>
      <c r="N75" s="259"/>
      <c r="O75" s="259"/>
      <c r="P75" s="259"/>
      <c r="Q75" s="259"/>
      <c r="R75" s="259"/>
      <c r="S75" s="259"/>
      <c r="T75" s="259"/>
      <c r="U75" s="259"/>
      <c r="V75" s="259"/>
      <c r="W75" s="259"/>
      <c r="X75" s="259"/>
      <c r="Y75" s="259"/>
      <c r="Z75" s="259"/>
    </row>
    <row r="76" customFormat="false" ht="12" hidden="false" customHeight="true" outlineLevel="0" collapsed="false">
      <c r="A76" s="259"/>
      <c r="B76" s="259"/>
      <c r="C76" s="259"/>
      <c r="D76" s="259"/>
      <c r="E76" s="259"/>
      <c r="F76" s="261"/>
      <c r="G76" s="259"/>
      <c r="H76" s="259"/>
      <c r="I76" s="259"/>
      <c r="J76" s="262"/>
      <c r="K76" s="259"/>
      <c r="L76" s="259"/>
      <c r="M76" s="259"/>
      <c r="N76" s="259"/>
      <c r="O76" s="259"/>
      <c r="P76" s="259"/>
      <c r="Q76" s="259"/>
      <c r="R76" s="259"/>
      <c r="S76" s="259"/>
      <c r="T76" s="259"/>
      <c r="U76" s="259"/>
      <c r="V76" s="259"/>
      <c r="W76" s="259"/>
      <c r="X76" s="259"/>
      <c r="Y76" s="259"/>
      <c r="Z76" s="259"/>
    </row>
    <row r="77" customFormat="false" ht="12" hidden="false" customHeight="true" outlineLevel="0" collapsed="false">
      <c r="A77" s="259"/>
      <c r="B77" s="259"/>
      <c r="C77" s="259"/>
      <c r="D77" s="259"/>
      <c r="E77" s="259"/>
      <c r="F77" s="261"/>
      <c r="G77" s="259"/>
      <c r="H77" s="259"/>
      <c r="I77" s="259"/>
      <c r="J77" s="262"/>
      <c r="K77" s="259"/>
      <c r="L77" s="259"/>
      <c r="M77" s="259"/>
      <c r="N77" s="259"/>
      <c r="O77" s="259"/>
      <c r="P77" s="259"/>
      <c r="Q77" s="259"/>
      <c r="R77" s="259"/>
      <c r="S77" s="259"/>
      <c r="T77" s="259"/>
      <c r="U77" s="259"/>
      <c r="V77" s="259"/>
      <c r="W77" s="259"/>
      <c r="X77" s="259"/>
      <c r="Y77" s="259"/>
      <c r="Z77" s="259"/>
    </row>
    <row r="78" customFormat="false" ht="12" hidden="false" customHeight="true" outlineLevel="0" collapsed="false">
      <c r="A78" s="259"/>
      <c r="B78" s="259"/>
      <c r="C78" s="259"/>
      <c r="D78" s="259"/>
      <c r="E78" s="259"/>
      <c r="F78" s="261"/>
      <c r="G78" s="259"/>
      <c r="H78" s="259"/>
      <c r="I78" s="259"/>
      <c r="J78" s="262"/>
      <c r="K78" s="259"/>
      <c r="L78" s="259"/>
      <c r="M78" s="259"/>
      <c r="N78" s="259"/>
      <c r="O78" s="259"/>
      <c r="P78" s="259"/>
      <c r="Q78" s="259"/>
      <c r="R78" s="259"/>
      <c r="S78" s="259"/>
      <c r="T78" s="259"/>
      <c r="U78" s="259"/>
      <c r="V78" s="259"/>
      <c r="W78" s="259"/>
      <c r="X78" s="259"/>
      <c r="Y78" s="259"/>
      <c r="Z78" s="259"/>
    </row>
    <row r="79" customFormat="false" ht="12" hidden="false" customHeight="true" outlineLevel="0" collapsed="false">
      <c r="A79" s="259"/>
      <c r="B79" s="259"/>
      <c r="C79" s="259"/>
      <c r="D79" s="259"/>
      <c r="E79" s="259"/>
      <c r="F79" s="261"/>
      <c r="G79" s="259"/>
      <c r="H79" s="259"/>
      <c r="I79" s="259"/>
      <c r="J79" s="262"/>
      <c r="K79" s="259"/>
      <c r="L79" s="259"/>
      <c r="M79" s="259"/>
      <c r="N79" s="259"/>
      <c r="O79" s="259"/>
      <c r="P79" s="259"/>
      <c r="Q79" s="259"/>
      <c r="R79" s="259"/>
      <c r="S79" s="259"/>
      <c r="T79" s="259"/>
      <c r="U79" s="259"/>
      <c r="V79" s="259"/>
      <c r="W79" s="259"/>
      <c r="X79" s="259"/>
      <c r="Y79" s="259"/>
      <c r="Z79" s="259"/>
    </row>
    <row r="80" customFormat="false" ht="12" hidden="false" customHeight="true" outlineLevel="0" collapsed="false">
      <c r="A80" s="259"/>
      <c r="B80" s="259"/>
      <c r="C80" s="259"/>
      <c r="D80" s="259"/>
      <c r="E80" s="259"/>
      <c r="F80" s="261"/>
      <c r="G80" s="259"/>
      <c r="H80" s="259"/>
      <c r="I80" s="259"/>
      <c r="J80" s="262"/>
      <c r="K80" s="259"/>
      <c r="L80" s="259"/>
      <c r="M80" s="259"/>
      <c r="N80" s="259"/>
      <c r="O80" s="259"/>
      <c r="P80" s="259"/>
      <c r="Q80" s="259"/>
      <c r="R80" s="259"/>
      <c r="S80" s="259"/>
      <c r="T80" s="259"/>
      <c r="U80" s="259"/>
      <c r="V80" s="259"/>
      <c r="W80" s="259"/>
      <c r="X80" s="259"/>
      <c r="Y80" s="259"/>
      <c r="Z80" s="259"/>
    </row>
    <row r="81" customFormat="false" ht="12" hidden="false" customHeight="true" outlineLevel="0" collapsed="false">
      <c r="A81" s="259"/>
      <c r="B81" s="259"/>
      <c r="C81" s="259"/>
      <c r="D81" s="259"/>
      <c r="E81" s="259"/>
      <c r="F81" s="261"/>
      <c r="G81" s="259"/>
      <c r="H81" s="259"/>
      <c r="I81" s="259"/>
      <c r="J81" s="262"/>
      <c r="K81" s="259"/>
      <c r="L81" s="259"/>
      <c r="M81" s="259"/>
      <c r="N81" s="259"/>
      <c r="O81" s="259"/>
      <c r="P81" s="259"/>
      <c r="Q81" s="259"/>
      <c r="R81" s="259"/>
      <c r="S81" s="259"/>
      <c r="T81" s="259"/>
      <c r="U81" s="259"/>
      <c r="V81" s="259"/>
      <c r="W81" s="259"/>
      <c r="X81" s="259"/>
      <c r="Y81" s="259"/>
      <c r="Z81" s="259"/>
    </row>
    <row r="82" customFormat="false" ht="12" hidden="false" customHeight="true" outlineLevel="0" collapsed="false">
      <c r="A82" s="259"/>
      <c r="B82" s="259"/>
      <c r="C82" s="259"/>
      <c r="D82" s="259"/>
      <c r="E82" s="259"/>
      <c r="F82" s="261"/>
      <c r="G82" s="259"/>
      <c r="H82" s="259"/>
      <c r="I82" s="259"/>
      <c r="J82" s="262"/>
      <c r="K82" s="259"/>
      <c r="L82" s="259"/>
      <c r="M82" s="259"/>
      <c r="N82" s="259"/>
      <c r="O82" s="259"/>
      <c r="P82" s="259"/>
      <c r="Q82" s="259"/>
      <c r="R82" s="259"/>
      <c r="S82" s="259"/>
      <c r="T82" s="259"/>
      <c r="U82" s="259"/>
      <c r="V82" s="259"/>
      <c r="W82" s="259"/>
      <c r="X82" s="259"/>
      <c r="Y82" s="259"/>
      <c r="Z82" s="259"/>
    </row>
    <row r="83" customFormat="false" ht="12" hidden="false" customHeight="true" outlineLevel="0" collapsed="false">
      <c r="A83" s="259"/>
      <c r="B83" s="259"/>
      <c r="C83" s="259"/>
      <c r="D83" s="259"/>
      <c r="E83" s="259"/>
      <c r="F83" s="261"/>
      <c r="G83" s="259"/>
      <c r="H83" s="259"/>
      <c r="I83" s="259"/>
      <c r="J83" s="262"/>
      <c r="K83" s="259"/>
      <c r="L83" s="259"/>
      <c r="M83" s="259"/>
      <c r="N83" s="259"/>
      <c r="O83" s="259"/>
      <c r="P83" s="259"/>
      <c r="Q83" s="259"/>
      <c r="R83" s="259"/>
      <c r="S83" s="259"/>
      <c r="T83" s="259"/>
      <c r="U83" s="259"/>
      <c r="V83" s="259"/>
      <c r="W83" s="259"/>
      <c r="X83" s="259"/>
      <c r="Y83" s="259"/>
      <c r="Z83" s="259"/>
    </row>
    <row r="84" customFormat="false" ht="12" hidden="false" customHeight="true" outlineLevel="0" collapsed="false">
      <c r="A84" s="259"/>
      <c r="B84" s="259"/>
      <c r="C84" s="259"/>
      <c r="D84" s="259"/>
      <c r="E84" s="259"/>
      <c r="F84" s="261"/>
      <c r="G84" s="259"/>
      <c r="H84" s="259"/>
      <c r="I84" s="259"/>
      <c r="J84" s="262"/>
      <c r="K84" s="259"/>
      <c r="L84" s="259"/>
      <c r="M84" s="259"/>
      <c r="N84" s="259"/>
      <c r="O84" s="259"/>
      <c r="P84" s="259"/>
      <c r="Q84" s="259"/>
      <c r="R84" s="259"/>
      <c r="S84" s="259"/>
      <c r="T84" s="259"/>
      <c r="U84" s="259"/>
      <c r="V84" s="259"/>
      <c r="W84" s="259"/>
      <c r="X84" s="259"/>
      <c r="Y84" s="259"/>
      <c r="Z84" s="259"/>
    </row>
    <row r="85" customFormat="false" ht="12" hidden="false" customHeight="true" outlineLevel="0" collapsed="false">
      <c r="A85" s="259"/>
      <c r="B85" s="259"/>
      <c r="C85" s="259"/>
      <c r="D85" s="259"/>
      <c r="E85" s="259"/>
      <c r="F85" s="261"/>
      <c r="G85" s="259"/>
      <c r="H85" s="259"/>
      <c r="I85" s="259"/>
      <c r="J85" s="262"/>
      <c r="K85" s="259"/>
      <c r="L85" s="259"/>
      <c r="M85" s="259"/>
      <c r="N85" s="259"/>
      <c r="O85" s="259"/>
      <c r="P85" s="259"/>
      <c r="Q85" s="259"/>
      <c r="R85" s="259"/>
      <c r="S85" s="259"/>
      <c r="T85" s="259"/>
      <c r="U85" s="259"/>
      <c r="V85" s="259"/>
      <c r="W85" s="259"/>
      <c r="X85" s="259"/>
      <c r="Y85" s="259"/>
      <c r="Z85" s="259"/>
    </row>
    <row r="86" customFormat="false" ht="12" hidden="false" customHeight="true" outlineLevel="0" collapsed="false">
      <c r="A86" s="259"/>
      <c r="B86" s="259"/>
      <c r="C86" s="259"/>
      <c r="D86" s="259"/>
      <c r="E86" s="259"/>
      <c r="F86" s="261"/>
      <c r="G86" s="259"/>
      <c r="H86" s="259"/>
      <c r="I86" s="259"/>
      <c r="J86" s="262"/>
      <c r="K86" s="259"/>
      <c r="L86" s="259"/>
      <c r="M86" s="259"/>
      <c r="N86" s="259"/>
      <c r="O86" s="259"/>
      <c r="P86" s="259"/>
      <c r="Q86" s="259"/>
      <c r="R86" s="259"/>
      <c r="S86" s="259"/>
      <c r="T86" s="259"/>
      <c r="U86" s="259"/>
      <c r="V86" s="259"/>
      <c r="W86" s="259"/>
      <c r="X86" s="259"/>
      <c r="Y86" s="259"/>
      <c r="Z86" s="259"/>
    </row>
    <row r="87" customFormat="false" ht="12" hidden="false" customHeight="true" outlineLevel="0" collapsed="false">
      <c r="A87" s="259"/>
      <c r="B87" s="259"/>
      <c r="C87" s="259"/>
      <c r="D87" s="259"/>
      <c r="E87" s="259"/>
      <c r="F87" s="261"/>
      <c r="G87" s="259"/>
      <c r="H87" s="259"/>
      <c r="I87" s="259"/>
      <c r="J87" s="262"/>
      <c r="K87" s="259"/>
      <c r="L87" s="259"/>
      <c r="M87" s="259"/>
      <c r="N87" s="259"/>
      <c r="O87" s="259"/>
      <c r="P87" s="259"/>
      <c r="Q87" s="259"/>
      <c r="R87" s="259"/>
      <c r="S87" s="259"/>
      <c r="T87" s="259"/>
      <c r="U87" s="259"/>
      <c r="V87" s="259"/>
      <c r="W87" s="259"/>
      <c r="X87" s="259"/>
      <c r="Y87" s="259"/>
      <c r="Z87" s="259"/>
    </row>
    <row r="88" customFormat="false" ht="12" hidden="false" customHeight="true" outlineLevel="0" collapsed="false">
      <c r="A88" s="259"/>
      <c r="B88" s="259"/>
      <c r="C88" s="259"/>
      <c r="D88" s="259"/>
      <c r="E88" s="259"/>
      <c r="F88" s="261"/>
      <c r="G88" s="259"/>
      <c r="H88" s="259"/>
      <c r="I88" s="259"/>
      <c r="J88" s="262"/>
      <c r="K88" s="259"/>
      <c r="L88" s="259"/>
      <c r="M88" s="259"/>
      <c r="N88" s="259"/>
      <c r="O88" s="259"/>
      <c r="P88" s="259"/>
      <c r="Q88" s="259"/>
      <c r="R88" s="259"/>
      <c r="S88" s="259"/>
      <c r="T88" s="259"/>
      <c r="U88" s="259"/>
      <c r="V88" s="259"/>
      <c r="W88" s="259"/>
      <c r="X88" s="259"/>
      <c r="Y88" s="259"/>
      <c r="Z88" s="259"/>
    </row>
    <row r="89" customFormat="false" ht="12" hidden="false" customHeight="true" outlineLevel="0" collapsed="false">
      <c r="A89" s="259"/>
      <c r="B89" s="259"/>
      <c r="C89" s="259"/>
      <c r="D89" s="259"/>
      <c r="E89" s="259"/>
      <c r="F89" s="261"/>
      <c r="G89" s="259"/>
      <c r="H89" s="259"/>
      <c r="I89" s="259"/>
      <c r="J89" s="262"/>
      <c r="K89" s="259"/>
      <c r="L89" s="259"/>
      <c r="M89" s="259"/>
      <c r="N89" s="259"/>
      <c r="O89" s="259"/>
      <c r="P89" s="259"/>
      <c r="Q89" s="259"/>
      <c r="R89" s="259"/>
      <c r="S89" s="259"/>
      <c r="T89" s="259"/>
      <c r="U89" s="259"/>
      <c r="V89" s="259"/>
      <c r="W89" s="259"/>
      <c r="X89" s="259"/>
      <c r="Y89" s="259"/>
      <c r="Z89" s="259"/>
    </row>
    <row r="90" customFormat="false" ht="12" hidden="false" customHeight="true" outlineLevel="0" collapsed="false">
      <c r="A90" s="259"/>
      <c r="B90" s="259"/>
      <c r="C90" s="259"/>
      <c r="D90" s="259"/>
      <c r="E90" s="259"/>
      <c r="F90" s="261"/>
      <c r="G90" s="259"/>
      <c r="H90" s="259"/>
      <c r="I90" s="259"/>
      <c r="J90" s="262"/>
      <c r="K90" s="259"/>
      <c r="L90" s="259"/>
      <c r="M90" s="259"/>
      <c r="N90" s="259"/>
      <c r="O90" s="259"/>
      <c r="P90" s="259"/>
      <c r="Q90" s="259"/>
      <c r="R90" s="259"/>
      <c r="S90" s="259"/>
      <c r="T90" s="259"/>
      <c r="U90" s="259"/>
      <c r="V90" s="259"/>
      <c r="W90" s="259"/>
      <c r="X90" s="259"/>
      <c r="Y90" s="259"/>
      <c r="Z90" s="259"/>
    </row>
    <row r="91" customFormat="false" ht="12" hidden="false" customHeight="true" outlineLevel="0" collapsed="false">
      <c r="A91" s="259"/>
      <c r="B91" s="259"/>
      <c r="C91" s="259"/>
      <c r="D91" s="259"/>
      <c r="E91" s="259"/>
      <c r="F91" s="261"/>
      <c r="G91" s="259"/>
      <c r="H91" s="259"/>
      <c r="I91" s="259"/>
      <c r="J91" s="262"/>
      <c r="K91" s="259"/>
      <c r="L91" s="259"/>
      <c r="M91" s="259"/>
      <c r="N91" s="259"/>
      <c r="O91" s="259"/>
      <c r="P91" s="259"/>
      <c r="Q91" s="259"/>
      <c r="R91" s="259"/>
      <c r="S91" s="259"/>
      <c r="T91" s="259"/>
      <c r="U91" s="259"/>
      <c r="V91" s="259"/>
      <c r="W91" s="259"/>
      <c r="X91" s="259"/>
      <c r="Y91" s="259"/>
      <c r="Z91" s="259"/>
    </row>
    <row r="92" customFormat="false" ht="12" hidden="false" customHeight="true" outlineLevel="0" collapsed="false">
      <c r="A92" s="259"/>
      <c r="B92" s="259"/>
      <c r="C92" s="259"/>
      <c r="D92" s="259"/>
      <c r="E92" s="259"/>
      <c r="F92" s="261"/>
      <c r="G92" s="259"/>
      <c r="H92" s="259"/>
      <c r="I92" s="259"/>
      <c r="J92" s="262"/>
      <c r="K92" s="259"/>
      <c r="L92" s="259"/>
      <c r="M92" s="259"/>
      <c r="N92" s="259"/>
      <c r="O92" s="259"/>
      <c r="P92" s="259"/>
      <c r="Q92" s="259"/>
      <c r="R92" s="259"/>
      <c r="S92" s="259"/>
      <c r="T92" s="259"/>
      <c r="U92" s="259"/>
      <c r="V92" s="259"/>
      <c r="W92" s="259"/>
      <c r="X92" s="259"/>
      <c r="Y92" s="259"/>
      <c r="Z92" s="259"/>
    </row>
    <row r="93" customFormat="false" ht="12" hidden="false" customHeight="true" outlineLevel="0" collapsed="false">
      <c r="A93" s="259"/>
      <c r="B93" s="259"/>
      <c r="C93" s="259"/>
      <c r="D93" s="259"/>
      <c r="E93" s="259"/>
      <c r="F93" s="261"/>
      <c r="G93" s="259"/>
      <c r="H93" s="259"/>
      <c r="I93" s="259"/>
      <c r="J93" s="262"/>
      <c r="K93" s="259"/>
      <c r="L93" s="259"/>
      <c r="M93" s="259"/>
      <c r="N93" s="259"/>
      <c r="O93" s="259"/>
      <c r="P93" s="259"/>
      <c r="Q93" s="259"/>
      <c r="R93" s="259"/>
      <c r="S93" s="259"/>
      <c r="T93" s="259"/>
      <c r="U93" s="259"/>
      <c r="V93" s="259"/>
      <c r="W93" s="259"/>
      <c r="X93" s="259"/>
      <c r="Y93" s="259"/>
      <c r="Z93" s="259"/>
    </row>
    <row r="94" customFormat="false" ht="12" hidden="false" customHeight="true" outlineLevel="0" collapsed="false">
      <c r="A94" s="259"/>
      <c r="B94" s="259"/>
      <c r="C94" s="259"/>
      <c r="D94" s="259"/>
      <c r="E94" s="259"/>
      <c r="F94" s="261"/>
      <c r="G94" s="259"/>
      <c r="H94" s="259"/>
      <c r="I94" s="259"/>
      <c r="J94" s="262"/>
      <c r="K94" s="259"/>
      <c r="L94" s="259"/>
      <c r="M94" s="259"/>
      <c r="N94" s="259"/>
      <c r="O94" s="259"/>
      <c r="P94" s="259"/>
      <c r="Q94" s="259"/>
      <c r="R94" s="259"/>
      <c r="S94" s="259"/>
      <c r="T94" s="259"/>
      <c r="U94" s="259"/>
      <c r="V94" s="259"/>
      <c r="W94" s="259"/>
      <c r="X94" s="259"/>
      <c r="Y94" s="259"/>
      <c r="Z94" s="259"/>
    </row>
    <row r="95" customFormat="false" ht="12" hidden="false" customHeight="true" outlineLevel="0" collapsed="false">
      <c r="A95" s="259"/>
      <c r="B95" s="259"/>
      <c r="C95" s="259"/>
      <c r="D95" s="259"/>
      <c r="E95" s="259"/>
      <c r="F95" s="261"/>
      <c r="G95" s="259"/>
      <c r="H95" s="259"/>
      <c r="I95" s="259"/>
      <c r="J95" s="262"/>
      <c r="K95" s="259"/>
      <c r="L95" s="259"/>
      <c r="M95" s="259"/>
      <c r="N95" s="259"/>
      <c r="O95" s="259"/>
      <c r="P95" s="259"/>
      <c r="Q95" s="259"/>
      <c r="R95" s="259"/>
      <c r="S95" s="259"/>
      <c r="T95" s="259"/>
      <c r="U95" s="259"/>
      <c r="V95" s="259"/>
      <c r="W95" s="259"/>
      <c r="X95" s="259"/>
      <c r="Y95" s="259"/>
      <c r="Z95" s="259"/>
    </row>
    <row r="96" customFormat="false" ht="12" hidden="false" customHeight="true" outlineLevel="0" collapsed="false">
      <c r="A96" s="259"/>
      <c r="B96" s="259"/>
      <c r="C96" s="259"/>
      <c r="D96" s="259"/>
      <c r="E96" s="259"/>
      <c r="F96" s="261"/>
      <c r="G96" s="259"/>
      <c r="H96" s="259"/>
      <c r="I96" s="259"/>
      <c r="J96" s="262"/>
      <c r="K96" s="259"/>
      <c r="L96" s="259"/>
      <c r="M96" s="259"/>
      <c r="N96" s="259"/>
      <c r="O96" s="259"/>
      <c r="P96" s="259"/>
      <c r="Q96" s="259"/>
      <c r="R96" s="259"/>
      <c r="S96" s="259"/>
      <c r="T96" s="259"/>
      <c r="U96" s="259"/>
      <c r="V96" s="259"/>
      <c r="W96" s="259"/>
      <c r="X96" s="259"/>
      <c r="Y96" s="259"/>
      <c r="Z96" s="259"/>
    </row>
    <row r="97" customFormat="false" ht="12" hidden="false" customHeight="true" outlineLevel="0" collapsed="false">
      <c r="A97" s="259"/>
      <c r="B97" s="259"/>
      <c r="C97" s="259"/>
      <c r="D97" s="259"/>
      <c r="E97" s="259"/>
      <c r="F97" s="261"/>
      <c r="G97" s="259"/>
      <c r="H97" s="259"/>
      <c r="I97" s="259"/>
      <c r="J97" s="262"/>
      <c r="K97" s="259"/>
      <c r="L97" s="259"/>
      <c r="M97" s="259"/>
      <c r="N97" s="259"/>
      <c r="O97" s="259"/>
      <c r="P97" s="259"/>
      <c r="Q97" s="259"/>
      <c r="R97" s="259"/>
      <c r="S97" s="259"/>
      <c r="T97" s="259"/>
      <c r="U97" s="259"/>
      <c r="V97" s="259"/>
      <c r="W97" s="259"/>
      <c r="X97" s="259"/>
      <c r="Y97" s="259"/>
      <c r="Z97" s="259"/>
    </row>
    <row r="98" customFormat="false" ht="12" hidden="false" customHeight="true" outlineLevel="0" collapsed="false">
      <c r="A98" s="259"/>
      <c r="B98" s="259"/>
      <c r="C98" s="259"/>
      <c r="D98" s="259"/>
      <c r="E98" s="259"/>
      <c r="F98" s="261"/>
      <c r="G98" s="259"/>
      <c r="H98" s="259"/>
      <c r="I98" s="259"/>
      <c r="J98" s="262"/>
      <c r="K98" s="259"/>
      <c r="L98" s="259"/>
      <c r="M98" s="259"/>
      <c r="N98" s="259"/>
      <c r="O98" s="259"/>
      <c r="P98" s="259"/>
      <c r="Q98" s="259"/>
      <c r="R98" s="259"/>
      <c r="S98" s="259"/>
      <c r="T98" s="259"/>
      <c r="U98" s="259"/>
      <c r="V98" s="259"/>
      <c r="W98" s="259"/>
      <c r="X98" s="259"/>
      <c r="Y98" s="259"/>
      <c r="Z98" s="259"/>
    </row>
    <row r="99" customFormat="false" ht="12" hidden="false" customHeight="true" outlineLevel="0" collapsed="false">
      <c r="A99" s="259"/>
      <c r="B99" s="259"/>
      <c r="C99" s="259"/>
      <c r="D99" s="259"/>
      <c r="E99" s="259"/>
      <c r="F99" s="261"/>
      <c r="G99" s="259"/>
      <c r="H99" s="259"/>
      <c r="I99" s="259"/>
      <c r="J99" s="262"/>
      <c r="K99" s="259"/>
      <c r="L99" s="259"/>
      <c r="M99" s="259"/>
      <c r="N99" s="259"/>
      <c r="O99" s="259"/>
      <c r="P99" s="259"/>
      <c r="Q99" s="259"/>
      <c r="R99" s="259"/>
      <c r="S99" s="259"/>
      <c r="T99" s="259"/>
      <c r="U99" s="259"/>
      <c r="V99" s="259"/>
      <c r="W99" s="259"/>
      <c r="X99" s="259"/>
      <c r="Y99" s="259"/>
      <c r="Z99" s="259"/>
    </row>
    <row r="100" customFormat="false" ht="12" hidden="false" customHeight="true" outlineLevel="0" collapsed="false">
      <c r="A100" s="259"/>
      <c r="B100" s="259"/>
      <c r="C100" s="259"/>
      <c r="D100" s="259"/>
      <c r="E100" s="259"/>
      <c r="F100" s="261"/>
      <c r="G100" s="259"/>
      <c r="H100" s="259"/>
      <c r="I100" s="259"/>
      <c r="J100" s="262"/>
      <c r="K100" s="259"/>
      <c r="L100" s="259"/>
      <c r="M100" s="259"/>
      <c r="N100" s="259"/>
      <c r="O100" s="259"/>
      <c r="P100" s="259"/>
      <c r="Q100" s="259"/>
      <c r="R100" s="259"/>
      <c r="S100" s="259"/>
      <c r="T100" s="259"/>
      <c r="U100" s="259"/>
      <c r="V100" s="259"/>
      <c r="W100" s="259"/>
      <c r="X100" s="259"/>
      <c r="Y100" s="259"/>
      <c r="Z100" s="259"/>
    </row>
    <row r="101" customFormat="false" ht="12" hidden="false" customHeight="true" outlineLevel="0" collapsed="false">
      <c r="A101" s="259"/>
      <c r="B101" s="259"/>
      <c r="C101" s="259"/>
      <c r="D101" s="259"/>
      <c r="E101" s="259"/>
      <c r="F101" s="261"/>
      <c r="G101" s="259"/>
      <c r="H101" s="259"/>
      <c r="I101" s="259"/>
      <c r="J101" s="262"/>
      <c r="K101" s="259"/>
      <c r="L101" s="259"/>
      <c r="M101" s="259"/>
      <c r="N101" s="259"/>
      <c r="O101" s="259"/>
      <c r="P101" s="259"/>
      <c r="Q101" s="259"/>
      <c r="R101" s="259"/>
      <c r="S101" s="259"/>
      <c r="T101" s="259"/>
      <c r="U101" s="259"/>
      <c r="V101" s="259"/>
      <c r="W101" s="259"/>
      <c r="X101" s="259"/>
      <c r="Y101" s="259"/>
      <c r="Z101" s="259"/>
    </row>
    <row r="102" customFormat="false" ht="12" hidden="false" customHeight="true" outlineLevel="0" collapsed="false">
      <c r="A102" s="259"/>
      <c r="B102" s="259"/>
      <c r="C102" s="259"/>
      <c r="D102" s="259"/>
      <c r="E102" s="259"/>
      <c r="F102" s="261"/>
      <c r="G102" s="259"/>
      <c r="H102" s="259"/>
      <c r="I102" s="259"/>
      <c r="J102" s="262"/>
      <c r="K102" s="259"/>
      <c r="L102" s="259"/>
      <c r="M102" s="259"/>
      <c r="N102" s="259"/>
      <c r="O102" s="259"/>
      <c r="P102" s="259"/>
      <c r="Q102" s="259"/>
      <c r="R102" s="259"/>
      <c r="S102" s="259"/>
      <c r="T102" s="259"/>
      <c r="U102" s="259"/>
      <c r="V102" s="259"/>
      <c r="W102" s="259"/>
      <c r="X102" s="259"/>
      <c r="Y102" s="259"/>
      <c r="Z102" s="259"/>
    </row>
    <row r="103" customFormat="false" ht="12" hidden="false" customHeight="true" outlineLevel="0" collapsed="false">
      <c r="A103" s="259"/>
      <c r="B103" s="259"/>
      <c r="C103" s="259"/>
      <c r="D103" s="259"/>
      <c r="E103" s="259"/>
      <c r="F103" s="261"/>
      <c r="G103" s="259"/>
      <c r="H103" s="259"/>
      <c r="I103" s="259"/>
      <c r="J103" s="262"/>
      <c r="K103" s="259"/>
      <c r="L103" s="259"/>
      <c r="M103" s="259"/>
      <c r="N103" s="259"/>
      <c r="O103" s="259"/>
      <c r="P103" s="259"/>
      <c r="Q103" s="259"/>
      <c r="R103" s="259"/>
      <c r="S103" s="259"/>
      <c r="T103" s="259"/>
      <c r="U103" s="259"/>
      <c r="V103" s="259"/>
      <c r="W103" s="259"/>
      <c r="X103" s="259"/>
      <c r="Y103" s="259"/>
      <c r="Z103" s="259"/>
    </row>
    <row r="104" customFormat="false" ht="12" hidden="false" customHeight="true" outlineLevel="0" collapsed="false">
      <c r="A104" s="259"/>
      <c r="B104" s="259"/>
      <c r="C104" s="259"/>
      <c r="D104" s="259"/>
      <c r="E104" s="259"/>
      <c r="F104" s="261"/>
      <c r="G104" s="259"/>
      <c r="H104" s="259"/>
      <c r="I104" s="259"/>
      <c r="J104" s="262"/>
      <c r="K104" s="259"/>
      <c r="L104" s="259"/>
      <c r="M104" s="259"/>
      <c r="N104" s="259"/>
      <c r="O104" s="259"/>
      <c r="P104" s="259"/>
      <c r="Q104" s="259"/>
      <c r="R104" s="259"/>
      <c r="S104" s="259"/>
      <c r="T104" s="259"/>
      <c r="U104" s="259"/>
      <c r="V104" s="259"/>
      <c r="W104" s="259"/>
      <c r="X104" s="259"/>
      <c r="Y104" s="259"/>
      <c r="Z104" s="259"/>
    </row>
    <row r="105" customFormat="false" ht="12" hidden="false" customHeight="true" outlineLevel="0" collapsed="false">
      <c r="A105" s="259"/>
      <c r="B105" s="259"/>
      <c r="C105" s="259"/>
      <c r="D105" s="259"/>
      <c r="E105" s="259"/>
      <c r="F105" s="261"/>
      <c r="G105" s="259"/>
      <c r="H105" s="259"/>
      <c r="I105" s="259"/>
      <c r="J105" s="262"/>
      <c r="K105" s="259"/>
      <c r="L105" s="259"/>
      <c r="M105" s="259"/>
      <c r="N105" s="259"/>
      <c r="O105" s="259"/>
      <c r="P105" s="259"/>
      <c r="Q105" s="259"/>
      <c r="R105" s="259"/>
      <c r="S105" s="259"/>
      <c r="T105" s="259"/>
      <c r="U105" s="259"/>
      <c r="V105" s="259"/>
      <c r="W105" s="259"/>
      <c r="X105" s="259"/>
      <c r="Y105" s="259"/>
      <c r="Z105" s="259"/>
    </row>
    <row r="106" customFormat="false" ht="12" hidden="false" customHeight="true" outlineLevel="0" collapsed="false">
      <c r="A106" s="259"/>
      <c r="B106" s="259"/>
      <c r="C106" s="259"/>
      <c r="D106" s="259"/>
      <c r="E106" s="259"/>
      <c r="F106" s="261"/>
      <c r="G106" s="259"/>
      <c r="H106" s="259"/>
      <c r="I106" s="259"/>
      <c r="J106" s="262"/>
      <c r="K106" s="259"/>
      <c r="L106" s="259"/>
      <c r="M106" s="259"/>
      <c r="N106" s="259"/>
      <c r="O106" s="259"/>
      <c r="P106" s="259"/>
      <c r="Q106" s="259"/>
      <c r="R106" s="259"/>
      <c r="S106" s="259"/>
      <c r="T106" s="259"/>
      <c r="U106" s="259"/>
      <c r="V106" s="259"/>
      <c r="W106" s="259"/>
      <c r="X106" s="259"/>
      <c r="Y106" s="259"/>
      <c r="Z106" s="259"/>
    </row>
    <row r="107" customFormat="false" ht="12" hidden="false" customHeight="true" outlineLevel="0" collapsed="false">
      <c r="A107" s="259"/>
      <c r="B107" s="259"/>
      <c r="C107" s="259"/>
      <c r="D107" s="259"/>
      <c r="E107" s="259"/>
      <c r="F107" s="261"/>
      <c r="G107" s="259"/>
      <c r="H107" s="259"/>
      <c r="I107" s="259"/>
      <c r="J107" s="262"/>
      <c r="K107" s="259"/>
      <c r="L107" s="259"/>
      <c r="M107" s="259"/>
      <c r="N107" s="259"/>
      <c r="O107" s="259"/>
      <c r="P107" s="259"/>
      <c r="Q107" s="259"/>
      <c r="R107" s="259"/>
      <c r="S107" s="259"/>
      <c r="T107" s="259"/>
      <c r="U107" s="259"/>
      <c r="V107" s="259"/>
      <c r="W107" s="259"/>
      <c r="X107" s="259"/>
      <c r="Y107" s="259"/>
      <c r="Z107" s="259"/>
    </row>
    <row r="108" customFormat="false" ht="12" hidden="false" customHeight="true" outlineLevel="0" collapsed="false">
      <c r="A108" s="259"/>
      <c r="B108" s="259"/>
      <c r="C108" s="259"/>
      <c r="D108" s="259"/>
      <c r="E108" s="259"/>
      <c r="F108" s="261"/>
      <c r="G108" s="259"/>
      <c r="H108" s="259"/>
      <c r="I108" s="259"/>
      <c r="J108" s="262"/>
      <c r="K108" s="259"/>
      <c r="L108" s="259"/>
      <c r="M108" s="259"/>
      <c r="N108" s="259"/>
      <c r="O108" s="259"/>
      <c r="P108" s="259"/>
      <c r="Q108" s="259"/>
      <c r="R108" s="259"/>
      <c r="S108" s="259"/>
      <c r="T108" s="259"/>
      <c r="U108" s="259"/>
      <c r="V108" s="259"/>
      <c r="W108" s="259"/>
      <c r="X108" s="259"/>
      <c r="Y108" s="259"/>
      <c r="Z108" s="259"/>
    </row>
    <row r="109" customFormat="false" ht="12" hidden="false" customHeight="true" outlineLevel="0" collapsed="false">
      <c r="A109" s="259"/>
      <c r="B109" s="259"/>
      <c r="C109" s="259"/>
      <c r="D109" s="259"/>
      <c r="E109" s="259"/>
      <c r="F109" s="261"/>
      <c r="G109" s="259"/>
      <c r="H109" s="259"/>
      <c r="I109" s="259"/>
      <c r="J109" s="262"/>
      <c r="K109" s="259"/>
      <c r="L109" s="259"/>
      <c r="M109" s="259"/>
      <c r="N109" s="259"/>
      <c r="O109" s="259"/>
      <c r="P109" s="259"/>
      <c r="Q109" s="259"/>
      <c r="R109" s="259"/>
      <c r="S109" s="259"/>
      <c r="T109" s="259"/>
      <c r="U109" s="259"/>
      <c r="V109" s="259"/>
      <c r="W109" s="259"/>
      <c r="X109" s="259"/>
      <c r="Y109" s="259"/>
      <c r="Z109" s="259"/>
    </row>
    <row r="110" customFormat="false" ht="12" hidden="false" customHeight="true" outlineLevel="0" collapsed="false">
      <c r="A110" s="259"/>
      <c r="B110" s="259"/>
      <c r="C110" s="259"/>
      <c r="D110" s="259"/>
      <c r="E110" s="259"/>
      <c r="F110" s="261"/>
      <c r="G110" s="259"/>
      <c r="H110" s="259"/>
      <c r="I110" s="259"/>
      <c r="J110" s="262"/>
      <c r="K110" s="259"/>
      <c r="L110" s="259"/>
      <c r="M110" s="259"/>
      <c r="N110" s="259"/>
      <c r="O110" s="259"/>
      <c r="P110" s="259"/>
      <c r="Q110" s="259"/>
      <c r="R110" s="259"/>
      <c r="S110" s="259"/>
      <c r="T110" s="259"/>
      <c r="U110" s="259"/>
      <c r="V110" s="259"/>
      <c r="W110" s="259"/>
      <c r="X110" s="259"/>
      <c r="Y110" s="259"/>
      <c r="Z110" s="259"/>
    </row>
    <row r="111" customFormat="false" ht="12" hidden="false" customHeight="true" outlineLevel="0" collapsed="false">
      <c r="A111" s="259"/>
      <c r="B111" s="259"/>
      <c r="C111" s="259"/>
      <c r="D111" s="259"/>
      <c r="E111" s="259"/>
      <c r="F111" s="261"/>
      <c r="G111" s="259"/>
      <c r="H111" s="259"/>
      <c r="I111" s="259"/>
      <c r="J111" s="262"/>
      <c r="K111" s="259"/>
      <c r="L111" s="259"/>
      <c r="M111" s="259"/>
      <c r="N111" s="259"/>
      <c r="O111" s="259"/>
      <c r="P111" s="259"/>
      <c r="Q111" s="259"/>
      <c r="R111" s="259"/>
      <c r="S111" s="259"/>
      <c r="T111" s="259"/>
      <c r="U111" s="259"/>
      <c r="V111" s="259"/>
      <c r="W111" s="259"/>
      <c r="X111" s="259"/>
      <c r="Y111" s="259"/>
      <c r="Z111" s="259"/>
    </row>
    <row r="112" customFormat="false" ht="12" hidden="false" customHeight="true" outlineLevel="0" collapsed="false">
      <c r="A112" s="259"/>
      <c r="B112" s="259"/>
      <c r="C112" s="259"/>
      <c r="D112" s="259"/>
      <c r="E112" s="259"/>
      <c r="F112" s="261"/>
      <c r="G112" s="259"/>
      <c r="H112" s="259"/>
      <c r="I112" s="259"/>
      <c r="J112" s="262"/>
      <c r="K112" s="259"/>
      <c r="L112" s="259"/>
      <c r="M112" s="259"/>
      <c r="N112" s="259"/>
      <c r="O112" s="259"/>
      <c r="P112" s="259"/>
      <c r="Q112" s="259"/>
      <c r="R112" s="259"/>
      <c r="S112" s="259"/>
      <c r="T112" s="259"/>
      <c r="U112" s="259"/>
      <c r="V112" s="259"/>
      <c r="W112" s="259"/>
      <c r="X112" s="259"/>
      <c r="Y112" s="259"/>
      <c r="Z112" s="259"/>
    </row>
    <row r="113" customFormat="false" ht="12" hidden="false" customHeight="true" outlineLevel="0" collapsed="false">
      <c r="A113" s="259"/>
      <c r="B113" s="259"/>
      <c r="C113" s="259"/>
      <c r="D113" s="259"/>
      <c r="E113" s="259"/>
      <c r="F113" s="261"/>
      <c r="G113" s="259"/>
      <c r="H113" s="259"/>
      <c r="I113" s="259"/>
      <c r="J113" s="262"/>
      <c r="K113" s="259"/>
      <c r="L113" s="259"/>
      <c r="M113" s="259"/>
      <c r="N113" s="259"/>
      <c r="O113" s="259"/>
      <c r="P113" s="259"/>
      <c r="Q113" s="259"/>
      <c r="R113" s="259"/>
      <c r="S113" s="259"/>
      <c r="T113" s="259"/>
      <c r="U113" s="259"/>
      <c r="V113" s="259"/>
      <c r="W113" s="259"/>
      <c r="X113" s="259"/>
      <c r="Y113" s="259"/>
      <c r="Z113" s="259"/>
    </row>
    <row r="114" customFormat="false" ht="12" hidden="false" customHeight="true" outlineLevel="0" collapsed="false">
      <c r="A114" s="259"/>
      <c r="B114" s="259"/>
      <c r="C114" s="259"/>
      <c r="D114" s="259"/>
      <c r="E114" s="259"/>
      <c r="F114" s="261"/>
      <c r="G114" s="259"/>
      <c r="H114" s="259"/>
      <c r="I114" s="259"/>
      <c r="J114" s="262"/>
      <c r="K114" s="259"/>
      <c r="L114" s="259"/>
      <c r="M114" s="259"/>
      <c r="N114" s="259"/>
      <c r="O114" s="259"/>
      <c r="P114" s="259"/>
      <c r="Q114" s="259"/>
      <c r="R114" s="259"/>
      <c r="S114" s="259"/>
      <c r="T114" s="259"/>
      <c r="U114" s="259"/>
      <c r="V114" s="259"/>
      <c r="W114" s="259"/>
      <c r="X114" s="259"/>
      <c r="Y114" s="259"/>
      <c r="Z114" s="259"/>
    </row>
    <row r="115" customFormat="false" ht="12" hidden="false" customHeight="true" outlineLevel="0" collapsed="false">
      <c r="A115" s="259"/>
      <c r="B115" s="259"/>
      <c r="C115" s="259"/>
      <c r="D115" s="259"/>
      <c r="E115" s="259"/>
      <c r="F115" s="261"/>
      <c r="G115" s="259"/>
      <c r="H115" s="259"/>
      <c r="I115" s="259"/>
      <c r="J115" s="262"/>
      <c r="K115" s="259"/>
      <c r="L115" s="259"/>
      <c r="M115" s="259"/>
      <c r="N115" s="259"/>
      <c r="O115" s="259"/>
      <c r="P115" s="259"/>
      <c r="Q115" s="259"/>
      <c r="R115" s="259"/>
      <c r="S115" s="259"/>
      <c r="T115" s="259"/>
      <c r="U115" s="259"/>
      <c r="V115" s="259"/>
      <c r="W115" s="259"/>
      <c r="X115" s="259"/>
      <c r="Y115" s="259"/>
      <c r="Z115" s="259"/>
    </row>
    <row r="116" customFormat="false" ht="12" hidden="false" customHeight="true" outlineLevel="0" collapsed="false">
      <c r="A116" s="259"/>
      <c r="B116" s="259"/>
      <c r="C116" s="259"/>
      <c r="D116" s="259"/>
      <c r="E116" s="259"/>
      <c r="F116" s="261"/>
      <c r="G116" s="259"/>
      <c r="H116" s="259"/>
      <c r="I116" s="259"/>
      <c r="J116" s="262"/>
      <c r="K116" s="259"/>
      <c r="L116" s="259"/>
      <c r="M116" s="259"/>
      <c r="N116" s="259"/>
      <c r="O116" s="259"/>
      <c r="P116" s="259"/>
      <c r="Q116" s="259"/>
      <c r="R116" s="259"/>
      <c r="S116" s="259"/>
      <c r="T116" s="259"/>
      <c r="U116" s="259"/>
      <c r="V116" s="259"/>
      <c r="W116" s="259"/>
      <c r="X116" s="259"/>
      <c r="Y116" s="259"/>
      <c r="Z116" s="259"/>
    </row>
    <row r="117" customFormat="false" ht="12" hidden="false" customHeight="true" outlineLevel="0" collapsed="false">
      <c r="A117" s="259"/>
      <c r="B117" s="259"/>
      <c r="C117" s="259"/>
      <c r="D117" s="259"/>
      <c r="E117" s="259"/>
      <c r="F117" s="261"/>
      <c r="G117" s="259"/>
      <c r="H117" s="259"/>
      <c r="I117" s="259"/>
      <c r="J117" s="262"/>
      <c r="K117" s="259"/>
      <c r="L117" s="259"/>
      <c r="M117" s="259"/>
      <c r="N117" s="259"/>
      <c r="O117" s="259"/>
      <c r="P117" s="259"/>
      <c r="Q117" s="259"/>
      <c r="R117" s="259"/>
      <c r="S117" s="259"/>
      <c r="T117" s="259"/>
      <c r="U117" s="259"/>
      <c r="V117" s="259"/>
      <c r="W117" s="259"/>
      <c r="X117" s="259"/>
      <c r="Y117" s="259"/>
      <c r="Z117" s="259"/>
    </row>
    <row r="118" customFormat="false" ht="12" hidden="false" customHeight="true" outlineLevel="0" collapsed="false">
      <c r="A118" s="259"/>
      <c r="B118" s="259"/>
      <c r="C118" s="259"/>
      <c r="D118" s="259"/>
      <c r="E118" s="259"/>
      <c r="F118" s="261"/>
      <c r="G118" s="259"/>
      <c r="H118" s="259"/>
      <c r="I118" s="259"/>
      <c r="J118" s="262"/>
      <c r="K118" s="259"/>
      <c r="L118" s="259"/>
      <c r="M118" s="259"/>
      <c r="N118" s="259"/>
      <c r="O118" s="259"/>
      <c r="P118" s="259"/>
      <c r="Q118" s="259"/>
      <c r="R118" s="259"/>
      <c r="S118" s="259"/>
      <c r="T118" s="259"/>
      <c r="U118" s="259"/>
      <c r="V118" s="259"/>
      <c r="W118" s="259"/>
      <c r="X118" s="259"/>
      <c r="Y118" s="259"/>
      <c r="Z118" s="259"/>
    </row>
    <row r="119" customFormat="false" ht="12" hidden="false" customHeight="true" outlineLevel="0" collapsed="false">
      <c r="A119" s="259"/>
      <c r="B119" s="259"/>
      <c r="C119" s="259"/>
      <c r="D119" s="259"/>
      <c r="E119" s="259"/>
      <c r="F119" s="261"/>
      <c r="G119" s="259"/>
      <c r="H119" s="259"/>
      <c r="I119" s="259"/>
      <c r="J119" s="262"/>
      <c r="K119" s="259"/>
      <c r="L119" s="259"/>
      <c r="M119" s="259"/>
      <c r="N119" s="259"/>
      <c r="O119" s="259"/>
      <c r="P119" s="259"/>
      <c r="Q119" s="259"/>
      <c r="R119" s="259"/>
      <c r="S119" s="259"/>
      <c r="T119" s="259"/>
      <c r="U119" s="259"/>
      <c r="V119" s="259"/>
      <c r="W119" s="259"/>
      <c r="X119" s="259"/>
      <c r="Y119" s="259"/>
      <c r="Z119" s="259"/>
    </row>
    <row r="120" customFormat="false" ht="12" hidden="false" customHeight="true" outlineLevel="0" collapsed="false">
      <c r="A120" s="259"/>
      <c r="B120" s="259"/>
      <c r="C120" s="259"/>
      <c r="D120" s="259"/>
      <c r="E120" s="259"/>
      <c r="F120" s="261"/>
      <c r="G120" s="259"/>
      <c r="H120" s="259"/>
      <c r="I120" s="259"/>
      <c r="J120" s="262"/>
      <c r="K120" s="259"/>
      <c r="L120" s="259"/>
      <c r="M120" s="259"/>
      <c r="N120" s="259"/>
      <c r="O120" s="259"/>
      <c r="P120" s="259"/>
      <c r="Q120" s="259"/>
      <c r="R120" s="259"/>
      <c r="S120" s="259"/>
      <c r="T120" s="259"/>
      <c r="U120" s="259"/>
      <c r="V120" s="259"/>
      <c r="W120" s="259"/>
      <c r="X120" s="259"/>
      <c r="Y120" s="259"/>
      <c r="Z120" s="259"/>
    </row>
    <row r="121" customFormat="false" ht="12" hidden="false" customHeight="true" outlineLevel="0" collapsed="false">
      <c r="A121" s="259"/>
      <c r="B121" s="259"/>
      <c r="C121" s="259"/>
      <c r="D121" s="259"/>
      <c r="E121" s="259"/>
      <c r="F121" s="261"/>
      <c r="G121" s="259"/>
      <c r="H121" s="259"/>
      <c r="I121" s="259"/>
      <c r="J121" s="262"/>
      <c r="K121" s="259"/>
      <c r="L121" s="259"/>
      <c r="M121" s="259"/>
      <c r="N121" s="259"/>
      <c r="O121" s="259"/>
      <c r="P121" s="259"/>
      <c r="Q121" s="259"/>
      <c r="R121" s="259"/>
      <c r="S121" s="259"/>
      <c r="T121" s="259"/>
      <c r="U121" s="259"/>
      <c r="V121" s="259"/>
      <c r="W121" s="259"/>
      <c r="X121" s="259"/>
      <c r="Y121" s="259"/>
      <c r="Z121" s="259"/>
    </row>
    <row r="122" customFormat="false" ht="12" hidden="false" customHeight="true" outlineLevel="0" collapsed="false">
      <c r="A122" s="259"/>
      <c r="B122" s="259"/>
      <c r="C122" s="259"/>
      <c r="D122" s="259"/>
      <c r="E122" s="259"/>
      <c r="F122" s="261"/>
      <c r="G122" s="259"/>
      <c r="H122" s="259"/>
      <c r="I122" s="259"/>
      <c r="J122" s="262"/>
      <c r="K122" s="259"/>
      <c r="L122" s="259"/>
      <c r="M122" s="259"/>
      <c r="N122" s="259"/>
      <c r="O122" s="259"/>
      <c r="P122" s="259"/>
      <c r="Q122" s="259"/>
      <c r="R122" s="259"/>
      <c r="S122" s="259"/>
      <c r="T122" s="259"/>
      <c r="U122" s="259"/>
      <c r="V122" s="259"/>
      <c r="W122" s="259"/>
      <c r="X122" s="259"/>
      <c r="Y122" s="259"/>
      <c r="Z122" s="259"/>
    </row>
    <row r="123" customFormat="false" ht="12" hidden="false" customHeight="true" outlineLevel="0" collapsed="false">
      <c r="A123" s="259"/>
      <c r="B123" s="259"/>
      <c r="C123" s="259"/>
      <c r="D123" s="259"/>
      <c r="E123" s="259"/>
      <c r="F123" s="261"/>
      <c r="G123" s="259"/>
      <c r="H123" s="259"/>
      <c r="I123" s="259"/>
      <c r="J123" s="262"/>
      <c r="K123" s="259"/>
      <c r="L123" s="259"/>
      <c r="M123" s="259"/>
      <c r="N123" s="259"/>
      <c r="O123" s="259"/>
      <c r="P123" s="259"/>
      <c r="Q123" s="259"/>
      <c r="R123" s="259"/>
      <c r="S123" s="259"/>
      <c r="T123" s="259"/>
      <c r="U123" s="259"/>
      <c r="V123" s="259"/>
      <c r="W123" s="259"/>
      <c r="X123" s="259"/>
      <c r="Y123" s="259"/>
      <c r="Z123" s="259"/>
    </row>
    <row r="124" customFormat="false" ht="12" hidden="false" customHeight="true" outlineLevel="0" collapsed="false">
      <c r="A124" s="259"/>
      <c r="B124" s="259"/>
      <c r="C124" s="259"/>
      <c r="D124" s="259"/>
      <c r="E124" s="259"/>
      <c r="F124" s="261"/>
      <c r="G124" s="259"/>
      <c r="H124" s="259"/>
      <c r="I124" s="259"/>
      <c r="J124" s="262"/>
      <c r="K124" s="259"/>
      <c r="L124" s="259"/>
      <c r="M124" s="259"/>
      <c r="N124" s="259"/>
      <c r="O124" s="259"/>
      <c r="P124" s="259"/>
      <c r="Q124" s="259"/>
      <c r="R124" s="259"/>
      <c r="S124" s="259"/>
      <c r="T124" s="259"/>
      <c r="U124" s="259"/>
      <c r="V124" s="259"/>
      <c r="W124" s="259"/>
      <c r="X124" s="259"/>
      <c r="Y124" s="259"/>
      <c r="Z124" s="259"/>
    </row>
    <row r="125" customFormat="false" ht="12" hidden="false" customHeight="true" outlineLevel="0" collapsed="false">
      <c r="A125" s="259"/>
      <c r="B125" s="259"/>
      <c r="C125" s="259"/>
      <c r="D125" s="259"/>
      <c r="E125" s="259"/>
      <c r="F125" s="261"/>
      <c r="G125" s="259"/>
      <c r="H125" s="259"/>
      <c r="I125" s="259"/>
      <c r="J125" s="262"/>
      <c r="K125" s="259"/>
      <c r="L125" s="259"/>
      <c r="M125" s="259"/>
      <c r="N125" s="259"/>
      <c r="O125" s="259"/>
      <c r="P125" s="259"/>
      <c r="Q125" s="259"/>
      <c r="R125" s="259"/>
      <c r="S125" s="259"/>
      <c r="T125" s="259"/>
      <c r="U125" s="259"/>
      <c r="V125" s="259"/>
      <c r="W125" s="259"/>
      <c r="X125" s="259"/>
      <c r="Y125" s="259"/>
      <c r="Z125" s="259"/>
    </row>
    <row r="126" customFormat="false" ht="12" hidden="false" customHeight="true" outlineLevel="0" collapsed="false">
      <c r="A126" s="259"/>
      <c r="B126" s="259"/>
      <c r="C126" s="259"/>
      <c r="D126" s="259"/>
      <c r="E126" s="259"/>
      <c r="F126" s="261"/>
      <c r="G126" s="259"/>
      <c r="H126" s="259"/>
      <c r="I126" s="259"/>
      <c r="J126" s="262"/>
      <c r="K126" s="259"/>
      <c r="L126" s="259"/>
      <c r="M126" s="259"/>
      <c r="N126" s="259"/>
      <c r="O126" s="259"/>
      <c r="P126" s="259"/>
      <c r="Q126" s="259"/>
      <c r="R126" s="259"/>
      <c r="S126" s="259"/>
      <c r="T126" s="259"/>
      <c r="U126" s="259"/>
      <c r="V126" s="259"/>
      <c r="W126" s="259"/>
      <c r="X126" s="259"/>
      <c r="Y126" s="259"/>
      <c r="Z126" s="259"/>
    </row>
    <row r="127" customFormat="false" ht="12" hidden="false" customHeight="true" outlineLevel="0" collapsed="false">
      <c r="A127" s="259"/>
      <c r="B127" s="259"/>
      <c r="C127" s="259"/>
      <c r="D127" s="259"/>
      <c r="E127" s="259"/>
      <c r="F127" s="261"/>
      <c r="G127" s="259"/>
      <c r="H127" s="259"/>
      <c r="I127" s="259"/>
      <c r="J127" s="262"/>
      <c r="K127" s="259"/>
      <c r="L127" s="259"/>
      <c r="M127" s="259"/>
      <c r="N127" s="259"/>
      <c r="O127" s="259"/>
      <c r="P127" s="259"/>
      <c r="Q127" s="259"/>
      <c r="R127" s="259"/>
      <c r="S127" s="259"/>
      <c r="T127" s="259"/>
      <c r="U127" s="259"/>
      <c r="V127" s="259"/>
      <c r="W127" s="259"/>
      <c r="X127" s="259"/>
      <c r="Y127" s="259"/>
      <c r="Z127" s="259"/>
    </row>
    <row r="128" customFormat="false" ht="12" hidden="false" customHeight="true" outlineLevel="0" collapsed="false">
      <c r="A128" s="259"/>
      <c r="B128" s="259"/>
      <c r="C128" s="259"/>
      <c r="D128" s="259"/>
      <c r="E128" s="259"/>
      <c r="F128" s="261"/>
      <c r="G128" s="259"/>
      <c r="H128" s="259"/>
      <c r="I128" s="259"/>
      <c r="J128" s="262"/>
      <c r="K128" s="259"/>
      <c r="L128" s="259"/>
      <c r="M128" s="259"/>
      <c r="N128" s="259"/>
      <c r="O128" s="259"/>
      <c r="P128" s="259"/>
      <c r="Q128" s="259"/>
      <c r="R128" s="259"/>
      <c r="S128" s="259"/>
      <c r="T128" s="259"/>
      <c r="U128" s="259"/>
      <c r="V128" s="259"/>
      <c r="W128" s="259"/>
      <c r="X128" s="259"/>
      <c r="Y128" s="259"/>
      <c r="Z128" s="259"/>
    </row>
    <row r="129" customFormat="false" ht="12" hidden="false" customHeight="true" outlineLevel="0" collapsed="false">
      <c r="A129" s="259"/>
      <c r="B129" s="259"/>
      <c r="C129" s="259"/>
      <c r="D129" s="259"/>
      <c r="E129" s="259"/>
      <c r="F129" s="261"/>
      <c r="G129" s="259"/>
      <c r="H129" s="259"/>
      <c r="I129" s="259"/>
      <c r="J129" s="262"/>
      <c r="K129" s="259"/>
      <c r="L129" s="259"/>
      <c r="M129" s="259"/>
      <c r="N129" s="259"/>
      <c r="O129" s="259"/>
      <c r="P129" s="259"/>
      <c r="Q129" s="259"/>
      <c r="R129" s="259"/>
      <c r="S129" s="259"/>
      <c r="T129" s="259"/>
      <c r="U129" s="259"/>
      <c r="V129" s="259"/>
      <c r="W129" s="259"/>
      <c r="X129" s="259"/>
      <c r="Y129" s="259"/>
      <c r="Z129" s="259"/>
    </row>
    <row r="130" customFormat="false" ht="12" hidden="false" customHeight="true" outlineLevel="0" collapsed="false">
      <c r="A130" s="259"/>
      <c r="B130" s="259"/>
      <c r="C130" s="259"/>
      <c r="D130" s="259"/>
      <c r="E130" s="259"/>
      <c r="F130" s="261"/>
      <c r="G130" s="259"/>
      <c r="H130" s="259"/>
      <c r="I130" s="259"/>
      <c r="J130" s="262"/>
      <c r="K130" s="259"/>
      <c r="L130" s="259"/>
      <c r="M130" s="259"/>
      <c r="N130" s="259"/>
      <c r="O130" s="259"/>
      <c r="P130" s="259"/>
      <c r="Q130" s="259"/>
      <c r="R130" s="259"/>
      <c r="S130" s="259"/>
      <c r="T130" s="259"/>
      <c r="U130" s="259"/>
      <c r="V130" s="259"/>
      <c r="W130" s="259"/>
      <c r="X130" s="259"/>
      <c r="Y130" s="259"/>
      <c r="Z130" s="259"/>
    </row>
    <row r="131" customFormat="false" ht="12" hidden="false" customHeight="true" outlineLevel="0" collapsed="false">
      <c r="A131" s="259"/>
      <c r="B131" s="259"/>
      <c r="C131" s="259"/>
      <c r="D131" s="259"/>
      <c r="E131" s="259"/>
      <c r="F131" s="261"/>
      <c r="G131" s="259"/>
      <c r="H131" s="259"/>
      <c r="I131" s="259"/>
      <c r="J131" s="262"/>
      <c r="K131" s="259"/>
      <c r="L131" s="259"/>
      <c r="M131" s="259"/>
      <c r="N131" s="259"/>
      <c r="O131" s="259"/>
      <c r="P131" s="259"/>
      <c r="Q131" s="259"/>
      <c r="R131" s="259"/>
      <c r="S131" s="259"/>
      <c r="T131" s="259"/>
      <c r="U131" s="259"/>
      <c r="V131" s="259"/>
      <c r="W131" s="259"/>
      <c r="X131" s="259"/>
      <c r="Y131" s="259"/>
      <c r="Z131" s="259"/>
    </row>
    <row r="132" customFormat="false" ht="12" hidden="false" customHeight="true" outlineLevel="0" collapsed="false">
      <c r="A132" s="259"/>
      <c r="B132" s="259"/>
      <c r="C132" s="259"/>
      <c r="D132" s="259"/>
      <c r="E132" s="259"/>
      <c r="F132" s="261"/>
      <c r="G132" s="259"/>
      <c r="H132" s="259"/>
      <c r="I132" s="259"/>
      <c r="J132" s="262"/>
      <c r="K132" s="259"/>
      <c r="L132" s="259"/>
      <c r="M132" s="259"/>
      <c r="N132" s="259"/>
      <c r="O132" s="259"/>
      <c r="P132" s="259"/>
      <c r="Q132" s="259"/>
      <c r="R132" s="259"/>
      <c r="S132" s="259"/>
      <c r="T132" s="259"/>
      <c r="U132" s="259"/>
      <c r="V132" s="259"/>
      <c r="W132" s="259"/>
      <c r="X132" s="259"/>
      <c r="Y132" s="259"/>
      <c r="Z132" s="259"/>
    </row>
    <row r="133" customFormat="false" ht="12" hidden="false" customHeight="true" outlineLevel="0" collapsed="false">
      <c r="A133" s="259"/>
      <c r="B133" s="259"/>
      <c r="C133" s="259"/>
      <c r="D133" s="259"/>
      <c r="E133" s="259"/>
      <c r="F133" s="261"/>
      <c r="G133" s="259"/>
      <c r="H133" s="259"/>
      <c r="I133" s="259"/>
      <c r="J133" s="262"/>
      <c r="K133" s="259"/>
      <c r="L133" s="259"/>
      <c r="M133" s="259"/>
      <c r="N133" s="259"/>
      <c r="O133" s="259"/>
      <c r="P133" s="259"/>
      <c r="Q133" s="259"/>
      <c r="R133" s="259"/>
      <c r="S133" s="259"/>
      <c r="T133" s="259"/>
      <c r="U133" s="259"/>
      <c r="V133" s="259"/>
      <c r="W133" s="259"/>
      <c r="X133" s="259"/>
      <c r="Y133" s="259"/>
      <c r="Z133" s="259"/>
    </row>
    <row r="134" customFormat="false" ht="12" hidden="false" customHeight="true" outlineLevel="0" collapsed="false">
      <c r="A134" s="259"/>
      <c r="B134" s="259"/>
      <c r="C134" s="259"/>
      <c r="D134" s="259"/>
      <c r="E134" s="259"/>
      <c r="F134" s="261"/>
      <c r="G134" s="259"/>
      <c r="H134" s="259"/>
      <c r="I134" s="259"/>
      <c r="J134" s="262"/>
      <c r="K134" s="259"/>
      <c r="L134" s="259"/>
      <c r="M134" s="259"/>
      <c r="N134" s="259"/>
      <c r="O134" s="259"/>
      <c r="P134" s="259"/>
      <c r="Q134" s="259"/>
      <c r="R134" s="259"/>
      <c r="S134" s="259"/>
      <c r="T134" s="259"/>
      <c r="U134" s="259"/>
      <c r="V134" s="259"/>
      <c r="W134" s="259"/>
      <c r="X134" s="259"/>
      <c r="Y134" s="259"/>
      <c r="Z134" s="259"/>
    </row>
    <row r="135" customFormat="false" ht="12" hidden="false" customHeight="true" outlineLevel="0" collapsed="false">
      <c r="A135" s="259"/>
      <c r="B135" s="259"/>
      <c r="C135" s="259"/>
      <c r="D135" s="259"/>
      <c r="E135" s="259"/>
      <c r="F135" s="261"/>
      <c r="G135" s="259"/>
      <c r="H135" s="259"/>
      <c r="I135" s="259"/>
      <c r="J135" s="262"/>
      <c r="K135" s="259"/>
      <c r="L135" s="259"/>
      <c r="M135" s="259"/>
      <c r="N135" s="259"/>
      <c r="O135" s="259"/>
      <c r="P135" s="259"/>
      <c r="Q135" s="259"/>
      <c r="R135" s="259"/>
      <c r="S135" s="259"/>
      <c r="T135" s="259"/>
      <c r="U135" s="259"/>
      <c r="V135" s="259"/>
      <c r="W135" s="259"/>
      <c r="X135" s="259"/>
      <c r="Y135" s="259"/>
      <c r="Z135" s="259"/>
    </row>
    <row r="136" customFormat="false" ht="12" hidden="false" customHeight="true" outlineLevel="0" collapsed="false">
      <c r="A136" s="259"/>
      <c r="B136" s="259"/>
      <c r="C136" s="259"/>
      <c r="D136" s="259"/>
      <c r="E136" s="259"/>
      <c r="F136" s="261"/>
      <c r="G136" s="259"/>
      <c r="H136" s="259"/>
      <c r="I136" s="259"/>
      <c r="J136" s="262"/>
      <c r="K136" s="259"/>
      <c r="L136" s="259"/>
      <c r="M136" s="259"/>
      <c r="N136" s="259"/>
      <c r="O136" s="259"/>
      <c r="P136" s="259"/>
      <c r="Q136" s="259"/>
      <c r="R136" s="259"/>
      <c r="S136" s="259"/>
      <c r="T136" s="259"/>
      <c r="U136" s="259"/>
      <c r="V136" s="259"/>
      <c r="W136" s="259"/>
      <c r="X136" s="259"/>
      <c r="Y136" s="259"/>
      <c r="Z136" s="259"/>
    </row>
    <row r="137" customFormat="false" ht="12" hidden="false" customHeight="true" outlineLevel="0" collapsed="false">
      <c r="A137" s="259"/>
      <c r="B137" s="259"/>
      <c r="C137" s="259"/>
      <c r="D137" s="259"/>
      <c r="E137" s="259"/>
      <c r="F137" s="261"/>
      <c r="G137" s="259"/>
      <c r="H137" s="259"/>
      <c r="I137" s="259"/>
      <c r="J137" s="262"/>
      <c r="K137" s="259"/>
      <c r="L137" s="259"/>
      <c r="M137" s="259"/>
      <c r="N137" s="259"/>
      <c r="O137" s="259"/>
      <c r="P137" s="259"/>
      <c r="Q137" s="259"/>
      <c r="R137" s="259"/>
      <c r="S137" s="259"/>
      <c r="T137" s="259"/>
      <c r="U137" s="259"/>
      <c r="V137" s="259"/>
      <c r="W137" s="259"/>
      <c r="X137" s="259"/>
      <c r="Y137" s="259"/>
      <c r="Z137" s="259"/>
    </row>
    <row r="138" customFormat="false" ht="12" hidden="false" customHeight="true" outlineLevel="0" collapsed="false">
      <c r="A138" s="259"/>
      <c r="B138" s="259"/>
      <c r="C138" s="259"/>
      <c r="D138" s="259"/>
      <c r="E138" s="259"/>
      <c r="F138" s="261"/>
      <c r="G138" s="259"/>
      <c r="H138" s="259"/>
      <c r="I138" s="259"/>
      <c r="J138" s="262"/>
      <c r="K138" s="259"/>
      <c r="L138" s="259"/>
      <c r="M138" s="259"/>
      <c r="N138" s="259"/>
      <c r="O138" s="259"/>
      <c r="P138" s="259"/>
      <c r="Q138" s="259"/>
      <c r="R138" s="259"/>
      <c r="S138" s="259"/>
      <c r="T138" s="259"/>
      <c r="U138" s="259"/>
      <c r="V138" s="259"/>
      <c r="W138" s="259"/>
      <c r="X138" s="259"/>
      <c r="Y138" s="259"/>
      <c r="Z138" s="259"/>
    </row>
    <row r="139" customFormat="false" ht="12" hidden="false" customHeight="true" outlineLevel="0" collapsed="false">
      <c r="A139" s="259"/>
      <c r="B139" s="259"/>
      <c r="C139" s="259"/>
      <c r="D139" s="259"/>
      <c r="E139" s="259"/>
      <c r="F139" s="261"/>
      <c r="G139" s="259"/>
      <c r="H139" s="259"/>
      <c r="I139" s="259"/>
      <c r="J139" s="262"/>
      <c r="K139" s="259"/>
      <c r="L139" s="259"/>
      <c r="M139" s="259"/>
      <c r="N139" s="259"/>
      <c r="O139" s="259"/>
      <c r="P139" s="259"/>
      <c r="Q139" s="259"/>
      <c r="R139" s="259"/>
      <c r="S139" s="259"/>
      <c r="T139" s="259"/>
      <c r="U139" s="259"/>
      <c r="V139" s="259"/>
      <c r="W139" s="259"/>
      <c r="X139" s="259"/>
      <c r="Y139" s="259"/>
      <c r="Z139" s="259"/>
    </row>
    <row r="140" customFormat="false" ht="12" hidden="false" customHeight="true" outlineLevel="0" collapsed="false">
      <c r="A140" s="259"/>
      <c r="B140" s="259"/>
      <c r="C140" s="259"/>
      <c r="D140" s="259"/>
      <c r="E140" s="259"/>
      <c r="F140" s="261"/>
      <c r="G140" s="259"/>
      <c r="H140" s="259"/>
      <c r="I140" s="259"/>
      <c r="J140" s="262"/>
      <c r="K140" s="259"/>
      <c r="L140" s="259"/>
      <c r="M140" s="259"/>
      <c r="N140" s="259"/>
      <c r="O140" s="259"/>
      <c r="P140" s="259"/>
      <c r="Q140" s="259"/>
      <c r="R140" s="259"/>
      <c r="S140" s="259"/>
      <c r="T140" s="259"/>
      <c r="U140" s="259"/>
      <c r="V140" s="259"/>
      <c r="W140" s="259"/>
      <c r="X140" s="259"/>
      <c r="Y140" s="259"/>
      <c r="Z140" s="259"/>
    </row>
    <row r="141" customFormat="false" ht="12" hidden="false" customHeight="true" outlineLevel="0" collapsed="false">
      <c r="A141" s="259"/>
      <c r="B141" s="259"/>
      <c r="C141" s="259"/>
      <c r="D141" s="259"/>
      <c r="E141" s="259"/>
      <c r="F141" s="261"/>
      <c r="G141" s="259"/>
      <c r="H141" s="259"/>
      <c r="I141" s="259"/>
      <c r="J141" s="262"/>
      <c r="K141" s="259"/>
      <c r="L141" s="259"/>
      <c r="M141" s="259"/>
      <c r="N141" s="259"/>
      <c r="O141" s="259"/>
      <c r="P141" s="259"/>
      <c r="Q141" s="259"/>
      <c r="R141" s="259"/>
      <c r="S141" s="259"/>
      <c r="T141" s="259"/>
      <c r="U141" s="259"/>
      <c r="V141" s="259"/>
      <c r="W141" s="259"/>
      <c r="X141" s="259"/>
      <c r="Y141" s="259"/>
      <c r="Z141" s="259"/>
    </row>
    <row r="142" customFormat="false" ht="12" hidden="false" customHeight="true" outlineLevel="0" collapsed="false">
      <c r="A142" s="259"/>
      <c r="B142" s="259"/>
      <c r="C142" s="259"/>
      <c r="D142" s="259"/>
      <c r="E142" s="259"/>
      <c r="F142" s="261"/>
      <c r="G142" s="259"/>
      <c r="H142" s="259"/>
      <c r="I142" s="259"/>
      <c r="J142" s="262"/>
      <c r="K142" s="259"/>
      <c r="L142" s="259"/>
      <c r="M142" s="259"/>
      <c r="N142" s="259"/>
      <c r="O142" s="259"/>
      <c r="P142" s="259"/>
      <c r="Q142" s="259"/>
      <c r="R142" s="259"/>
      <c r="S142" s="259"/>
      <c r="T142" s="259"/>
      <c r="U142" s="259"/>
      <c r="V142" s="259"/>
      <c r="W142" s="259"/>
      <c r="X142" s="259"/>
      <c r="Y142" s="259"/>
      <c r="Z142" s="259"/>
    </row>
    <row r="143" customFormat="false" ht="12" hidden="false" customHeight="true" outlineLevel="0" collapsed="false">
      <c r="A143" s="259"/>
      <c r="B143" s="259"/>
      <c r="C143" s="259"/>
      <c r="D143" s="259"/>
      <c r="E143" s="259"/>
      <c r="F143" s="261"/>
      <c r="G143" s="259"/>
      <c r="H143" s="259"/>
      <c r="I143" s="259"/>
      <c r="J143" s="262"/>
      <c r="K143" s="259"/>
      <c r="L143" s="259"/>
      <c r="M143" s="259"/>
      <c r="N143" s="259"/>
      <c r="O143" s="259"/>
      <c r="P143" s="259"/>
      <c r="Q143" s="259"/>
      <c r="R143" s="259"/>
      <c r="S143" s="259"/>
      <c r="T143" s="259"/>
      <c r="U143" s="259"/>
      <c r="V143" s="259"/>
      <c r="W143" s="259"/>
      <c r="X143" s="259"/>
      <c r="Y143" s="259"/>
      <c r="Z143" s="259"/>
    </row>
    <row r="144" customFormat="false" ht="12" hidden="false" customHeight="true" outlineLevel="0" collapsed="false">
      <c r="A144" s="259"/>
      <c r="B144" s="259"/>
      <c r="C144" s="259"/>
      <c r="D144" s="259"/>
      <c r="E144" s="259"/>
      <c r="F144" s="261"/>
      <c r="G144" s="259"/>
      <c r="H144" s="259"/>
      <c r="I144" s="259"/>
      <c r="J144" s="262"/>
      <c r="K144" s="259"/>
      <c r="L144" s="259"/>
      <c r="M144" s="259"/>
      <c r="N144" s="259"/>
      <c r="O144" s="259"/>
      <c r="P144" s="259"/>
      <c r="Q144" s="259"/>
      <c r="R144" s="259"/>
      <c r="S144" s="259"/>
      <c r="T144" s="259"/>
      <c r="U144" s="259"/>
      <c r="V144" s="259"/>
      <c r="W144" s="259"/>
      <c r="X144" s="259"/>
      <c r="Y144" s="259"/>
      <c r="Z144" s="259"/>
    </row>
    <row r="145" customFormat="false" ht="12" hidden="false" customHeight="true" outlineLevel="0" collapsed="false">
      <c r="A145" s="259"/>
      <c r="B145" s="259"/>
      <c r="C145" s="259"/>
      <c r="D145" s="259"/>
      <c r="E145" s="259"/>
      <c r="F145" s="261"/>
      <c r="G145" s="259"/>
      <c r="H145" s="259"/>
      <c r="I145" s="259"/>
      <c r="J145" s="262"/>
      <c r="K145" s="259"/>
      <c r="L145" s="259"/>
      <c r="M145" s="259"/>
      <c r="N145" s="259"/>
      <c r="O145" s="259"/>
      <c r="P145" s="259"/>
      <c r="Q145" s="259"/>
      <c r="R145" s="259"/>
      <c r="S145" s="259"/>
      <c r="T145" s="259"/>
      <c r="U145" s="259"/>
      <c r="V145" s="259"/>
      <c r="W145" s="259"/>
      <c r="X145" s="259"/>
      <c r="Y145" s="259"/>
      <c r="Z145" s="259"/>
    </row>
    <row r="146" customFormat="false" ht="12" hidden="false" customHeight="true" outlineLevel="0" collapsed="false">
      <c r="A146" s="259"/>
      <c r="B146" s="259"/>
      <c r="C146" s="259"/>
      <c r="D146" s="259"/>
      <c r="E146" s="259"/>
      <c r="F146" s="261"/>
      <c r="G146" s="259"/>
      <c r="H146" s="259"/>
      <c r="I146" s="259"/>
      <c r="J146" s="262"/>
      <c r="K146" s="259"/>
      <c r="L146" s="259"/>
      <c r="M146" s="259"/>
      <c r="N146" s="259"/>
      <c r="O146" s="259"/>
      <c r="P146" s="259"/>
      <c r="Q146" s="259"/>
      <c r="R146" s="259"/>
      <c r="S146" s="259"/>
      <c r="T146" s="259"/>
      <c r="U146" s="259"/>
      <c r="V146" s="259"/>
      <c r="W146" s="259"/>
      <c r="X146" s="259"/>
      <c r="Y146" s="259"/>
      <c r="Z146" s="259"/>
    </row>
    <row r="147" customFormat="false" ht="12" hidden="false" customHeight="true" outlineLevel="0" collapsed="false">
      <c r="A147" s="259"/>
      <c r="B147" s="259"/>
      <c r="C147" s="259"/>
      <c r="D147" s="259"/>
      <c r="E147" s="259"/>
      <c r="F147" s="261"/>
      <c r="G147" s="259"/>
      <c r="H147" s="259"/>
      <c r="I147" s="259"/>
      <c r="J147" s="262"/>
      <c r="K147" s="259"/>
      <c r="L147" s="259"/>
      <c r="M147" s="259"/>
      <c r="N147" s="259"/>
      <c r="O147" s="259"/>
      <c r="P147" s="259"/>
      <c r="Q147" s="259"/>
      <c r="R147" s="259"/>
      <c r="S147" s="259"/>
      <c r="T147" s="259"/>
      <c r="U147" s="259"/>
      <c r="V147" s="259"/>
      <c r="W147" s="259"/>
      <c r="X147" s="259"/>
      <c r="Y147" s="259"/>
      <c r="Z147" s="259"/>
    </row>
    <row r="148" customFormat="false" ht="12" hidden="false" customHeight="true" outlineLevel="0" collapsed="false">
      <c r="A148" s="259"/>
      <c r="B148" s="259"/>
      <c r="C148" s="259"/>
      <c r="D148" s="259"/>
      <c r="E148" s="259"/>
      <c r="F148" s="261"/>
      <c r="G148" s="259"/>
      <c r="H148" s="259"/>
      <c r="I148" s="259"/>
      <c r="J148" s="262"/>
      <c r="K148" s="259"/>
      <c r="L148" s="259"/>
      <c r="M148" s="259"/>
      <c r="N148" s="259"/>
      <c r="O148" s="259"/>
      <c r="P148" s="259"/>
      <c r="Q148" s="259"/>
      <c r="R148" s="259"/>
      <c r="S148" s="259"/>
      <c r="T148" s="259"/>
      <c r="U148" s="259"/>
      <c r="V148" s="259"/>
      <c r="W148" s="259"/>
      <c r="X148" s="259"/>
      <c r="Y148" s="259"/>
      <c r="Z148" s="259"/>
    </row>
    <row r="149" customFormat="false" ht="12" hidden="false" customHeight="true" outlineLevel="0" collapsed="false">
      <c r="A149" s="259"/>
      <c r="B149" s="259"/>
      <c r="C149" s="259"/>
      <c r="D149" s="259"/>
      <c r="E149" s="259"/>
      <c r="F149" s="261"/>
      <c r="G149" s="259"/>
      <c r="H149" s="259"/>
      <c r="I149" s="259"/>
      <c r="J149" s="262"/>
      <c r="K149" s="259"/>
      <c r="L149" s="259"/>
      <c r="M149" s="259"/>
      <c r="N149" s="259"/>
      <c r="O149" s="259"/>
      <c r="P149" s="259"/>
      <c r="Q149" s="259"/>
      <c r="R149" s="259"/>
      <c r="S149" s="259"/>
      <c r="T149" s="259"/>
      <c r="U149" s="259"/>
      <c r="V149" s="259"/>
      <c r="W149" s="259"/>
      <c r="X149" s="259"/>
      <c r="Y149" s="259"/>
      <c r="Z149" s="259"/>
    </row>
    <row r="150" customFormat="false" ht="12" hidden="false" customHeight="true" outlineLevel="0" collapsed="false">
      <c r="A150" s="259"/>
      <c r="B150" s="259"/>
      <c r="C150" s="259"/>
      <c r="D150" s="259"/>
      <c r="E150" s="259"/>
      <c r="F150" s="261"/>
      <c r="G150" s="259"/>
      <c r="H150" s="259"/>
      <c r="I150" s="259"/>
      <c r="J150" s="262"/>
      <c r="K150" s="259"/>
      <c r="L150" s="259"/>
      <c r="M150" s="259"/>
      <c r="N150" s="259"/>
      <c r="O150" s="259"/>
      <c r="P150" s="259"/>
      <c r="Q150" s="259"/>
      <c r="R150" s="259"/>
      <c r="S150" s="259"/>
      <c r="T150" s="259"/>
      <c r="U150" s="259"/>
      <c r="V150" s="259"/>
      <c r="W150" s="259"/>
      <c r="X150" s="259"/>
      <c r="Y150" s="259"/>
      <c r="Z150" s="259"/>
    </row>
    <row r="151" customFormat="false" ht="12" hidden="false" customHeight="true" outlineLevel="0" collapsed="false">
      <c r="A151" s="259"/>
      <c r="B151" s="259"/>
      <c r="C151" s="259"/>
      <c r="D151" s="259"/>
      <c r="E151" s="259"/>
      <c r="F151" s="261"/>
      <c r="G151" s="259"/>
      <c r="H151" s="259"/>
      <c r="I151" s="259"/>
      <c r="J151" s="262"/>
      <c r="K151" s="259"/>
      <c r="L151" s="259"/>
      <c r="M151" s="259"/>
      <c r="N151" s="259"/>
      <c r="O151" s="259"/>
      <c r="P151" s="259"/>
      <c r="Q151" s="259"/>
      <c r="R151" s="259"/>
      <c r="S151" s="259"/>
      <c r="T151" s="259"/>
      <c r="U151" s="259"/>
      <c r="V151" s="259"/>
      <c r="W151" s="259"/>
      <c r="X151" s="259"/>
      <c r="Y151" s="259"/>
      <c r="Z151" s="259"/>
    </row>
    <row r="152" customFormat="false" ht="12" hidden="false" customHeight="true" outlineLevel="0" collapsed="false">
      <c r="A152" s="259"/>
      <c r="B152" s="259"/>
      <c r="C152" s="259"/>
      <c r="D152" s="259"/>
      <c r="E152" s="259"/>
      <c r="F152" s="261"/>
      <c r="G152" s="259"/>
      <c r="H152" s="259"/>
      <c r="I152" s="259"/>
      <c r="J152" s="262"/>
      <c r="K152" s="259"/>
      <c r="L152" s="259"/>
      <c r="M152" s="259"/>
      <c r="N152" s="259"/>
      <c r="O152" s="259"/>
      <c r="P152" s="259"/>
      <c r="Q152" s="259"/>
      <c r="R152" s="259"/>
      <c r="S152" s="259"/>
      <c r="T152" s="259"/>
      <c r="U152" s="259"/>
      <c r="V152" s="259"/>
      <c r="W152" s="259"/>
      <c r="X152" s="259"/>
      <c r="Y152" s="259"/>
      <c r="Z152" s="259"/>
    </row>
    <row r="153" customFormat="false" ht="12" hidden="false" customHeight="true" outlineLevel="0" collapsed="false">
      <c r="A153" s="259"/>
      <c r="B153" s="259"/>
      <c r="C153" s="259"/>
      <c r="D153" s="259"/>
      <c r="E153" s="259"/>
      <c r="F153" s="261"/>
      <c r="G153" s="259"/>
      <c r="H153" s="259"/>
      <c r="I153" s="259"/>
      <c r="J153" s="262"/>
      <c r="K153" s="259"/>
      <c r="L153" s="259"/>
      <c r="M153" s="259"/>
      <c r="N153" s="259"/>
      <c r="O153" s="259"/>
      <c r="P153" s="259"/>
      <c r="Q153" s="259"/>
      <c r="R153" s="259"/>
      <c r="S153" s="259"/>
      <c r="T153" s="259"/>
      <c r="U153" s="259"/>
      <c r="V153" s="259"/>
      <c r="W153" s="259"/>
      <c r="X153" s="259"/>
      <c r="Y153" s="259"/>
      <c r="Z153" s="259"/>
    </row>
    <row r="154" customFormat="false" ht="12" hidden="false" customHeight="true" outlineLevel="0" collapsed="false">
      <c r="A154" s="259"/>
      <c r="B154" s="259"/>
      <c r="C154" s="259"/>
      <c r="D154" s="259"/>
      <c r="E154" s="259"/>
      <c r="F154" s="261"/>
      <c r="G154" s="259"/>
      <c r="H154" s="259"/>
      <c r="I154" s="259"/>
      <c r="J154" s="262"/>
      <c r="K154" s="259"/>
      <c r="L154" s="259"/>
      <c r="M154" s="259"/>
      <c r="N154" s="259"/>
      <c r="O154" s="259"/>
      <c r="P154" s="259"/>
      <c r="Q154" s="259"/>
      <c r="R154" s="259"/>
      <c r="S154" s="259"/>
      <c r="T154" s="259"/>
      <c r="U154" s="259"/>
      <c r="V154" s="259"/>
      <c r="W154" s="259"/>
      <c r="X154" s="259"/>
      <c r="Y154" s="259"/>
      <c r="Z154" s="259"/>
    </row>
    <row r="155" customFormat="false" ht="12" hidden="false" customHeight="true" outlineLevel="0" collapsed="false">
      <c r="A155" s="259"/>
      <c r="B155" s="259"/>
      <c r="C155" s="259"/>
      <c r="D155" s="259"/>
      <c r="E155" s="259"/>
      <c r="F155" s="261"/>
      <c r="G155" s="259"/>
      <c r="H155" s="259"/>
      <c r="I155" s="259"/>
      <c r="J155" s="262"/>
      <c r="K155" s="259"/>
      <c r="L155" s="259"/>
      <c r="M155" s="259"/>
      <c r="N155" s="259"/>
      <c r="O155" s="259"/>
      <c r="P155" s="259"/>
      <c r="Q155" s="259"/>
      <c r="R155" s="259"/>
      <c r="S155" s="259"/>
      <c r="T155" s="259"/>
      <c r="U155" s="259"/>
      <c r="V155" s="259"/>
      <c r="W155" s="259"/>
      <c r="X155" s="259"/>
      <c r="Y155" s="259"/>
      <c r="Z155" s="259"/>
    </row>
    <row r="156" customFormat="false" ht="12" hidden="false" customHeight="true" outlineLevel="0" collapsed="false">
      <c r="A156" s="259"/>
      <c r="B156" s="259"/>
      <c r="C156" s="259"/>
      <c r="D156" s="259"/>
      <c r="E156" s="259"/>
      <c r="F156" s="261"/>
      <c r="G156" s="259"/>
      <c r="H156" s="259"/>
      <c r="I156" s="259"/>
      <c r="J156" s="262"/>
      <c r="K156" s="259"/>
      <c r="L156" s="259"/>
      <c r="M156" s="259"/>
      <c r="N156" s="259"/>
      <c r="O156" s="259"/>
      <c r="P156" s="259"/>
      <c r="Q156" s="259"/>
      <c r="R156" s="259"/>
      <c r="S156" s="259"/>
      <c r="T156" s="259"/>
      <c r="U156" s="259"/>
      <c r="V156" s="259"/>
      <c r="W156" s="259"/>
      <c r="X156" s="259"/>
      <c r="Y156" s="259"/>
      <c r="Z156" s="259"/>
    </row>
    <row r="157" customFormat="false" ht="12" hidden="false" customHeight="true" outlineLevel="0" collapsed="false">
      <c r="A157" s="259"/>
      <c r="B157" s="259"/>
      <c r="C157" s="259"/>
      <c r="D157" s="259"/>
      <c r="E157" s="259"/>
      <c r="F157" s="261"/>
      <c r="G157" s="259"/>
      <c r="H157" s="259"/>
      <c r="I157" s="259"/>
      <c r="J157" s="262"/>
      <c r="K157" s="259"/>
      <c r="L157" s="259"/>
      <c r="M157" s="259"/>
      <c r="N157" s="259"/>
      <c r="O157" s="259"/>
      <c r="P157" s="259"/>
      <c r="Q157" s="259"/>
      <c r="R157" s="259"/>
      <c r="S157" s="259"/>
      <c r="T157" s="259"/>
      <c r="U157" s="259"/>
      <c r="V157" s="259"/>
      <c r="W157" s="259"/>
      <c r="X157" s="259"/>
      <c r="Y157" s="259"/>
      <c r="Z157" s="259"/>
    </row>
    <row r="158" customFormat="false" ht="12" hidden="false" customHeight="true" outlineLevel="0" collapsed="false">
      <c r="A158" s="259"/>
      <c r="B158" s="259"/>
      <c r="C158" s="259"/>
      <c r="D158" s="259"/>
      <c r="E158" s="259"/>
      <c r="F158" s="261"/>
      <c r="G158" s="259"/>
      <c r="H158" s="259"/>
      <c r="I158" s="259"/>
      <c r="J158" s="262"/>
      <c r="K158" s="259"/>
      <c r="L158" s="259"/>
      <c r="M158" s="259"/>
      <c r="N158" s="259"/>
      <c r="O158" s="259"/>
      <c r="P158" s="259"/>
      <c r="Q158" s="259"/>
      <c r="R158" s="259"/>
      <c r="S158" s="259"/>
      <c r="T158" s="259"/>
      <c r="U158" s="259"/>
      <c r="V158" s="259"/>
      <c r="W158" s="259"/>
      <c r="X158" s="259"/>
      <c r="Y158" s="259"/>
      <c r="Z158" s="259"/>
    </row>
    <row r="159" customFormat="false" ht="12" hidden="false" customHeight="true" outlineLevel="0" collapsed="false">
      <c r="A159" s="259"/>
      <c r="B159" s="259"/>
      <c r="C159" s="259"/>
      <c r="D159" s="259"/>
      <c r="E159" s="259"/>
      <c r="F159" s="261"/>
      <c r="G159" s="259"/>
      <c r="H159" s="259"/>
      <c r="I159" s="259"/>
      <c r="J159" s="262"/>
      <c r="K159" s="259"/>
      <c r="L159" s="259"/>
      <c r="M159" s="259"/>
      <c r="N159" s="259"/>
      <c r="O159" s="259"/>
      <c r="P159" s="259"/>
      <c r="Q159" s="259"/>
      <c r="R159" s="259"/>
      <c r="S159" s="259"/>
      <c r="T159" s="259"/>
      <c r="U159" s="259"/>
      <c r="V159" s="259"/>
      <c r="W159" s="259"/>
      <c r="X159" s="259"/>
      <c r="Y159" s="259"/>
      <c r="Z159" s="259"/>
    </row>
    <row r="160" customFormat="false" ht="12" hidden="false" customHeight="true" outlineLevel="0" collapsed="false">
      <c r="A160" s="259"/>
      <c r="B160" s="259"/>
      <c r="C160" s="259"/>
      <c r="D160" s="259"/>
      <c r="E160" s="259"/>
      <c r="F160" s="261"/>
      <c r="G160" s="259"/>
      <c r="H160" s="259"/>
      <c r="I160" s="259"/>
      <c r="J160" s="262"/>
      <c r="K160" s="259"/>
      <c r="L160" s="259"/>
      <c r="M160" s="259"/>
      <c r="N160" s="259"/>
      <c r="O160" s="259"/>
      <c r="P160" s="259"/>
      <c r="Q160" s="259"/>
      <c r="R160" s="259"/>
      <c r="S160" s="259"/>
      <c r="T160" s="259"/>
      <c r="U160" s="259"/>
      <c r="V160" s="259"/>
      <c r="W160" s="259"/>
      <c r="X160" s="259"/>
      <c r="Y160" s="259"/>
      <c r="Z160" s="259"/>
    </row>
    <row r="161" customFormat="false" ht="12" hidden="false" customHeight="true" outlineLevel="0" collapsed="false">
      <c r="A161" s="259"/>
      <c r="B161" s="259"/>
      <c r="C161" s="259"/>
      <c r="D161" s="259"/>
      <c r="E161" s="259"/>
      <c r="F161" s="261"/>
      <c r="G161" s="259"/>
      <c r="H161" s="259"/>
      <c r="I161" s="259"/>
      <c r="J161" s="262"/>
      <c r="K161" s="259"/>
      <c r="L161" s="259"/>
      <c r="M161" s="259"/>
      <c r="N161" s="259"/>
      <c r="O161" s="259"/>
      <c r="P161" s="259"/>
      <c r="Q161" s="259"/>
      <c r="R161" s="259"/>
      <c r="S161" s="259"/>
      <c r="T161" s="259"/>
      <c r="U161" s="259"/>
      <c r="V161" s="259"/>
      <c r="W161" s="259"/>
      <c r="X161" s="259"/>
      <c r="Y161" s="259"/>
      <c r="Z161" s="259"/>
    </row>
    <row r="162" customFormat="false" ht="12" hidden="false" customHeight="true" outlineLevel="0" collapsed="false">
      <c r="A162" s="259"/>
      <c r="B162" s="259"/>
      <c r="C162" s="259"/>
      <c r="D162" s="259"/>
      <c r="E162" s="259"/>
      <c r="F162" s="261"/>
      <c r="G162" s="259"/>
      <c r="H162" s="259"/>
      <c r="I162" s="259"/>
      <c r="J162" s="262"/>
      <c r="K162" s="259"/>
      <c r="L162" s="259"/>
      <c r="M162" s="259"/>
      <c r="N162" s="259"/>
      <c r="O162" s="259"/>
      <c r="P162" s="259"/>
      <c r="Q162" s="259"/>
      <c r="R162" s="259"/>
      <c r="S162" s="259"/>
      <c r="T162" s="259"/>
      <c r="U162" s="259"/>
      <c r="V162" s="259"/>
      <c r="W162" s="259"/>
      <c r="X162" s="259"/>
      <c r="Y162" s="259"/>
      <c r="Z162" s="259"/>
    </row>
    <row r="163" customFormat="false" ht="12" hidden="false" customHeight="true" outlineLevel="0" collapsed="false">
      <c r="A163" s="259"/>
      <c r="B163" s="259"/>
      <c r="C163" s="259"/>
      <c r="D163" s="259"/>
      <c r="E163" s="259"/>
      <c r="F163" s="261"/>
      <c r="G163" s="259"/>
      <c r="H163" s="259"/>
      <c r="I163" s="259"/>
      <c r="J163" s="262"/>
      <c r="K163" s="259"/>
      <c r="L163" s="259"/>
      <c r="M163" s="259"/>
      <c r="N163" s="259"/>
      <c r="O163" s="259"/>
      <c r="P163" s="259"/>
      <c r="Q163" s="259"/>
      <c r="R163" s="259"/>
      <c r="S163" s="259"/>
      <c r="T163" s="259"/>
      <c r="U163" s="259"/>
      <c r="V163" s="259"/>
      <c r="W163" s="259"/>
      <c r="X163" s="259"/>
      <c r="Y163" s="259"/>
      <c r="Z163" s="259"/>
    </row>
    <row r="164" customFormat="false" ht="12" hidden="false" customHeight="true" outlineLevel="0" collapsed="false">
      <c r="A164" s="259"/>
      <c r="B164" s="259"/>
      <c r="C164" s="259"/>
      <c r="D164" s="259"/>
      <c r="E164" s="259"/>
      <c r="F164" s="261"/>
      <c r="G164" s="259"/>
      <c r="H164" s="259"/>
      <c r="I164" s="259"/>
      <c r="J164" s="262"/>
      <c r="K164" s="259"/>
      <c r="L164" s="259"/>
      <c r="M164" s="259"/>
      <c r="N164" s="259"/>
      <c r="O164" s="259"/>
      <c r="P164" s="259"/>
      <c r="Q164" s="259"/>
      <c r="R164" s="259"/>
      <c r="S164" s="259"/>
      <c r="T164" s="259"/>
      <c r="U164" s="259"/>
      <c r="V164" s="259"/>
      <c r="W164" s="259"/>
      <c r="X164" s="259"/>
      <c r="Y164" s="259"/>
      <c r="Z164" s="259"/>
    </row>
    <row r="165" customFormat="false" ht="12" hidden="false" customHeight="true" outlineLevel="0" collapsed="false">
      <c r="A165" s="259"/>
      <c r="B165" s="259"/>
      <c r="C165" s="259"/>
      <c r="D165" s="259"/>
      <c r="E165" s="259"/>
      <c r="F165" s="261"/>
      <c r="G165" s="259"/>
      <c r="H165" s="259"/>
      <c r="I165" s="259"/>
      <c r="J165" s="262"/>
      <c r="K165" s="259"/>
      <c r="L165" s="259"/>
      <c r="M165" s="259"/>
      <c r="N165" s="259"/>
      <c r="O165" s="259"/>
      <c r="P165" s="259"/>
      <c r="Q165" s="259"/>
      <c r="R165" s="259"/>
      <c r="S165" s="259"/>
      <c r="T165" s="259"/>
      <c r="U165" s="259"/>
      <c r="V165" s="259"/>
      <c r="W165" s="259"/>
      <c r="X165" s="259"/>
      <c r="Y165" s="259"/>
      <c r="Z165" s="259"/>
    </row>
    <row r="166" customFormat="false" ht="12" hidden="false" customHeight="true" outlineLevel="0" collapsed="false">
      <c r="A166" s="259"/>
      <c r="B166" s="259"/>
      <c r="C166" s="259"/>
      <c r="D166" s="259"/>
      <c r="E166" s="259"/>
      <c r="F166" s="261"/>
      <c r="G166" s="259"/>
      <c r="H166" s="259"/>
      <c r="I166" s="259"/>
      <c r="J166" s="262"/>
      <c r="K166" s="259"/>
      <c r="L166" s="259"/>
      <c r="M166" s="259"/>
      <c r="N166" s="259"/>
      <c r="O166" s="259"/>
      <c r="P166" s="259"/>
      <c r="Q166" s="259"/>
      <c r="R166" s="259"/>
      <c r="S166" s="259"/>
      <c r="T166" s="259"/>
      <c r="U166" s="259"/>
      <c r="V166" s="259"/>
      <c r="W166" s="259"/>
      <c r="X166" s="259"/>
      <c r="Y166" s="259"/>
      <c r="Z166" s="259"/>
    </row>
    <row r="167" customFormat="false" ht="12" hidden="false" customHeight="true" outlineLevel="0" collapsed="false">
      <c r="A167" s="259"/>
      <c r="B167" s="259"/>
      <c r="C167" s="259"/>
      <c r="D167" s="259"/>
      <c r="E167" s="259"/>
      <c r="F167" s="261"/>
      <c r="G167" s="259"/>
      <c r="H167" s="259"/>
      <c r="I167" s="259"/>
      <c r="J167" s="262"/>
      <c r="K167" s="259"/>
      <c r="L167" s="259"/>
      <c r="M167" s="259"/>
      <c r="N167" s="259"/>
      <c r="O167" s="259"/>
      <c r="P167" s="259"/>
      <c r="Q167" s="259"/>
      <c r="R167" s="259"/>
      <c r="S167" s="259"/>
      <c r="T167" s="259"/>
      <c r="U167" s="259"/>
      <c r="V167" s="259"/>
      <c r="W167" s="259"/>
      <c r="X167" s="259"/>
      <c r="Y167" s="259"/>
      <c r="Z167" s="259"/>
    </row>
    <row r="168" customFormat="false" ht="12" hidden="false" customHeight="true" outlineLevel="0" collapsed="false">
      <c r="A168" s="259"/>
      <c r="B168" s="259"/>
      <c r="C168" s="259"/>
      <c r="D168" s="259"/>
      <c r="E168" s="259"/>
      <c r="F168" s="261"/>
      <c r="G168" s="259"/>
      <c r="H168" s="259"/>
      <c r="I168" s="259"/>
      <c r="J168" s="262"/>
      <c r="K168" s="259"/>
      <c r="L168" s="259"/>
      <c r="M168" s="259"/>
      <c r="N168" s="259"/>
      <c r="O168" s="259"/>
      <c r="P168" s="259"/>
      <c r="Q168" s="259"/>
      <c r="R168" s="259"/>
      <c r="S168" s="259"/>
      <c r="T168" s="259"/>
      <c r="U168" s="259"/>
      <c r="V168" s="259"/>
      <c r="W168" s="259"/>
      <c r="X168" s="259"/>
      <c r="Y168" s="259"/>
      <c r="Z168" s="259"/>
    </row>
    <row r="169" customFormat="false" ht="12" hidden="false" customHeight="true" outlineLevel="0" collapsed="false">
      <c r="A169" s="259"/>
      <c r="B169" s="259"/>
      <c r="C169" s="259"/>
      <c r="D169" s="259"/>
      <c r="E169" s="259"/>
      <c r="F169" s="261"/>
      <c r="G169" s="259"/>
      <c r="H169" s="259"/>
      <c r="I169" s="259"/>
      <c r="J169" s="262"/>
      <c r="K169" s="259"/>
      <c r="L169" s="259"/>
      <c r="M169" s="259"/>
      <c r="N169" s="259"/>
      <c r="O169" s="259"/>
      <c r="P169" s="259"/>
      <c r="Q169" s="259"/>
      <c r="R169" s="259"/>
      <c r="S169" s="259"/>
      <c r="T169" s="259"/>
      <c r="U169" s="259"/>
      <c r="V169" s="259"/>
      <c r="W169" s="259"/>
      <c r="X169" s="259"/>
      <c r="Y169" s="259"/>
      <c r="Z169" s="259"/>
    </row>
    <row r="170" customFormat="false" ht="12" hidden="false" customHeight="true" outlineLevel="0" collapsed="false">
      <c r="A170" s="259"/>
      <c r="B170" s="259"/>
      <c r="C170" s="259"/>
      <c r="D170" s="259"/>
      <c r="E170" s="259"/>
      <c r="F170" s="261"/>
      <c r="G170" s="259"/>
      <c r="H170" s="259"/>
      <c r="I170" s="259"/>
      <c r="J170" s="262"/>
      <c r="K170" s="259"/>
      <c r="L170" s="259"/>
      <c r="M170" s="259"/>
      <c r="N170" s="259"/>
      <c r="O170" s="259"/>
      <c r="P170" s="259"/>
      <c r="Q170" s="259"/>
      <c r="R170" s="259"/>
      <c r="S170" s="259"/>
      <c r="T170" s="259"/>
      <c r="U170" s="259"/>
      <c r="V170" s="259"/>
      <c r="W170" s="259"/>
      <c r="X170" s="259"/>
      <c r="Y170" s="259"/>
      <c r="Z170" s="259"/>
    </row>
    <row r="171" customFormat="false" ht="12" hidden="false" customHeight="true" outlineLevel="0" collapsed="false">
      <c r="A171" s="259"/>
      <c r="B171" s="259"/>
      <c r="C171" s="259"/>
      <c r="D171" s="259"/>
      <c r="E171" s="259"/>
      <c r="F171" s="261"/>
      <c r="G171" s="259"/>
      <c r="H171" s="259"/>
      <c r="I171" s="259"/>
      <c r="J171" s="262"/>
      <c r="K171" s="259"/>
      <c r="L171" s="259"/>
      <c r="M171" s="259"/>
      <c r="N171" s="259"/>
      <c r="O171" s="259"/>
      <c r="P171" s="259"/>
      <c r="Q171" s="259"/>
      <c r="R171" s="259"/>
      <c r="S171" s="259"/>
      <c r="T171" s="259"/>
      <c r="U171" s="259"/>
      <c r="V171" s="259"/>
      <c r="W171" s="259"/>
      <c r="X171" s="259"/>
      <c r="Y171" s="259"/>
      <c r="Z171" s="259"/>
    </row>
    <row r="172" customFormat="false" ht="12" hidden="false" customHeight="true" outlineLevel="0" collapsed="false">
      <c r="A172" s="259"/>
      <c r="B172" s="259"/>
      <c r="C172" s="259"/>
      <c r="D172" s="259"/>
      <c r="E172" s="259"/>
      <c r="F172" s="261"/>
      <c r="G172" s="259"/>
      <c r="H172" s="259"/>
      <c r="I172" s="259"/>
      <c r="J172" s="262"/>
      <c r="K172" s="259"/>
      <c r="L172" s="259"/>
      <c r="M172" s="259"/>
      <c r="N172" s="259"/>
      <c r="O172" s="259"/>
      <c r="P172" s="259"/>
      <c r="Q172" s="259"/>
      <c r="R172" s="259"/>
      <c r="S172" s="259"/>
      <c r="T172" s="259"/>
      <c r="U172" s="259"/>
      <c r="V172" s="259"/>
      <c r="W172" s="259"/>
      <c r="X172" s="259"/>
      <c r="Y172" s="259"/>
      <c r="Z172" s="259"/>
    </row>
    <row r="173" customFormat="false" ht="12" hidden="false" customHeight="true" outlineLevel="0" collapsed="false">
      <c r="A173" s="259"/>
      <c r="B173" s="259"/>
      <c r="C173" s="259"/>
      <c r="D173" s="259"/>
      <c r="E173" s="259"/>
      <c r="F173" s="261"/>
      <c r="G173" s="259"/>
      <c r="H173" s="259"/>
      <c r="I173" s="259"/>
      <c r="J173" s="262"/>
      <c r="K173" s="259"/>
      <c r="L173" s="259"/>
      <c r="M173" s="259"/>
      <c r="N173" s="259"/>
      <c r="O173" s="259"/>
      <c r="P173" s="259"/>
      <c r="Q173" s="259"/>
      <c r="R173" s="259"/>
      <c r="S173" s="259"/>
      <c r="T173" s="259"/>
      <c r="U173" s="259"/>
      <c r="V173" s="259"/>
      <c r="W173" s="259"/>
      <c r="X173" s="259"/>
      <c r="Y173" s="259"/>
      <c r="Z173" s="259"/>
    </row>
    <row r="174" customFormat="false" ht="12" hidden="false" customHeight="true" outlineLevel="0" collapsed="false">
      <c r="A174" s="259"/>
      <c r="B174" s="259"/>
      <c r="C174" s="259"/>
      <c r="D174" s="259"/>
      <c r="E174" s="259"/>
      <c r="F174" s="261"/>
      <c r="G174" s="259"/>
      <c r="H174" s="259"/>
      <c r="I174" s="259"/>
      <c r="J174" s="262"/>
      <c r="K174" s="259"/>
      <c r="L174" s="259"/>
      <c r="M174" s="259"/>
      <c r="N174" s="259"/>
      <c r="O174" s="259"/>
      <c r="P174" s="259"/>
      <c r="Q174" s="259"/>
      <c r="R174" s="259"/>
      <c r="S174" s="259"/>
      <c r="T174" s="259"/>
      <c r="U174" s="259"/>
      <c r="V174" s="259"/>
      <c r="W174" s="259"/>
      <c r="X174" s="259"/>
      <c r="Y174" s="259"/>
      <c r="Z174" s="259"/>
    </row>
    <row r="175" customFormat="false" ht="12" hidden="false" customHeight="true" outlineLevel="0" collapsed="false">
      <c r="A175" s="259"/>
      <c r="B175" s="259"/>
      <c r="C175" s="259"/>
      <c r="D175" s="259"/>
      <c r="E175" s="259"/>
      <c r="F175" s="261"/>
      <c r="G175" s="259"/>
      <c r="H175" s="259"/>
      <c r="I175" s="259"/>
      <c r="J175" s="262"/>
      <c r="K175" s="259"/>
      <c r="L175" s="259"/>
      <c r="M175" s="259"/>
      <c r="N175" s="259"/>
      <c r="O175" s="259"/>
      <c r="P175" s="259"/>
      <c r="Q175" s="259"/>
      <c r="R175" s="259"/>
      <c r="S175" s="259"/>
      <c r="T175" s="259"/>
      <c r="U175" s="259"/>
      <c r="V175" s="259"/>
      <c r="W175" s="259"/>
      <c r="X175" s="259"/>
      <c r="Y175" s="259"/>
      <c r="Z175" s="259"/>
    </row>
    <row r="176" customFormat="false" ht="12" hidden="false" customHeight="true" outlineLevel="0" collapsed="false">
      <c r="A176" s="259"/>
      <c r="B176" s="259"/>
      <c r="C176" s="259"/>
      <c r="D176" s="259"/>
      <c r="E176" s="259"/>
      <c r="F176" s="261"/>
      <c r="G176" s="259"/>
      <c r="H176" s="259"/>
      <c r="I176" s="259"/>
      <c r="J176" s="262"/>
      <c r="K176" s="259"/>
      <c r="L176" s="259"/>
      <c r="M176" s="259"/>
      <c r="N176" s="259"/>
      <c r="O176" s="259"/>
      <c r="P176" s="259"/>
      <c r="Q176" s="259"/>
      <c r="R176" s="259"/>
      <c r="S176" s="259"/>
      <c r="T176" s="259"/>
      <c r="U176" s="259"/>
      <c r="V176" s="259"/>
      <c r="W176" s="259"/>
      <c r="X176" s="259"/>
      <c r="Y176" s="259"/>
      <c r="Z176" s="259"/>
    </row>
    <row r="177" customFormat="false" ht="12" hidden="false" customHeight="true" outlineLevel="0" collapsed="false">
      <c r="A177" s="259"/>
      <c r="B177" s="259"/>
      <c r="C177" s="259"/>
      <c r="D177" s="259"/>
      <c r="E177" s="259"/>
      <c r="F177" s="261"/>
      <c r="G177" s="259"/>
      <c r="H177" s="259"/>
      <c r="I177" s="259"/>
      <c r="J177" s="262"/>
      <c r="K177" s="259"/>
      <c r="L177" s="259"/>
      <c r="M177" s="259"/>
      <c r="N177" s="259"/>
      <c r="O177" s="259"/>
      <c r="P177" s="259"/>
      <c r="Q177" s="259"/>
      <c r="R177" s="259"/>
      <c r="S177" s="259"/>
      <c r="T177" s="259"/>
      <c r="U177" s="259"/>
      <c r="V177" s="259"/>
      <c r="W177" s="259"/>
      <c r="X177" s="259"/>
      <c r="Y177" s="259"/>
      <c r="Z177" s="259"/>
    </row>
    <row r="178" customFormat="false" ht="12" hidden="false" customHeight="true" outlineLevel="0" collapsed="false">
      <c r="A178" s="259"/>
      <c r="B178" s="259"/>
      <c r="C178" s="259"/>
      <c r="D178" s="259"/>
      <c r="E178" s="259"/>
      <c r="F178" s="261"/>
      <c r="G178" s="259"/>
      <c r="H178" s="259"/>
      <c r="I178" s="259"/>
      <c r="J178" s="262"/>
      <c r="K178" s="259"/>
      <c r="L178" s="259"/>
      <c r="M178" s="259"/>
      <c r="N178" s="259"/>
      <c r="O178" s="259"/>
      <c r="P178" s="259"/>
      <c r="Q178" s="259"/>
      <c r="R178" s="259"/>
      <c r="S178" s="259"/>
      <c r="T178" s="259"/>
      <c r="U178" s="259"/>
      <c r="V178" s="259"/>
      <c r="W178" s="259"/>
      <c r="X178" s="259"/>
      <c r="Y178" s="259"/>
      <c r="Z178" s="259"/>
    </row>
    <row r="179" customFormat="false" ht="12" hidden="false" customHeight="true" outlineLevel="0" collapsed="false">
      <c r="A179" s="259"/>
      <c r="B179" s="259"/>
      <c r="C179" s="259"/>
      <c r="D179" s="259"/>
      <c r="E179" s="259"/>
      <c r="F179" s="261"/>
      <c r="G179" s="259"/>
      <c r="H179" s="259"/>
      <c r="I179" s="259"/>
      <c r="J179" s="262"/>
      <c r="K179" s="259"/>
      <c r="L179" s="259"/>
      <c r="M179" s="259"/>
      <c r="N179" s="259"/>
      <c r="O179" s="259"/>
      <c r="P179" s="259"/>
      <c r="Q179" s="259"/>
      <c r="R179" s="259"/>
      <c r="S179" s="259"/>
      <c r="T179" s="259"/>
      <c r="U179" s="259"/>
      <c r="V179" s="259"/>
      <c r="W179" s="259"/>
      <c r="X179" s="259"/>
      <c r="Y179" s="259"/>
      <c r="Z179" s="259"/>
    </row>
    <row r="180" customFormat="false" ht="12" hidden="false" customHeight="true" outlineLevel="0" collapsed="false">
      <c r="A180" s="259"/>
      <c r="B180" s="259"/>
      <c r="C180" s="259"/>
      <c r="D180" s="259"/>
      <c r="E180" s="259"/>
      <c r="F180" s="261"/>
      <c r="G180" s="259"/>
      <c r="H180" s="259"/>
      <c r="I180" s="259"/>
      <c r="J180" s="262"/>
      <c r="K180" s="259"/>
      <c r="L180" s="259"/>
      <c r="M180" s="259"/>
      <c r="N180" s="259"/>
      <c r="O180" s="259"/>
      <c r="P180" s="259"/>
      <c r="Q180" s="259"/>
      <c r="R180" s="259"/>
      <c r="S180" s="259"/>
      <c r="T180" s="259"/>
      <c r="U180" s="259"/>
      <c r="V180" s="259"/>
      <c r="W180" s="259"/>
      <c r="X180" s="259"/>
      <c r="Y180" s="259"/>
      <c r="Z180" s="259"/>
    </row>
    <row r="181" customFormat="false" ht="12" hidden="false" customHeight="true" outlineLevel="0" collapsed="false">
      <c r="A181" s="259"/>
      <c r="B181" s="259"/>
      <c r="C181" s="259"/>
      <c r="D181" s="259"/>
      <c r="E181" s="259"/>
      <c r="F181" s="261"/>
      <c r="G181" s="259"/>
      <c r="H181" s="259"/>
      <c r="I181" s="259"/>
      <c r="J181" s="262"/>
      <c r="K181" s="259"/>
      <c r="L181" s="259"/>
      <c r="M181" s="259"/>
      <c r="N181" s="259"/>
      <c r="O181" s="259"/>
      <c r="P181" s="259"/>
      <c r="Q181" s="259"/>
      <c r="R181" s="259"/>
      <c r="S181" s="259"/>
      <c r="T181" s="259"/>
      <c r="U181" s="259"/>
      <c r="V181" s="259"/>
      <c r="W181" s="259"/>
      <c r="X181" s="259"/>
      <c r="Y181" s="259"/>
      <c r="Z181" s="259"/>
    </row>
    <row r="182" customFormat="false" ht="12" hidden="false" customHeight="true" outlineLevel="0" collapsed="false">
      <c r="A182" s="259"/>
      <c r="B182" s="259"/>
      <c r="C182" s="259"/>
      <c r="D182" s="259"/>
      <c r="E182" s="259"/>
      <c r="F182" s="261"/>
      <c r="G182" s="259"/>
      <c r="H182" s="259"/>
      <c r="I182" s="259"/>
      <c r="J182" s="262"/>
      <c r="K182" s="259"/>
      <c r="L182" s="259"/>
      <c r="M182" s="259"/>
      <c r="N182" s="259"/>
      <c r="O182" s="259"/>
      <c r="P182" s="259"/>
      <c r="Q182" s="259"/>
      <c r="R182" s="259"/>
      <c r="S182" s="259"/>
      <c r="T182" s="259"/>
      <c r="U182" s="259"/>
      <c r="V182" s="259"/>
      <c r="W182" s="259"/>
      <c r="X182" s="259"/>
      <c r="Y182" s="259"/>
      <c r="Z182" s="259"/>
    </row>
    <row r="183" customFormat="false" ht="12" hidden="false" customHeight="true" outlineLevel="0" collapsed="false">
      <c r="A183" s="259"/>
      <c r="B183" s="259"/>
      <c r="C183" s="259"/>
      <c r="D183" s="259"/>
      <c r="E183" s="259"/>
      <c r="F183" s="261"/>
      <c r="G183" s="259"/>
      <c r="H183" s="259"/>
      <c r="I183" s="259"/>
      <c r="J183" s="262"/>
      <c r="K183" s="259"/>
      <c r="L183" s="259"/>
      <c r="M183" s="259"/>
      <c r="N183" s="259"/>
      <c r="O183" s="259"/>
      <c r="P183" s="259"/>
      <c r="Q183" s="259"/>
      <c r="R183" s="259"/>
      <c r="S183" s="259"/>
      <c r="T183" s="259"/>
      <c r="U183" s="259"/>
      <c r="V183" s="259"/>
      <c r="W183" s="259"/>
      <c r="X183" s="259"/>
      <c r="Y183" s="259"/>
      <c r="Z183" s="259"/>
    </row>
    <row r="184" customFormat="false" ht="12" hidden="false" customHeight="true" outlineLevel="0" collapsed="false">
      <c r="A184" s="259"/>
      <c r="B184" s="259"/>
      <c r="C184" s="259"/>
      <c r="D184" s="259"/>
      <c r="E184" s="259"/>
      <c r="F184" s="261"/>
      <c r="G184" s="259"/>
      <c r="H184" s="259"/>
      <c r="I184" s="259"/>
      <c r="J184" s="262"/>
      <c r="K184" s="259"/>
      <c r="L184" s="259"/>
      <c r="M184" s="259"/>
      <c r="N184" s="259"/>
      <c r="O184" s="259"/>
      <c r="P184" s="259"/>
      <c r="Q184" s="259"/>
      <c r="R184" s="259"/>
      <c r="S184" s="259"/>
      <c r="T184" s="259"/>
      <c r="U184" s="259"/>
      <c r="V184" s="259"/>
      <c r="W184" s="259"/>
      <c r="X184" s="259"/>
      <c r="Y184" s="259"/>
      <c r="Z184" s="259"/>
    </row>
    <row r="185" customFormat="false" ht="12" hidden="false" customHeight="true" outlineLevel="0" collapsed="false">
      <c r="A185" s="259"/>
      <c r="B185" s="259"/>
      <c r="C185" s="259"/>
      <c r="D185" s="259"/>
      <c r="E185" s="259"/>
      <c r="F185" s="261"/>
      <c r="G185" s="259"/>
      <c r="H185" s="259"/>
      <c r="I185" s="259"/>
      <c r="J185" s="262"/>
      <c r="K185" s="259"/>
      <c r="L185" s="259"/>
      <c r="M185" s="259"/>
      <c r="N185" s="259"/>
      <c r="O185" s="259"/>
      <c r="P185" s="259"/>
      <c r="Q185" s="259"/>
      <c r="R185" s="259"/>
      <c r="S185" s="259"/>
      <c r="T185" s="259"/>
      <c r="U185" s="259"/>
      <c r="V185" s="259"/>
      <c r="W185" s="259"/>
      <c r="X185" s="259"/>
      <c r="Y185" s="259"/>
      <c r="Z185" s="259"/>
    </row>
    <row r="186" customFormat="false" ht="12" hidden="false" customHeight="true" outlineLevel="0" collapsed="false">
      <c r="A186" s="259"/>
      <c r="B186" s="259"/>
      <c r="C186" s="259"/>
      <c r="D186" s="259"/>
      <c r="E186" s="259"/>
      <c r="F186" s="261"/>
      <c r="G186" s="259"/>
      <c r="H186" s="259"/>
      <c r="I186" s="259"/>
      <c r="J186" s="262"/>
      <c r="K186" s="259"/>
      <c r="L186" s="259"/>
      <c r="M186" s="259"/>
      <c r="N186" s="259"/>
      <c r="O186" s="259"/>
      <c r="P186" s="259"/>
      <c r="Q186" s="259"/>
      <c r="R186" s="259"/>
      <c r="S186" s="259"/>
      <c r="T186" s="259"/>
      <c r="U186" s="259"/>
      <c r="V186" s="259"/>
      <c r="W186" s="259"/>
      <c r="X186" s="259"/>
      <c r="Y186" s="259"/>
      <c r="Z186" s="259"/>
    </row>
    <row r="187" customFormat="false" ht="12" hidden="false" customHeight="true" outlineLevel="0" collapsed="false">
      <c r="A187" s="259"/>
      <c r="B187" s="259"/>
      <c r="C187" s="259"/>
      <c r="D187" s="259"/>
      <c r="E187" s="259"/>
      <c r="F187" s="261"/>
      <c r="G187" s="259"/>
      <c r="H187" s="259"/>
      <c r="I187" s="259"/>
      <c r="J187" s="262"/>
      <c r="K187" s="259"/>
      <c r="L187" s="259"/>
      <c r="M187" s="259"/>
      <c r="N187" s="259"/>
      <c r="O187" s="259"/>
      <c r="P187" s="259"/>
      <c r="Q187" s="259"/>
      <c r="R187" s="259"/>
      <c r="S187" s="259"/>
      <c r="T187" s="259"/>
      <c r="U187" s="259"/>
      <c r="V187" s="259"/>
      <c r="W187" s="259"/>
      <c r="X187" s="259"/>
      <c r="Y187" s="259"/>
      <c r="Z187" s="259"/>
    </row>
    <row r="188" customFormat="false" ht="12" hidden="false" customHeight="true" outlineLevel="0" collapsed="false">
      <c r="A188" s="259"/>
      <c r="B188" s="259"/>
      <c r="C188" s="259"/>
      <c r="D188" s="259"/>
      <c r="E188" s="259"/>
      <c r="F188" s="261"/>
      <c r="G188" s="259"/>
      <c r="H188" s="259"/>
      <c r="I188" s="259"/>
      <c r="J188" s="262"/>
      <c r="K188" s="259"/>
      <c r="L188" s="259"/>
      <c r="M188" s="259"/>
      <c r="N188" s="259"/>
      <c r="O188" s="259"/>
      <c r="P188" s="259"/>
      <c r="Q188" s="259"/>
      <c r="R188" s="259"/>
      <c r="S188" s="259"/>
      <c r="T188" s="259"/>
      <c r="U188" s="259"/>
      <c r="V188" s="259"/>
      <c r="W188" s="259"/>
      <c r="X188" s="259"/>
      <c r="Y188" s="259"/>
      <c r="Z188" s="259"/>
    </row>
    <row r="189" customFormat="false" ht="12" hidden="false" customHeight="true" outlineLevel="0" collapsed="false">
      <c r="A189" s="259"/>
      <c r="B189" s="259"/>
      <c r="C189" s="259"/>
      <c r="D189" s="259"/>
      <c r="E189" s="259"/>
      <c r="F189" s="261"/>
      <c r="G189" s="259"/>
      <c r="H189" s="259"/>
      <c r="I189" s="259"/>
      <c r="J189" s="262"/>
      <c r="K189" s="259"/>
      <c r="L189" s="259"/>
      <c r="M189" s="259"/>
      <c r="N189" s="259"/>
      <c r="O189" s="259"/>
      <c r="P189" s="259"/>
      <c r="Q189" s="259"/>
      <c r="R189" s="259"/>
      <c r="S189" s="259"/>
      <c r="T189" s="259"/>
      <c r="U189" s="259"/>
      <c r="V189" s="259"/>
      <c r="W189" s="259"/>
      <c r="X189" s="259"/>
      <c r="Y189" s="259"/>
      <c r="Z189" s="259"/>
    </row>
    <row r="190" customFormat="false" ht="12" hidden="false" customHeight="true" outlineLevel="0" collapsed="false">
      <c r="A190" s="259"/>
      <c r="B190" s="259"/>
      <c r="C190" s="259"/>
      <c r="D190" s="259"/>
      <c r="E190" s="259"/>
      <c r="F190" s="261"/>
      <c r="G190" s="259"/>
      <c r="H190" s="259"/>
      <c r="I190" s="259"/>
      <c r="J190" s="262"/>
      <c r="K190" s="259"/>
      <c r="L190" s="259"/>
      <c r="M190" s="259"/>
      <c r="N190" s="259"/>
      <c r="O190" s="259"/>
      <c r="P190" s="259"/>
      <c r="Q190" s="259"/>
      <c r="R190" s="259"/>
      <c r="S190" s="259"/>
      <c r="T190" s="259"/>
      <c r="U190" s="259"/>
      <c r="V190" s="259"/>
      <c r="W190" s="259"/>
      <c r="X190" s="259"/>
      <c r="Y190" s="259"/>
      <c r="Z190" s="259"/>
    </row>
    <row r="191" customFormat="false" ht="12" hidden="false" customHeight="true" outlineLevel="0" collapsed="false">
      <c r="A191" s="259"/>
      <c r="B191" s="259"/>
      <c r="C191" s="259"/>
      <c r="D191" s="259"/>
      <c r="E191" s="259"/>
      <c r="F191" s="261"/>
      <c r="G191" s="259"/>
      <c r="H191" s="259"/>
      <c r="I191" s="259"/>
      <c r="J191" s="262"/>
      <c r="K191" s="259"/>
      <c r="L191" s="259"/>
      <c r="M191" s="259"/>
      <c r="N191" s="259"/>
      <c r="O191" s="259"/>
      <c r="P191" s="259"/>
      <c r="Q191" s="259"/>
      <c r="R191" s="259"/>
      <c r="S191" s="259"/>
      <c r="T191" s="259"/>
      <c r="U191" s="259"/>
      <c r="V191" s="259"/>
      <c r="W191" s="259"/>
      <c r="X191" s="259"/>
      <c r="Y191" s="259"/>
      <c r="Z191" s="259"/>
    </row>
    <row r="192" customFormat="false" ht="12" hidden="false" customHeight="true" outlineLevel="0" collapsed="false">
      <c r="A192" s="259"/>
      <c r="B192" s="259"/>
      <c r="C192" s="259"/>
      <c r="D192" s="259"/>
      <c r="E192" s="259"/>
      <c r="F192" s="261"/>
      <c r="G192" s="259"/>
      <c r="H192" s="259"/>
      <c r="I192" s="259"/>
      <c r="J192" s="262"/>
      <c r="K192" s="259"/>
      <c r="L192" s="259"/>
      <c r="M192" s="259"/>
      <c r="N192" s="259"/>
      <c r="O192" s="259"/>
      <c r="P192" s="259"/>
      <c r="Q192" s="259"/>
      <c r="R192" s="259"/>
      <c r="S192" s="259"/>
      <c r="T192" s="259"/>
      <c r="U192" s="259"/>
      <c r="V192" s="259"/>
      <c r="W192" s="259"/>
      <c r="X192" s="259"/>
      <c r="Y192" s="259"/>
      <c r="Z192" s="259"/>
    </row>
    <row r="193" customFormat="false" ht="12" hidden="false" customHeight="true" outlineLevel="0" collapsed="false">
      <c r="A193" s="259"/>
      <c r="B193" s="259"/>
      <c r="C193" s="259"/>
      <c r="D193" s="259"/>
      <c r="E193" s="259"/>
      <c r="F193" s="261"/>
      <c r="G193" s="259"/>
      <c r="H193" s="259"/>
      <c r="I193" s="259"/>
      <c r="J193" s="262"/>
      <c r="K193" s="259"/>
      <c r="L193" s="259"/>
      <c r="M193" s="259"/>
      <c r="N193" s="259"/>
      <c r="O193" s="259"/>
      <c r="P193" s="259"/>
      <c r="Q193" s="259"/>
      <c r="R193" s="259"/>
      <c r="S193" s="259"/>
      <c r="T193" s="259"/>
      <c r="U193" s="259"/>
      <c r="V193" s="259"/>
      <c r="W193" s="259"/>
      <c r="X193" s="259"/>
      <c r="Y193" s="259"/>
      <c r="Z193" s="259"/>
    </row>
    <row r="194" customFormat="false" ht="12" hidden="false" customHeight="true" outlineLevel="0" collapsed="false">
      <c r="A194" s="259"/>
      <c r="B194" s="259"/>
      <c r="C194" s="259"/>
      <c r="D194" s="259"/>
      <c r="E194" s="259"/>
      <c r="F194" s="261"/>
      <c r="G194" s="259"/>
      <c r="H194" s="259"/>
      <c r="I194" s="259"/>
      <c r="J194" s="262"/>
      <c r="K194" s="259"/>
      <c r="L194" s="259"/>
      <c r="M194" s="259"/>
      <c r="N194" s="259"/>
      <c r="O194" s="259"/>
      <c r="P194" s="259"/>
      <c r="Q194" s="259"/>
      <c r="R194" s="259"/>
      <c r="S194" s="259"/>
      <c r="T194" s="259"/>
      <c r="U194" s="259"/>
      <c r="V194" s="259"/>
      <c r="W194" s="259"/>
      <c r="X194" s="259"/>
      <c r="Y194" s="259"/>
      <c r="Z194" s="259"/>
    </row>
    <row r="195" customFormat="false" ht="12" hidden="false" customHeight="true" outlineLevel="0" collapsed="false">
      <c r="A195" s="259"/>
      <c r="B195" s="259"/>
      <c r="C195" s="259"/>
      <c r="D195" s="259"/>
      <c r="E195" s="259"/>
      <c r="F195" s="261"/>
      <c r="G195" s="259"/>
      <c r="H195" s="259"/>
      <c r="I195" s="259"/>
      <c r="J195" s="262"/>
      <c r="K195" s="259"/>
      <c r="L195" s="259"/>
      <c r="M195" s="259"/>
      <c r="N195" s="259"/>
      <c r="O195" s="259"/>
      <c r="P195" s="259"/>
      <c r="Q195" s="259"/>
      <c r="R195" s="259"/>
      <c r="S195" s="259"/>
      <c r="T195" s="259"/>
      <c r="U195" s="259"/>
      <c r="V195" s="259"/>
      <c r="W195" s="259"/>
      <c r="X195" s="259"/>
      <c r="Y195" s="259"/>
      <c r="Z195" s="259"/>
    </row>
    <row r="196" customFormat="false" ht="12" hidden="false" customHeight="true" outlineLevel="0" collapsed="false">
      <c r="A196" s="259"/>
      <c r="B196" s="259"/>
      <c r="C196" s="259"/>
      <c r="D196" s="259"/>
      <c r="E196" s="259"/>
      <c r="F196" s="261"/>
      <c r="G196" s="259"/>
      <c r="H196" s="259"/>
      <c r="I196" s="259"/>
      <c r="J196" s="262"/>
      <c r="K196" s="259"/>
      <c r="L196" s="259"/>
      <c r="M196" s="259"/>
      <c r="N196" s="259"/>
      <c r="O196" s="259"/>
      <c r="P196" s="259"/>
      <c r="Q196" s="259"/>
      <c r="R196" s="259"/>
      <c r="S196" s="259"/>
      <c r="T196" s="259"/>
      <c r="U196" s="259"/>
      <c r="V196" s="259"/>
      <c r="W196" s="259"/>
      <c r="X196" s="259"/>
      <c r="Y196" s="259"/>
      <c r="Z196" s="259"/>
    </row>
    <row r="197" customFormat="false" ht="12" hidden="false" customHeight="true" outlineLevel="0" collapsed="false">
      <c r="A197" s="259"/>
      <c r="B197" s="259"/>
      <c r="C197" s="259"/>
      <c r="D197" s="259"/>
      <c r="E197" s="259"/>
      <c r="F197" s="261"/>
      <c r="G197" s="259"/>
      <c r="H197" s="259"/>
      <c r="I197" s="259"/>
      <c r="J197" s="262"/>
      <c r="K197" s="259"/>
      <c r="L197" s="259"/>
      <c r="M197" s="259"/>
      <c r="N197" s="259"/>
      <c r="O197" s="259"/>
      <c r="P197" s="259"/>
      <c r="Q197" s="259"/>
      <c r="R197" s="259"/>
      <c r="S197" s="259"/>
      <c r="T197" s="259"/>
      <c r="U197" s="259"/>
      <c r="V197" s="259"/>
      <c r="W197" s="259"/>
      <c r="X197" s="259"/>
      <c r="Y197" s="259"/>
      <c r="Z197" s="259"/>
    </row>
    <row r="198" customFormat="false" ht="12" hidden="false" customHeight="true" outlineLevel="0" collapsed="false">
      <c r="A198" s="259"/>
      <c r="B198" s="259"/>
      <c r="C198" s="259"/>
      <c r="D198" s="259"/>
      <c r="E198" s="259"/>
      <c r="F198" s="261"/>
      <c r="G198" s="259"/>
      <c r="H198" s="259"/>
      <c r="I198" s="259"/>
      <c r="J198" s="262"/>
      <c r="K198" s="259"/>
      <c r="L198" s="259"/>
      <c r="M198" s="259"/>
      <c r="N198" s="259"/>
      <c r="O198" s="259"/>
      <c r="P198" s="259"/>
      <c r="Q198" s="259"/>
      <c r="R198" s="259"/>
      <c r="S198" s="259"/>
      <c r="T198" s="259"/>
      <c r="U198" s="259"/>
      <c r="V198" s="259"/>
      <c r="W198" s="259"/>
      <c r="X198" s="259"/>
      <c r="Y198" s="259"/>
      <c r="Z198" s="259"/>
    </row>
    <row r="199" customFormat="false" ht="12" hidden="false" customHeight="true" outlineLevel="0" collapsed="false">
      <c r="A199" s="259"/>
      <c r="B199" s="259"/>
      <c r="C199" s="259"/>
      <c r="D199" s="259"/>
      <c r="E199" s="259"/>
      <c r="F199" s="261"/>
      <c r="G199" s="259"/>
      <c r="H199" s="259"/>
      <c r="I199" s="259"/>
      <c r="J199" s="262"/>
      <c r="K199" s="259"/>
      <c r="L199" s="259"/>
      <c r="M199" s="259"/>
      <c r="N199" s="259"/>
      <c r="O199" s="259"/>
      <c r="P199" s="259"/>
      <c r="Q199" s="259"/>
      <c r="R199" s="259"/>
      <c r="S199" s="259"/>
      <c r="T199" s="259"/>
      <c r="U199" s="259"/>
      <c r="V199" s="259"/>
      <c r="W199" s="259"/>
      <c r="X199" s="259"/>
      <c r="Y199" s="259"/>
      <c r="Z199" s="259"/>
    </row>
    <row r="200" customFormat="false" ht="12" hidden="false" customHeight="true" outlineLevel="0" collapsed="false">
      <c r="A200" s="259"/>
      <c r="B200" s="259"/>
      <c r="C200" s="259"/>
      <c r="D200" s="259"/>
      <c r="E200" s="259"/>
      <c r="F200" s="261"/>
      <c r="G200" s="259"/>
      <c r="H200" s="259"/>
      <c r="I200" s="259"/>
      <c r="J200" s="262"/>
      <c r="K200" s="259"/>
      <c r="L200" s="259"/>
      <c r="M200" s="259"/>
      <c r="N200" s="259"/>
      <c r="O200" s="259"/>
      <c r="P200" s="259"/>
      <c r="Q200" s="259"/>
      <c r="R200" s="259"/>
      <c r="S200" s="259"/>
      <c r="T200" s="259"/>
      <c r="U200" s="259"/>
      <c r="V200" s="259"/>
      <c r="W200" s="259"/>
      <c r="X200" s="259"/>
      <c r="Y200" s="259"/>
      <c r="Z200" s="259"/>
    </row>
    <row r="201" customFormat="false" ht="12" hidden="false" customHeight="true" outlineLevel="0" collapsed="false">
      <c r="A201" s="259"/>
      <c r="B201" s="259"/>
      <c r="C201" s="259"/>
      <c r="D201" s="259"/>
      <c r="E201" s="259"/>
      <c r="F201" s="261"/>
      <c r="G201" s="259"/>
      <c r="H201" s="259"/>
      <c r="I201" s="259"/>
      <c r="J201" s="262"/>
      <c r="K201" s="259"/>
      <c r="L201" s="259"/>
      <c r="M201" s="259"/>
      <c r="N201" s="259"/>
      <c r="O201" s="259"/>
      <c r="P201" s="259"/>
      <c r="Q201" s="259"/>
      <c r="R201" s="259"/>
      <c r="S201" s="259"/>
      <c r="T201" s="259"/>
      <c r="U201" s="259"/>
      <c r="V201" s="259"/>
      <c r="W201" s="259"/>
      <c r="X201" s="259"/>
      <c r="Y201" s="259"/>
      <c r="Z201" s="259"/>
    </row>
    <row r="202" customFormat="false" ht="12" hidden="false" customHeight="true" outlineLevel="0" collapsed="false">
      <c r="A202" s="259"/>
      <c r="B202" s="259"/>
      <c r="C202" s="259"/>
      <c r="D202" s="259"/>
      <c r="E202" s="259"/>
      <c r="F202" s="261"/>
      <c r="G202" s="259"/>
      <c r="H202" s="259"/>
      <c r="I202" s="259"/>
      <c r="J202" s="262"/>
      <c r="K202" s="259"/>
      <c r="L202" s="259"/>
      <c r="M202" s="259"/>
      <c r="N202" s="259"/>
      <c r="O202" s="259"/>
      <c r="P202" s="259"/>
      <c r="Q202" s="259"/>
      <c r="R202" s="259"/>
      <c r="S202" s="259"/>
      <c r="T202" s="259"/>
      <c r="U202" s="259"/>
      <c r="V202" s="259"/>
      <c r="W202" s="259"/>
      <c r="X202" s="259"/>
      <c r="Y202" s="259"/>
      <c r="Z202" s="259"/>
    </row>
    <row r="203" customFormat="false" ht="12" hidden="false" customHeight="true" outlineLevel="0" collapsed="false">
      <c r="A203" s="259"/>
      <c r="B203" s="259"/>
      <c r="C203" s="259"/>
      <c r="D203" s="259"/>
      <c r="E203" s="259"/>
      <c r="F203" s="261"/>
      <c r="G203" s="259"/>
      <c r="H203" s="259"/>
      <c r="I203" s="259"/>
      <c r="J203" s="262"/>
      <c r="K203" s="259"/>
      <c r="L203" s="259"/>
      <c r="M203" s="259"/>
      <c r="N203" s="259"/>
      <c r="O203" s="259"/>
      <c r="P203" s="259"/>
      <c r="Q203" s="259"/>
      <c r="R203" s="259"/>
      <c r="S203" s="259"/>
      <c r="T203" s="259"/>
      <c r="U203" s="259"/>
      <c r="V203" s="259"/>
      <c r="W203" s="259"/>
      <c r="X203" s="259"/>
      <c r="Y203" s="259"/>
      <c r="Z203" s="259"/>
    </row>
    <row r="204" customFormat="false" ht="12" hidden="false" customHeight="true" outlineLevel="0" collapsed="false">
      <c r="A204" s="259"/>
      <c r="B204" s="259"/>
      <c r="C204" s="259"/>
      <c r="D204" s="259"/>
      <c r="E204" s="259"/>
      <c r="F204" s="261"/>
      <c r="G204" s="259"/>
      <c r="H204" s="259"/>
      <c r="I204" s="259"/>
      <c r="J204" s="262"/>
      <c r="K204" s="259"/>
      <c r="L204" s="259"/>
      <c r="M204" s="259"/>
      <c r="N204" s="259"/>
      <c r="O204" s="259"/>
      <c r="P204" s="259"/>
      <c r="Q204" s="259"/>
      <c r="R204" s="259"/>
      <c r="S204" s="259"/>
      <c r="T204" s="259"/>
      <c r="U204" s="259"/>
      <c r="V204" s="259"/>
      <c r="W204" s="259"/>
      <c r="X204" s="259"/>
      <c r="Y204" s="259"/>
      <c r="Z204" s="259"/>
    </row>
    <row r="205" customFormat="false" ht="12" hidden="false" customHeight="true" outlineLevel="0" collapsed="false">
      <c r="A205" s="259"/>
      <c r="B205" s="259"/>
      <c r="C205" s="259"/>
      <c r="D205" s="259"/>
      <c r="E205" s="259"/>
      <c r="F205" s="261"/>
      <c r="G205" s="259"/>
      <c r="H205" s="259"/>
      <c r="I205" s="259"/>
      <c r="J205" s="262"/>
      <c r="K205" s="259"/>
      <c r="L205" s="259"/>
      <c r="M205" s="259"/>
      <c r="N205" s="259"/>
      <c r="O205" s="259"/>
      <c r="P205" s="259"/>
      <c r="Q205" s="259"/>
      <c r="R205" s="259"/>
      <c r="S205" s="259"/>
      <c r="T205" s="259"/>
      <c r="U205" s="259"/>
      <c r="V205" s="259"/>
      <c r="W205" s="259"/>
      <c r="X205" s="259"/>
      <c r="Y205" s="259"/>
      <c r="Z205" s="259"/>
    </row>
    <row r="206" customFormat="false" ht="12" hidden="false" customHeight="true" outlineLevel="0" collapsed="false">
      <c r="A206" s="259"/>
      <c r="B206" s="259"/>
      <c r="C206" s="259"/>
      <c r="D206" s="259"/>
      <c r="E206" s="259"/>
      <c r="F206" s="261"/>
      <c r="G206" s="259"/>
      <c r="H206" s="259"/>
      <c r="I206" s="259"/>
      <c r="J206" s="262"/>
      <c r="K206" s="259"/>
      <c r="L206" s="259"/>
      <c r="M206" s="259"/>
      <c r="N206" s="259"/>
      <c r="O206" s="259"/>
      <c r="P206" s="259"/>
      <c r="Q206" s="259"/>
      <c r="R206" s="259"/>
      <c r="S206" s="259"/>
      <c r="T206" s="259"/>
      <c r="U206" s="259"/>
      <c r="V206" s="259"/>
      <c r="W206" s="259"/>
      <c r="X206" s="259"/>
      <c r="Y206" s="259"/>
      <c r="Z206" s="259"/>
    </row>
    <row r="207" customFormat="false" ht="12" hidden="false" customHeight="true" outlineLevel="0" collapsed="false">
      <c r="A207" s="259"/>
      <c r="B207" s="259"/>
      <c r="C207" s="259"/>
      <c r="D207" s="259"/>
      <c r="E207" s="259"/>
      <c r="F207" s="261"/>
      <c r="G207" s="259"/>
      <c r="H207" s="259"/>
      <c r="I207" s="259"/>
      <c r="J207" s="262"/>
      <c r="K207" s="259"/>
      <c r="L207" s="259"/>
      <c r="M207" s="259"/>
      <c r="N207" s="259"/>
      <c r="O207" s="259"/>
      <c r="P207" s="259"/>
      <c r="Q207" s="259"/>
      <c r="R207" s="259"/>
      <c r="S207" s="259"/>
      <c r="T207" s="259"/>
      <c r="U207" s="259"/>
      <c r="V207" s="259"/>
      <c r="W207" s="259"/>
      <c r="X207" s="259"/>
      <c r="Y207" s="259"/>
      <c r="Z207" s="259"/>
    </row>
    <row r="208" customFormat="false" ht="12" hidden="false" customHeight="true" outlineLevel="0" collapsed="false">
      <c r="A208" s="259"/>
      <c r="B208" s="259"/>
      <c r="C208" s="259"/>
      <c r="D208" s="259"/>
      <c r="E208" s="259"/>
      <c r="F208" s="261"/>
      <c r="G208" s="259"/>
      <c r="H208" s="259"/>
      <c r="I208" s="259"/>
      <c r="J208" s="262"/>
      <c r="K208" s="259"/>
      <c r="L208" s="259"/>
      <c r="M208" s="259"/>
      <c r="N208" s="259"/>
      <c r="O208" s="259"/>
      <c r="P208" s="259"/>
      <c r="Q208" s="259"/>
      <c r="R208" s="259"/>
      <c r="S208" s="259"/>
      <c r="T208" s="259"/>
      <c r="U208" s="259"/>
      <c r="V208" s="259"/>
      <c r="W208" s="259"/>
      <c r="X208" s="259"/>
      <c r="Y208" s="259"/>
      <c r="Z208" s="259"/>
    </row>
    <row r="209" customFormat="false" ht="12" hidden="false" customHeight="true" outlineLevel="0" collapsed="false">
      <c r="A209" s="259"/>
      <c r="B209" s="259"/>
      <c r="C209" s="259"/>
      <c r="D209" s="259"/>
      <c r="E209" s="259"/>
      <c r="F209" s="261"/>
      <c r="G209" s="259"/>
      <c r="H209" s="259"/>
      <c r="I209" s="259"/>
      <c r="J209" s="262"/>
      <c r="K209" s="259"/>
      <c r="L209" s="259"/>
      <c r="M209" s="259"/>
      <c r="N209" s="259"/>
      <c r="O209" s="259"/>
      <c r="P209" s="259"/>
      <c r="Q209" s="259"/>
      <c r="R209" s="259"/>
      <c r="S209" s="259"/>
      <c r="T209" s="259"/>
      <c r="U209" s="259"/>
      <c r="V209" s="259"/>
      <c r="W209" s="259"/>
      <c r="X209" s="259"/>
      <c r="Y209" s="259"/>
      <c r="Z209" s="259"/>
    </row>
    <row r="210" customFormat="false" ht="12" hidden="false" customHeight="true" outlineLevel="0" collapsed="false">
      <c r="A210" s="259"/>
      <c r="B210" s="259"/>
      <c r="C210" s="259"/>
      <c r="D210" s="259"/>
      <c r="E210" s="259"/>
      <c r="F210" s="261"/>
      <c r="G210" s="259"/>
      <c r="H210" s="259"/>
      <c r="I210" s="259"/>
      <c r="J210" s="262"/>
      <c r="K210" s="259"/>
      <c r="L210" s="259"/>
      <c r="M210" s="259"/>
      <c r="N210" s="259"/>
      <c r="O210" s="259"/>
      <c r="P210" s="259"/>
      <c r="Q210" s="259"/>
      <c r="R210" s="259"/>
      <c r="S210" s="259"/>
      <c r="T210" s="259"/>
      <c r="U210" s="259"/>
      <c r="V210" s="259"/>
      <c r="W210" s="259"/>
      <c r="X210" s="259"/>
      <c r="Y210" s="259"/>
      <c r="Z210" s="259"/>
    </row>
    <row r="211" customFormat="false" ht="12" hidden="false" customHeight="true" outlineLevel="0" collapsed="false">
      <c r="A211" s="259"/>
      <c r="B211" s="259"/>
      <c r="C211" s="259"/>
      <c r="D211" s="259"/>
      <c r="E211" s="259"/>
      <c r="F211" s="261"/>
      <c r="G211" s="259"/>
      <c r="H211" s="259"/>
      <c r="I211" s="259"/>
      <c r="J211" s="262"/>
      <c r="K211" s="259"/>
      <c r="L211" s="259"/>
      <c r="M211" s="259"/>
      <c r="N211" s="259"/>
      <c r="O211" s="259"/>
      <c r="P211" s="259"/>
      <c r="Q211" s="259"/>
      <c r="R211" s="259"/>
      <c r="S211" s="259"/>
      <c r="T211" s="259"/>
      <c r="U211" s="259"/>
      <c r="V211" s="259"/>
      <c r="W211" s="259"/>
      <c r="X211" s="259"/>
      <c r="Y211" s="259"/>
      <c r="Z211" s="259"/>
    </row>
    <row r="212" customFormat="false" ht="12" hidden="false" customHeight="true" outlineLevel="0" collapsed="false">
      <c r="A212" s="259"/>
      <c r="B212" s="259"/>
      <c r="C212" s="259"/>
      <c r="D212" s="259"/>
      <c r="E212" s="259"/>
      <c r="F212" s="261"/>
      <c r="G212" s="259"/>
      <c r="H212" s="259"/>
      <c r="I212" s="259"/>
      <c r="J212" s="262"/>
      <c r="K212" s="259"/>
      <c r="L212" s="259"/>
      <c r="M212" s="259"/>
      <c r="N212" s="259"/>
      <c r="O212" s="259"/>
      <c r="P212" s="259"/>
      <c r="Q212" s="259"/>
      <c r="R212" s="259"/>
      <c r="S212" s="259"/>
      <c r="T212" s="259"/>
      <c r="U212" s="259"/>
      <c r="V212" s="259"/>
      <c r="W212" s="259"/>
      <c r="X212" s="259"/>
      <c r="Y212" s="259"/>
      <c r="Z212" s="259"/>
    </row>
    <row r="213" customFormat="false" ht="12" hidden="false" customHeight="true" outlineLevel="0" collapsed="false">
      <c r="A213" s="259"/>
      <c r="B213" s="259"/>
      <c r="C213" s="259"/>
      <c r="D213" s="259"/>
      <c r="E213" s="259"/>
      <c r="F213" s="261"/>
      <c r="G213" s="259"/>
      <c r="H213" s="259"/>
      <c r="I213" s="259"/>
      <c r="J213" s="262"/>
      <c r="K213" s="259"/>
      <c r="L213" s="259"/>
      <c r="M213" s="259"/>
      <c r="N213" s="259"/>
      <c r="O213" s="259"/>
      <c r="P213" s="259"/>
      <c r="Q213" s="259"/>
      <c r="R213" s="259"/>
      <c r="S213" s="259"/>
      <c r="T213" s="259"/>
      <c r="U213" s="259"/>
      <c r="V213" s="259"/>
      <c r="W213" s="259"/>
      <c r="X213" s="259"/>
      <c r="Y213" s="259"/>
      <c r="Z213" s="259"/>
    </row>
    <row r="214" customFormat="false" ht="12" hidden="false" customHeight="true" outlineLevel="0" collapsed="false">
      <c r="A214" s="259"/>
      <c r="B214" s="259"/>
      <c r="C214" s="259"/>
      <c r="D214" s="259"/>
      <c r="E214" s="259"/>
      <c r="F214" s="261"/>
      <c r="G214" s="259"/>
      <c r="H214" s="259"/>
      <c r="I214" s="259"/>
      <c r="J214" s="262"/>
      <c r="K214" s="259"/>
      <c r="L214" s="259"/>
      <c r="M214" s="259"/>
      <c r="N214" s="259"/>
      <c r="O214" s="259"/>
      <c r="P214" s="259"/>
      <c r="Q214" s="259"/>
      <c r="R214" s="259"/>
      <c r="S214" s="259"/>
      <c r="T214" s="259"/>
      <c r="U214" s="259"/>
      <c r="V214" s="259"/>
      <c r="W214" s="259"/>
      <c r="X214" s="259"/>
      <c r="Y214" s="259"/>
      <c r="Z214" s="259"/>
    </row>
    <row r="215" customFormat="false" ht="12" hidden="false" customHeight="true" outlineLevel="0" collapsed="false">
      <c r="A215" s="259"/>
      <c r="B215" s="259"/>
      <c r="C215" s="259"/>
      <c r="D215" s="259"/>
      <c r="E215" s="259"/>
      <c r="F215" s="261"/>
      <c r="G215" s="259"/>
      <c r="H215" s="259"/>
      <c r="I215" s="259"/>
      <c r="J215" s="262"/>
      <c r="K215" s="259"/>
      <c r="L215" s="259"/>
      <c r="M215" s="259"/>
      <c r="N215" s="259"/>
      <c r="O215" s="259"/>
      <c r="P215" s="259"/>
      <c r="Q215" s="259"/>
      <c r="R215" s="259"/>
      <c r="S215" s="259"/>
      <c r="T215" s="259"/>
      <c r="U215" s="259"/>
      <c r="V215" s="259"/>
      <c r="W215" s="259"/>
      <c r="X215" s="259"/>
      <c r="Y215" s="259"/>
      <c r="Z215" s="259"/>
    </row>
    <row r="216" customFormat="false" ht="12" hidden="false" customHeight="true" outlineLevel="0" collapsed="false">
      <c r="A216" s="259"/>
      <c r="B216" s="259"/>
      <c r="C216" s="259"/>
      <c r="D216" s="259"/>
      <c r="E216" s="259"/>
      <c r="F216" s="261"/>
      <c r="G216" s="259"/>
      <c r="H216" s="259"/>
      <c r="I216" s="259"/>
      <c r="J216" s="262"/>
      <c r="K216" s="259"/>
      <c r="L216" s="259"/>
      <c r="M216" s="259"/>
      <c r="N216" s="259"/>
      <c r="O216" s="259"/>
      <c r="P216" s="259"/>
      <c r="Q216" s="259"/>
      <c r="R216" s="259"/>
      <c r="S216" s="259"/>
      <c r="T216" s="259"/>
      <c r="U216" s="259"/>
      <c r="V216" s="259"/>
      <c r="W216" s="259"/>
      <c r="X216" s="259"/>
      <c r="Y216" s="259"/>
      <c r="Z216" s="259"/>
    </row>
    <row r="217" customFormat="false" ht="12" hidden="false" customHeight="true" outlineLevel="0" collapsed="false">
      <c r="A217" s="259"/>
      <c r="B217" s="259"/>
      <c r="C217" s="259"/>
      <c r="D217" s="259"/>
      <c r="E217" s="259"/>
      <c r="F217" s="261"/>
      <c r="G217" s="259"/>
      <c r="H217" s="259"/>
      <c r="I217" s="259"/>
      <c r="J217" s="262"/>
      <c r="K217" s="259"/>
      <c r="L217" s="259"/>
      <c r="M217" s="259"/>
      <c r="N217" s="259"/>
      <c r="O217" s="259"/>
      <c r="P217" s="259"/>
      <c r="Q217" s="259"/>
      <c r="R217" s="259"/>
      <c r="S217" s="259"/>
      <c r="T217" s="259"/>
      <c r="U217" s="259"/>
      <c r="V217" s="259"/>
      <c r="W217" s="259"/>
      <c r="X217" s="259"/>
      <c r="Y217" s="259"/>
      <c r="Z217" s="259"/>
    </row>
    <row r="218" customFormat="false" ht="12" hidden="false" customHeight="true" outlineLevel="0" collapsed="false">
      <c r="A218" s="259"/>
      <c r="B218" s="259"/>
      <c r="C218" s="259"/>
      <c r="D218" s="259"/>
      <c r="E218" s="259"/>
      <c r="F218" s="261"/>
      <c r="G218" s="259"/>
      <c r="H218" s="259"/>
      <c r="I218" s="259"/>
      <c r="J218" s="262"/>
      <c r="K218" s="259"/>
      <c r="L218" s="259"/>
      <c r="M218" s="259"/>
      <c r="N218" s="259"/>
      <c r="O218" s="259"/>
      <c r="P218" s="259"/>
      <c r="Q218" s="259"/>
      <c r="R218" s="259"/>
      <c r="S218" s="259"/>
      <c r="T218" s="259"/>
      <c r="U218" s="259"/>
      <c r="V218" s="259"/>
      <c r="W218" s="259"/>
      <c r="X218" s="259"/>
      <c r="Y218" s="259"/>
      <c r="Z218" s="259"/>
    </row>
    <row r="219" customFormat="false" ht="12" hidden="false" customHeight="true" outlineLevel="0" collapsed="false">
      <c r="A219" s="259"/>
      <c r="B219" s="259"/>
      <c r="C219" s="259"/>
      <c r="D219" s="259"/>
      <c r="E219" s="259"/>
      <c r="F219" s="261"/>
      <c r="G219" s="259"/>
      <c r="H219" s="259"/>
      <c r="I219" s="259"/>
      <c r="J219" s="262"/>
      <c r="K219" s="259"/>
      <c r="L219" s="259"/>
      <c r="M219" s="259"/>
      <c r="N219" s="259"/>
      <c r="O219" s="259"/>
      <c r="P219" s="259"/>
      <c r="Q219" s="259"/>
      <c r="R219" s="259"/>
      <c r="S219" s="259"/>
      <c r="T219" s="259"/>
      <c r="U219" s="259"/>
      <c r="V219" s="259"/>
      <c r="W219" s="259"/>
      <c r="X219" s="259"/>
      <c r="Y219" s="259"/>
      <c r="Z219" s="259"/>
    </row>
    <row r="220" customFormat="false" ht="12" hidden="false" customHeight="true" outlineLevel="0" collapsed="false">
      <c r="A220" s="259"/>
      <c r="B220" s="259"/>
      <c r="C220" s="259"/>
      <c r="D220" s="259"/>
      <c r="E220" s="259"/>
      <c r="F220" s="261"/>
      <c r="G220" s="259"/>
      <c r="H220" s="259"/>
      <c r="I220" s="259"/>
      <c r="J220" s="262"/>
      <c r="K220" s="259"/>
      <c r="L220" s="259"/>
      <c r="M220" s="259"/>
      <c r="N220" s="259"/>
      <c r="O220" s="259"/>
      <c r="P220" s="259"/>
      <c r="Q220" s="259"/>
      <c r="R220" s="259"/>
      <c r="S220" s="259"/>
      <c r="T220" s="259"/>
      <c r="U220" s="259"/>
      <c r="V220" s="259"/>
      <c r="W220" s="259"/>
      <c r="X220" s="259"/>
      <c r="Y220" s="259"/>
      <c r="Z220" s="259"/>
    </row>
    <row r="221" customFormat="false" ht="12" hidden="false" customHeight="true" outlineLevel="0" collapsed="false">
      <c r="A221" s="259"/>
      <c r="B221" s="259"/>
      <c r="C221" s="259"/>
      <c r="D221" s="259"/>
      <c r="E221" s="259"/>
      <c r="F221" s="261"/>
      <c r="G221" s="259"/>
      <c r="H221" s="259"/>
      <c r="I221" s="259"/>
      <c r="J221" s="262"/>
      <c r="K221" s="259"/>
      <c r="L221" s="259"/>
      <c r="M221" s="259"/>
      <c r="N221" s="259"/>
      <c r="O221" s="259"/>
      <c r="P221" s="259"/>
      <c r="Q221" s="259"/>
      <c r="R221" s="259"/>
      <c r="S221" s="259"/>
      <c r="T221" s="259"/>
      <c r="U221" s="259"/>
      <c r="V221" s="259"/>
      <c r="W221" s="259"/>
      <c r="X221" s="259"/>
      <c r="Y221" s="259"/>
      <c r="Z221" s="259"/>
    </row>
    <row r="222" customFormat="false" ht="12" hidden="false" customHeight="true" outlineLevel="0" collapsed="false">
      <c r="A222" s="259"/>
      <c r="B222" s="259"/>
      <c r="C222" s="259"/>
      <c r="D222" s="259"/>
      <c r="E222" s="259"/>
      <c r="F222" s="261"/>
      <c r="G222" s="259"/>
      <c r="H222" s="259"/>
      <c r="I222" s="259"/>
      <c r="J222" s="262"/>
      <c r="K222" s="259"/>
      <c r="L222" s="259"/>
      <c r="M222" s="259"/>
      <c r="N222" s="259"/>
      <c r="O222" s="259"/>
      <c r="P222" s="259"/>
      <c r="Q222" s="259"/>
      <c r="R222" s="259"/>
      <c r="S222" s="259"/>
      <c r="T222" s="259"/>
      <c r="U222" s="259"/>
      <c r="V222" s="259"/>
      <c r="W222" s="259"/>
      <c r="X222" s="259"/>
      <c r="Y222" s="259"/>
      <c r="Z222" s="259"/>
    </row>
    <row r="223" customFormat="false" ht="12" hidden="false" customHeight="true" outlineLevel="0" collapsed="false">
      <c r="A223" s="259"/>
      <c r="B223" s="259"/>
      <c r="C223" s="259"/>
      <c r="D223" s="259"/>
      <c r="E223" s="259"/>
      <c r="F223" s="261"/>
      <c r="G223" s="259"/>
      <c r="H223" s="259"/>
      <c r="I223" s="259"/>
      <c r="J223" s="262"/>
      <c r="K223" s="259"/>
      <c r="L223" s="259"/>
      <c r="M223" s="259"/>
      <c r="N223" s="259"/>
      <c r="O223" s="259"/>
      <c r="P223" s="259"/>
      <c r="Q223" s="259"/>
      <c r="R223" s="259"/>
      <c r="S223" s="259"/>
      <c r="T223" s="259"/>
      <c r="U223" s="259"/>
      <c r="V223" s="259"/>
      <c r="W223" s="259"/>
      <c r="X223" s="259"/>
      <c r="Y223" s="259"/>
      <c r="Z223" s="259"/>
    </row>
    <row r="224" customFormat="false" ht="12" hidden="false" customHeight="true" outlineLevel="0" collapsed="false">
      <c r="A224" s="259"/>
      <c r="B224" s="259"/>
      <c r="C224" s="259"/>
      <c r="D224" s="259"/>
      <c r="E224" s="259"/>
      <c r="F224" s="261"/>
      <c r="G224" s="259"/>
      <c r="H224" s="259"/>
      <c r="I224" s="259"/>
      <c r="J224" s="262"/>
      <c r="K224" s="259"/>
      <c r="L224" s="259"/>
      <c r="M224" s="259"/>
      <c r="N224" s="259"/>
      <c r="O224" s="259"/>
      <c r="P224" s="259"/>
      <c r="Q224" s="259"/>
      <c r="R224" s="259"/>
      <c r="S224" s="259"/>
      <c r="T224" s="259"/>
      <c r="U224" s="259"/>
      <c r="V224" s="259"/>
      <c r="W224" s="259"/>
      <c r="X224" s="259"/>
      <c r="Y224" s="259"/>
      <c r="Z224" s="259"/>
    </row>
    <row r="225" customFormat="false" ht="12" hidden="false" customHeight="true" outlineLevel="0" collapsed="false">
      <c r="A225" s="259"/>
      <c r="B225" s="259"/>
      <c r="C225" s="259"/>
      <c r="D225" s="259"/>
      <c r="E225" s="259"/>
      <c r="F225" s="261"/>
      <c r="G225" s="259"/>
      <c r="H225" s="259"/>
      <c r="I225" s="259"/>
      <c r="J225" s="262"/>
      <c r="K225" s="259"/>
      <c r="L225" s="259"/>
      <c r="M225" s="259"/>
      <c r="N225" s="259"/>
      <c r="O225" s="259"/>
      <c r="P225" s="259"/>
      <c r="Q225" s="259"/>
      <c r="R225" s="259"/>
      <c r="S225" s="259"/>
      <c r="T225" s="259"/>
      <c r="U225" s="259"/>
      <c r="V225" s="259"/>
      <c r="W225" s="259"/>
      <c r="X225" s="259"/>
      <c r="Y225" s="259"/>
      <c r="Z225" s="259"/>
    </row>
    <row r="226" customFormat="false" ht="12" hidden="false" customHeight="true" outlineLevel="0" collapsed="false">
      <c r="A226" s="259"/>
      <c r="B226" s="259"/>
      <c r="C226" s="259"/>
      <c r="D226" s="259"/>
      <c r="E226" s="259"/>
      <c r="F226" s="261"/>
      <c r="G226" s="259"/>
      <c r="H226" s="259"/>
      <c r="I226" s="259"/>
      <c r="J226" s="262"/>
      <c r="K226" s="259"/>
      <c r="L226" s="259"/>
      <c r="M226" s="259"/>
      <c r="N226" s="259"/>
      <c r="O226" s="259"/>
      <c r="P226" s="259"/>
      <c r="Q226" s="259"/>
      <c r="R226" s="259"/>
      <c r="S226" s="259"/>
      <c r="T226" s="259"/>
      <c r="U226" s="259"/>
      <c r="V226" s="259"/>
      <c r="W226" s="259"/>
      <c r="X226" s="259"/>
      <c r="Y226" s="259"/>
      <c r="Z226" s="259"/>
    </row>
    <row r="227" customFormat="false" ht="12" hidden="false" customHeight="true" outlineLevel="0" collapsed="false">
      <c r="A227" s="259"/>
      <c r="B227" s="259"/>
      <c r="C227" s="259"/>
      <c r="D227" s="259"/>
      <c r="E227" s="259"/>
      <c r="F227" s="261"/>
      <c r="G227" s="259"/>
      <c r="H227" s="259"/>
      <c r="I227" s="259"/>
      <c r="J227" s="262"/>
      <c r="K227" s="259"/>
      <c r="L227" s="259"/>
      <c r="M227" s="259"/>
      <c r="N227" s="259"/>
      <c r="O227" s="259"/>
      <c r="P227" s="259"/>
      <c r="Q227" s="259"/>
      <c r="R227" s="259"/>
      <c r="S227" s="259"/>
      <c r="T227" s="259"/>
      <c r="U227" s="259"/>
      <c r="V227" s="259"/>
      <c r="W227" s="259"/>
      <c r="X227" s="259"/>
      <c r="Y227" s="259"/>
      <c r="Z227" s="259"/>
    </row>
    <row r="228" customFormat="false" ht="12" hidden="false" customHeight="true" outlineLevel="0" collapsed="false">
      <c r="A228" s="259"/>
      <c r="B228" s="259"/>
      <c r="C228" s="259"/>
      <c r="D228" s="259"/>
      <c r="E228" s="259"/>
      <c r="F228" s="261"/>
      <c r="G228" s="259"/>
      <c r="H228" s="259"/>
      <c r="I228" s="259"/>
      <c r="J228" s="262"/>
      <c r="K228" s="259"/>
      <c r="L228" s="259"/>
      <c r="M228" s="259"/>
      <c r="N228" s="259"/>
      <c r="O228" s="259"/>
      <c r="P228" s="259"/>
      <c r="Q228" s="259"/>
      <c r="R228" s="259"/>
      <c r="S228" s="259"/>
      <c r="T228" s="259"/>
      <c r="U228" s="259"/>
      <c r="V228" s="259"/>
      <c r="W228" s="259"/>
      <c r="X228" s="259"/>
      <c r="Y228" s="259"/>
      <c r="Z228" s="259"/>
    </row>
    <row r="229" customFormat="false" ht="12" hidden="false" customHeight="true" outlineLevel="0" collapsed="false">
      <c r="A229" s="259"/>
      <c r="B229" s="259"/>
      <c r="C229" s="259"/>
      <c r="D229" s="259"/>
      <c r="E229" s="259"/>
      <c r="F229" s="261"/>
      <c r="G229" s="259"/>
      <c r="H229" s="259"/>
      <c r="I229" s="259"/>
      <c r="J229" s="262"/>
      <c r="K229" s="259"/>
      <c r="L229" s="259"/>
      <c r="M229" s="259"/>
      <c r="N229" s="259"/>
      <c r="O229" s="259"/>
      <c r="P229" s="259"/>
      <c r="Q229" s="259"/>
      <c r="R229" s="259"/>
      <c r="S229" s="259"/>
      <c r="T229" s="259"/>
      <c r="U229" s="259"/>
      <c r="V229" s="259"/>
      <c r="W229" s="259"/>
      <c r="X229" s="259"/>
      <c r="Y229" s="259"/>
      <c r="Z229" s="259"/>
    </row>
    <row r="230" customFormat="false" ht="12" hidden="false" customHeight="true" outlineLevel="0" collapsed="false">
      <c r="A230" s="259"/>
      <c r="B230" s="259"/>
      <c r="C230" s="259"/>
      <c r="D230" s="259"/>
      <c r="E230" s="259"/>
      <c r="F230" s="261"/>
      <c r="G230" s="259"/>
      <c r="H230" s="259"/>
      <c r="I230" s="259"/>
      <c r="J230" s="262"/>
      <c r="K230" s="259"/>
      <c r="L230" s="259"/>
      <c r="M230" s="259"/>
      <c r="N230" s="259"/>
      <c r="O230" s="259"/>
      <c r="P230" s="259"/>
      <c r="Q230" s="259"/>
      <c r="R230" s="259"/>
      <c r="S230" s="259"/>
      <c r="T230" s="259"/>
      <c r="U230" s="259"/>
      <c r="V230" s="259"/>
      <c r="W230" s="259"/>
      <c r="X230" s="259"/>
      <c r="Y230" s="259"/>
      <c r="Z230" s="259"/>
    </row>
    <row r="231" customFormat="false" ht="12" hidden="false" customHeight="true" outlineLevel="0" collapsed="false">
      <c r="A231" s="259"/>
      <c r="B231" s="259"/>
      <c r="C231" s="259"/>
      <c r="D231" s="259"/>
      <c r="E231" s="259"/>
      <c r="F231" s="261"/>
      <c r="G231" s="259"/>
      <c r="H231" s="259"/>
      <c r="I231" s="259"/>
      <c r="J231" s="262"/>
      <c r="K231" s="259"/>
      <c r="L231" s="259"/>
      <c r="M231" s="259"/>
      <c r="N231" s="259"/>
      <c r="O231" s="259"/>
      <c r="P231" s="259"/>
      <c r="Q231" s="259"/>
      <c r="R231" s="259"/>
      <c r="S231" s="259"/>
      <c r="T231" s="259"/>
      <c r="U231" s="259"/>
      <c r="V231" s="259"/>
      <c r="W231" s="259"/>
      <c r="X231" s="259"/>
      <c r="Y231" s="259"/>
      <c r="Z231" s="259"/>
    </row>
    <row r="232" customFormat="false" ht="12" hidden="false" customHeight="true" outlineLevel="0" collapsed="false">
      <c r="A232" s="259"/>
      <c r="B232" s="259"/>
      <c r="C232" s="259"/>
      <c r="D232" s="259"/>
      <c r="E232" s="259"/>
      <c r="F232" s="261"/>
      <c r="G232" s="259"/>
      <c r="H232" s="259"/>
      <c r="I232" s="259"/>
      <c r="J232" s="262"/>
      <c r="K232" s="259"/>
      <c r="L232" s="259"/>
      <c r="M232" s="259"/>
      <c r="N232" s="259"/>
      <c r="O232" s="259"/>
      <c r="P232" s="259"/>
      <c r="Q232" s="259"/>
      <c r="R232" s="259"/>
      <c r="S232" s="259"/>
      <c r="T232" s="259"/>
      <c r="U232" s="259"/>
      <c r="V232" s="259"/>
      <c r="W232" s="259"/>
      <c r="X232" s="259"/>
      <c r="Y232" s="259"/>
      <c r="Z232" s="259"/>
    </row>
    <row r="233" customFormat="false" ht="12" hidden="false" customHeight="true" outlineLevel="0" collapsed="false">
      <c r="A233" s="259"/>
      <c r="B233" s="259"/>
      <c r="C233" s="259"/>
      <c r="D233" s="259"/>
      <c r="E233" s="259"/>
      <c r="F233" s="261"/>
      <c r="G233" s="259"/>
      <c r="H233" s="259"/>
      <c r="I233" s="259"/>
      <c r="J233" s="262"/>
      <c r="K233" s="259"/>
      <c r="L233" s="259"/>
      <c r="M233" s="259"/>
      <c r="N233" s="259"/>
      <c r="O233" s="259"/>
      <c r="P233" s="259"/>
      <c r="Q233" s="259"/>
      <c r="R233" s="259"/>
      <c r="S233" s="259"/>
      <c r="T233" s="259"/>
      <c r="U233" s="259"/>
      <c r="V233" s="259"/>
      <c r="W233" s="259"/>
      <c r="X233" s="259"/>
      <c r="Y233" s="259"/>
      <c r="Z233" s="259"/>
    </row>
    <row r="234" customFormat="false" ht="12" hidden="false" customHeight="true" outlineLevel="0" collapsed="false">
      <c r="A234" s="259"/>
      <c r="B234" s="259"/>
      <c r="C234" s="259"/>
      <c r="D234" s="259"/>
      <c r="E234" s="259"/>
      <c r="F234" s="261"/>
      <c r="G234" s="259"/>
      <c r="H234" s="259"/>
      <c r="I234" s="259"/>
      <c r="J234" s="262"/>
      <c r="K234" s="259"/>
      <c r="L234" s="259"/>
      <c r="M234" s="259"/>
      <c r="N234" s="259"/>
      <c r="O234" s="259"/>
      <c r="P234" s="259"/>
      <c r="Q234" s="259"/>
      <c r="R234" s="259"/>
      <c r="S234" s="259"/>
      <c r="T234" s="259"/>
      <c r="U234" s="259"/>
      <c r="V234" s="259"/>
      <c r="W234" s="259"/>
      <c r="X234" s="259"/>
      <c r="Y234" s="259"/>
      <c r="Z234" s="259"/>
    </row>
    <row r="235" customFormat="false" ht="12" hidden="false" customHeight="true" outlineLevel="0" collapsed="false">
      <c r="A235" s="259"/>
      <c r="B235" s="259"/>
      <c r="C235" s="259"/>
      <c r="D235" s="259"/>
      <c r="E235" s="259"/>
      <c r="F235" s="261"/>
      <c r="G235" s="259"/>
      <c r="H235" s="259"/>
      <c r="I235" s="259"/>
      <c r="J235" s="262"/>
      <c r="K235" s="259"/>
      <c r="L235" s="259"/>
      <c r="M235" s="259"/>
      <c r="N235" s="259"/>
      <c r="O235" s="259"/>
      <c r="P235" s="259"/>
      <c r="Q235" s="259"/>
      <c r="R235" s="259"/>
      <c r="S235" s="259"/>
      <c r="T235" s="259"/>
      <c r="U235" s="259"/>
      <c r="V235" s="259"/>
      <c r="W235" s="259"/>
      <c r="X235" s="259"/>
      <c r="Y235" s="259"/>
      <c r="Z235" s="259"/>
    </row>
    <row r="236" customFormat="false" ht="12" hidden="false" customHeight="true" outlineLevel="0" collapsed="false">
      <c r="A236" s="259"/>
      <c r="B236" s="259"/>
      <c r="C236" s="259"/>
      <c r="D236" s="259"/>
      <c r="E236" s="259"/>
      <c r="F236" s="261"/>
      <c r="G236" s="259"/>
      <c r="H236" s="259"/>
      <c r="I236" s="259"/>
      <c r="J236" s="262"/>
      <c r="K236" s="259"/>
      <c r="L236" s="259"/>
      <c r="M236" s="259"/>
      <c r="N236" s="259"/>
      <c r="O236" s="259"/>
      <c r="P236" s="259"/>
      <c r="Q236" s="259"/>
      <c r="R236" s="259"/>
      <c r="S236" s="259"/>
      <c r="T236" s="259"/>
      <c r="U236" s="259"/>
      <c r="V236" s="259"/>
      <c r="W236" s="259"/>
      <c r="X236" s="259"/>
      <c r="Y236" s="259"/>
      <c r="Z236" s="259"/>
    </row>
    <row r="237" customFormat="false" ht="12" hidden="false" customHeight="true" outlineLevel="0" collapsed="false">
      <c r="A237" s="259"/>
      <c r="B237" s="259"/>
      <c r="C237" s="259"/>
      <c r="D237" s="259"/>
      <c r="E237" s="259"/>
      <c r="F237" s="261"/>
      <c r="G237" s="259"/>
      <c r="H237" s="259"/>
      <c r="I237" s="259"/>
      <c r="J237" s="262"/>
      <c r="K237" s="259"/>
      <c r="L237" s="259"/>
      <c r="M237" s="259"/>
      <c r="N237" s="259"/>
      <c r="O237" s="259"/>
      <c r="P237" s="259"/>
      <c r="Q237" s="259"/>
      <c r="R237" s="259"/>
      <c r="S237" s="259"/>
      <c r="T237" s="259"/>
      <c r="U237" s="259"/>
      <c r="V237" s="259"/>
      <c r="W237" s="259"/>
      <c r="X237" s="259"/>
      <c r="Y237" s="259"/>
      <c r="Z237" s="259"/>
    </row>
    <row r="238" customFormat="false" ht="12" hidden="false" customHeight="true" outlineLevel="0" collapsed="false">
      <c r="A238" s="259"/>
      <c r="B238" s="259"/>
      <c r="C238" s="259"/>
      <c r="D238" s="259"/>
      <c r="E238" s="259"/>
      <c r="F238" s="261"/>
      <c r="G238" s="259"/>
      <c r="H238" s="259"/>
      <c r="I238" s="259"/>
      <c r="J238" s="262"/>
      <c r="K238" s="259"/>
      <c r="L238" s="259"/>
      <c r="M238" s="259"/>
      <c r="N238" s="259"/>
      <c r="O238" s="259"/>
      <c r="P238" s="259"/>
      <c r="Q238" s="259"/>
      <c r="R238" s="259"/>
      <c r="S238" s="259"/>
      <c r="T238" s="259"/>
      <c r="U238" s="259"/>
      <c r="V238" s="259"/>
      <c r="W238" s="259"/>
      <c r="X238" s="259"/>
      <c r="Y238" s="259"/>
      <c r="Z238" s="259"/>
    </row>
    <row r="239" customFormat="false" ht="12" hidden="false" customHeight="true" outlineLevel="0" collapsed="false">
      <c r="A239" s="259"/>
      <c r="B239" s="259"/>
      <c r="C239" s="259"/>
      <c r="D239" s="259"/>
      <c r="E239" s="259"/>
      <c r="F239" s="261"/>
      <c r="G239" s="259"/>
      <c r="H239" s="259"/>
      <c r="I239" s="259"/>
      <c r="J239" s="262"/>
      <c r="K239" s="259"/>
      <c r="L239" s="259"/>
      <c r="M239" s="259"/>
      <c r="N239" s="259"/>
      <c r="O239" s="259"/>
      <c r="P239" s="259"/>
      <c r="Q239" s="259"/>
      <c r="R239" s="259"/>
      <c r="S239" s="259"/>
      <c r="T239" s="259"/>
      <c r="U239" s="259"/>
      <c r="V239" s="259"/>
      <c r="W239" s="259"/>
      <c r="X239" s="259"/>
      <c r="Y239" s="259"/>
      <c r="Z239" s="259"/>
    </row>
    <row r="240" customFormat="false" ht="12" hidden="false" customHeight="true" outlineLevel="0" collapsed="false">
      <c r="A240" s="259"/>
      <c r="B240" s="259"/>
      <c r="C240" s="259"/>
      <c r="D240" s="259"/>
      <c r="E240" s="259"/>
      <c r="F240" s="261"/>
      <c r="G240" s="259"/>
      <c r="H240" s="259"/>
      <c r="I240" s="259"/>
      <c r="J240" s="262"/>
      <c r="K240" s="259"/>
      <c r="L240" s="259"/>
      <c r="M240" s="259"/>
      <c r="N240" s="259"/>
      <c r="O240" s="259"/>
      <c r="P240" s="259"/>
      <c r="Q240" s="259"/>
      <c r="R240" s="259"/>
      <c r="S240" s="259"/>
      <c r="T240" s="259"/>
      <c r="U240" s="259"/>
      <c r="V240" s="259"/>
      <c r="W240" s="259"/>
      <c r="X240" s="259"/>
      <c r="Y240" s="259"/>
      <c r="Z240" s="259"/>
    </row>
    <row r="241" customFormat="false" ht="12" hidden="false" customHeight="true" outlineLevel="0" collapsed="false">
      <c r="A241" s="259"/>
      <c r="B241" s="259"/>
      <c r="C241" s="259"/>
      <c r="D241" s="259"/>
      <c r="E241" s="259"/>
      <c r="F241" s="261"/>
      <c r="G241" s="259"/>
      <c r="H241" s="259"/>
      <c r="I241" s="259"/>
      <c r="J241" s="262"/>
      <c r="K241" s="259"/>
      <c r="L241" s="259"/>
      <c r="M241" s="259"/>
      <c r="N241" s="259"/>
      <c r="O241" s="259"/>
      <c r="P241" s="259"/>
      <c r="Q241" s="259"/>
      <c r="R241" s="259"/>
      <c r="S241" s="259"/>
      <c r="T241" s="259"/>
      <c r="U241" s="259"/>
      <c r="V241" s="259"/>
      <c r="W241" s="259"/>
      <c r="X241" s="259"/>
      <c r="Y241" s="259"/>
      <c r="Z241" s="259"/>
    </row>
    <row r="242" customFormat="false" ht="12" hidden="false" customHeight="true" outlineLevel="0" collapsed="false">
      <c r="A242" s="259"/>
      <c r="B242" s="259"/>
      <c r="C242" s="259"/>
      <c r="D242" s="259"/>
      <c r="E242" s="259"/>
      <c r="F242" s="261"/>
      <c r="G242" s="259"/>
      <c r="H242" s="259"/>
      <c r="I242" s="259"/>
      <c r="J242" s="262"/>
      <c r="K242" s="259"/>
      <c r="L242" s="259"/>
      <c r="M242" s="259"/>
      <c r="N242" s="259"/>
      <c r="O242" s="259"/>
      <c r="P242" s="259"/>
      <c r="Q242" s="259"/>
      <c r="R242" s="259"/>
      <c r="S242" s="259"/>
      <c r="T242" s="259"/>
      <c r="U242" s="259"/>
      <c r="V242" s="259"/>
      <c r="W242" s="259"/>
      <c r="X242" s="259"/>
      <c r="Y242" s="259"/>
      <c r="Z242" s="259"/>
    </row>
    <row r="243" customFormat="false" ht="12" hidden="false" customHeight="true" outlineLevel="0" collapsed="false">
      <c r="A243" s="259"/>
      <c r="B243" s="259"/>
      <c r="C243" s="259"/>
      <c r="D243" s="259"/>
      <c r="E243" s="259"/>
      <c r="F243" s="261"/>
      <c r="G243" s="259"/>
      <c r="H243" s="259"/>
      <c r="I243" s="259"/>
      <c r="J243" s="262"/>
      <c r="K243" s="259"/>
      <c r="L243" s="259"/>
      <c r="M243" s="259"/>
      <c r="N243" s="259"/>
      <c r="O243" s="259"/>
      <c r="P243" s="259"/>
      <c r="Q243" s="259"/>
      <c r="R243" s="259"/>
      <c r="S243" s="259"/>
      <c r="T243" s="259"/>
      <c r="U243" s="259"/>
      <c r="V243" s="259"/>
      <c r="W243" s="259"/>
      <c r="X243" s="259"/>
      <c r="Y243" s="259"/>
      <c r="Z243" s="259"/>
    </row>
    <row r="244" customFormat="false" ht="12" hidden="false" customHeight="true" outlineLevel="0" collapsed="false">
      <c r="A244" s="259"/>
      <c r="B244" s="259"/>
      <c r="C244" s="259"/>
      <c r="D244" s="259"/>
      <c r="E244" s="259"/>
      <c r="F244" s="261"/>
      <c r="G244" s="259"/>
      <c r="H244" s="259"/>
      <c r="I244" s="259"/>
      <c r="J244" s="262"/>
      <c r="K244" s="259"/>
      <c r="L244" s="259"/>
      <c r="M244" s="259"/>
      <c r="N244" s="259"/>
      <c r="O244" s="259"/>
      <c r="P244" s="259"/>
      <c r="Q244" s="259"/>
      <c r="R244" s="259"/>
      <c r="S244" s="259"/>
      <c r="T244" s="259"/>
      <c r="U244" s="259"/>
      <c r="V244" s="259"/>
      <c r="W244" s="259"/>
      <c r="X244" s="259"/>
      <c r="Y244" s="259"/>
      <c r="Z244" s="259"/>
    </row>
    <row r="245" customFormat="false" ht="12" hidden="false" customHeight="true" outlineLevel="0" collapsed="false">
      <c r="A245" s="259"/>
      <c r="B245" s="259"/>
      <c r="C245" s="259"/>
      <c r="D245" s="259"/>
      <c r="E245" s="259"/>
      <c r="F245" s="261"/>
      <c r="G245" s="259"/>
      <c r="H245" s="259"/>
      <c r="I245" s="259"/>
      <c r="J245" s="262"/>
      <c r="K245" s="259"/>
      <c r="L245" s="259"/>
      <c r="M245" s="259"/>
      <c r="N245" s="259"/>
      <c r="O245" s="259"/>
      <c r="P245" s="259"/>
      <c r="Q245" s="259"/>
      <c r="R245" s="259"/>
      <c r="S245" s="259"/>
      <c r="T245" s="259"/>
      <c r="U245" s="259"/>
      <c r="V245" s="259"/>
      <c r="W245" s="259"/>
      <c r="X245" s="259"/>
      <c r="Y245" s="259"/>
      <c r="Z245" s="259"/>
    </row>
    <row r="246" customFormat="false" ht="12" hidden="false" customHeight="true" outlineLevel="0" collapsed="false">
      <c r="A246" s="259"/>
      <c r="B246" s="259"/>
      <c r="C246" s="259"/>
      <c r="D246" s="259"/>
      <c r="E246" s="259"/>
      <c r="F246" s="261"/>
      <c r="G246" s="259"/>
      <c r="H246" s="259"/>
      <c r="I246" s="259"/>
      <c r="J246" s="262"/>
      <c r="K246" s="259"/>
      <c r="L246" s="259"/>
      <c r="M246" s="259"/>
      <c r="N246" s="259"/>
      <c r="O246" s="259"/>
      <c r="P246" s="259"/>
      <c r="Q246" s="259"/>
      <c r="R246" s="259"/>
      <c r="S246" s="259"/>
      <c r="T246" s="259"/>
      <c r="U246" s="259"/>
      <c r="V246" s="259"/>
      <c r="W246" s="259"/>
      <c r="X246" s="259"/>
      <c r="Y246" s="259"/>
      <c r="Z246" s="259"/>
    </row>
    <row r="247" customFormat="false" ht="12" hidden="false" customHeight="true" outlineLevel="0" collapsed="false">
      <c r="A247" s="259"/>
      <c r="B247" s="259"/>
      <c r="C247" s="259"/>
      <c r="D247" s="259"/>
      <c r="E247" s="259"/>
      <c r="F247" s="261"/>
      <c r="G247" s="259"/>
      <c r="H247" s="259"/>
      <c r="I247" s="259"/>
      <c r="J247" s="262"/>
      <c r="K247" s="259"/>
      <c r="L247" s="259"/>
      <c r="M247" s="259"/>
      <c r="N247" s="259"/>
      <c r="O247" s="259"/>
      <c r="P247" s="259"/>
      <c r="Q247" s="259"/>
      <c r="R247" s="259"/>
      <c r="S247" s="259"/>
      <c r="T247" s="259"/>
      <c r="U247" s="259"/>
      <c r="V247" s="259"/>
      <c r="W247" s="259"/>
      <c r="X247" s="259"/>
      <c r="Y247" s="259"/>
      <c r="Z247" s="259"/>
    </row>
    <row r="248" customFormat="false" ht="12" hidden="false" customHeight="true" outlineLevel="0" collapsed="false">
      <c r="A248" s="259"/>
      <c r="B248" s="259"/>
      <c r="C248" s="259"/>
      <c r="D248" s="259"/>
      <c r="E248" s="259"/>
      <c r="F248" s="261"/>
      <c r="G248" s="259"/>
      <c r="H248" s="259"/>
      <c r="I248" s="259"/>
      <c r="J248" s="262"/>
      <c r="K248" s="259"/>
      <c r="L248" s="259"/>
      <c r="M248" s="259"/>
      <c r="N248" s="259"/>
      <c r="O248" s="259"/>
      <c r="P248" s="259"/>
      <c r="Q248" s="259"/>
      <c r="R248" s="259"/>
      <c r="S248" s="259"/>
      <c r="T248" s="259"/>
      <c r="U248" s="259"/>
      <c r="V248" s="259"/>
      <c r="W248" s="259"/>
      <c r="X248" s="259"/>
      <c r="Y248" s="259"/>
      <c r="Z248" s="259"/>
    </row>
    <row r="249" customFormat="false" ht="12" hidden="false" customHeight="true" outlineLevel="0" collapsed="false">
      <c r="A249" s="259"/>
      <c r="B249" s="259"/>
      <c r="C249" s="259"/>
      <c r="D249" s="259"/>
      <c r="E249" s="259"/>
      <c r="F249" s="261"/>
      <c r="G249" s="259"/>
      <c r="H249" s="259"/>
      <c r="I249" s="259"/>
      <c r="J249" s="262"/>
      <c r="K249" s="259"/>
      <c r="L249" s="259"/>
      <c r="M249" s="259"/>
      <c r="N249" s="259"/>
      <c r="O249" s="259"/>
      <c r="P249" s="259"/>
      <c r="Q249" s="259"/>
      <c r="R249" s="259"/>
      <c r="S249" s="259"/>
      <c r="T249" s="259"/>
      <c r="U249" s="259"/>
      <c r="V249" s="259"/>
      <c r="W249" s="259"/>
      <c r="X249" s="259"/>
      <c r="Y249" s="259"/>
      <c r="Z249" s="259"/>
    </row>
    <row r="250" customFormat="false" ht="12" hidden="false" customHeight="true" outlineLevel="0" collapsed="false">
      <c r="A250" s="259"/>
      <c r="B250" s="259"/>
      <c r="C250" s="259"/>
      <c r="D250" s="259"/>
      <c r="E250" s="259"/>
      <c r="F250" s="261"/>
      <c r="G250" s="259"/>
      <c r="H250" s="259"/>
      <c r="I250" s="259"/>
      <c r="J250" s="262"/>
      <c r="K250" s="259"/>
      <c r="L250" s="259"/>
      <c r="M250" s="259"/>
      <c r="N250" s="259"/>
      <c r="O250" s="259"/>
      <c r="P250" s="259"/>
      <c r="Q250" s="259"/>
      <c r="R250" s="259"/>
      <c r="S250" s="259"/>
      <c r="T250" s="259"/>
      <c r="U250" s="259"/>
      <c r="V250" s="259"/>
      <c r="W250" s="259"/>
      <c r="X250" s="259"/>
      <c r="Y250" s="259"/>
      <c r="Z250" s="259"/>
    </row>
    <row r="251" customFormat="false" ht="12" hidden="false" customHeight="true" outlineLevel="0" collapsed="false">
      <c r="A251" s="259"/>
      <c r="B251" s="259"/>
      <c r="C251" s="259"/>
      <c r="D251" s="259"/>
      <c r="E251" s="259"/>
      <c r="F251" s="261"/>
      <c r="G251" s="259"/>
      <c r="H251" s="259"/>
      <c r="I251" s="259"/>
      <c r="J251" s="262"/>
      <c r="K251" s="259"/>
      <c r="L251" s="259"/>
      <c r="M251" s="259"/>
      <c r="N251" s="259"/>
      <c r="O251" s="259"/>
      <c r="P251" s="259"/>
      <c r="Q251" s="259"/>
      <c r="R251" s="259"/>
      <c r="S251" s="259"/>
      <c r="T251" s="259"/>
      <c r="U251" s="259"/>
      <c r="V251" s="259"/>
      <c r="W251" s="259"/>
      <c r="X251" s="259"/>
      <c r="Y251" s="259"/>
      <c r="Z251" s="259"/>
    </row>
    <row r="252" customFormat="false" ht="12" hidden="false" customHeight="true" outlineLevel="0" collapsed="false">
      <c r="A252" s="259"/>
      <c r="B252" s="259"/>
      <c r="C252" s="259"/>
      <c r="D252" s="259"/>
      <c r="E252" s="259"/>
      <c r="F252" s="261"/>
      <c r="G252" s="259"/>
      <c r="H252" s="259"/>
      <c r="I252" s="259"/>
      <c r="J252" s="262"/>
      <c r="K252" s="259"/>
      <c r="L252" s="259"/>
      <c r="M252" s="259"/>
      <c r="N252" s="259"/>
      <c r="O252" s="259"/>
      <c r="P252" s="259"/>
      <c r="Q252" s="259"/>
      <c r="R252" s="259"/>
      <c r="S252" s="259"/>
      <c r="T252" s="259"/>
      <c r="U252" s="259"/>
      <c r="V252" s="259"/>
      <c r="W252" s="259"/>
      <c r="X252" s="259"/>
      <c r="Y252" s="259"/>
      <c r="Z252" s="259"/>
    </row>
    <row r="253" customFormat="false" ht="12" hidden="false" customHeight="true" outlineLevel="0" collapsed="false">
      <c r="A253" s="259"/>
      <c r="B253" s="259"/>
      <c r="C253" s="259"/>
      <c r="D253" s="259"/>
      <c r="E253" s="259"/>
      <c r="F253" s="261"/>
      <c r="G253" s="259"/>
      <c r="H253" s="259"/>
      <c r="I253" s="259"/>
      <c r="J253" s="262"/>
      <c r="K253" s="259"/>
      <c r="L253" s="259"/>
      <c r="M253" s="259"/>
      <c r="N253" s="259"/>
      <c r="O253" s="259"/>
      <c r="P253" s="259"/>
      <c r="Q253" s="259"/>
      <c r="R253" s="259"/>
      <c r="S253" s="259"/>
      <c r="T253" s="259"/>
      <c r="U253" s="259"/>
      <c r="V253" s="259"/>
      <c r="W253" s="259"/>
      <c r="X253" s="259"/>
      <c r="Y253" s="259"/>
      <c r="Z253" s="259"/>
    </row>
    <row r="254" customFormat="false" ht="12" hidden="false" customHeight="true" outlineLevel="0" collapsed="false">
      <c r="A254" s="259"/>
      <c r="B254" s="259"/>
      <c r="C254" s="259"/>
      <c r="D254" s="259"/>
      <c r="E254" s="259"/>
      <c r="F254" s="261"/>
      <c r="G254" s="259"/>
      <c r="H254" s="259"/>
      <c r="I254" s="259"/>
      <c r="J254" s="262"/>
      <c r="K254" s="259"/>
      <c r="L254" s="259"/>
      <c r="M254" s="259"/>
      <c r="N254" s="259"/>
      <c r="O254" s="259"/>
      <c r="P254" s="259"/>
      <c r="Q254" s="259"/>
      <c r="R254" s="259"/>
      <c r="S254" s="259"/>
      <c r="T254" s="259"/>
      <c r="U254" s="259"/>
      <c r="V254" s="259"/>
      <c r="W254" s="259"/>
      <c r="X254" s="259"/>
      <c r="Y254" s="259"/>
      <c r="Z254" s="259"/>
    </row>
    <row r="255" customFormat="false" ht="12" hidden="false" customHeight="true" outlineLevel="0" collapsed="false">
      <c r="A255" s="259"/>
      <c r="B255" s="259"/>
      <c r="C255" s="259"/>
      <c r="D255" s="259"/>
      <c r="E255" s="259"/>
      <c r="F255" s="261"/>
      <c r="G255" s="259"/>
      <c r="H255" s="259"/>
      <c r="I255" s="259"/>
      <c r="J255" s="262"/>
      <c r="K255" s="259"/>
      <c r="L255" s="259"/>
      <c r="M255" s="259"/>
      <c r="N255" s="259"/>
      <c r="O255" s="259"/>
      <c r="P255" s="259"/>
      <c r="Q255" s="259"/>
      <c r="R255" s="259"/>
      <c r="S255" s="259"/>
      <c r="T255" s="259"/>
      <c r="U255" s="259"/>
      <c r="V255" s="259"/>
      <c r="W255" s="259"/>
      <c r="X255" s="259"/>
      <c r="Y255" s="259"/>
      <c r="Z255" s="259"/>
    </row>
    <row r="256" customFormat="false" ht="12" hidden="false" customHeight="true" outlineLevel="0" collapsed="false">
      <c r="A256" s="259"/>
      <c r="B256" s="259"/>
      <c r="C256" s="259"/>
      <c r="D256" s="259"/>
      <c r="E256" s="259"/>
      <c r="F256" s="261"/>
      <c r="G256" s="259"/>
      <c r="H256" s="259"/>
      <c r="I256" s="259"/>
      <c r="J256" s="262"/>
      <c r="K256" s="259"/>
      <c r="L256" s="259"/>
      <c r="M256" s="259"/>
      <c r="N256" s="259"/>
      <c r="O256" s="259"/>
      <c r="P256" s="259"/>
      <c r="Q256" s="259"/>
      <c r="R256" s="259"/>
      <c r="S256" s="259"/>
      <c r="T256" s="259"/>
      <c r="U256" s="259"/>
      <c r="V256" s="259"/>
      <c r="W256" s="259"/>
      <c r="X256" s="259"/>
      <c r="Y256" s="259"/>
      <c r="Z256" s="259"/>
    </row>
    <row r="257" customFormat="false" ht="12" hidden="false" customHeight="true" outlineLevel="0" collapsed="false">
      <c r="A257" s="259"/>
      <c r="B257" s="259"/>
      <c r="C257" s="259"/>
      <c r="D257" s="259"/>
      <c r="E257" s="259"/>
      <c r="F257" s="261"/>
      <c r="G257" s="259"/>
      <c r="H257" s="259"/>
      <c r="I257" s="259"/>
      <c r="J257" s="262"/>
      <c r="K257" s="259"/>
      <c r="L257" s="259"/>
      <c r="M257" s="259"/>
      <c r="N257" s="259"/>
      <c r="O257" s="259"/>
      <c r="P257" s="259"/>
      <c r="Q257" s="259"/>
      <c r="R257" s="259"/>
      <c r="S257" s="259"/>
      <c r="T257" s="259"/>
      <c r="U257" s="259"/>
      <c r="V257" s="259"/>
      <c r="W257" s="259"/>
      <c r="X257" s="259"/>
      <c r="Y257" s="259"/>
      <c r="Z257" s="259"/>
    </row>
    <row r="258" customFormat="false" ht="12" hidden="false" customHeight="true" outlineLevel="0" collapsed="false">
      <c r="A258" s="259"/>
      <c r="B258" s="259"/>
      <c r="C258" s="259"/>
      <c r="D258" s="259"/>
      <c r="E258" s="259"/>
      <c r="F258" s="261"/>
      <c r="G258" s="259"/>
      <c r="H258" s="259"/>
      <c r="I258" s="259"/>
      <c r="J258" s="262"/>
      <c r="K258" s="259"/>
      <c r="L258" s="259"/>
      <c r="M258" s="259"/>
      <c r="N258" s="259"/>
      <c r="O258" s="259"/>
      <c r="P258" s="259"/>
      <c r="Q258" s="259"/>
      <c r="R258" s="259"/>
      <c r="S258" s="259"/>
      <c r="T258" s="259"/>
      <c r="U258" s="259"/>
      <c r="V258" s="259"/>
      <c r="W258" s="259"/>
      <c r="X258" s="259"/>
      <c r="Y258" s="259"/>
      <c r="Z258" s="259"/>
    </row>
    <row r="259" customFormat="false" ht="12" hidden="false" customHeight="true" outlineLevel="0" collapsed="false">
      <c r="A259" s="259"/>
      <c r="B259" s="259"/>
      <c r="C259" s="259"/>
      <c r="D259" s="259"/>
      <c r="E259" s="259"/>
      <c r="F259" s="261"/>
      <c r="G259" s="259"/>
      <c r="H259" s="259"/>
      <c r="I259" s="259"/>
      <c r="J259" s="262"/>
      <c r="K259" s="259"/>
      <c r="L259" s="259"/>
      <c r="M259" s="259"/>
      <c r="N259" s="259"/>
      <c r="O259" s="259"/>
      <c r="P259" s="259"/>
      <c r="Q259" s="259"/>
      <c r="R259" s="259"/>
      <c r="S259" s="259"/>
      <c r="T259" s="259"/>
      <c r="U259" s="259"/>
      <c r="V259" s="259"/>
      <c r="W259" s="259"/>
      <c r="X259" s="259"/>
      <c r="Y259" s="259"/>
      <c r="Z259" s="259"/>
    </row>
    <row r="260" customFormat="false" ht="12" hidden="false" customHeight="true" outlineLevel="0" collapsed="false">
      <c r="A260" s="259"/>
      <c r="B260" s="259"/>
      <c r="C260" s="259"/>
      <c r="D260" s="259"/>
      <c r="E260" s="259"/>
      <c r="F260" s="261"/>
      <c r="G260" s="259"/>
      <c r="H260" s="259"/>
      <c r="I260" s="259"/>
      <c r="J260" s="262"/>
      <c r="K260" s="259"/>
      <c r="L260" s="259"/>
      <c r="M260" s="259"/>
      <c r="N260" s="259"/>
      <c r="O260" s="259"/>
      <c r="P260" s="259"/>
      <c r="Q260" s="259"/>
      <c r="R260" s="259"/>
      <c r="S260" s="259"/>
      <c r="T260" s="259"/>
      <c r="U260" s="259"/>
      <c r="V260" s="259"/>
      <c r="W260" s="259"/>
      <c r="X260" s="259"/>
      <c r="Y260" s="259"/>
      <c r="Z260" s="259"/>
    </row>
    <row r="261" customFormat="false" ht="12" hidden="false" customHeight="true" outlineLevel="0" collapsed="false">
      <c r="A261" s="259"/>
      <c r="B261" s="259"/>
      <c r="C261" s="259"/>
      <c r="D261" s="259"/>
      <c r="E261" s="259"/>
      <c r="F261" s="261"/>
      <c r="G261" s="259"/>
      <c r="H261" s="259"/>
      <c r="I261" s="259"/>
      <c r="J261" s="262"/>
      <c r="K261" s="259"/>
      <c r="L261" s="259"/>
      <c r="M261" s="259"/>
      <c r="N261" s="259"/>
      <c r="O261" s="259"/>
      <c r="P261" s="259"/>
      <c r="Q261" s="259"/>
      <c r="R261" s="259"/>
      <c r="S261" s="259"/>
      <c r="T261" s="259"/>
      <c r="U261" s="259"/>
      <c r="V261" s="259"/>
      <c r="W261" s="259"/>
      <c r="X261" s="259"/>
      <c r="Y261" s="259"/>
      <c r="Z261" s="259"/>
    </row>
    <row r="262" customFormat="false" ht="12" hidden="false" customHeight="true" outlineLevel="0" collapsed="false">
      <c r="A262" s="259"/>
      <c r="B262" s="259"/>
      <c r="C262" s="259"/>
      <c r="D262" s="259"/>
      <c r="E262" s="259"/>
      <c r="F262" s="261"/>
      <c r="G262" s="259"/>
      <c r="H262" s="259"/>
      <c r="I262" s="259"/>
      <c r="J262" s="262"/>
      <c r="K262" s="259"/>
      <c r="L262" s="259"/>
      <c r="M262" s="259"/>
      <c r="N262" s="259"/>
      <c r="O262" s="259"/>
      <c r="P262" s="259"/>
      <c r="Q262" s="259"/>
      <c r="R262" s="259"/>
      <c r="S262" s="259"/>
      <c r="T262" s="259"/>
      <c r="U262" s="259"/>
      <c r="V262" s="259"/>
      <c r="W262" s="259"/>
      <c r="X262" s="259"/>
      <c r="Y262" s="259"/>
      <c r="Z262" s="259"/>
    </row>
    <row r="263" customFormat="false" ht="12" hidden="false" customHeight="true" outlineLevel="0" collapsed="false">
      <c r="A263" s="259"/>
      <c r="B263" s="259"/>
      <c r="C263" s="259"/>
      <c r="D263" s="259"/>
      <c r="E263" s="259"/>
      <c r="F263" s="261"/>
      <c r="G263" s="259"/>
      <c r="H263" s="259"/>
      <c r="I263" s="259"/>
      <c r="J263" s="262"/>
      <c r="K263" s="259"/>
      <c r="L263" s="259"/>
      <c r="M263" s="259"/>
      <c r="N263" s="259"/>
      <c r="O263" s="259"/>
      <c r="P263" s="259"/>
      <c r="Q263" s="259"/>
      <c r="R263" s="259"/>
      <c r="S263" s="259"/>
      <c r="T263" s="259"/>
      <c r="U263" s="259"/>
      <c r="V263" s="259"/>
      <c r="W263" s="259"/>
      <c r="X263" s="259"/>
      <c r="Y263" s="259"/>
      <c r="Z263" s="259"/>
    </row>
    <row r="264" customFormat="false" ht="12" hidden="false" customHeight="true" outlineLevel="0" collapsed="false">
      <c r="A264" s="259"/>
      <c r="B264" s="259"/>
      <c r="C264" s="259"/>
      <c r="D264" s="259"/>
      <c r="E264" s="259"/>
      <c r="F264" s="261"/>
      <c r="G264" s="259"/>
      <c r="H264" s="259"/>
      <c r="I264" s="259"/>
      <c r="J264" s="262"/>
      <c r="K264" s="259"/>
      <c r="L264" s="259"/>
      <c r="M264" s="259"/>
      <c r="N264" s="259"/>
      <c r="O264" s="259"/>
      <c r="P264" s="259"/>
      <c r="Q264" s="259"/>
      <c r="R264" s="259"/>
      <c r="S264" s="259"/>
      <c r="T264" s="259"/>
      <c r="U264" s="259"/>
      <c r="V264" s="259"/>
      <c r="W264" s="259"/>
      <c r="X264" s="259"/>
      <c r="Y264" s="259"/>
      <c r="Z264" s="259"/>
    </row>
    <row r="265" customFormat="false" ht="12" hidden="false" customHeight="true" outlineLevel="0" collapsed="false">
      <c r="A265" s="259"/>
      <c r="B265" s="259"/>
      <c r="C265" s="259"/>
      <c r="D265" s="259"/>
      <c r="E265" s="259"/>
      <c r="F265" s="261"/>
      <c r="G265" s="259"/>
      <c r="H265" s="259"/>
      <c r="I265" s="259"/>
      <c r="J265" s="262"/>
      <c r="K265" s="259"/>
      <c r="L265" s="259"/>
      <c r="M265" s="259"/>
      <c r="N265" s="259"/>
      <c r="O265" s="259"/>
      <c r="P265" s="259"/>
      <c r="Q265" s="259"/>
      <c r="R265" s="259"/>
      <c r="S265" s="259"/>
      <c r="T265" s="259"/>
      <c r="U265" s="259"/>
      <c r="V265" s="259"/>
      <c r="W265" s="259"/>
      <c r="X265" s="259"/>
      <c r="Y265" s="259"/>
      <c r="Z265" s="259"/>
    </row>
    <row r="266" customFormat="false" ht="12" hidden="false" customHeight="true" outlineLevel="0" collapsed="false">
      <c r="A266" s="259"/>
      <c r="B266" s="259"/>
      <c r="C266" s="259"/>
      <c r="D266" s="259"/>
      <c r="E266" s="259"/>
      <c r="F266" s="261"/>
      <c r="G266" s="259"/>
      <c r="H266" s="259"/>
      <c r="I266" s="259"/>
      <c r="J266" s="262"/>
      <c r="K266" s="259"/>
      <c r="L266" s="259"/>
      <c r="M266" s="259"/>
      <c r="N266" s="259"/>
      <c r="O266" s="259"/>
      <c r="P266" s="259"/>
      <c r="Q266" s="259"/>
      <c r="R266" s="259"/>
      <c r="S266" s="259"/>
      <c r="T266" s="259"/>
      <c r="U266" s="259"/>
      <c r="V266" s="259"/>
      <c r="W266" s="259"/>
      <c r="X266" s="259"/>
      <c r="Y266" s="259"/>
      <c r="Z266" s="259"/>
    </row>
    <row r="267" customFormat="false" ht="12" hidden="false" customHeight="true" outlineLevel="0" collapsed="false">
      <c r="A267" s="259"/>
      <c r="B267" s="259"/>
      <c r="C267" s="259"/>
      <c r="D267" s="259"/>
      <c r="E267" s="259"/>
      <c r="F267" s="261"/>
      <c r="G267" s="259"/>
      <c r="H267" s="259"/>
      <c r="I267" s="259"/>
      <c r="J267" s="262"/>
      <c r="K267" s="259"/>
      <c r="L267" s="259"/>
      <c r="M267" s="259"/>
      <c r="N267" s="259"/>
      <c r="O267" s="259"/>
      <c r="P267" s="259"/>
      <c r="Q267" s="259"/>
      <c r="R267" s="259"/>
      <c r="S267" s="259"/>
      <c r="T267" s="259"/>
      <c r="U267" s="259"/>
      <c r="V267" s="259"/>
      <c r="W267" s="259"/>
      <c r="X267" s="259"/>
      <c r="Y267" s="259"/>
      <c r="Z267" s="259"/>
    </row>
    <row r="268" customFormat="false" ht="12" hidden="false" customHeight="true" outlineLevel="0" collapsed="false">
      <c r="A268" s="259"/>
      <c r="B268" s="259"/>
      <c r="C268" s="259"/>
      <c r="D268" s="259"/>
      <c r="E268" s="259"/>
      <c r="F268" s="261"/>
      <c r="G268" s="259"/>
      <c r="H268" s="259"/>
      <c r="I268" s="259"/>
      <c r="J268" s="262"/>
      <c r="K268" s="259"/>
      <c r="L268" s="259"/>
      <c r="M268" s="259"/>
      <c r="N268" s="259"/>
      <c r="O268" s="259"/>
      <c r="P268" s="259"/>
      <c r="Q268" s="259"/>
      <c r="R268" s="259"/>
      <c r="S268" s="259"/>
      <c r="T268" s="259"/>
      <c r="U268" s="259"/>
      <c r="V268" s="259"/>
      <c r="W268" s="259"/>
      <c r="X268" s="259"/>
      <c r="Y268" s="259"/>
      <c r="Z268" s="259"/>
    </row>
    <row r="269" customFormat="false" ht="12" hidden="false" customHeight="true" outlineLevel="0" collapsed="false">
      <c r="A269" s="259"/>
      <c r="B269" s="259"/>
      <c r="C269" s="259"/>
      <c r="D269" s="259"/>
      <c r="E269" s="259"/>
      <c r="F269" s="261"/>
      <c r="G269" s="259"/>
      <c r="H269" s="259"/>
      <c r="I269" s="259"/>
      <c r="J269" s="262"/>
      <c r="K269" s="259"/>
      <c r="L269" s="259"/>
      <c r="M269" s="259"/>
      <c r="N269" s="259"/>
      <c r="O269" s="259"/>
      <c r="P269" s="259"/>
      <c r="Q269" s="259"/>
      <c r="R269" s="259"/>
      <c r="S269" s="259"/>
      <c r="T269" s="259"/>
      <c r="U269" s="259"/>
      <c r="V269" s="259"/>
      <c r="W269" s="259"/>
      <c r="X269" s="259"/>
      <c r="Y269" s="259"/>
      <c r="Z269" s="259"/>
    </row>
    <row r="270" customFormat="false" ht="12" hidden="false" customHeight="true" outlineLevel="0" collapsed="false">
      <c r="A270" s="259"/>
      <c r="B270" s="259"/>
      <c r="C270" s="259"/>
      <c r="D270" s="259"/>
      <c r="E270" s="259"/>
      <c r="F270" s="261"/>
      <c r="G270" s="259"/>
      <c r="H270" s="259"/>
      <c r="I270" s="259"/>
      <c r="J270" s="262"/>
      <c r="K270" s="259"/>
      <c r="L270" s="259"/>
      <c r="M270" s="259"/>
      <c r="N270" s="259"/>
      <c r="O270" s="259"/>
      <c r="P270" s="259"/>
      <c r="Q270" s="259"/>
      <c r="R270" s="259"/>
      <c r="S270" s="259"/>
      <c r="T270" s="259"/>
      <c r="U270" s="259"/>
      <c r="V270" s="259"/>
      <c r="W270" s="259"/>
      <c r="X270" s="259"/>
      <c r="Y270" s="259"/>
      <c r="Z270" s="259"/>
    </row>
    <row r="271" customFormat="false" ht="12" hidden="false" customHeight="true" outlineLevel="0" collapsed="false">
      <c r="A271" s="259"/>
      <c r="B271" s="259"/>
      <c r="C271" s="259"/>
      <c r="D271" s="259"/>
      <c r="E271" s="259"/>
      <c r="F271" s="261"/>
      <c r="G271" s="259"/>
      <c r="H271" s="259"/>
      <c r="I271" s="259"/>
      <c r="J271" s="262"/>
      <c r="K271" s="259"/>
      <c r="L271" s="259"/>
      <c r="M271" s="259"/>
      <c r="N271" s="259"/>
      <c r="O271" s="259"/>
      <c r="P271" s="259"/>
      <c r="Q271" s="259"/>
      <c r="R271" s="259"/>
      <c r="S271" s="259"/>
      <c r="T271" s="259"/>
      <c r="U271" s="259"/>
      <c r="V271" s="259"/>
      <c r="W271" s="259"/>
      <c r="X271" s="259"/>
      <c r="Y271" s="259"/>
      <c r="Z271" s="259"/>
    </row>
    <row r="272" customFormat="false" ht="12" hidden="false" customHeight="true" outlineLevel="0" collapsed="false">
      <c r="A272" s="259"/>
      <c r="B272" s="259"/>
      <c r="C272" s="259"/>
      <c r="D272" s="259"/>
      <c r="E272" s="259"/>
      <c r="F272" s="261"/>
      <c r="G272" s="259"/>
      <c r="H272" s="259"/>
      <c r="I272" s="259"/>
      <c r="J272" s="262"/>
      <c r="K272" s="259"/>
      <c r="L272" s="259"/>
      <c r="M272" s="259"/>
      <c r="N272" s="259"/>
      <c r="O272" s="259"/>
      <c r="P272" s="259"/>
      <c r="Q272" s="259"/>
      <c r="R272" s="259"/>
      <c r="S272" s="259"/>
      <c r="T272" s="259"/>
      <c r="U272" s="259"/>
      <c r="V272" s="259"/>
      <c r="W272" s="259"/>
      <c r="X272" s="259"/>
      <c r="Y272" s="259"/>
      <c r="Z272" s="259"/>
    </row>
    <row r="273" customFormat="false" ht="12" hidden="false" customHeight="true" outlineLevel="0" collapsed="false">
      <c r="A273" s="259"/>
      <c r="B273" s="259"/>
      <c r="C273" s="259"/>
      <c r="D273" s="259"/>
      <c r="E273" s="259"/>
      <c r="F273" s="261"/>
      <c r="G273" s="259"/>
      <c r="H273" s="259"/>
      <c r="I273" s="259"/>
      <c r="J273" s="262"/>
      <c r="K273" s="259"/>
      <c r="L273" s="259"/>
      <c r="M273" s="259"/>
      <c r="N273" s="259"/>
      <c r="O273" s="259"/>
      <c r="P273" s="259"/>
      <c r="Q273" s="259"/>
      <c r="R273" s="259"/>
      <c r="S273" s="259"/>
      <c r="T273" s="259"/>
      <c r="U273" s="259"/>
      <c r="V273" s="259"/>
      <c r="W273" s="259"/>
      <c r="X273" s="259"/>
      <c r="Y273" s="259"/>
      <c r="Z273" s="259"/>
    </row>
    <row r="274" customFormat="false" ht="12" hidden="false" customHeight="true" outlineLevel="0" collapsed="false">
      <c r="A274" s="259"/>
      <c r="B274" s="259"/>
      <c r="C274" s="259"/>
      <c r="D274" s="259"/>
      <c r="E274" s="259"/>
      <c r="F274" s="261"/>
      <c r="G274" s="259"/>
      <c r="H274" s="259"/>
      <c r="I274" s="259"/>
      <c r="J274" s="262"/>
      <c r="K274" s="259"/>
      <c r="L274" s="259"/>
      <c r="M274" s="259"/>
      <c r="N274" s="259"/>
      <c r="O274" s="259"/>
      <c r="P274" s="259"/>
      <c r="Q274" s="259"/>
      <c r="R274" s="259"/>
      <c r="S274" s="259"/>
      <c r="T274" s="259"/>
      <c r="U274" s="259"/>
      <c r="V274" s="259"/>
      <c r="W274" s="259"/>
      <c r="X274" s="259"/>
      <c r="Y274" s="259"/>
      <c r="Z274" s="259"/>
    </row>
    <row r="275" customFormat="false" ht="12" hidden="false" customHeight="true" outlineLevel="0" collapsed="false">
      <c r="A275" s="259"/>
      <c r="B275" s="259"/>
      <c r="C275" s="259"/>
      <c r="D275" s="259"/>
      <c r="E275" s="259"/>
      <c r="F275" s="261"/>
      <c r="G275" s="259"/>
      <c r="H275" s="259"/>
      <c r="I275" s="259"/>
      <c r="J275" s="262"/>
      <c r="K275" s="259"/>
      <c r="L275" s="259"/>
      <c r="M275" s="259"/>
      <c r="N275" s="259"/>
      <c r="O275" s="259"/>
      <c r="P275" s="259"/>
      <c r="Q275" s="259"/>
      <c r="R275" s="259"/>
      <c r="S275" s="259"/>
      <c r="T275" s="259"/>
      <c r="U275" s="259"/>
      <c r="V275" s="259"/>
      <c r="W275" s="259"/>
      <c r="X275" s="259"/>
      <c r="Y275" s="259"/>
      <c r="Z275" s="259"/>
    </row>
    <row r="276" customFormat="false" ht="12" hidden="false" customHeight="true" outlineLevel="0" collapsed="false">
      <c r="A276" s="259"/>
      <c r="B276" s="259"/>
      <c r="C276" s="259"/>
      <c r="D276" s="259"/>
      <c r="E276" s="259"/>
      <c r="F276" s="261"/>
      <c r="G276" s="259"/>
      <c r="H276" s="259"/>
      <c r="I276" s="259"/>
      <c r="J276" s="262"/>
      <c r="K276" s="259"/>
      <c r="L276" s="259"/>
      <c r="M276" s="259"/>
      <c r="N276" s="259"/>
      <c r="O276" s="259"/>
      <c r="P276" s="259"/>
      <c r="Q276" s="259"/>
      <c r="R276" s="259"/>
      <c r="S276" s="259"/>
      <c r="T276" s="259"/>
      <c r="U276" s="259"/>
      <c r="V276" s="259"/>
      <c r="W276" s="259"/>
      <c r="X276" s="259"/>
      <c r="Y276" s="259"/>
      <c r="Z276" s="259"/>
    </row>
    <row r="277" customFormat="false" ht="12" hidden="false" customHeight="true" outlineLevel="0" collapsed="false">
      <c r="A277" s="259"/>
      <c r="B277" s="259"/>
      <c r="C277" s="259"/>
      <c r="D277" s="259"/>
      <c r="E277" s="259"/>
      <c r="F277" s="261"/>
      <c r="G277" s="259"/>
      <c r="H277" s="259"/>
      <c r="I277" s="259"/>
      <c r="J277" s="262"/>
      <c r="K277" s="259"/>
      <c r="L277" s="259"/>
      <c r="M277" s="259"/>
      <c r="N277" s="259"/>
      <c r="O277" s="259"/>
      <c r="P277" s="259"/>
      <c r="Q277" s="259"/>
      <c r="R277" s="259"/>
      <c r="S277" s="259"/>
      <c r="T277" s="259"/>
      <c r="U277" s="259"/>
      <c r="V277" s="259"/>
      <c r="W277" s="259"/>
      <c r="X277" s="259"/>
      <c r="Y277" s="259"/>
      <c r="Z277" s="259"/>
    </row>
    <row r="278" customFormat="false" ht="12" hidden="false" customHeight="true" outlineLevel="0" collapsed="false">
      <c r="A278" s="259"/>
      <c r="B278" s="259"/>
      <c r="C278" s="259"/>
      <c r="D278" s="259"/>
      <c r="E278" s="259"/>
      <c r="F278" s="261"/>
      <c r="G278" s="259"/>
      <c r="H278" s="259"/>
      <c r="I278" s="259"/>
      <c r="J278" s="262"/>
      <c r="K278" s="259"/>
      <c r="L278" s="259"/>
      <c r="M278" s="259"/>
      <c r="N278" s="259"/>
      <c r="O278" s="259"/>
      <c r="P278" s="259"/>
      <c r="Q278" s="259"/>
      <c r="R278" s="259"/>
      <c r="S278" s="259"/>
      <c r="T278" s="259"/>
      <c r="U278" s="259"/>
      <c r="V278" s="259"/>
      <c r="W278" s="259"/>
      <c r="X278" s="259"/>
      <c r="Y278" s="259"/>
      <c r="Z278" s="259"/>
    </row>
    <row r="279" customFormat="false" ht="12" hidden="false" customHeight="true" outlineLevel="0" collapsed="false">
      <c r="A279" s="259"/>
      <c r="B279" s="259"/>
      <c r="C279" s="259"/>
      <c r="D279" s="259"/>
      <c r="E279" s="259"/>
      <c r="F279" s="261"/>
      <c r="G279" s="259"/>
      <c r="H279" s="259"/>
      <c r="I279" s="259"/>
      <c r="J279" s="262"/>
      <c r="K279" s="259"/>
      <c r="L279" s="259"/>
      <c r="M279" s="259"/>
      <c r="N279" s="259"/>
      <c r="O279" s="259"/>
      <c r="P279" s="259"/>
      <c r="Q279" s="259"/>
      <c r="R279" s="259"/>
      <c r="S279" s="259"/>
      <c r="T279" s="259"/>
      <c r="U279" s="259"/>
      <c r="V279" s="259"/>
      <c r="W279" s="259"/>
      <c r="X279" s="259"/>
      <c r="Y279" s="259"/>
      <c r="Z279" s="259"/>
    </row>
    <row r="280" customFormat="false" ht="12" hidden="false" customHeight="true" outlineLevel="0" collapsed="false">
      <c r="A280" s="259"/>
      <c r="B280" s="259"/>
      <c r="C280" s="259"/>
      <c r="D280" s="259"/>
      <c r="E280" s="259"/>
      <c r="F280" s="261"/>
      <c r="G280" s="259"/>
      <c r="H280" s="259"/>
      <c r="I280" s="259"/>
      <c r="J280" s="262"/>
      <c r="K280" s="259"/>
      <c r="L280" s="259"/>
      <c r="M280" s="259"/>
      <c r="N280" s="259"/>
      <c r="O280" s="259"/>
      <c r="P280" s="259"/>
      <c r="Q280" s="259"/>
      <c r="R280" s="259"/>
      <c r="S280" s="259"/>
      <c r="T280" s="259"/>
      <c r="U280" s="259"/>
      <c r="V280" s="259"/>
      <c r="W280" s="259"/>
      <c r="X280" s="259"/>
      <c r="Y280" s="259"/>
      <c r="Z280" s="259"/>
    </row>
    <row r="281" customFormat="false" ht="12" hidden="false" customHeight="true" outlineLevel="0" collapsed="false">
      <c r="A281" s="259"/>
      <c r="B281" s="259"/>
      <c r="C281" s="259"/>
      <c r="D281" s="259"/>
      <c r="E281" s="259"/>
      <c r="F281" s="261"/>
      <c r="G281" s="259"/>
      <c r="H281" s="259"/>
      <c r="I281" s="259"/>
      <c r="J281" s="262"/>
      <c r="K281" s="259"/>
      <c r="L281" s="259"/>
      <c r="M281" s="259"/>
      <c r="N281" s="259"/>
      <c r="O281" s="259"/>
      <c r="P281" s="259"/>
      <c r="Q281" s="259"/>
      <c r="R281" s="259"/>
      <c r="S281" s="259"/>
      <c r="T281" s="259"/>
      <c r="U281" s="259"/>
      <c r="V281" s="259"/>
      <c r="W281" s="259"/>
      <c r="X281" s="259"/>
      <c r="Y281" s="259"/>
      <c r="Z281" s="259"/>
    </row>
    <row r="282" customFormat="false" ht="12" hidden="false" customHeight="true" outlineLevel="0" collapsed="false">
      <c r="A282" s="259"/>
      <c r="B282" s="259"/>
      <c r="C282" s="259"/>
      <c r="D282" s="259"/>
      <c r="E282" s="259"/>
      <c r="F282" s="261"/>
      <c r="G282" s="259"/>
      <c r="H282" s="259"/>
      <c r="I282" s="259"/>
      <c r="J282" s="262"/>
      <c r="K282" s="259"/>
      <c r="L282" s="259"/>
      <c r="M282" s="259"/>
      <c r="N282" s="259"/>
      <c r="O282" s="259"/>
      <c r="P282" s="259"/>
      <c r="Q282" s="259"/>
      <c r="R282" s="259"/>
      <c r="S282" s="259"/>
      <c r="T282" s="259"/>
      <c r="U282" s="259"/>
      <c r="V282" s="259"/>
      <c r="W282" s="259"/>
      <c r="X282" s="259"/>
      <c r="Y282" s="259"/>
      <c r="Z282" s="259"/>
    </row>
    <row r="283" customFormat="false" ht="12" hidden="false" customHeight="true" outlineLevel="0" collapsed="false">
      <c r="A283" s="259"/>
      <c r="B283" s="259"/>
      <c r="C283" s="259"/>
      <c r="D283" s="259"/>
      <c r="E283" s="259"/>
      <c r="F283" s="261"/>
      <c r="G283" s="259"/>
      <c r="H283" s="259"/>
      <c r="I283" s="259"/>
      <c r="J283" s="262"/>
      <c r="K283" s="259"/>
      <c r="L283" s="259"/>
      <c r="M283" s="259"/>
      <c r="N283" s="259"/>
      <c r="O283" s="259"/>
      <c r="P283" s="259"/>
      <c r="Q283" s="259"/>
      <c r="R283" s="259"/>
      <c r="S283" s="259"/>
      <c r="T283" s="259"/>
      <c r="U283" s="259"/>
      <c r="V283" s="259"/>
      <c r="W283" s="259"/>
      <c r="X283" s="259"/>
      <c r="Y283" s="259"/>
      <c r="Z283" s="259"/>
    </row>
    <row r="284" customFormat="false" ht="12" hidden="false" customHeight="true" outlineLevel="0" collapsed="false">
      <c r="A284" s="259"/>
      <c r="B284" s="259"/>
      <c r="C284" s="259"/>
      <c r="D284" s="259"/>
      <c r="E284" s="259"/>
      <c r="F284" s="261"/>
      <c r="G284" s="259"/>
      <c r="H284" s="259"/>
      <c r="I284" s="259"/>
      <c r="J284" s="262"/>
      <c r="K284" s="259"/>
      <c r="L284" s="259"/>
      <c r="M284" s="259"/>
      <c r="N284" s="259"/>
      <c r="O284" s="259"/>
      <c r="P284" s="259"/>
      <c r="Q284" s="259"/>
      <c r="R284" s="259"/>
      <c r="S284" s="259"/>
      <c r="T284" s="259"/>
      <c r="U284" s="259"/>
      <c r="V284" s="259"/>
      <c r="W284" s="259"/>
      <c r="X284" s="259"/>
      <c r="Y284" s="259"/>
      <c r="Z284" s="259"/>
    </row>
    <row r="285" customFormat="false" ht="12" hidden="false" customHeight="true" outlineLevel="0" collapsed="false">
      <c r="A285" s="259"/>
      <c r="B285" s="259"/>
      <c r="C285" s="259"/>
      <c r="D285" s="259"/>
      <c r="E285" s="259"/>
      <c r="F285" s="261"/>
      <c r="G285" s="259"/>
      <c r="H285" s="259"/>
      <c r="I285" s="259"/>
      <c r="J285" s="262"/>
      <c r="K285" s="259"/>
      <c r="L285" s="259"/>
      <c r="M285" s="259"/>
      <c r="N285" s="259"/>
      <c r="O285" s="259"/>
      <c r="P285" s="259"/>
      <c r="Q285" s="259"/>
      <c r="R285" s="259"/>
      <c r="S285" s="259"/>
      <c r="T285" s="259"/>
      <c r="U285" s="259"/>
      <c r="V285" s="259"/>
      <c r="W285" s="259"/>
      <c r="X285" s="259"/>
      <c r="Y285" s="259"/>
      <c r="Z285" s="259"/>
    </row>
    <row r="286" customFormat="false" ht="12" hidden="false" customHeight="true" outlineLevel="0" collapsed="false">
      <c r="A286" s="259"/>
      <c r="B286" s="259"/>
      <c r="C286" s="259"/>
      <c r="D286" s="259"/>
      <c r="E286" s="259"/>
      <c r="F286" s="261"/>
      <c r="G286" s="259"/>
      <c r="H286" s="259"/>
      <c r="I286" s="259"/>
      <c r="J286" s="262"/>
      <c r="K286" s="259"/>
      <c r="L286" s="259"/>
      <c r="M286" s="259"/>
      <c r="N286" s="259"/>
      <c r="O286" s="259"/>
      <c r="P286" s="259"/>
      <c r="Q286" s="259"/>
      <c r="R286" s="259"/>
      <c r="S286" s="259"/>
      <c r="T286" s="259"/>
      <c r="U286" s="259"/>
      <c r="V286" s="259"/>
      <c r="W286" s="259"/>
      <c r="X286" s="259"/>
      <c r="Y286" s="259"/>
      <c r="Z286" s="259"/>
    </row>
    <row r="287" customFormat="false" ht="12" hidden="false" customHeight="true" outlineLevel="0" collapsed="false">
      <c r="A287" s="259"/>
      <c r="B287" s="259"/>
      <c r="C287" s="259"/>
      <c r="D287" s="259"/>
      <c r="E287" s="259"/>
      <c r="F287" s="261"/>
      <c r="G287" s="259"/>
      <c r="H287" s="259"/>
      <c r="I287" s="259"/>
      <c r="J287" s="262"/>
      <c r="K287" s="259"/>
      <c r="L287" s="259"/>
      <c r="M287" s="259"/>
      <c r="N287" s="259"/>
      <c r="O287" s="259"/>
      <c r="P287" s="259"/>
      <c r="Q287" s="259"/>
      <c r="R287" s="259"/>
      <c r="S287" s="259"/>
      <c r="T287" s="259"/>
      <c r="U287" s="259"/>
      <c r="V287" s="259"/>
      <c r="W287" s="259"/>
      <c r="X287" s="259"/>
      <c r="Y287" s="259"/>
      <c r="Z287" s="259"/>
    </row>
    <row r="288" customFormat="false" ht="12" hidden="false" customHeight="true" outlineLevel="0" collapsed="false">
      <c r="A288" s="259"/>
      <c r="B288" s="259"/>
      <c r="C288" s="259"/>
      <c r="D288" s="259"/>
      <c r="E288" s="259"/>
      <c r="F288" s="261"/>
      <c r="G288" s="259"/>
      <c r="H288" s="259"/>
      <c r="I288" s="259"/>
      <c r="J288" s="262"/>
      <c r="K288" s="259"/>
      <c r="L288" s="259"/>
      <c r="M288" s="259"/>
      <c r="N288" s="259"/>
      <c r="O288" s="259"/>
      <c r="P288" s="259"/>
      <c r="Q288" s="259"/>
      <c r="R288" s="259"/>
      <c r="S288" s="259"/>
      <c r="T288" s="259"/>
      <c r="U288" s="259"/>
      <c r="V288" s="259"/>
      <c r="W288" s="259"/>
      <c r="X288" s="259"/>
      <c r="Y288" s="259"/>
      <c r="Z288" s="259"/>
    </row>
    <row r="289" customFormat="false" ht="12" hidden="false" customHeight="true" outlineLevel="0" collapsed="false">
      <c r="A289" s="259"/>
      <c r="B289" s="259"/>
      <c r="C289" s="259"/>
      <c r="D289" s="259"/>
      <c r="E289" s="259"/>
      <c r="F289" s="261"/>
      <c r="G289" s="259"/>
      <c r="H289" s="259"/>
      <c r="I289" s="259"/>
      <c r="J289" s="262"/>
      <c r="K289" s="259"/>
      <c r="L289" s="259"/>
      <c r="M289" s="259"/>
      <c r="N289" s="259"/>
      <c r="O289" s="259"/>
      <c r="P289" s="259"/>
      <c r="Q289" s="259"/>
      <c r="R289" s="259"/>
      <c r="S289" s="259"/>
      <c r="T289" s="259"/>
      <c r="U289" s="259"/>
      <c r="V289" s="259"/>
      <c r="W289" s="259"/>
      <c r="X289" s="259"/>
      <c r="Y289" s="259"/>
      <c r="Z289" s="259"/>
    </row>
    <row r="290" customFormat="false" ht="12" hidden="false" customHeight="true" outlineLevel="0" collapsed="false">
      <c r="A290" s="259"/>
      <c r="B290" s="259"/>
      <c r="C290" s="259"/>
      <c r="D290" s="259"/>
      <c r="E290" s="259"/>
      <c r="F290" s="261"/>
      <c r="G290" s="259"/>
      <c r="H290" s="259"/>
      <c r="I290" s="259"/>
      <c r="J290" s="262"/>
      <c r="K290" s="259"/>
      <c r="L290" s="259"/>
      <c r="M290" s="259"/>
      <c r="N290" s="259"/>
      <c r="O290" s="259"/>
      <c r="P290" s="259"/>
      <c r="Q290" s="259"/>
      <c r="R290" s="259"/>
      <c r="S290" s="259"/>
      <c r="T290" s="259"/>
      <c r="U290" s="259"/>
      <c r="V290" s="259"/>
      <c r="W290" s="259"/>
      <c r="X290" s="259"/>
      <c r="Y290" s="259"/>
      <c r="Z290" s="259"/>
    </row>
    <row r="291" customFormat="false" ht="12" hidden="false" customHeight="true" outlineLevel="0" collapsed="false">
      <c r="A291" s="259"/>
      <c r="B291" s="259"/>
      <c r="C291" s="259"/>
      <c r="D291" s="259"/>
      <c r="E291" s="259"/>
      <c r="F291" s="261"/>
      <c r="G291" s="259"/>
      <c r="H291" s="259"/>
      <c r="I291" s="259"/>
      <c r="J291" s="262"/>
      <c r="K291" s="259"/>
      <c r="L291" s="259"/>
      <c r="M291" s="259"/>
      <c r="N291" s="259"/>
      <c r="O291" s="259"/>
      <c r="P291" s="259"/>
      <c r="Q291" s="259"/>
      <c r="R291" s="259"/>
      <c r="S291" s="259"/>
      <c r="T291" s="259"/>
      <c r="U291" s="259"/>
      <c r="V291" s="259"/>
      <c r="W291" s="259"/>
      <c r="X291" s="259"/>
      <c r="Y291" s="259"/>
      <c r="Z291" s="259"/>
    </row>
    <row r="292" customFormat="false" ht="12" hidden="false" customHeight="true" outlineLevel="0" collapsed="false">
      <c r="A292" s="259"/>
      <c r="B292" s="259"/>
      <c r="C292" s="259"/>
      <c r="D292" s="259"/>
      <c r="E292" s="259"/>
      <c r="F292" s="261"/>
      <c r="G292" s="259"/>
      <c r="H292" s="259"/>
      <c r="I292" s="259"/>
      <c r="J292" s="262"/>
      <c r="K292" s="259"/>
      <c r="L292" s="259"/>
      <c r="M292" s="259"/>
      <c r="N292" s="259"/>
      <c r="O292" s="259"/>
      <c r="P292" s="259"/>
      <c r="Q292" s="259"/>
      <c r="R292" s="259"/>
      <c r="S292" s="259"/>
      <c r="T292" s="259"/>
      <c r="U292" s="259"/>
      <c r="V292" s="259"/>
      <c r="W292" s="259"/>
      <c r="X292" s="259"/>
      <c r="Y292" s="259"/>
      <c r="Z292" s="259"/>
    </row>
    <row r="293" customFormat="false" ht="12" hidden="false" customHeight="true" outlineLevel="0" collapsed="false">
      <c r="A293" s="259"/>
      <c r="B293" s="259"/>
      <c r="C293" s="259"/>
      <c r="D293" s="259"/>
      <c r="E293" s="259"/>
      <c r="F293" s="261"/>
      <c r="G293" s="259"/>
      <c r="H293" s="259"/>
      <c r="I293" s="259"/>
      <c r="J293" s="262"/>
      <c r="K293" s="259"/>
      <c r="L293" s="259"/>
      <c r="M293" s="259"/>
      <c r="N293" s="259"/>
      <c r="O293" s="259"/>
      <c r="P293" s="259"/>
      <c r="Q293" s="259"/>
      <c r="R293" s="259"/>
      <c r="S293" s="259"/>
      <c r="T293" s="259"/>
      <c r="U293" s="259"/>
      <c r="V293" s="259"/>
      <c r="W293" s="259"/>
      <c r="X293" s="259"/>
      <c r="Y293" s="259"/>
      <c r="Z293" s="259"/>
    </row>
    <row r="294" customFormat="false" ht="12" hidden="false" customHeight="true" outlineLevel="0" collapsed="false">
      <c r="A294" s="259"/>
      <c r="B294" s="259"/>
      <c r="C294" s="259"/>
      <c r="D294" s="259"/>
      <c r="E294" s="259"/>
      <c r="F294" s="261"/>
      <c r="G294" s="259"/>
      <c r="H294" s="259"/>
      <c r="I294" s="259"/>
      <c r="J294" s="262"/>
      <c r="K294" s="259"/>
      <c r="L294" s="259"/>
      <c r="M294" s="259"/>
      <c r="N294" s="259"/>
      <c r="O294" s="259"/>
      <c r="P294" s="259"/>
      <c r="Q294" s="259"/>
      <c r="R294" s="259"/>
      <c r="S294" s="259"/>
      <c r="T294" s="259"/>
      <c r="U294" s="259"/>
      <c r="V294" s="259"/>
      <c r="W294" s="259"/>
      <c r="X294" s="259"/>
      <c r="Y294" s="259"/>
      <c r="Z294" s="259"/>
    </row>
    <row r="295" customFormat="false" ht="12" hidden="false" customHeight="true" outlineLevel="0" collapsed="false">
      <c r="A295" s="259"/>
      <c r="B295" s="259"/>
      <c r="C295" s="259"/>
      <c r="D295" s="259"/>
      <c r="E295" s="259"/>
      <c r="F295" s="261"/>
      <c r="G295" s="259"/>
      <c r="H295" s="259"/>
      <c r="I295" s="259"/>
      <c r="J295" s="262"/>
      <c r="K295" s="259"/>
      <c r="L295" s="259"/>
      <c r="M295" s="259"/>
      <c r="N295" s="259"/>
      <c r="O295" s="259"/>
      <c r="P295" s="259"/>
      <c r="Q295" s="259"/>
      <c r="R295" s="259"/>
      <c r="S295" s="259"/>
      <c r="T295" s="259"/>
      <c r="U295" s="259"/>
      <c r="V295" s="259"/>
      <c r="W295" s="259"/>
      <c r="X295" s="259"/>
      <c r="Y295" s="259"/>
      <c r="Z295" s="259"/>
    </row>
    <row r="296" customFormat="false" ht="12" hidden="false" customHeight="true" outlineLevel="0" collapsed="false">
      <c r="A296" s="259"/>
      <c r="B296" s="259"/>
      <c r="C296" s="259"/>
      <c r="D296" s="259"/>
      <c r="E296" s="259"/>
      <c r="F296" s="261"/>
      <c r="G296" s="259"/>
      <c r="H296" s="259"/>
      <c r="I296" s="259"/>
      <c r="J296" s="262"/>
      <c r="K296" s="259"/>
      <c r="L296" s="259"/>
      <c r="M296" s="259"/>
      <c r="N296" s="259"/>
      <c r="O296" s="259"/>
      <c r="P296" s="259"/>
      <c r="Q296" s="259"/>
      <c r="R296" s="259"/>
      <c r="S296" s="259"/>
      <c r="T296" s="259"/>
      <c r="U296" s="259"/>
      <c r="V296" s="259"/>
      <c r="W296" s="259"/>
      <c r="X296" s="259"/>
      <c r="Y296" s="259"/>
      <c r="Z296" s="259"/>
    </row>
    <row r="297" customFormat="false" ht="12" hidden="false" customHeight="true" outlineLevel="0" collapsed="false">
      <c r="A297" s="259"/>
      <c r="B297" s="259"/>
      <c r="C297" s="259"/>
      <c r="D297" s="259"/>
      <c r="E297" s="259"/>
      <c r="F297" s="261"/>
      <c r="G297" s="259"/>
      <c r="H297" s="259"/>
      <c r="I297" s="259"/>
      <c r="J297" s="262"/>
      <c r="K297" s="259"/>
      <c r="L297" s="259"/>
      <c r="M297" s="259"/>
      <c r="N297" s="259"/>
      <c r="O297" s="259"/>
      <c r="P297" s="259"/>
      <c r="Q297" s="259"/>
      <c r="R297" s="259"/>
      <c r="S297" s="259"/>
      <c r="T297" s="259"/>
      <c r="U297" s="259"/>
      <c r="V297" s="259"/>
      <c r="W297" s="259"/>
      <c r="X297" s="259"/>
      <c r="Y297" s="259"/>
      <c r="Z297" s="259"/>
    </row>
    <row r="298" customFormat="false" ht="12" hidden="false" customHeight="true" outlineLevel="0" collapsed="false">
      <c r="A298" s="259"/>
      <c r="B298" s="259"/>
      <c r="C298" s="259"/>
      <c r="D298" s="259"/>
      <c r="E298" s="259"/>
      <c r="F298" s="261"/>
      <c r="G298" s="259"/>
      <c r="H298" s="259"/>
      <c r="I298" s="259"/>
      <c r="J298" s="262"/>
      <c r="K298" s="259"/>
      <c r="L298" s="259"/>
      <c r="M298" s="259"/>
      <c r="N298" s="259"/>
      <c r="O298" s="259"/>
      <c r="P298" s="259"/>
      <c r="Q298" s="259"/>
      <c r="R298" s="259"/>
      <c r="S298" s="259"/>
      <c r="T298" s="259"/>
      <c r="U298" s="259"/>
      <c r="V298" s="259"/>
      <c r="W298" s="259"/>
      <c r="X298" s="259"/>
      <c r="Y298" s="259"/>
      <c r="Z298" s="259"/>
    </row>
    <row r="299" customFormat="false" ht="12" hidden="false" customHeight="true" outlineLevel="0" collapsed="false">
      <c r="A299" s="259"/>
      <c r="B299" s="259"/>
      <c r="C299" s="259"/>
      <c r="D299" s="259"/>
      <c r="E299" s="259"/>
      <c r="F299" s="261"/>
      <c r="G299" s="259"/>
      <c r="H299" s="259"/>
      <c r="I299" s="259"/>
      <c r="J299" s="262"/>
      <c r="K299" s="259"/>
      <c r="L299" s="259"/>
      <c r="M299" s="259"/>
      <c r="N299" s="259"/>
      <c r="O299" s="259"/>
      <c r="P299" s="259"/>
      <c r="Q299" s="259"/>
      <c r="R299" s="259"/>
      <c r="S299" s="259"/>
      <c r="T299" s="259"/>
      <c r="U299" s="259"/>
      <c r="V299" s="259"/>
      <c r="W299" s="259"/>
      <c r="X299" s="259"/>
      <c r="Y299" s="259"/>
      <c r="Z299" s="259"/>
    </row>
    <row r="300" customFormat="false" ht="12" hidden="false" customHeight="true" outlineLevel="0" collapsed="false">
      <c r="A300" s="259"/>
      <c r="B300" s="259"/>
      <c r="C300" s="259"/>
      <c r="D300" s="259"/>
      <c r="E300" s="259"/>
      <c r="F300" s="261"/>
      <c r="G300" s="259"/>
      <c r="H300" s="259"/>
      <c r="I300" s="259"/>
      <c r="J300" s="262"/>
      <c r="K300" s="259"/>
      <c r="L300" s="259"/>
      <c r="M300" s="259"/>
      <c r="N300" s="259"/>
      <c r="O300" s="259"/>
      <c r="P300" s="259"/>
      <c r="Q300" s="259"/>
      <c r="R300" s="259"/>
      <c r="S300" s="259"/>
      <c r="T300" s="259"/>
      <c r="U300" s="259"/>
      <c r="V300" s="259"/>
      <c r="W300" s="259"/>
      <c r="X300" s="259"/>
      <c r="Y300" s="259"/>
      <c r="Z300" s="259"/>
    </row>
    <row r="301" customFormat="false" ht="12" hidden="false" customHeight="true" outlineLevel="0" collapsed="false">
      <c r="A301" s="259"/>
      <c r="B301" s="259"/>
      <c r="C301" s="259"/>
      <c r="D301" s="259"/>
      <c r="E301" s="259"/>
      <c r="F301" s="261"/>
      <c r="G301" s="259"/>
      <c r="H301" s="259"/>
      <c r="I301" s="259"/>
      <c r="J301" s="262"/>
      <c r="K301" s="259"/>
      <c r="L301" s="259"/>
      <c r="M301" s="259"/>
      <c r="N301" s="259"/>
      <c r="O301" s="259"/>
      <c r="P301" s="259"/>
      <c r="Q301" s="259"/>
      <c r="R301" s="259"/>
      <c r="S301" s="259"/>
      <c r="T301" s="259"/>
      <c r="U301" s="259"/>
      <c r="V301" s="259"/>
      <c r="W301" s="259"/>
      <c r="X301" s="259"/>
      <c r="Y301" s="259"/>
      <c r="Z301" s="259"/>
    </row>
    <row r="302" customFormat="false" ht="12" hidden="false" customHeight="true" outlineLevel="0" collapsed="false">
      <c r="A302" s="259"/>
      <c r="B302" s="259"/>
      <c r="C302" s="259"/>
      <c r="D302" s="259"/>
      <c r="E302" s="259"/>
      <c r="F302" s="261"/>
      <c r="G302" s="259"/>
      <c r="H302" s="259"/>
      <c r="I302" s="259"/>
      <c r="J302" s="262"/>
      <c r="K302" s="259"/>
      <c r="L302" s="259"/>
      <c r="M302" s="259"/>
      <c r="N302" s="259"/>
      <c r="O302" s="259"/>
      <c r="P302" s="259"/>
      <c r="Q302" s="259"/>
      <c r="R302" s="259"/>
      <c r="S302" s="259"/>
      <c r="T302" s="259"/>
      <c r="U302" s="259"/>
      <c r="V302" s="259"/>
      <c r="W302" s="259"/>
      <c r="X302" s="259"/>
      <c r="Y302" s="259"/>
      <c r="Z302" s="259"/>
    </row>
    <row r="303" customFormat="false" ht="12" hidden="false" customHeight="true" outlineLevel="0" collapsed="false">
      <c r="A303" s="259"/>
      <c r="B303" s="259"/>
      <c r="C303" s="259"/>
      <c r="D303" s="259"/>
      <c r="E303" s="259"/>
      <c r="F303" s="261"/>
      <c r="G303" s="259"/>
      <c r="H303" s="259"/>
      <c r="I303" s="259"/>
      <c r="J303" s="262"/>
      <c r="K303" s="259"/>
      <c r="L303" s="259"/>
      <c r="M303" s="259"/>
      <c r="N303" s="259"/>
      <c r="O303" s="259"/>
      <c r="P303" s="259"/>
      <c r="Q303" s="259"/>
      <c r="R303" s="259"/>
      <c r="S303" s="259"/>
      <c r="T303" s="259"/>
      <c r="U303" s="259"/>
      <c r="V303" s="259"/>
      <c r="W303" s="259"/>
      <c r="X303" s="259"/>
      <c r="Y303" s="259"/>
      <c r="Z303" s="259"/>
    </row>
    <row r="304" customFormat="false" ht="12" hidden="false" customHeight="true" outlineLevel="0" collapsed="false">
      <c r="A304" s="259"/>
      <c r="B304" s="259"/>
      <c r="C304" s="259"/>
      <c r="D304" s="259"/>
      <c r="E304" s="259"/>
      <c r="F304" s="261"/>
      <c r="G304" s="259"/>
      <c r="H304" s="259"/>
      <c r="I304" s="259"/>
      <c r="J304" s="262"/>
      <c r="K304" s="259"/>
      <c r="L304" s="259"/>
      <c r="M304" s="259"/>
      <c r="N304" s="259"/>
      <c r="O304" s="259"/>
      <c r="P304" s="259"/>
      <c r="Q304" s="259"/>
      <c r="R304" s="259"/>
      <c r="S304" s="259"/>
      <c r="T304" s="259"/>
      <c r="U304" s="259"/>
      <c r="V304" s="259"/>
      <c r="W304" s="259"/>
      <c r="X304" s="259"/>
      <c r="Y304" s="259"/>
      <c r="Z304" s="259"/>
    </row>
    <row r="305" customFormat="false" ht="12" hidden="false" customHeight="true" outlineLevel="0" collapsed="false">
      <c r="A305" s="259"/>
      <c r="B305" s="259"/>
      <c r="C305" s="259"/>
      <c r="D305" s="259"/>
      <c r="E305" s="259"/>
      <c r="F305" s="261"/>
      <c r="G305" s="259"/>
      <c r="H305" s="259"/>
      <c r="I305" s="259"/>
      <c r="J305" s="262"/>
      <c r="K305" s="259"/>
      <c r="L305" s="259"/>
      <c r="M305" s="259"/>
      <c r="N305" s="259"/>
      <c r="O305" s="259"/>
      <c r="P305" s="259"/>
      <c r="Q305" s="259"/>
      <c r="R305" s="259"/>
      <c r="S305" s="259"/>
      <c r="T305" s="259"/>
      <c r="U305" s="259"/>
      <c r="V305" s="259"/>
      <c r="W305" s="259"/>
      <c r="X305" s="259"/>
      <c r="Y305" s="259"/>
      <c r="Z305" s="259"/>
    </row>
    <row r="306" customFormat="false" ht="12" hidden="false" customHeight="true" outlineLevel="0" collapsed="false">
      <c r="A306" s="259"/>
      <c r="B306" s="259"/>
      <c r="C306" s="259"/>
      <c r="D306" s="259"/>
      <c r="E306" s="259"/>
      <c r="F306" s="261"/>
      <c r="G306" s="259"/>
      <c r="H306" s="259"/>
      <c r="I306" s="259"/>
      <c r="J306" s="262"/>
      <c r="K306" s="259"/>
      <c r="L306" s="259"/>
      <c r="M306" s="259"/>
      <c r="N306" s="259"/>
      <c r="O306" s="259"/>
      <c r="P306" s="259"/>
      <c r="Q306" s="259"/>
      <c r="R306" s="259"/>
      <c r="S306" s="259"/>
      <c r="T306" s="259"/>
      <c r="U306" s="259"/>
      <c r="V306" s="259"/>
      <c r="W306" s="259"/>
      <c r="X306" s="259"/>
      <c r="Y306" s="259"/>
      <c r="Z306" s="259"/>
    </row>
    <row r="307" customFormat="false" ht="12" hidden="false" customHeight="true" outlineLevel="0" collapsed="false">
      <c r="A307" s="259"/>
      <c r="B307" s="259"/>
      <c r="C307" s="259"/>
      <c r="D307" s="259"/>
      <c r="E307" s="259"/>
      <c r="F307" s="261"/>
      <c r="G307" s="259"/>
      <c r="H307" s="259"/>
      <c r="I307" s="259"/>
      <c r="J307" s="262"/>
      <c r="K307" s="259"/>
      <c r="L307" s="259"/>
      <c r="M307" s="259"/>
      <c r="N307" s="259"/>
      <c r="O307" s="259"/>
      <c r="P307" s="259"/>
      <c r="Q307" s="259"/>
      <c r="R307" s="259"/>
      <c r="S307" s="259"/>
      <c r="T307" s="259"/>
      <c r="U307" s="259"/>
      <c r="V307" s="259"/>
      <c r="W307" s="259"/>
      <c r="X307" s="259"/>
      <c r="Y307" s="259"/>
      <c r="Z307" s="259"/>
    </row>
    <row r="308" customFormat="false" ht="12" hidden="false" customHeight="true" outlineLevel="0" collapsed="false">
      <c r="A308" s="259"/>
      <c r="B308" s="259"/>
      <c r="C308" s="259"/>
      <c r="D308" s="259"/>
      <c r="E308" s="259"/>
      <c r="F308" s="261"/>
      <c r="G308" s="259"/>
      <c r="H308" s="259"/>
      <c r="I308" s="259"/>
      <c r="J308" s="262"/>
      <c r="K308" s="259"/>
      <c r="L308" s="259"/>
      <c r="M308" s="259"/>
      <c r="N308" s="259"/>
      <c r="O308" s="259"/>
      <c r="P308" s="259"/>
      <c r="Q308" s="259"/>
      <c r="R308" s="259"/>
      <c r="S308" s="259"/>
      <c r="T308" s="259"/>
      <c r="U308" s="259"/>
      <c r="V308" s="259"/>
      <c r="W308" s="259"/>
      <c r="X308" s="259"/>
      <c r="Y308" s="259"/>
      <c r="Z308" s="259"/>
    </row>
    <row r="309" customFormat="false" ht="12" hidden="false" customHeight="true" outlineLevel="0" collapsed="false">
      <c r="A309" s="259"/>
      <c r="B309" s="259"/>
      <c r="C309" s="259"/>
      <c r="D309" s="259"/>
      <c r="E309" s="259"/>
      <c r="F309" s="261"/>
      <c r="G309" s="259"/>
      <c r="H309" s="259"/>
      <c r="I309" s="259"/>
      <c r="J309" s="262"/>
      <c r="K309" s="259"/>
      <c r="L309" s="259"/>
      <c r="M309" s="259"/>
      <c r="N309" s="259"/>
      <c r="O309" s="259"/>
      <c r="P309" s="259"/>
      <c r="Q309" s="259"/>
      <c r="R309" s="259"/>
      <c r="S309" s="259"/>
      <c r="T309" s="259"/>
      <c r="U309" s="259"/>
      <c r="V309" s="259"/>
      <c r="W309" s="259"/>
      <c r="X309" s="259"/>
      <c r="Y309" s="259"/>
      <c r="Z309" s="259"/>
    </row>
    <row r="310" customFormat="false" ht="12" hidden="false" customHeight="true" outlineLevel="0" collapsed="false">
      <c r="A310" s="259"/>
      <c r="B310" s="259"/>
      <c r="C310" s="259"/>
      <c r="D310" s="259"/>
      <c r="E310" s="259"/>
      <c r="F310" s="261"/>
      <c r="G310" s="259"/>
      <c r="H310" s="259"/>
      <c r="I310" s="259"/>
      <c r="J310" s="262"/>
      <c r="K310" s="259"/>
      <c r="L310" s="259"/>
      <c r="M310" s="259"/>
      <c r="N310" s="259"/>
      <c r="O310" s="259"/>
      <c r="P310" s="259"/>
      <c r="Q310" s="259"/>
      <c r="R310" s="259"/>
      <c r="S310" s="259"/>
      <c r="T310" s="259"/>
      <c r="U310" s="259"/>
      <c r="V310" s="259"/>
      <c r="W310" s="259"/>
      <c r="X310" s="259"/>
      <c r="Y310" s="259"/>
      <c r="Z310" s="259"/>
    </row>
    <row r="311" customFormat="false" ht="12" hidden="false" customHeight="true" outlineLevel="0" collapsed="false">
      <c r="A311" s="259"/>
      <c r="B311" s="259"/>
      <c r="C311" s="259"/>
      <c r="D311" s="259"/>
      <c r="E311" s="259"/>
      <c r="F311" s="261"/>
      <c r="G311" s="259"/>
      <c r="H311" s="259"/>
      <c r="I311" s="259"/>
      <c r="J311" s="262"/>
      <c r="K311" s="259"/>
      <c r="L311" s="259"/>
      <c r="M311" s="259"/>
      <c r="N311" s="259"/>
      <c r="O311" s="259"/>
      <c r="P311" s="259"/>
      <c r="Q311" s="259"/>
      <c r="R311" s="259"/>
      <c r="S311" s="259"/>
      <c r="T311" s="259"/>
      <c r="U311" s="259"/>
      <c r="V311" s="259"/>
      <c r="W311" s="259"/>
      <c r="X311" s="259"/>
      <c r="Y311" s="259"/>
      <c r="Z311" s="259"/>
    </row>
    <row r="312" customFormat="false" ht="12" hidden="false" customHeight="true" outlineLevel="0" collapsed="false">
      <c r="A312" s="259"/>
      <c r="B312" s="259"/>
      <c r="C312" s="259"/>
      <c r="D312" s="259"/>
      <c r="E312" s="259"/>
      <c r="F312" s="261"/>
      <c r="G312" s="259"/>
      <c r="H312" s="259"/>
      <c r="I312" s="259"/>
      <c r="J312" s="262"/>
      <c r="K312" s="259"/>
      <c r="L312" s="259"/>
      <c r="M312" s="259"/>
      <c r="N312" s="259"/>
      <c r="O312" s="259"/>
      <c r="P312" s="259"/>
      <c r="Q312" s="259"/>
      <c r="R312" s="259"/>
      <c r="S312" s="259"/>
      <c r="T312" s="259"/>
      <c r="U312" s="259"/>
      <c r="V312" s="259"/>
      <c r="W312" s="259"/>
      <c r="X312" s="259"/>
      <c r="Y312" s="259"/>
      <c r="Z312" s="259"/>
    </row>
    <row r="313" customFormat="false" ht="12" hidden="false" customHeight="true" outlineLevel="0" collapsed="false">
      <c r="A313" s="259"/>
      <c r="B313" s="259"/>
      <c r="C313" s="259"/>
      <c r="D313" s="259"/>
      <c r="E313" s="259"/>
      <c r="F313" s="261"/>
      <c r="G313" s="259"/>
      <c r="H313" s="259"/>
      <c r="I313" s="259"/>
      <c r="J313" s="262"/>
      <c r="K313" s="259"/>
      <c r="L313" s="259"/>
      <c r="M313" s="259"/>
      <c r="N313" s="259"/>
      <c r="O313" s="259"/>
      <c r="P313" s="259"/>
      <c r="Q313" s="259"/>
      <c r="R313" s="259"/>
      <c r="S313" s="259"/>
      <c r="T313" s="259"/>
      <c r="U313" s="259"/>
      <c r="V313" s="259"/>
      <c r="W313" s="259"/>
      <c r="X313" s="259"/>
      <c r="Y313" s="259"/>
      <c r="Z313" s="259"/>
    </row>
    <row r="314" customFormat="false" ht="12" hidden="false" customHeight="true" outlineLevel="0" collapsed="false">
      <c r="A314" s="259"/>
      <c r="B314" s="259"/>
      <c r="C314" s="259"/>
      <c r="D314" s="259"/>
      <c r="E314" s="259"/>
      <c r="F314" s="261"/>
      <c r="G314" s="259"/>
      <c r="H314" s="259"/>
      <c r="I314" s="259"/>
      <c r="J314" s="262"/>
      <c r="K314" s="259"/>
      <c r="L314" s="259"/>
      <c r="M314" s="259"/>
      <c r="N314" s="259"/>
      <c r="O314" s="259"/>
      <c r="P314" s="259"/>
      <c r="Q314" s="259"/>
      <c r="R314" s="259"/>
      <c r="S314" s="259"/>
      <c r="T314" s="259"/>
      <c r="U314" s="259"/>
      <c r="V314" s="259"/>
      <c r="W314" s="259"/>
      <c r="X314" s="259"/>
      <c r="Y314" s="259"/>
      <c r="Z314" s="259"/>
    </row>
    <row r="315" customFormat="false" ht="12" hidden="false" customHeight="true" outlineLevel="0" collapsed="false">
      <c r="A315" s="259"/>
      <c r="B315" s="259"/>
      <c r="C315" s="259"/>
      <c r="D315" s="259"/>
      <c r="E315" s="259"/>
      <c r="F315" s="261"/>
      <c r="G315" s="259"/>
      <c r="H315" s="259"/>
      <c r="I315" s="259"/>
      <c r="J315" s="262"/>
      <c r="K315" s="259"/>
      <c r="L315" s="259"/>
      <c r="M315" s="259"/>
      <c r="N315" s="259"/>
      <c r="O315" s="259"/>
      <c r="P315" s="259"/>
      <c r="Q315" s="259"/>
      <c r="R315" s="259"/>
      <c r="S315" s="259"/>
      <c r="T315" s="259"/>
      <c r="U315" s="259"/>
      <c r="V315" s="259"/>
      <c r="W315" s="259"/>
      <c r="X315" s="259"/>
      <c r="Y315" s="259"/>
      <c r="Z315" s="259"/>
    </row>
    <row r="316" customFormat="false" ht="12" hidden="false" customHeight="true" outlineLevel="0" collapsed="false">
      <c r="A316" s="259"/>
      <c r="B316" s="259"/>
      <c r="C316" s="259"/>
      <c r="D316" s="259"/>
      <c r="E316" s="259"/>
      <c r="F316" s="261"/>
      <c r="G316" s="259"/>
      <c r="H316" s="259"/>
      <c r="I316" s="259"/>
      <c r="J316" s="262"/>
      <c r="K316" s="259"/>
      <c r="L316" s="259"/>
      <c r="M316" s="259"/>
      <c r="N316" s="259"/>
      <c r="O316" s="259"/>
      <c r="P316" s="259"/>
      <c r="Q316" s="259"/>
      <c r="R316" s="259"/>
      <c r="S316" s="259"/>
      <c r="T316" s="259"/>
      <c r="U316" s="259"/>
      <c r="V316" s="259"/>
      <c r="W316" s="259"/>
      <c r="X316" s="259"/>
      <c r="Y316" s="259"/>
      <c r="Z316" s="259"/>
    </row>
    <row r="317" customFormat="false" ht="12" hidden="false" customHeight="true" outlineLevel="0" collapsed="false">
      <c r="A317" s="259"/>
      <c r="B317" s="259"/>
      <c r="C317" s="259"/>
      <c r="D317" s="259"/>
      <c r="E317" s="259"/>
      <c r="F317" s="261"/>
      <c r="G317" s="259"/>
      <c r="H317" s="259"/>
      <c r="I317" s="259"/>
      <c r="J317" s="262"/>
      <c r="K317" s="259"/>
      <c r="L317" s="259"/>
      <c r="M317" s="259"/>
      <c r="N317" s="259"/>
      <c r="O317" s="259"/>
      <c r="P317" s="259"/>
      <c r="Q317" s="259"/>
      <c r="R317" s="259"/>
      <c r="S317" s="259"/>
      <c r="T317" s="259"/>
      <c r="U317" s="259"/>
      <c r="V317" s="259"/>
      <c r="W317" s="259"/>
      <c r="X317" s="259"/>
      <c r="Y317" s="259"/>
      <c r="Z317" s="259"/>
    </row>
    <row r="318" customFormat="false" ht="12" hidden="false" customHeight="true" outlineLevel="0" collapsed="false">
      <c r="A318" s="259"/>
      <c r="B318" s="259"/>
      <c r="C318" s="259"/>
      <c r="D318" s="259"/>
      <c r="E318" s="259"/>
      <c r="F318" s="261"/>
      <c r="G318" s="259"/>
      <c r="H318" s="259"/>
      <c r="I318" s="259"/>
      <c r="J318" s="262"/>
      <c r="K318" s="259"/>
      <c r="L318" s="259"/>
      <c r="M318" s="259"/>
      <c r="N318" s="259"/>
      <c r="O318" s="259"/>
      <c r="P318" s="259"/>
      <c r="Q318" s="259"/>
      <c r="R318" s="259"/>
      <c r="S318" s="259"/>
      <c r="T318" s="259"/>
      <c r="U318" s="259"/>
      <c r="V318" s="259"/>
      <c r="W318" s="259"/>
      <c r="X318" s="259"/>
      <c r="Y318" s="259"/>
      <c r="Z318" s="259"/>
    </row>
    <row r="319" customFormat="false" ht="12" hidden="false" customHeight="true" outlineLevel="0" collapsed="false">
      <c r="A319" s="259"/>
      <c r="B319" s="259"/>
      <c r="C319" s="259"/>
      <c r="D319" s="259"/>
      <c r="E319" s="259"/>
      <c r="F319" s="261"/>
      <c r="G319" s="259"/>
      <c r="H319" s="259"/>
      <c r="I319" s="259"/>
      <c r="J319" s="262"/>
      <c r="K319" s="259"/>
      <c r="L319" s="259"/>
      <c r="M319" s="259"/>
      <c r="N319" s="259"/>
      <c r="O319" s="259"/>
      <c r="P319" s="259"/>
      <c r="Q319" s="259"/>
      <c r="R319" s="259"/>
      <c r="S319" s="259"/>
      <c r="T319" s="259"/>
      <c r="U319" s="259"/>
      <c r="V319" s="259"/>
      <c r="W319" s="259"/>
      <c r="X319" s="259"/>
      <c r="Y319" s="259"/>
      <c r="Z319" s="259"/>
    </row>
    <row r="320" customFormat="false" ht="12" hidden="false" customHeight="true" outlineLevel="0" collapsed="false">
      <c r="A320" s="259"/>
      <c r="B320" s="259"/>
      <c r="C320" s="259"/>
      <c r="D320" s="259"/>
      <c r="E320" s="259"/>
      <c r="F320" s="261"/>
      <c r="G320" s="259"/>
      <c r="H320" s="259"/>
      <c r="I320" s="259"/>
      <c r="J320" s="262"/>
      <c r="K320" s="259"/>
      <c r="L320" s="259"/>
      <c r="M320" s="259"/>
      <c r="N320" s="259"/>
      <c r="O320" s="259"/>
      <c r="P320" s="259"/>
      <c r="Q320" s="259"/>
      <c r="R320" s="259"/>
      <c r="S320" s="259"/>
      <c r="T320" s="259"/>
      <c r="U320" s="259"/>
      <c r="V320" s="259"/>
      <c r="W320" s="259"/>
      <c r="X320" s="259"/>
      <c r="Y320" s="259"/>
      <c r="Z320" s="259"/>
    </row>
    <row r="321" customFormat="false" ht="12" hidden="false" customHeight="true" outlineLevel="0" collapsed="false">
      <c r="A321" s="259"/>
      <c r="B321" s="259"/>
      <c r="C321" s="259"/>
      <c r="D321" s="259"/>
      <c r="E321" s="259"/>
      <c r="F321" s="261"/>
      <c r="G321" s="259"/>
      <c r="H321" s="259"/>
      <c r="I321" s="259"/>
      <c r="J321" s="262"/>
      <c r="K321" s="259"/>
      <c r="L321" s="259"/>
      <c r="M321" s="259"/>
      <c r="N321" s="259"/>
      <c r="O321" s="259"/>
      <c r="P321" s="259"/>
      <c r="Q321" s="259"/>
      <c r="R321" s="259"/>
      <c r="S321" s="259"/>
      <c r="T321" s="259"/>
      <c r="U321" s="259"/>
      <c r="V321" s="259"/>
      <c r="W321" s="259"/>
      <c r="X321" s="259"/>
      <c r="Y321" s="259"/>
      <c r="Z321" s="259"/>
    </row>
    <row r="322" customFormat="false" ht="12" hidden="false" customHeight="true" outlineLevel="0" collapsed="false">
      <c r="A322" s="259"/>
      <c r="B322" s="259"/>
      <c r="C322" s="259"/>
      <c r="D322" s="259"/>
      <c r="E322" s="259"/>
      <c r="F322" s="261"/>
      <c r="G322" s="259"/>
      <c r="H322" s="259"/>
      <c r="I322" s="259"/>
      <c r="J322" s="262"/>
      <c r="K322" s="259"/>
      <c r="L322" s="259"/>
      <c r="M322" s="259"/>
      <c r="N322" s="259"/>
      <c r="O322" s="259"/>
      <c r="P322" s="259"/>
      <c r="Q322" s="259"/>
      <c r="R322" s="259"/>
      <c r="S322" s="259"/>
      <c r="T322" s="259"/>
      <c r="U322" s="259"/>
      <c r="V322" s="259"/>
      <c r="W322" s="259"/>
      <c r="X322" s="259"/>
      <c r="Y322" s="259"/>
      <c r="Z322" s="259"/>
    </row>
    <row r="323" customFormat="false" ht="12" hidden="false" customHeight="true" outlineLevel="0" collapsed="false">
      <c r="A323" s="259"/>
      <c r="B323" s="259"/>
      <c r="C323" s="259"/>
      <c r="D323" s="259"/>
      <c r="E323" s="259"/>
      <c r="F323" s="261"/>
      <c r="G323" s="259"/>
      <c r="H323" s="259"/>
      <c r="I323" s="259"/>
      <c r="J323" s="262"/>
      <c r="K323" s="259"/>
      <c r="L323" s="259"/>
      <c r="M323" s="259"/>
      <c r="N323" s="259"/>
      <c r="O323" s="259"/>
      <c r="P323" s="259"/>
      <c r="Q323" s="259"/>
      <c r="R323" s="259"/>
      <c r="S323" s="259"/>
      <c r="T323" s="259"/>
      <c r="U323" s="259"/>
      <c r="V323" s="259"/>
      <c r="W323" s="259"/>
      <c r="X323" s="259"/>
      <c r="Y323" s="259"/>
      <c r="Z323" s="259"/>
    </row>
    <row r="324" customFormat="false" ht="12" hidden="false" customHeight="true" outlineLevel="0" collapsed="false">
      <c r="A324" s="259"/>
      <c r="B324" s="259"/>
      <c r="C324" s="259"/>
      <c r="D324" s="259"/>
      <c r="E324" s="259"/>
      <c r="F324" s="261"/>
      <c r="G324" s="259"/>
      <c r="H324" s="259"/>
      <c r="I324" s="259"/>
      <c r="J324" s="262"/>
      <c r="K324" s="259"/>
      <c r="L324" s="259"/>
      <c r="M324" s="259"/>
      <c r="N324" s="259"/>
      <c r="O324" s="259"/>
      <c r="P324" s="259"/>
      <c r="Q324" s="259"/>
      <c r="R324" s="259"/>
      <c r="S324" s="259"/>
      <c r="T324" s="259"/>
      <c r="U324" s="259"/>
      <c r="V324" s="259"/>
      <c r="W324" s="259"/>
      <c r="X324" s="259"/>
      <c r="Y324" s="259"/>
      <c r="Z324" s="259"/>
    </row>
    <row r="325" customFormat="false" ht="12" hidden="false" customHeight="true" outlineLevel="0" collapsed="false">
      <c r="A325" s="259"/>
      <c r="B325" s="259"/>
      <c r="C325" s="259"/>
      <c r="D325" s="259"/>
      <c r="E325" s="259"/>
      <c r="F325" s="261"/>
      <c r="G325" s="259"/>
      <c r="H325" s="259"/>
      <c r="I325" s="259"/>
      <c r="J325" s="262"/>
      <c r="K325" s="259"/>
      <c r="L325" s="259"/>
      <c r="M325" s="259"/>
      <c r="N325" s="259"/>
      <c r="O325" s="259"/>
      <c r="P325" s="259"/>
      <c r="Q325" s="259"/>
      <c r="R325" s="259"/>
      <c r="S325" s="259"/>
      <c r="T325" s="259"/>
      <c r="U325" s="259"/>
      <c r="V325" s="259"/>
      <c r="W325" s="259"/>
      <c r="X325" s="259"/>
      <c r="Y325" s="259"/>
      <c r="Z325" s="259"/>
    </row>
    <row r="326" customFormat="false" ht="12" hidden="false" customHeight="true" outlineLevel="0" collapsed="false">
      <c r="A326" s="259"/>
      <c r="B326" s="259"/>
      <c r="C326" s="259"/>
      <c r="D326" s="259"/>
      <c r="E326" s="259"/>
      <c r="F326" s="261"/>
      <c r="G326" s="259"/>
      <c r="H326" s="259"/>
      <c r="I326" s="259"/>
      <c r="J326" s="262"/>
      <c r="K326" s="259"/>
      <c r="L326" s="259"/>
      <c r="M326" s="259"/>
      <c r="N326" s="259"/>
      <c r="O326" s="259"/>
      <c r="P326" s="259"/>
      <c r="Q326" s="259"/>
      <c r="R326" s="259"/>
      <c r="S326" s="259"/>
      <c r="T326" s="259"/>
      <c r="U326" s="259"/>
      <c r="V326" s="259"/>
      <c r="W326" s="259"/>
      <c r="X326" s="259"/>
      <c r="Y326" s="259"/>
      <c r="Z326" s="259"/>
    </row>
    <row r="327" customFormat="false" ht="12" hidden="false" customHeight="true" outlineLevel="0" collapsed="false">
      <c r="A327" s="259"/>
      <c r="B327" s="259"/>
      <c r="C327" s="259"/>
      <c r="D327" s="259"/>
      <c r="E327" s="259"/>
      <c r="F327" s="261"/>
      <c r="G327" s="259"/>
      <c r="H327" s="259"/>
      <c r="I327" s="259"/>
      <c r="J327" s="262"/>
      <c r="K327" s="259"/>
      <c r="L327" s="259"/>
      <c r="M327" s="259"/>
      <c r="N327" s="259"/>
      <c r="O327" s="259"/>
      <c r="P327" s="259"/>
      <c r="Q327" s="259"/>
      <c r="R327" s="259"/>
      <c r="S327" s="259"/>
      <c r="T327" s="259"/>
      <c r="U327" s="259"/>
      <c r="V327" s="259"/>
      <c r="W327" s="259"/>
      <c r="X327" s="259"/>
      <c r="Y327" s="259"/>
      <c r="Z327" s="259"/>
    </row>
    <row r="328" customFormat="false" ht="12" hidden="false" customHeight="true" outlineLevel="0" collapsed="false">
      <c r="A328" s="259"/>
      <c r="B328" s="259"/>
      <c r="C328" s="259"/>
      <c r="D328" s="259"/>
      <c r="E328" s="259"/>
      <c r="F328" s="261"/>
      <c r="G328" s="259"/>
      <c r="H328" s="259"/>
      <c r="I328" s="259"/>
      <c r="J328" s="262"/>
      <c r="K328" s="259"/>
      <c r="L328" s="259"/>
      <c r="M328" s="259"/>
      <c r="N328" s="259"/>
      <c r="O328" s="259"/>
      <c r="P328" s="259"/>
      <c r="Q328" s="259"/>
      <c r="R328" s="259"/>
      <c r="S328" s="259"/>
      <c r="T328" s="259"/>
      <c r="U328" s="259"/>
      <c r="V328" s="259"/>
      <c r="W328" s="259"/>
      <c r="X328" s="259"/>
      <c r="Y328" s="259"/>
      <c r="Z328" s="259"/>
    </row>
    <row r="329" customFormat="false" ht="12" hidden="false" customHeight="true" outlineLevel="0" collapsed="false">
      <c r="A329" s="259"/>
      <c r="B329" s="259"/>
      <c r="C329" s="259"/>
      <c r="D329" s="259"/>
      <c r="E329" s="259"/>
      <c r="F329" s="261"/>
      <c r="G329" s="259"/>
      <c r="H329" s="259"/>
      <c r="I329" s="259"/>
      <c r="J329" s="262"/>
      <c r="K329" s="259"/>
      <c r="L329" s="259"/>
      <c r="M329" s="259"/>
      <c r="N329" s="259"/>
      <c r="O329" s="259"/>
      <c r="P329" s="259"/>
      <c r="Q329" s="259"/>
      <c r="R329" s="259"/>
      <c r="S329" s="259"/>
      <c r="T329" s="259"/>
      <c r="U329" s="259"/>
      <c r="V329" s="259"/>
      <c r="W329" s="259"/>
      <c r="X329" s="259"/>
      <c r="Y329" s="259"/>
      <c r="Z329" s="259"/>
    </row>
    <row r="330" customFormat="false" ht="12" hidden="false" customHeight="true" outlineLevel="0" collapsed="false">
      <c r="A330" s="259"/>
      <c r="B330" s="259"/>
      <c r="C330" s="259"/>
      <c r="D330" s="259"/>
      <c r="E330" s="259"/>
      <c r="F330" s="261"/>
      <c r="G330" s="259"/>
      <c r="H330" s="259"/>
      <c r="I330" s="259"/>
      <c r="J330" s="262"/>
      <c r="K330" s="259"/>
      <c r="L330" s="259"/>
      <c r="M330" s="259"/>
      <c r="N330" s="259"/>
      <c r="O330" s="259"/>
      <c r="P330" s="259"/>
      <c r="Q330" s="259"/>
      <c r="R330" s="259"/>
      <c r="S330" s="259"/>
      <c r="T330" s="259"/>
      <c r="U330" s="259"/>
      <c r="V330" s="259"/>
      <c r="W330" s="259"/>
      <c r="X330" s="259"/>
      <c r="Y330" s="259"/>
      <c r="Z330" s="259"/>
    </row>
    <row r="331" customFormat="false" ht="12" hidden="false" customHeight="true" outlineLevel="0" collapsed="false">
      <c r="A331" s="259"/>
      <c r="B331" s="259"/>
      <c r="C331" s="259"/>
      <c r="D331" s="259"/>
      <c r="E331" s="259"/>
      <c r="F331" s="261"/>
      <c r="G331" s="259"/>
      <c r="H331" s="259"/>
      <c r="I331" s="259"/>
      <c r="J331" s="262"/>
      <c r="K331" s="259"/>
      <c r="L331" s="259"/>
      <c r="M331" s="259"/>
      <c r="N331" s="259"/>
      <c r="O331" s="259"/>
      <c r="P331" s="259"/>
      <c r="Q331" s="259"/>
      <c r="R331" s="259"/>
      <c r="S331" s="259"/>
      <c r="T331" s="259"/>
      <c r="U331" s="259"/>
      <c r="V331" s="259"/>
      <c r="W331" s="259"/>
      <c r="X331" s="259"/>
      <c r="Y331" s="259"/>
      <c r="Z331" s="259"/>
    </row>
    <row r="332" customFormat="false" ht="12" hidden="false" customHeight="true" outlineLevel="0" collapsed="false">
      <c r="A332" s="259"/>
      <c r="B332" s="259"/>
      <c r="C332" s="259"/>
      <c r="D332" s="259"/>
      <c r="E332" s="259"/>
      <c r="F332" s="261"/>
      <c r="G332" s="259"/>
      <c r="H332" s="259"/>
      <c r="I332" s="259"/>
      <c r="J332" s="262"/>
      <c r="K332" s="259"/>
      <c r="L332" s="259"/>
      <c r="M332" s="259"/>
      <c r="N332" s="259"/>
      <c r="O332" s="259"/>
      <c r="P332" s="259"/>
      <c r="Q332" s="259"/>
      <c r="R332" s="259"/>
      <c r="S332" s="259"/>
      <c r="T332" s="259"/>
      <c r="U332" s="259"/>
      <c r="V332" s="259"/>
      <c r="W332" s="259"/>
      <c r="X332" s="259"/>
      <c r="Y332" s="259"/>
      <c r="Z332" s="259"/>
    </row>
    <row r="333" customFormat="false" ht="12" hidden="false" customHeight="true" outlineLevel="0" collapsed="false">
      <c r="A333" s="259"/>
      <c r="B333" s="259"/>
      <c r="C333" s="259"/>
      <c r="D333" s="259"/>
      <c r="E333" s="259"/>
      <c r="F333" s="261"/>
      <c r="G333" s="259"/>
      <c r="H333" s="259"/>
      <c r="I333" s="259"/>
      <c r="J333" s="262"/>
      <c r="K333" s="259"/>
      <c r="L333" s="259"/>
      <c r="M333" s="259"/>
      <c r="N333" s="259"/>
      <c r="O333" s="259"/>
      <c r="P333" s="259"/>
      <c r="Q333" s="259"/>
      <c r="R333" s="259"/>
      <c r="S333" s="259"/>
      <c r="T333" s="259"/>
      <c r="U333" s="259"/>
      <c r="V333" s="259"/>
      <c r="W333" s="259"/>
      <c r="X333" s="259"/>
      <c r="Y333" s="259"/>
      <c r="Z333" s="259"/>
    </row>
    <row r="334" customFormat="false" ht="12" hidden="false" customHeight="true" outlineLevel="0" collapsed="false">
      <c r="A334" s="259"/>
      <c r="B334" s="259"/>
      <c r="C334" s="259"/>
      <c r="D334" s="259"/>
      <c r="E334" s="259"/>
      <c r="F334" s="261"/>
      <c r="G334" s="259"/>
      <c r="H334" s="259"/>
      <c r="I334" s="259"/>
      <c r="J334" s="262"/>
      <c r="K334" s="259"/>
      <c r="L334" s="259"/>
      <c r="M334" s="259"/>
      <c r="N334" s="259"/>
      <c r="O334" s="259"/>
      <c r="P334" s="259"/>
      <c r="Q334" s="259"/>
      <c r="R334" s="259"/>
      <c r="S334" s="259"/>
      <c r="T334" s="259"/>
      <c r="U334" s="259"/>
      <c r="V334" s="259"/>
      <c r="W334" s="259"/>
      <c r="X334" s="259"/>
      <c r="Y334" s="259"/>
      <c r="Z334" s="259"/>
    </row>
    <row r="335" customFormat="false" ht="12" hidden="false" customHeight="true" outlineLevel="0" collapsed="false">
      <c r="A335" s="259"/>
      <c r="B335" s="259"/>
      <c r="C335" s="259"/>
      <c r="D335" s="259"/>
      <c r="E335" s="259"/>
      <c r="F335" s="261"/>
      <c r="G335" s="259"/>
      <c r="H335" s="259"/>
      <c r="I335" s="259"/>
      <c r="J335" s="262"/>
      <c r="K335" s="259"/>
      <c r="L335" s="259"/>
      <c r="M335" s="259"/>
      <c r="N335" s="259"/>
      <c r="O335" s="259"/>
      <c r="P335" s="259"/>
      <c r="Q335" s="259"/>
      <c r="R335" s="259"/>
      <c r="S335" s="259"/>
      <c r="T335" s="259"/>
      <c r="U335" s="259"/>
      <c r="V335" s="259"/>
      <c r="W335" s="259"/>
      <c r="X335" s="259"/>
      <c r="Y335" s="259"/>
      <c r="Z335" s="259"/>
    </row>
    <row r="336" customFormat="false" ht="12" hidden="false" customHeight="true" outlineLevel="0" collapsed="false">
      <c r="A336" s="259"/>
      <c r="B336" s="259"/>
      <c r="C336" s="259"/>
      <c r="D336" s="259"/>
      <c r="E336" s="259"/>
      <c r="F336" s="261"/>
      <c r="G336" s="259"/>
      <c r="H336" s="259"/>
      <c r="I336" s="259"/>
      <c r="J336" s="262"/>
      <c r="K336" s="259"/>
      <c r="L336" s="259"/>
      <c r="M336" s="259"/>
      <c r="N336" s="259"/>
      <c r="O336" s="259"/>
      <c r="P336" s="259"/>
      <c r="Q336" s="259"/>
      <c r="R336" s="259"/>
      <c r="S336" s="259"/>
      <c r="T336" s="259"/>
      <c r="U336" s="259"/>
      <c r="V336" s="259"/>
      <c r="W336" s="259"/>
      <c r="X336" s="259"/>
      <c r="Y336" s="259"/>
      <c r="Z336" s="259"/>
    </row>
    <row r="337" customFormat="false" ht="12" hidden="false" customHeight="true" outlineLevel="0" collapsed="false">
      <c r="A337" s="259"/>
      <c r="B337" s="259"/>
      <c r="C337" s="259"/>
      <c r="D337" s="259"/>
      <c r="E337" s="259"/>
      <c r="F337" s="261"/>
      <c r="G337" s="259"/>
      <c r="H337" s="259"/>
      <c r="I337" s="259"/>
      <c r="J337" s="262"/>
      <c r="K337" s="259"/>
      <c r="L337" s="259"/>
      <c r="M337" s="259"/>
      <c r="N337" s="259"/>
      <c r="O337" s="259"/>
      <c r="P337" s="259"/>
      <c r="Q337" s="259"/>
      <c r="R337" s="259"/>
      <c r="S337" s="259"/>
      <c r="T337" s="259"/>
      <c r="U337" s="259"/>
      <c r="V337" s="259"/>
      <c r="W337" s="259"/>
      <c r="X337" s="259"/>
      <c r="Y337" s="259"/>
      <c r="Z337" s="259"/>
    </row>
    <row r="338" customFormat="false" ht="12" hidden="false" customHeight="true" outlineLevel="0" collapsed="false">
      <c r="A338" s="259"/>
      <c r="B338" s="259"/>
      <c r="C338" s="259"/>
      <c r="D338" s="259"/>
      <c r="E338" s="259"/>
      <c r="F338" s="261"/>
      <c r="G338" s="259"/>
      <c r="H338" s="259"/>
      <c r="I338" s="259"/>
      <c r="J338" s="262"/>
      <c r="K338" s="259"/>
      <c r="L338" s="259"/>
      <c r="M338" s="259"/>
      <c r="N338" s="259"/>
      <c r="O338" s="259"/>
      <c r="P338" s="259"/>
      <c r="Q338" s="259"/>
      <c r="R338" s="259"/>
      <c r="S338" s="259"/>
      <c r="T338" s="259"/>
      <c r="U338" s="259"/>
      <c r="V338" s="259"/>
      <c r="W338" s="259"/>
      <c r="X338" s="259"/>
      <c r="Y338" s="259"/>
      <c r="Z338" s="259"/>
    </row>
    <row r="339" customFormat="false" ht="12" hidden="false" customHeight="true" outlineLevel="0" collapsed="false">
      <c r="A339" s="259"/>
      <c r="B339" s="259"/>
      <c r="C339" s="259"/>
      <c r="D339" s="259"/>
      <c r="E339" s="259"/>
      <c r="F339" s="261"/>
      <c r="G339" s="259"/>
      <c r="H339" s="259"/>
      <c r="I339" s="259"/>
      <c r="J339" s="262"/>
      <c r="K339" s="259"/>
      <c r="L339" s="259"/>
      <c r="M339" s="259"/>
      <c r="N339" s="259"/>
      <c r="O339" s="259"/>
      <c r="P339" s="259"/>
      <c r="Q339" s="259"/>
      <c r="R339" s="259"/>
      <c r="S339" s="259"/>
      <c r="T339" s="259"/>
      <c r="U339" s="259"/>
      <c r="V339" s="259"/>
      <c r="W339" s="259"/>
      <c r="X339" s="259"/>
      <c r="Y339" s="259"/>
      <c r="Z339" s="259"/>
    </row>
    <row r="340" customFormat="false" ht="12" hidden="false" customHeight="true" outlineLevel="0" collapsed="false">
      <c r="A340" s="259"/>
      <c r="B340" s="259"/>
      <c r="C340" s="259"/>
      <c r="D340" s="259"/>
      <c r="E340" s="259"/>
      <c r="F340" s="261"/>
      <c r="G340" s="259"/>
      <c r="H340" s="259"/>
      <c r="I340" s="259"/>
      <c r="J340" s="262"/>
      <c r="K340" s="259"/>
      <c r="L340" s="259"/>
      <c r="M340" s="259"/>
      <c r="N340" s="259"/>
      <c r="O340" s="259"/>
      <c r="P340" s="259"/>
      <c r="Q340" s="259"/>
      <c r="R340" s="259"/>
      <c r="S340" s="259"/>
      <c r="T340" s="259"/>
      <c r="U340" s="259"/>
      <c r="V340" s="259"/>
      <c r="W340" s="259"/>
      <c r="X340" s="259"/>
      <c r="Y340" s="259"/>
      <c r="Z340" s="259"/>
    </row>
    <row r="341" customFormat="false" ht="12" hidden="false" customHeight="true" outlineLevel="0" collapsed="false">
      <c r="A341" s="259"/>
      <c r="B341" s="259"/>
      <c r="C341" s="259"/>
      <c r="D341" s="259"/>
      <c r="E341" s="259"/>
      <c r="F341" s="261"/>
      <c r="G341" s="259"/>
      <c r="H341" s="259"/>
      <c r="I341" s="259"/>
      <c r="J341" s="262"/>
      <c r="K341" s="259"/>
      <c r="L341" s="259"/>
      <c r="M341" s="259"/>
      <c r="N341" s="259"/>
      <c r="O341" s="259"/>
      <c r="P341" s="259"/>
      <c r="Q341" s="259"/>
      <c r="R341" s="259"/>
      <c r="S341" s="259"/>
      <c r="T341" s="259"/>
      <c r="U341" s="259"/>
      <c r="V341" s="259"/>
      <c r="W341" s="259"/>
      <c r="X341" s="259"/>
      <c r="Y341" s="259"/>
      <c r="Z341" s="259"/>
    </row>
    <row r="342" customFormat="false" ht="12" hidden="false" customHeight="true" outlineLevel="0" collapsed="false">
      <c r="A342" s="259"/>
      <c r="B342" s="259"/>
      <c r="C342" s="259"/>
      <c r="D342" s="259"/>
      <c r="E342" s="259"/>
      <c r="F342" s="261"/>
      <c r="G342" s="259"/>
      <c r="H342" s="259"/>
      <c r="I342" s="259"/>
      <c r="J342" s="262"/>
      <c r="K342" s="259"/>
      <c r="L342" s="259"/>
      <c r="M342" s="259"/>
      <c r="N342" s="259"/>
      <c r="O342" s="259"/>
      <c r="P342" s="259"/>
      <c r="Q342" s="259"/>
      <c r="R342" s="259"/>
      <c r="S342" s="259"/>
      <c r="T342" s="259"/>
      <c r="U342" s="259"/>
      <c r="V342" s="259"/>
      <c r="W342" s="259"/>
      <c r="X342" s="259"/>
      <c r="Y342" s="259"/>
      <c r="Z342" s="259"/>
    </row>
    <row r="343" customFormat="false" ht="12" hidden="false" customHeight="true" outlineLevel="0" collapsed="false">
      <c r="A343" s="259"/>
      <c r="B343" s="259"/>
      <c r="C343" s="259"/>
      <c r="D343" s="259"/>
      <c r="E343" s="259"/>
      <c r="F343" s="261"/>
      <c r="G343" s="259"/>
      <c r="H343" s="259"/>
      <c r="I343" s="259"/>
      <c r="J343" s="262"/>
      <c r="K343" s="259"/>
      <c r="L343" s="259"/>
      <c r="M343" s="259"/>
      <c r="N343" s="259"/>
      <c r="O343" s="259"/>
      <c r="P343" s="259"/>
      <c r="Q343" s="259"/>
      <c r="R343" s="259"/>
      <c r="S343" s="259"/>
      <c r="T343" s="259"/>
      <c r="U343" s="259"/>
      <c r="V343" s="259"/>
      <c r="W343" s="259"/>
      <c r="X343" s="259"/>
      <c r="Y343" s="259"/>
      <c r="Z343" s="259"/>
    </row>
    <row r="344" customFormat="false" ht="12" hidden="false" customHeight="true" outlineLevel="0" collapsed="false">
      <c r="A344" s="259"/>
      <c r="B344" s="259"/>
      <c r="C344" s="259"/>
      <c r="D344" s="259"/>
      <c r="E344" s="259"/>
      <c r="F344" s="261"/>
      <c r="G344" s="259"/>
      <c r="H344" s="259"/>
      <c r="I344" s="259"/>
      <c r="J344" s="262"/>
      <c r="K344" s="259"/>
      <c r="L344" s="259"/>
      <c r="M344" s="259"/>
      <c r="N344" s="259"/>
      <c r="O344" s="259"/>
      <c r="P344" s="259"/>
      <c r="Q344" s="259"/>
      <c r="R344" s="259"/>
      <c r="S344" s="259"/>
      <c r="T344" s="259"/>
      <c r="U344" s="259"/>
      <c r="V344" s="259"/>
      <c r="W344" s="259"/>
      <c r="X344" s="259"/>
      <c r="Y344" s="259"/>
      <c r="Z344" s="259"/>
    </row>
    <row r="345" customFormat="false" ht="12" hidden="false" customHeight="true" outlineLevel="0" collapsed="false">
      <c r="A345" s="259"/>
      <c r="B345" s="259"/>
      <c r="C345" s="259"/>
      <c r="D345" s="259"/>
      <c r="E345" s="259"/>
      <c r="F345" s="261"/>
      <c r="G345" s="259"/>
      <c r="H345" s="259"/>
      <c r="I345" s="259"/>
      <c r="J345" s="262"/>
      <c r="K345" s="259"/>
      <c r="L345" s="259"/>
      <c r="M345" s="259"/>
      <c r="N345" s="259"/>
      <c r="O345" s="259"/>
      <c r="P345" s="259"/>
      <c r="Q345" s="259"/>
      <c r="R345" s="259"/>
      <c r="S345" s="259"/>
      <c r="T345" s="259"/>
      <c r="U345" s="259"/>
      <c r="V345" s="259"/>
      <c r="W345" s="259"/>
      <c r="X345" s="259"/>
      <c r="Y345" s="259"/>
      <c r="Z345" s="259"/>
    </row>
    <row r="346" customFormat="false" ht="12" hidden="false" customHeight="true" outlineLevel="0" collapsed="false">
      <c r="A346" s="259"/>
      <c r="B346" s="259"/>
      <c r="C346" s="259"/>
      <c r="D346" s="259"/>
      <c r="E346" s="259"/>
      <c r="F346" s="261"/>
      <c r="G346" s="259"/>
      <c r="H346" s="259"/>
      <c r="I346" s="259"/>
      <c r="J346" s="262"/>
      <c r="K346" s="259"/>
      <c r="L346" s="259"/>
      <c r="M346" s="259"/>
      <c r="N346" s="259"/>
      <c r="O346" s="259"/>
      <c r="P346" s="259"/>
      <c r="Q346" s="259"/>
      <c r="R346" s="259"/>
      <c r="S346" s="259"/>
      <c r="T346" s="259"/>
      <c r="U346" s="259"/>
      <c r="V346" s="259"/>
      <c r="W346" s="259"/>
      <c r="X346" s="259"/>
      <c r="Y346" s="259"/>
      <c r="Z346" s="259"/>
    </row>
    <row r="347" customFormat="false" ht="12" hidden="false" customHeight="true" outlineLevel="0" collapsed="false">
      <c r="A347" s="259"/>
      <c r="B347" s="259"/>
      <c r="C347" s="259"/>
      <c r="D347" s="259"/>
      <c r="E347" s="259"/>
      <c r="F347" s="261"/>
      <c r="G347" s="259"/>
      <c r="H347" s="259"/>
      <c r="I347" s="259"/>
      <c r="J347" s="262"/>
      <c r="K347" s="259"/>
      <c r="L347" s="259"/>
      <c r="M347" s="259"/>
      <c r="N347" s="259"/>
      <c r="O347" s="259"/>
      <c r="P347" s="259"/>
      <c r="Q347" s="259"/>
      <c r="R347" s="259"/>
      <c r="S347" s="259"/>
      <c r="T347" s="259"/>
      <c r="U347" s="259"/>
      <c r="V347" s="259"/>
      <c r="W347" s="259"/>
      <c r="X347" s="259"/>
      <c r="Y347" s="259"/>
      <c r="Z347" s="259"/>
    </row>
    <row r="348" customFormat="false" ht="12" hidden="false" customHeight="true" outlineLevel="0" collapsed="false">
      <c r="A348" s="259"/>
      <c r="B348" s="259"/>
      <c r="C348" s="259"/>
      <c r="D348" s="259"/>
      <c r="E348" s="259"/>
      <c r="F348" s="261"/>
      <c r="G348" s="259"/>
      <c r="H348" s="259"/>
      <c r="I348" s="259"/>
      <c r="J348" s="262"/>
      <c r="K348" s="259"/>
      <c r="L348" s="259"/>
      <c r="M348" s="259"/>
      <c r="N348" s="259"/>
      <c r="O348" s="259"/>
      <c r="P348" s="259"/>
      <c r="Q348" s="259"/>
      <c r="R348" s="259"/>
      <c r="S348" s="259"/>
      <c r="T348" s="259"/>
      <c r="U348" s="259"/>
      <c r="V348" s="259"/>
      <c r="W348" s="259"/>
      <c r="X348" s="259"/>
      <c r="Y348" s="259"/>
      <c r="Z348" s="259"/>
    </row>
    <row r="349" customFormat="false" ht="12" hidden="false" customHeight="true" outlineLevel="0" collapsed="false">
      <c r="A349" s="259"/>
      <c r="B349" s="259"/>
      <c r="C349" s="259"/>
      <c r="D349" s="259"/>
      <c r="E349" s="259"/>
      <c r="F349" s="261"/>
      <c r="G349" s="259"/>
      <c r="H349" s="259"/>
      <c r="I349" s="259"/>
      <c r="J349" s="262"/>
      <c r="K349" s="259"/>
      <c r="L349" s="259"/>
      <c r="M349" s="259"/>
      <c r="N349" s="259"/>
      <c r="O349" s="259"/>
      <c r="P349" s="259"/>
      <c r="Q349" s="259"/>
      <c r="R349" s="259"/>
      <c r="S349" s="259"/>
      <c r="T349" s="259"/>
      <c r="U349" s="259"/>
      <c r="V349" s="259"/>
      <c r="W349" s="259"/>
      <c r="X349" s="259"/>
      <c r="Y349" s="259"/>
      <c r="Z349" s="259"/>
    </row>
    <row r="350" customFormat="false" ht="12" hidden="false" customHeight="true" outlineLevel="0" collapsed="false">
      <c r="A350" s="259"/>
      <c r="B350" s="259"/>
      <c r="C350" s="259"/>
      <c r="D350" s="259"/>
      <c r="E350" s="259"/>
      <c r="F350" s="261"/>
      <c r="G350" s="259"/>
      <c r="H350" s="259"/>
      <c r="I350" s="259"/>
      <c r="J350" s="262"/>
      <c r="K350" s="259"/>
      <c r="L350" s="259"/>
      <c r="M350" s="259"/>
      <c r="N350" s="259"/>
      <c r="O350" s="259"/>
      <c r="P350" s="259"/>
      <c r="Q350" s="259"/>
      <c r="R350" s="259"/>
      <c r="S350" s="259"/>
      <c r="T350" s="259"/>
      <c r="U350" s="259"/>
      <c r="V350" s="259"/>
      <c r="W350" s="259"/>
      <c r="X350" s="259"/>
      <c r="Y350" s="259"/>
      <c r="Z350" s="259"/>
    </row>
    <row r="351" customFormat="false" ht="12" hidden="false" customHeight="true" outlineLevel="0" collapsed="false">
      <c r="A351" s="259"/>
      <c r="B351" s="259"/>
      <c r="C351" s="259"/>
      <c r="D351" s="259"/>
      <c r="E351" s="259"/>
      <c r="F351" s="261"/>
      <c r="G351" s="259"/>
      <c r="H351" s="259"/>
      <c r="I351" s="259"/>
      <c r="J351" s="262"/>
      <c r="K351" s="259"/>
      <c r="L351" s="259"/>
      <c r="M351" s="259"/>
      <c r="N351" s="259"/>
      <c r="O351" s="259"/>
      <c r="P351" s="259"/>
      <c r="Q351" s="259"/>
      <c r="R351" s="259"/>
      <c r="S351" s="259"/>
      <c r="T351" s="259"/>
      <c r="U351" s="259"/>
      <c r="V351" s="259"/>
      <c r="W351" s="259"/>
      <c r="X351" s="259"/>
      <c r="Y351" s="259"/>
      <c r="Z351" s="259"/>
    </row>
    <row r="352" customFormat="false" ht="12" hidden="false" customHeight="true" outlineLevel="0" collapsed="false">
      <c r="A352" s="259"/>
      <c r="B352" s="259"/>
      <c r="C352" s="259"/>
      <c r="D352" s="259"/>
      <c r="E352" s="259"/>
      <c r="F352" s="261"/>
      <c r="G352" s="259"/>
      <c r="H352" s="259"/>
      <c r="I352" s="259"/>
      <c r="J352" s="262"/>
      <c r="K352" s="259"/>
      <c r="L352" s="259"/>
      <c r="M352" s="259"/>
      <c r="N352" s="259"/>
      <c r="O352" s="259"/>
      <c r="P352" s="259"/>
      <c r="Q352" s="259"/>
      <c r="R352" s="259"/>
      <c r="S352" s="259"/>
      <c r="T352" s="259"/>
      <c r="U352" s="259"/>
      <c r="V352" s="259"/>
      <c r="W352" s="259"/>
      <c r="X352" s="259"/>
      <c r="Y352" s="259"/>
      <c r="Z352" s="259"/>
    </row>
    <row r="353" customFormat="false" ht="12" hidden="false" customHeight="true" outlineLevel="0" collapsed="false">
      <c r="A353" s="259"/>
      <c r="B353" s="259"/>
      <c r="C353" s="259"/>
      <c r="D353" s="259"/>
      <c r="E353" s="259"/>
      <c r="F353" s="261"/>
      <c r="G353" s="259"/>
      <c r="H353" s="259"/>
      <c r="I353" s="259"/>
      <c r="J353" s="262"/>
      <c r="K353" s="259"/>
      <c r="L353" s="259"/>
      <c r="M353" s="259"/>
      <c r="N353" s="259"/>
      <c r="O353" s="259"/>
      <c r="P353" s="259"/>
      <c r="Q353" s="259"/>
      <c r="R353" s="259"/>
      <c r="S353" s="259"/>
      <c r="T353" s="259"/>
      <c r="U353" s="259"/>
      <c r="V353" s="259"/>
      <c r="W353" s="259"/>
      <c r="X353" s="259"/>
      <c r="Y353" s="259"/>
      <c r="Z353" s="259"/>
    </row>
    <row r="354" customFormat="false" ht="12" hidden="false" customHeight="true" outlineLevel="0" collapsed="false">
      <c r="A354" s="259"/>
      <c r="B354" s="259"/>
      <c r="C354" s="259"/>
      <c r="D354" s="259"/>
      <c r="E354" s="259"/>
      <c r="F354" s="261"/>
      <c r="G354" s="259"/>
      <c r="H354" s="259"/>
      <c r="I354" s="259"/>
      <c r="J354" s="262"/>
      <c r="K354" s="259"/>
      <c r="L354" s="259"/>
      <c r="M354" s="259"/>
      <c r="N354" s="259"/>
      <c r="O354" s="259"/>
      <c r="P354" s="259"/>
      <c r="Q354" s="259"/>
      <c r="R354" s="259"/>
      <c r="S354" s="259"/>
      <c r="T354" s="259"/>
      <c r="U354" s="259"/>
      <c r="V354" s="259"/>
      <c r="W354" s="259"/>
      <c r="X354" s="259"/>
      <c r="Y354" s="259"/>
      <c r="Z354" s="259"/>
    </row>
    <row r="355" customFormat="false" ht="12" hidden="false" customHeight="true" outlineLevel="0" collapsed="false">
      <c r="A355" s="259"/>
      <c r="B355" s="259"/>
      <c r="C355" s="259"/>
      <c r="D355" s="259"/>
      <c r="E355" s="259"/>
      <c r="F355" s="261"/>
      <c r="G355" s="259"/>
      <c r="H355" s="259"/>
      <c r="I355" s="259"/>
      <c r="J355" s="262"/>
      <c r="K355" s="259"/>
      <c r="L355" s="259"/>
      <c r="M355" s="259"/>
      <c r="N355" s="259"/>
      <c r="O355" s="259"/>
      <c r="P355" s="259"/>
      <c r="Q355" s="259"/>
      <c r="R355" s="259"/>
      <c r="S355" s="259"/>
      <c r="T355" s="259"/>
      <c r="U355" s="259"/>
      <c r="V355" s="259"/>
      <c r="W355" s="259"/>
      <c r="X355" s="259"/>
      <c r="Y355" s="259"/>
      <c r="Z355" s="259"/>
    </row>
    <row r="356" customFormat="false" ht="12" hidden="false" customHeight="true" outlineLevel="0" collapsed="false">
      <c r="A356" s="259"/>
      <c r="B356" s="259"/>
      <c r="C356" s="259"/>
      <c r="D356" s="259"/>
      <c r="E356" s="259"/>
      <c r="F356" s="261"/>
      <c r="G356" s="259"/>
      <c r="H356" s="259"/>
      <c r="I356" s="259"/>
      <c r="J356" s="262"/>
      <c r="K356" s="259"/>
      <c r="L356" s="259"/>
      <c r="M356" s="259"/>
      <c r="N356" s="259"/>
      <c r="O356" s="259"/>
      <c r="P356" s="259"/>
      <c r="Q356" s="259"/>
      <c r="R356" s="259"/>
      <c r="S356" s="259"/>
      <c r="T356" s="259"/>
      <c r="U356" s="259"/>
      <c r="V356" s="259"/>
      <c r="W356" s="259"/>
      <c r="X356" s="259"/>
      <c r="Y356" s="259"/>
      <c r="Z356" s="259"/>
    </row>
    <row r="357" customFormat="false" ht="12" hidden="false" customHeight="true" outlineLevel="0" collapsed="false">
      <c r="A357" s="259"/>
      <c r="B357" s="259"/>
      <c r="C357" s="259"/>
      <c r="D357" s="259"/>
      <c r="E357" s="259"/>
      <c r="F357" s="261"/>
      <c r="G357" s="259"/>
      <c r="H357" s="259"/>
      <c r="I357" s="259"/>
      <c r="J357" s="262"/>
      <c r="K357" s="259"/>
      <c r="L357" s="259"/>
      <c r="M357" s="259"/>
      <c r="N357" s="259"/>
      <c r="O357" s="259"/>
      <c r="P357" s="259"/>
      <c r="Q357" s="259"/>
      <c r="R357" s="259"/>
      <c r="S357" s="259"/>
      <c r="T357" s="259"/>
      <c r="U357" s="259"/>
      <c r="V357" s="259"/>
      <c r="W357" s="259"/>
      <c r="X357" s="259"/>
      <c r="Y357" s="259"/>
      <c r="Z357" s="259"/>
    </row>
    <row r="358" customFormat="false" ht="12" hidden="false" customHeight="true" outlineLevel="0" collapsed="false">
      <c r="A358" s="259"/>
      <c r="B358" s="259"/>
      <c r="C358" s="259"/>
      <c r="D358" s="259"/>
      <c r="E358" s="259"/>
      <c r="F358" s="261"/>
      <c r="G358" s="259"/>
      <c r="H358" s="259"/>
      <c r="I358" s="259"/>
      <c r="J358" s="262"/>
      <c r="K358" s="259"/>
      <c r="L358" s="259"/>
      <c r="M358" s="259"/>
      <c r="N358" s="259"/>
      <c r="O358" s="259"/>
      <c r="P358" s="259"/>
      <c r="Q358" s="259"/>
      <c r="R358" s="259"/>
      <c r="S358" s="259"/>
      <c r="T358" s="259"/>
      <c r="U358" s="259"/>
      <c r="V358" s="259"/>
      <c r="W358" s="259"/>
      <c r="X358" s="259"/>
      <c r="Y358" s="259"/>
      <c r="Z358" s="259"/>
    </row>
    <row r="359" customFormat="false" ht="12" hidden="false" customHeight="true" outlineLevel="0" collapsed="false">
      <c r="A359" s="259"/>
      <c r="B359" s="259"/>
      <c r="C359" s="259"/>
      <c r="D359" s="259"/>
      <c r="E359" s="259"/>
      <c r="F359" s="261"/>
      <c r="G359" s="259"/>
      <c r="H359" s="259"/>
      <c r="I359" s="259"/>
      <c r="J359" s="262"/>
      <c r="K359" s="259"/>
      <c r="L359" s="259"/>
      <c r="M359" s="259"/>
      <c r="N359" s="259"/>
      <c r="O359" s="259"/>
      <c r="P359" s="259"/>
      <c r="Q359" s="259"/>
      <c r="R359" s="259"/>
      <c r="S359" s="259"/>
      <c r="T359" s="259"/>
      <c r="U359" s="259"/>
      <c r="V359" s="259"/>
      <c r="W359" s="259"/>
      <c r="X359" s="259"/>
      <c r="Y359" s="259"/>
      <c r="Z359" s="259"/>
    </row>
    <row r="360" customFormat="false" ht="12" hidden="false" customHeight="true" outlineLevel="0" collapsed="false">
      <c r="A360" s="259"/>
      <c r="B360" s="259"/>
      <c r="C360" s="259"/>
      <c r="D360" s="259"/>
      <c r="E360" s="259"/>
      <c r="F360" s="261"/>
      <c r="G360" s="259"/>
      <c r="H360" s="259"/>
      <c r="I360" s="259"/>
      <c r="J360" s="262"/>
      <c r="K360" s="259"/>
      <c r="L360" s="259"/>
      <c r="M360" s="259"/>
      <c r="N360" s="259"/>
      <c r="O360" s="259"/>
      <c r="P360" s="259"/>
      <c r="Q360" s="259"/>
      <c r="R360" s="259"/>
      <c r="S360" s="259"/>
      <c r="T360" s="259"/>
      <c r="U360" s="259"/>
      <c r="V360" s="259"/>
      <c r="W360" s="259"/>
      <c r="X360" s="259"/>
      <c r="Y360" s="259"/>
      <c r="Z360" s="259"/>
    </row>
    <row r="361" customFormat="false" ht="12" hidden="false" customHeight="true" outlineLevel="0" collapsed="false">
      <c r="A361" s="259"/>
      <c r="B361" s="259"/>
      <c r="C361" s="259"/>
      <c r="D361" s="259"/>
      <c r="E361" s="259"/>
      <c r="F361" s="261"/>
      <c r="G361" s="259"/>
      <c r="H361" s="259"/>
      <c r="I361" s="259"/>
      <c r="J361" s="262"/>
      <c r="K361" s="259"/>
      <c r="L361" s="259"/>
      <c r="M361" s="259"/>
      <c r="N361" s="259"/>
      <c r="O361" s="259"/>
      <c r="P361" s="259"/>
      <c r="Q361" s="259"/>
      <c r="R361" s="259"/>
      <c r="S361" s="259"/>
      <c r="T361" s="259"/>
      <c r="U361" s="259"/>
      <c r="V361" s="259"/>
      <c r="W361" s="259"/>
      <c r="X361" s="259"/>
      <c r="Y361" s="259"/>
      <c r="Z361" s="259"/>
    </row>
    <row r="362" customFormat="false" ht="12" hidden="false" customHeight="true" outlineLevel="0" collapsed="false">
      <c r="A362" s="259"/>
      <c r="B362" s="259"/>
      <c r="C362" s="259"/>
      <c r="D362" s="259"/>
      <c r="E362" s="259"/>
      <c r="F362" s="261"/>
      <c r="G362" s="259"/>
      <c r="H362" s="259"/>
      <c r="I362" s="259"/>
      <c r="J362" s="262"/>
      <c r="K362" s="259"/>
      <c r="L362" s="259"/>
      <c r="M362" s="259"/>
      <c r="N362" s="259"/>
      <c r="O362" s="259"/>
      <c r="P362" s="259"/>
      <c r="Q362" s="259"/>
      <c r="R362" s="259"/>
      <c r="S362" s="259"/>
      <c r="T362" s="259"/>
      <c r="U362" s="259"/>
      <c r="V362" s="259"/>
      <c r="W362" s="259"/>
      <c r="X362" s="259"/>
      <c r="Y362" s="259"/>
      <c r="Z362" s="259"/>
    </row>
    <row r="363" customFormat="false" ht="12" hidden="false" customHeight="true" outlineLevel="0" collapsed="false">
      <c r="A363" s="259"/>
      <c r="B363" s="259"/>
      <c r="C363" s="259"/>
      <c r="D363" s="259"/>
      <c r="E363" s="259"/>
      <c r="F363" s="261"/>
      <c r="G363" s="259"/>
      <c r="H363" s="259"/>
      <c r="I363" s="259"/>
      <c r="J363" s="262"/>
      <c r="K363" s="259"/>
      <c r="L363" s="259"/>
      <c r="M363" s="259"/>
      <c r="N363" s="259"/>
      <c r="O363" s="259"/>
      <c r="P363" s="259"/>
      <c r="Q363" s="259"/>
      <c r="R363" s="259"/>
      <c r="S363" s="259"/>
      <c r="T363" s="259"/>
      <c r="U363" s="259"/>
      <c r="V363" s="259"/>
      <c r="W363" s="259"/>
      <c r="X363" s="259"/>
      <c r="Y363" s="259"/>
      <c r="Z363" s="259"/>
    </row>
    <row r="364" customFormat="false" ht="12" hidden="false" customHeight="true" outlineLevel="0" collapsed="false">
      <c r="A364" s="259"/>
      <c r="B364" s="259"/>
      <c r="C364" s="259"/>
      <c r="D364" s="259"/>
      <c r="E364" s="259"/>
      <c r="F364" s="261"/>
      <c r="G364" s="259"/>
      <c r="H364" s="259"/>
      <c r="I364" s="259"/>
      <c r="J364" s="262"/>
      <c r="K364" s="259"/>
      <c r="L364" s="259"/>
      <c r="M364" s="259"/>
      <c r="N364" s="259"/>
      <c r="O364" s="259"/>
      <c r="P364" s="259"/>
      <c r="Q364" s="259"/>
      <c r="R364" s="259"/>
      <c r="S364" s="259"/>
      <c r="T364" s="259"/>
      <c r="U364" s="259"/>
      <c r="V364" s="259"/>
      <c r="W364" s="259"/>
      <c r="X364" s="259"/>
      <c r="Y364" s="259"/>
      <c r="Z364" s="259"/>
    </row>
    <row r="365" customFormat="false" ht="12" hidden="false" customHeight="true" outlineLevel="0" collapsed="false">
      <c r="A365" s="259"/>
      <c r="B365" s="259"/>
      <c r="C365" s="259"/>
      <c r="D365" s="259"/>
      <c r="E365" s="259"/>
      <c r="F365" s="261"/>
      <c r="G365" s="259"/>
      <c r="H365" s="259"/>
      <c r="I365" s="259"/>
      <c r="J365" s="262"/>
      <c r="K365" s="259"/>
      <c r="L365" s="259"/>
      <c r="M365" s="259"/>
      <c r="N365" s="259"/>
      <c r="O365" s="259"/>
      <c r="P365" s="259"/>
      <c r="Q365" s="259"/>
      <c r="R365" s="259"/>
      <c r="S365" s="259"/>
      <c r="T365" s="259"/>
      <c r="U365" s="259"/>
      <c r="V365" s="259"/>
      <c r="W365" s="259"/>
      <c r="X365" s="259"/>
      <c r="Y365" s="259"/>
      <c r="Z365" s="259"/>
    </row>
    <row r="366" customFormat="false" ht="12" hidden="false" customHeight="true" outlineLevel="0" collapsed="false">
      <c r="A366" s="259"/>
      <c r="B366" s="259"/>
      <c r="C366" s="259"/>
      <c r="D366" s="259"/>
      <c r="E366" s="259"/>
      <c r="F366" s="261"/>
      <c r="G366" s="259"/>
      <c r="H366" s="259"/>
      <c r="I366" s="259"/>
      <c r="J366" s="262"/>
      <c r="K366" s="259"/>
      <c r="L366" s="259"/>
      <c r="M366" s="259"/>
      <c r="N366" s="259"/>
      <c r="O366" s="259"/>
      <c r="P366" s="259"/>
      <c r="Q366" s="259"/>
      <c r="R366" s="259"/>
      <c r="S366" s="259"/>
      <c r="T366" s="259"/>
      <c r="U366" s="259"/>
      <c r="V366" s="259"/>
      <c r="W366" s="259"/>
      <c r="X366" s="259"/>
      <c r="Y366" s="259"/>
      <c r="Z366" s="259"/>
    </row>
    <row r="367" customFormat="false" ht="12" hidden="false" customHeight="true" outlineLevel="0" collapsed="false">
      <c r="A367" s="259"/>
      <c r="B367" s="259"/>
      <c r="C367" s="259"/>
      <c r="D367" s="259"/>
      <c r="E367" s="259"/>
      <c r="F367" s="261"/>
      <c r="G367" s="259"/>
      <c r="H367" s="259"/>
      <c r="I367" s="259"/>
      <c r="J367" s="262"/>
      <c r="K367" s="259"/>
      <c r="L367" s="259"/>
      <c r="M367" s="259"/>
      <c r="N367" s="259"/>
      <c r="O367" s="259"/>
      <c r="P367" s="259"/>
      <c r="Q367" s="259"/>
      <c r="R367" s="259"/>
      <c r="S367" s="259"/>
      <c r="T367" s="259"/>
      <c r="U367" s="259"/>
      <c r="V367" s="259"/>
      <c r="W367" s="259"/>
      <c r="X367" s="259"/>
      <c r="Y367" s="259"/>
      <c r="Z367" s="259"/>
    </row>
    <row r="368" customFormat="false" ht="12" hidden="false" customHeight="true" outlineLevel="0" collapsed="false">
      <c r="A368" s="259"/>
      <c r="B368" s="259"/>
      <c r="C368" s="259"/>
      <c r="D368" s="259"/>
      <c r="E368" s="259"/>
      <c r="F368" s="261"/>
      <c r="G368" s="259"/>
      <c r="H368" s="259"/>
      <c r="I368" s="259"/>
      <c r="J368" s="262"/>
      <c r="K368" s="259"/>
      <c r="L368" s="259"/>
      <c r="M368" s="259"/>
      <c r="N368" s="259"/>
      <c r="O368" s="259"/>
      <c r="P368" s="259"/>
      <c r="Q368" s="259"/>
      <c r="R368" s="259"/>
      <c r="S368" s="259"/>
      <c r="T368" s="259"/>
      <c r="U368" s="259"/>
      <c r="V368" s="259"/>
      <c r="W368" s="259"/>
      <c r="X368" s="259"/>
      <c r="Y368" s="259"/>
      <c r="Z368" s="259"/>
    </row>
    <row r="369" customFormat="false" ht="12" hidden="false" customHeight="true" outlineLevel="0" collapsed="false">
      <c r="A369" s="259"/>
      <c r="B369" s="259"/>
      <c r="C369" s="259"/>
      <c r="D369" s="259"/>
      <c r="E369" s="259"/>
      <c r="F369" s="261"/>
      <c r="G369" s="259"/>
      <c r="H369" s="259"/>
      <c r="I369" s="259"/>
      <c r="J369" s="262"/>
      <c r="K369" s="259"/>
      <c r="L369" s="259"/>
      <c r="M369" s="259"/>
      <c r="N369" s="259"/>
      <c r="O369" s="259"/>
      <c r="P369" s="259"/>
      <c r="Q369" s="259"/>
      <c r="R369" s="259"/>
      <c r="S369" s="259"/>
      <c r="T369" s="259"/>
      <c r="U369" s="259"/>
      <c r="V369" s="259"/>
      <c r="W369" s="259"/>
      <c r="X369" s="259"/>
      <c r="Y369" s="259"/>
      <c r="Z369" s="259"/>
    </row>
    <row r="370" customFormat="false" ht="12" hidden="false" customHeight="true" outlineLevel="0" collapsed="false">
      <c r="A370" s="259"/>
      <c r="B370" s="259"/>
      <c r="C370" s="259"/>
      <c r="D370" s="259"/>
      <c r="E370" s="259"/>
      <c r="F370" s="261"/>
      <c r="G370" s="259"/>
      <c r="H370" s="259"/>
      <c r="I370" s="259"/>
      <c r="J370" s="262"/>
      <c r="K370" s="259"/>
      <c r="L370" s="259"/>
      <c r="M370" s="259"/>
      <c r="N370" s="259"/>
      <c r="O370" s="259"/>
      <c r="P370" s="259"/>
      <c r="Q370" s="259"/>
      <c r="R370" s="259"/>
      <c r="S370" s="259"/>
      <c r="T370" s="259"/>
      <c r="U370" s="259"/>
      <c r="V370" s="259"/>
      <c r="W370" s="259"/>
      <c r="X370" s="259"/>
      <c r="Y370" s="259"/>
      <c r="Z370" s="259"/>
    </row>
    <row r="371" customFormat="false" ht="12" hidden="false" customHeight="true" outlineLevel="0" collapsed="false">
      <c r="A371" s="259"/>
      <c r="B371" s="259"/>
      <c r="C371" s="259"/>
      <c r="D371" s="259"/>
      <c r="E371" s="259"/>
      <c r="F371" s="261"/>
      <c r="G371" s="259"/>
      <c r="H371" s="259"/>
      <c r="I371" s="259"/>
      <c r="J371" s="262"/>
      <c r="K371" s="259"/>
      <c r="L371" s="259"/>
      <c r="M371" s="259"/>
      <c r="N371" s="259"/>
      <c r="O371" s="259"/>
      <c r="P371" s="259"/>
      <c r="Q371" s="259"/>
      <c r="R371" s="259"/>
      <c r="S371" s="259"/>
      <c r="T371" s="259"/>
      <c r="U371" s="259"/>
      <c r="V371" s="259"/>
      <c r="W371" s="259"/>
      <c r="X371" s="259"/>
      <c r="Y371" s="259"/>
      <c r="Z371" s="259"/>
    </row>
    <row r="372" customFormat="false" ht="12" hidden="false" customHeight="true" outlineLevel="0" collapsed="false">
      <c r="A372" s="259"/>
      <c r="B372" s="259"/>
      <c r="C372" s="259"/>
      <c r="D372" s="259"/>
      <c r="E372" s="259"/>
      <c r="F372" s="261"/>
      <c r="G372" s="259"/>
      <c r="H372" s="259"/>
      <c r="I372" s="259"/>
      <c r="J372" s="262"/>
      <c r="K372" s="259"/>
      <c r="L372" s="259"/>
      <c r="M372" s="259"/>
      <c r="N372" s="259"/>
      <c r="O372" s="259"/>
      <c r="P372" s="259"/>
      <c r="Q372" s="259"/>
      <c r="R372" s="259"/>
      <c r="S372" s="259"/>
      <c r="T372" s="259"/>
      <c r="U372" s="259"/>
      <c r="V372" s="259"/>
      <c r="W372" s="259"/>
      <c r="X372" s="259"/>
      <c r="Y372" s="259"/>
      <c r="Z372" s="259"/>
    </row>
    <row r="373" customFormat="false" ht="12" hidden="false" customHeight="true" outlineLevel="0" collapsed="false">
      <c r="A373" s="259"/>
      <c r="B373" s="259"/>
      <c r="C373" s="259"/>
      <c r="D373" s="259"/>
      <c r="E373" s="259"/>
      <c r="F373" s="261"/>
      <c r="G373" s="259"/>
      <c r="H373" s="259"/>
      <c r="I373" s="259"/>
      <c r="J373" s="262"/>
      <c r="K373" s="259"/>
      <c r="L373" s="259"/>
      <c r="M373" s="259"/>
      <c r="N373" s="259"/>
      <c r="O373" s="259"/>
      <c r="P373" s="259"/>
      <c r="Q373" s="259"/>
      <c r="R373" s="259"/>
      <c r="S373" s="259"/>
      <c r="T373" s="259"/>
      <c r="U373" s="259"/>
      <c r="V373" s="259"/>
      <c r="W373" s="259"/>
      <c r="X373" s="259"/>
      <c r="Y373" s="259"/>
      <c r="Z373" s="259"/>
    </row>
    <row r="374" customFormat="false" ht="12" hidden="false" customHeight="true" outlineLevel="0" collapsed="false">
      <c r="A374" s="259"/>
      <c r="B374" s="259"/>
      <c r="C374" s="259"/>
      <c r="D374" s="259"/>
      <c r="E374" s="259"/>
      <c r="F374" s="261"/>
      <c r="G374" s="259"/>
      <c r="H374" s="259"/>
      <c r="I374" s="259"/>
      <c r="J374" s="262"/>
      <c r="K374" s="259"/>
      <c r="L374" s="259"/>
      <c r="M374" s="259"/>
      <c r="N374" s="259"/>
      <c r="O374" s="259"/>
      <c r="P374" s="259"/>
      <c r="Q374" s="259"/>
      <c r="R374" s="259"/>
      <c r="S374" s="259"/>
      <c r="T374" s="259"/>
      <c r="U374" s="259"/>
      <c r="V374" s="259"/>
      <c r="W374" s="259"/>
      <c r="X374" s="259"/>
      <c r="Y374" s="259"/>
      <c r="Z374" s="259"/>
    </row>
    <row r="375" customFormat="false" ht="12" hidden="false" customHeight="true" outlineLevel="0" collapsed="false">
      <c r="A375" s="259"/>
      <c r="B375" s="259"/>
      <c r="C375" s="259"/>
      <c r="D375" s="259"/>
      <c r="E375" s="259"/>
      <c r="F375" s="261"/>
      <c r="G375" s="259"/>
      <c r="H375" s="259"/>
      <c r="I375" s="259"/>
      <c r="J375" s="262"/>
      <c r="K375" s="259"/>
      <c r="L375" s="259"/>
      <c r="M375" s="259"/>
      <c r="N375" s="259"/>
      <c r="O375" s="259"/>
      <c r="P375" s="259"/>
      <c r="Q375" s="259"/>
      <c r="R375" s="259"/>
      <c r="S375" s="259"/>
      <c r="T375" s="259"/>
      <c r="U375" s="259"/>
      <c r="V375" s="259"/>
      <c r="W375" s="259"/>
      <c r="X375" s="259"/>
      <c r="Y375" s="259"/>
      <c r="Z375" s="259"/>
    </row>
    <row r="376" customFormat="false" ht="12" hidden="false" customHeight="true" outlineLevel="0" collapsed="false">
      <c r="A376" s="259"/>
      <c r="B376" s="259"/>
      <c r="C376" s="259"/>
      <c r="D376" s="259"/>
      <c r="E376" s="259"/>
      <c r="F376" s="261"/>
      <c r="G376" s="259"/>
      <c r="H376" s="259"/>
      <c r="I376" s="259"/>
      <c r="J376" s="262"/>
      <c r="K376" s="259"/>
      <c r="L376" s="259"/>
      <c r="M376" s="259"/>
      <c r="N376" s="259"/>
      <c r="O376" s="259"/>
      <c r="P376" s="259"/>
      <c r="Q376" s="259"/>
      <c r="R376" s="259"/>
      <c r="S376" s="259"/>
      <c r="T376" s="259"/>
      <c r="U376" s="259"/>
      <c r="V376" s="259"/>
      <c r="W376" s="259"/>
      <c r="X376" s="259"/>
      <c r="Y376" s="259"/>
      <c r="Z376" s="259"/>
    </row>
    <row r="377" customFormat="false" ht="12" hidden="false" customHeight="true" outlineLevel="0" collapsed="false">
      <c r="A377" s="259"/>
      <c r="B377" s="259"/>
      <c r="C377" s="259"/>
      <c r="D377" s="259"/>
      <c r="E377" s="259"/>
      <c r="F377" s="261"/>
      <c r="G377" s="259"/>
      <c r="H377" s="259"/>
      <c r="I377" s="259"/>
      <c r="J377" s="262"/>
      <c r="K377" s="259"/>
      <c r="L377" s="259"/>
      <c r="M377" s="259"/>
      <c r="N377" s="259"/>
      <c r="O377" s="259"/>
      <c r="P377" s="259"/>
      <c r="Q377" s="259"/>
      <c r="R377" s="259"/>
      <c r="S377" s="259"/>
      <c r="T377" s="259"/>
      <c r="U377" s="259"/>
      <c r="V377" s="259"/>
      <c r="W377" s="259"/>
      <c r="X377" s="259"/>
      <c r="Y377" s="259"/>
      <c r="Z377" s="259"/>
    </row>
    <row r="378" customFormat="false" ht="12" hidden="false" customHeight="true" outlineLevel="0" collapsed="false">
      <c r="A378" s="259"/>
      <c r="B378" s="259"/>
      <c r="C378" s="259"/>
      <c r="D378" s="259"/>
      <c r="E378" s="259"/>
      <c r="F378" s="261"/>
      <c r="G378" s="259"/>
      <c r="H378" s="259"/>
      <c r="I378" s="259"/>
      <c r="J378" s="262"/>
      <c r="K378" s="259"/>
      <c r="L378" s="259"/>
      <c r="M378" s="259"/>
      <c r="N378" s="259"/>
      <c r="O378" s="259"/>
      <c r="P378" s="259"/>
      <c r="Q378" s="259"/>
      <c r="R378" s="259"/>
      <c r="S378" s="259"/>
      <c r="T378" s="259"/>
      <c r="U378" s="259"/>
      <c r="V378" s="259"/>
      <c r="W378" s="259"/>
      <c r="X378" s="259"/>
      <c r="Y378" s="259"/>
      <c r="Z378" s="259"/>
    </row>
    <row r="379" customFormat="false" ht="12" hidden="false" customHeight="true" outlineLevel="0" collapsed="false">
      <c r="A379" s="259"/>
      <c r="B379" s="259"/>
      <c r="C379" s="259"/>
      <c r="D379" s="259"/>
      <c r="E379" s="259"/>
      <c r="F379" s="261"/>
      <c r="G379" s="259"/>
      <c r="H379" s="259"/>
      <c r="I379" s="259"/>
      <c r="J379" s="262"/>
      <c r="K379" s="259"/>
      <c r="L379" s="259"/>
      <c r="M379" s="259"/>
      <c r="N379" s="259"/>
      <c r="O379" s="259"/>
      <c r="P379" s="259"/>
      <c r="Q379" s="259"/>
      <c r="R379" s="259"/>
      <c r="S379" s="259"/>
      <c r="T379" s="259"/>
      <c r="U379" s="259"/>
      <c r="V379" s="259"/>
      <c r="W379" s="259"/>
      <c r="X379" s="259"/>
      <c r="Y379" s="259"/>
      <c r="Z379" s="259"/>
    </row>
    <row r="380" customFormat="false" ht="12" hidden="false" customHeight="true" outlineLevel="0" collapsed="false">
      <c r="A380" s="259"/>
      <c r="B380" s="259"/>
      <c r="C380" s="259"/>
      <c r="D380" s="259"/>
      <c r="E380" s="259"/>
      <c r="F380" s="261"/>
      <c r="G380" s="259"/>
      <c r="H380" s="259"/>
      <c r="I380" s="259"/>
      <c r="J380" s="262"/>
      <c r="K380" s="259"/>
      <c r="L380" s="259"/>
      <c r="M380" s="259"/>
      <c r="N380" s="259"/>
      <c r="O380" s="259"/>
      <c r="P380" s="259"/>
      <c r="Q380" s="259"/>
      <c r="R380" s="259"/>
      <c r="S380" s="259"/>
      <c r="T380" s="259"/>
      <c r="U380" s="259"/>
      <c r="V380" s="259"/>
      <c r="W380" s="259"/>
      <c r="X380" s="259"/>
      <c r="Y380" s="259"/>
      <c r="Z380" s="259"/>
    </row>
    <row r="381" customFormat="false" ht="12" hidden="false" customHeight="true" outlineLevel="0" collapsed="false">
      <c r="A381" s="259"/>
      <c r="B381" s="259"/>
      <c r="C381" s="259"/>
      <c r="D381" s="259"/>
      <c r="E381" s="259"/>
      <c r="F381" s="261"/>
      <c r="G381" s="259"/>
      <c r="H381" s="259"/>
      <c r="I381" s="259"/>
      <c r="J381" s="262"/>
      <c r="K381" s="259"/>
      <c r="L381" s="259"/>
      <c r="M381" s="259"/>
      <c r="N381" s="259"/>
      <c r="O381" s="259"/>
      <c r="P381" s="259"/>
      <c r="Q381" s="259"/>
      <c r="R381" s="259"/>
      <c r="S381" s="259"/>
      <c r="T381" s="259"/>
      <c r="U381" s="259"/>
      <c r="V381" s="259"/>
      <c r="W381" s="259"/>
      <c r="X381" s="259"/>
      <c r="Y381" s="259"/>
      <c r="Z381" s="259"/>
    </row>
    <row r="382" customFormat="false" ht="12" hidden="false" customHeight="true" outlineLevel="0" collapsed="false">
      <c r="A382" s="259"/>
      <c r="B382" s="259"/>
      <c r="C382" s="259"/>
      <c r="D382" s="259"/>
      <c r="E382" s="259"/>
      <c r="F382" s="261"/>
      <c r="G382" s="259"/>
      <c r="H382" s="259"/>
      <c r="I382" s="259"/>
      <c r="J382" s="262"/>
      <c r="K382" s="259"/>
      <c r="L382" s="259"/>
      <c r="M382" s="259"/>
      <c r="N382" s="259"/>
      <c r="O382" s="259"/>
      <c r="P382" s="259"/>
      <c r="Q382" s="259"/>
      <c r="R382" s="259"/>
      <c r="S382" s="259"/>
      <c r="T382" s="259"/>
      <c r="U382" s="259"/>
      <c r="V382" s="259"/>
      <c r="W382" s="259"/>
      <c r="X382" s="259"/>
      <c r="Y382" s="259"/>
      <c r="Z382" s="259"/>
    </row>
    <row r="383" customFormat="false" ht="12" hidden="false" customHeight="true" outlineLevel="0" collapsed="false">
      <c r="A383" s="259"/>
      <c r="B383" s="259"/>
      <c r="C383" s="259"/>
      <c r="D383" s="259"/>
      <c r="E383" s="259"/>
      <c r="F383" s="261"/>
      <c r="G383" s="259"/>
      <c r="H383" s="259"/>
      <c r="I383" s="259"/>
      <c r="J383" s="262"/>
      <c r="K383" s="259"/>
      <c r="L383" s="259"/>
      <c r="M383" s="259"/>
      <c r="N383" s="259"/>
      <c r="O383" s="259"/>
      <c r="P383" s="259"/>
      <c r="Q383" s="259"/>
      <c r="R383" s="259"/>
      <c r="S383" s="259"/>
      <c r="T383" s="259"/>
      <c r="U383" s="259"/>
      <c r="V383" s="259"/>
      <c r="W383" s="259"/>
      <c r="X383" s="259"/>
      <c r="Y383" s="259"/>
      <c r="Z383" s="259"/>
    </row>
    <row r="384" customFormat="false" ht="12" hidden="false" customHeight="true" outlineLevel="0" collapsed="false">
      <c r="A384" s="259"/>
      <c r="B384" s="259"/>
      <c r="C384" s="259"/>
      <c r="D384" s="259"/>
      <c r="E384" s="259"/>
      <c r="F384" s="261"/>
      <c r="G384" s="259"/>
      <c r="H384" s="259"/>
      <c r="I384" s="259"/>
      <c r="J384" s="262"/>
      <c r="K384" s="259"/>
      <c r="L384" s="259"/>
      <c r="M384" s="259"/>
      <c r="N384" s="259"/>
      <c r="O384" s="259"/>
      <c r="P384" s="259"/>
      <c r="Q384" s="259"/>
      <c r="R384" s="259"/>
      <c r="S384" s="259"/>
      <c r="T384" s="259"/>
      <c r="U384" s="259"/>
      <c r="V384" s="259"/>
      <c r="W384" s="259"/>
      <c r="X384" s="259"/>
      <c r="Y384" s="259"/>
      <c r="Z384" s="259"/>
    </row>
    <row r="385" customFormat="false" ht="12" hidden="false" customHeight="true" outlineLevel="0" collapsed="false">
      <c r="A385" s="259"/>
      <c r="B385" s="259"/>
      <c r="C385" s="259"/>
      <c r="D385" s="259"/>
      <c r="E385" s="259"/>
      <c r="F385" s="261"/>
      <c r="G385" s="259"/>
      <c r="H385" s="259"/>
      <c r="I385" s="259"/>
      <c r="J385" s="262"/>
      <c r="K385" s="259"/>
      <c r="L385" s="259"/>
      <c r="M385" s="259"/>
      <c r="N385" s="259"/>
      <c r="O385" s="259"/>
      <c r="P385" s="259"/>
      <c r="Q385" s="259"/>
      <c r="R385" s="259"/>
      <c r="S385" s="259"/>
      <c r="T385" s="259"/>
      <c r="U385" s="259"/>
      <c r="V385" s="259"/>
      <c r="W385" s="259"/>
      <c r="X385" s="259"/>
      <c r="Y385" s="259"/>
      <c r="Z385" s="259"/>
    </row>
    <row r="386" customFormat="false" ht="12" hidden="false" customHeight="true" outlineLevel="0" collapsed="false">
      <c r="A386" s="259"/>
      <c r="B386" s="259"/>
      <c r="C386" s="259"/>
      <c r="D386" s="259"/>
      <c r="E386" s="259"/>
      <c r="F386" s="261"/>
      <c r="G386" s="259"/>
      <c r="H386" s="259"/>
      <c r="I386" s="259"/>
      <c r="J386" s="262"/>
      <c r="K386" s="259"/>
      <c r="L386" s="259"/>
      <c r="M386" s="259"/>
      <c r="N386" s="259"/>
      <c r="O386" s="259"/>
      <c r="P386" s="259"/>
      <c r="Q386" s="259"/>
      <c r="R386" s="259"/>
      <c r="S386" s="259"/>
      <c r="T386" s="259"/>
      <c r="U386" s="259"/>
      <c r="V386" s="259"/>
      <c r="W386" s="259"/>
      <c r="X386" s="259"/>
      <c r="Y386" s="259"/>
      <c r="Z386" s="259"/>
    </row>
    <row r="387" customFormat="false" ht="12" hidden="false" customHeight="true" outlineLevel="0" collapsed="false">
      <c r="A387" s="259"/>
      <c r="B387" s="259"/>
      <c r="C387" s="259"/>
      <c r="D387" s="259"/>
      <c r="E387" s="259"/>
      <c r="F387" s="261"/>
      <c r="G387" s="259"/>
      <c r="H387" s="259"/>
      <c r="I387" s="259"/>
      <c r="J387" s="262"/>
      <c r="K387" s="259"/>
      <c r="L387" s="259"/>
      <c r="M387" s="259"/>
      <c r="N387" s="259"/>
      <c r="O387" s="259"/>
      <c r="P387" s="259"/>
      <c r="Q387" s="259"/>
      <c r="R387" s="259"/>
      <c r="S387" s="259"/>
      <c r="T387" s="259"/>
      <c r="U387" s="259"/>
      <c r="V387" s="259"/>
      <c r="W387" s="259"/>
      <c r="X387" s="259"/>
      <c r="Y387" s="259"/>
      <c r="Z387" s="259"/>
    </row>
    <row r="388" customFormat="false" ht="12" hidden="false" customHeight="true" outlineLevel="0" collapsed="false">
      <c r="A388" s="259"/>
      <c r="B388" s="259"/>
      <c r="C388" s="259"/>
      <c r="D388" s="259"/>
      <c r="E388" s="259"/>
      <c r="F388" s="261"/>
      <c r="G388" s="259"/>
      <c r="H388" s="259"/>
      <c r="I388" s="259"/>
      <c r="J388" s="262"/>
      <c r="K388" s="259"/>
      <c r="L388" s="259"/>
      <c r="M388" s="259"/>
      <c r="N388" s="259"/>
      <c r="O388" s="259"/>
      <c r="P388" s="259"/>
      <c r="Q388" s="259"/>
      <c r="R388" s="259"/>
      <c r="S388" s="259"/>
      <c r="T388" s="259"/>
      <c r="U388" s="259"/>
      <c r="V388" s="259"/>
      <c r="W388" s="259"/>
      <c r="X388" s="259"/>
      <c r="Y388" s="259"/>
      <c r="Z388" s="259"/>
    </row>
    <row r="389" customFormat="false" ht="12" hidden="false" customHeight="true" outlineLevel="0" collapsed="false">
      <c r="A389" s="259"/>
      <c r="B389" s="259"/>
      <c r="C389" s="259"/>
      <c r="D389" s="259"/>
      <c r="E389" s="259"/>
      <c r="F389" s="261"/>
      <c r="G389" s="259"/>
      <c r="H389" s="259"/>
      <c r="I389" s="259"/>
      <c r="J389" s="262"/>
      <c r="K389" s="259"/>
      <c r="L389" s="259"/>
      <c r="M389" s="259"/>
      <c r="N389" s="259"/>
      <c r="O389" s="259"/>
      <c r="P389" s="259"/>
      <c r="Q389" s="259"/>
      <c r="R389" s="259"/>
      <c r="S389" s="259"/>
      <c r="T389" s="259"/>
      <c r="U389" s="259"/>
      <c r="V389" s="259"/>
      <c r="W389" s="259"/>
      <c r="X389" s="259"/>
      <c r="Y389" s="259"/>
      <c r="Z389" s="259"/>
    </row>
    <row r="390" customFormat="false" ht="12" hidden="false" customHeight="true" outlineLevel="0" collapsed="false">
      <c r="A390" s="259"/>
      <c r="B390" s="259"/>
      <c r="C390" s="259"/>
      <c r="D390" s="259"/>
      <c r="E390" s="259"/>
      <c r="F390" s="261"/>
      <c r="G390" s="259"/>
      <c r="H390" s="259"/>
      <c r="I390" s="259"/>
      <c r="J390" s="262"/>
      <c r="K390" s="259"/>
      <c r="L390" s="259"/>
      <c r="M390" s="259"/>
      <c r="N390" s="259"/>
      <c r="O390" s="259"/>
      <c r="P390" s="259"/>
      <c r="Q390" s="259"/>
      <c r="R390" s="259"/>
      <c r="S390" s="259"/>
      <c r="T390" s="259"/>
      <c r="U390" s="259"/>
      <c r="V390" s="259"/>
      <c r="W390" s="259"/>
      <c r="X390" s="259"/>
      <c r="Y390" s="259"/>
      <c r="Z390" s="259"/>
    </row>
    <row r="391" customFormat="false" ht="12" hidden="false" customHeight="true" outlineLevel="0" collapsed="false">
      <c r="A391" s="259"/>
      <c r="B391" s="259"/>
      <c r="C391" s="259"/>
      <c r="D391" s="259"/>
      <c r="E391" s="259"/>
      <c r="F391" s="261"/>
      <c r="G391" s="259"/>
      <c r="H391" s="259"/>
      <c r="I391" s="259"/>
      <c r="J391" s="262"/>
      <c r="K391" s="259"/>
      <c r="L391" s="259"/>
      <c r="M391" s="259"/>
      <c r="N391" s="259"/>
      <c r="O391" s="259"/>
      <c r="P391" s="259"/>
      <c r="Q391" s="259"/>
      <c r="R391" s="259"/>
      <c r="S391" s="259"/>
      <c r="T391" s="259"/>
      <c r="U391" s="259"/>
      <c r="V391" s="259"/>
      <c r="W391" s="259"/>
      <c r="X391" s="259"/>
      <c r="Y391" s="259"/>
      <c r="Z391" s="259"/>
    </row>
    <row r="392" customFormat="false" ht="12" hidden="false" customHeight="true" outlineLevel="0" collapsed="false">
      <c r="A392" s="259"/>
      <c r="B392" s="259"/>
      <c r="C392" s="259"/>
      <c r="D392" s="259"/>
      <c r="E392" s="259"/>
      <c r="F392" s="261"/>
      <c r="G392" s="259"/>
      <c r="H392" s="259"/>
      <c r="I392" s="259"/>
      <c r="J392" s="262"/>
      <c r="K392" s="259"/>
      <c r="L392" s="259"/>
      <c r="M392" s="259"/>
      <c r="N392" s="259"/>
      <c r="O392" s="259"/>
      <c r="P392" s="259"/>
      <c r="Q392" s="259"/>
      <c r="R392" s="259"/>
      <c r="S392" s="259"/>
      <c r="T392" s="259"/>
      <c r="U392" s="259"/>
      <c r="V392" s="259"/>
      <c r="W392" s="259"/>
      <c r="X392" s="259"/>
      <c r="Y392" s="259"/>
      <c r="Z392" s="259"/>
    </row>
    <row r="393" customFormat="false" ht="12" hidden="false" customHeight="true" outlineLevel="0" collapsed="false">
      <c r="A393" s="259"/>
      <c r="B393" s="259"/>
      <c r="C393" s="259"/>
      <c r="D393" s="259"/>
      <c r="E393" s="259"/>
      <c r="F393" s="261"/>
      <c r="G393" s="259"/>
      <c r="H393" s="259"/>
      <c r="I393" s="259"/>
      <c r="J393" s="262"/>
      <c r="K393" s="259"/>
      <c r="L393" s="259"/>
      <c r="M393" s="259"/>
      <c r="N393" s="259"/>
      <c r="O393" s="259"/>
      <c r="P393" s="259"/>
      <c r="Q393" s="259"/>
      <c r="R393" s="259"/>
      <c r="S393" s="259"/>
      <c r="T393" s="259"/>
      <c r="U393" s="259"/>
      <c r="V393" s="259"/>
      <c r="W393" s="259"/>
      <c r="X393" s="259"/>
      <c r="Y393" s="259"/>
      <c r="Z393" s="259"/>
    </row>
    <row r="394" customFormat="false" ht="12" hidden="false" customHeight="true" outlineLevel="0" collapsed="false">
      <c r="A394" s="259"/>
      <c r="B394" s="259"/>
      <c r="C394" s="259"/>
      <c r="D394" s="259"/>
      <c r="E394" s="259"/>
      <c r="F394" s="261"/>
      <c r="G394" s="259"/>
      <c r="H394" s="259"/>
      <c r="I394" s="259"/>
      <c r="J394" s="262"/>
      <c r="K394" s="259"/>
      <c r="L394" s="259"/>
      <c r="M394" s="259"/>
      <c r="N394" s="259"/>
      <c r="O394" s="259"/>
      <c r="P394" s="259"/>
      <c r="Q394" s="259"/>
      <c r="R394" s="259"/>
      <c r="S394" s="259"/>
      <c r="T394" s="259"/>
      <c r="U394" s="259"/>
      <c r="V394" s="259"/>
      <c r="W394" s="259"/>
      <c r="X394" s="259"/>
      <c r="Y394" s="259"/>
      <c r="Z394" s="259"/>
    </row>
    <row r="395" customFormat="false" ht="12" hidden="false" customHeight="true" outlineLevel="0" collapsed="false">
      <c r="A395" s="259"/>
      <c r="B395" s="259"/>
      <c r="C395" s="259"/>
      <c r="D395" s="259"/>
      <c r="E395" s="259"/>
      <c r="F395" s="261"/>
      <c r="G395" s="259"/>
      <c r="H395" s="259"/>
      <c r="I395" s="259"/>
      <c r="J395" s="262"/>
      <c r="K395" s="259"/>
      <c r="L395" s="259"/>
      <c r="M395" s="259"/>
      <c r="N395" s="259"/>
      <c r="O395" s="259"/>
      <c r="P395" s="259"/>
      <c r="Q395" s="259"/>
      <c r="R395" s="259"/>
      <c r="S395" s="259"/>
      <c r="T395" s="259"/>
      <c r="U395" s="259"/>
      <c r="V395" s="259"/>
      <c r="W395" s="259"/>
      <c r="X395" s="259"/>
      <c r="Y395" s="259"/>
      <c r="Z395" s="259"/>
    </row>
    <row r="396" customFormat="false" ht="12" hidden="false" customHeight="true" outlineLevel="0" collapsed="false">
      <c r="A396" s="259"/>
      <c r="B396" s="259"/>
      <c r="C396" s="259"/>
      <c r="D396" s="259"/>
      <c r="E396" s="259"/>
      <c r="F396" s="261"/>
      <c r="G396" s="259"/>
      <c r="H396" s="259"/>
      <c r="I396" s="259"/>
      <c r="J396" s="262"/>
      <c r="K396" s="259"/>
      <c r="L396" s="259"/>
      <c r="M396" s="259"/>
      <c r="N396" s="259"/>
      <c r="O396" s="259"/>
      <c r="P396" s="259"/>
      <c r="Q396" s="259"/>
      <c r="R396" s="259"/>
      <c r="S396" s="259"/>
      <c r="T396" s="259"/>
      <c r="U396" s="259"/>
      <c r="V396" s="259"/>
      <c r="W396" s="259"/>
      <c r="X396" s="259"/>
      <c r="Y396" s="259"/>
      <c r="Z396" s="259"/>
    </row>
    <row r="397" customFormat="false" ht="12" hidden="false" customHeight="true" outlineLevel="0" collapsed="false">
      <c r="A397" s="259"/>
      <c r="B397" s="259"/>
      <c r="C397" s="259"/>
      <c r="D397" s="259"/>
      <c r="E397" s="259"/>
      <c r="F397" s="261"/>
      <c r="G397" s="259"/>
      <c r="H397" s="259"/>
      <c r="I397" s="259"/>
      <c r="J397" s="262"/>
      <c r="K397" s="259"/>
      <c r="L397" s="259"/>
      <c r="M397" s="259"/>
      <c r="N397" s="259"/>
      <c r="O397" s="259"/>
      <c r="P397" s="259"/>
      <c r="Q397" s="259"/>
      <c r="R397" s="259"/>
      <c r="S397" s="259"/>
      <c r="T397" s="259"/>
      <c r="U397" s="259"/>
      <c r="V397" s="259"/>
      <c r="W397" s="259"/>
      <c r="X397" s="259"/>
      <c r="Y397" s="259"/>
      <c r="Z397" s="259"/>
    </row>
    <row r="398" customFormat="false" ht="12" hidden="false" customHeight="true" outlineLevel="0" collapsed="false">
      <c r="A398" s="259"/>
      <c r="B398" s="259"/>
      <c r="C398" s="259"/>
      <c r="D398" s="259"/>
      <c r="E398" s="259"/>
      <c r="F398" s="261"/>
      <c r="G398" s="259"/>
      <c r="H398" s="259"/>
      <c r="I398" s="259"/>
      <c r="J398" s="262"/>
      <c r="K398" s="259"/>
      <c r="L398" s="259"/>
      <c r="M398" s="259"/>
      <c r="N398" s="259"/>
      <c r="O398" s="259"/>
      <c r="P398" s="259"/>
      <c r="Q398" s="259"/>
      <c r="R398" s="259"/>
      <c r="S398" s="259"/>
      <c r="T398" s="259"/>
      <c r="U398" s="259"/>
      <c r="V398" s="259"/>
      <c r="W398" s="259"/>
      <c r="X398" s="259"/>
      <c r="Y398" s="259"/>
      <c r="Z398" s="259"/>
    </row>
    <row r="399" customFormat="false" ht="12" hidden="false" customHeight="true" outlineLevel="0" collapsed="false">
      <c r="A399" s="259"/>
      <c r="B399" s="259"/>
      <c r="C399" s="259"/>
      <c r="D399" s="259"/>
      <c r="E399" s="259"/>
      <c r="F399" s="261"/>
      <c r="G399" s="259"/>
      <c r="H399" s="259"/>
      <c r="I399" s="259"/>
      <c r="J399" s="262"/>
      <c r="K399" s="259"/>
      <c r="L399" s="259"/>
      <c r="M399" s="259"/>
      <c r="N399" s="259"/>
      <c r="O399" s="259"/>
      <c r="P399" s="259"/>
      <c r="Q399" s="259"/>
      <c r="R399" s="259"/>
      <c r="S399" s="259"/>
      <c r="T399" s="259"/>
      <c r="U399" s="259"/>
      <c r="V399" s="259"/>
      <c r="W399" s="259"/>
      <c r="X399" s="259"/>
      <c r="Y399" s="259"/>
      <c r="Z399" s="259"/>
    </row>
    <row r="400" customFormat="false" ht="12" hidden="false" customHeight="true" outlineLevel="0" collapsed="false">
      <c r="A400" s="259"/>
      <c r="B400" s="259"/>
      <c r="C400" s="259"/>
      <c r="D400" s="259"/>
      <c r="E400" s="259"/>
      <c r="F400" s="261"/>
      <c r="G400" s="259"/>
      <c r="H400" s="259"/>
      <c r="I400" s="259"/>
      <c r="J400" s="262"/>
      <c r="K400" s="259"/>
      <c r="L400" s="259"/>
      <c r="M400" s="259"/>
      <c r="N400" s="259"/>
      <c r="O400" s="259"/>
      <c r="P400" s="259"/>
      <c r="Q400" s="259"/>
      <c r="R400" s="259"/>
      <c r="S400" s="259"/>
      <c r="T400" s="259"/>
      <c r="U400" s="259"/>
      <c r="V400" s="259"/>
      <c r="W400" s="259"/>
      <c r="X400" s="259"/>
      <c r="Y400" s="259"/>
      <c r="Z400" s="259"/>
    </row>
    <row r="401" customFormat="false" ht="12" hidden="false" customHeight="true" outlineLevel="0" collapsed="false">
      <c r="A401" s="259"/>
      <c r="B401" s="259"/>
      <c r="C401" s="259"/>
      <c r="D401" s="259"/>
      <c r="E401" s="259"/>
      <c r="F401" s="261"/>
      <c r="G401" s="259"/>
      <c r="H401" s="259"/>
      <c r="I401" s="259"/>
      <c r="J401" s="262"/>
      <c r="K401" s="259"/>
      <c r="L401" s="259"/>
      <c r="M401" s="259"/>
      <c r="N401" s="259"/>
      <c r="O401" s="259"/>
      <c r="P401" s="259"/>
      <c r="Q401" s="259"/>
      <c r="R401" s="259"/>
      <c r="S401" s="259"/>
      <c r="T401" s="259"/>
      <c r="U401" s="259"/>
      <c r="V401" s="259"/>
      <c r="W401" s="259"/>
      <c r="X401" s="259"/>
      <c r="Y401" s="259"/>
      <c r="Z401" s="259"/>
    </row>
    <row r="402" customFormat="false" ht="12" hidden="false" customHeight="true" outlineLevel="0" collapsed="false">
      <c r="A402" s="259"/>
      <c r="B402" s="259"/>
      <c r="C402" s="259"/>
      <c r="D402" s="259"/>
      <c r="E402" s="259"/>
      <c r="F402" s="261"/>
      <c r="G402" s="259"/>
      <c r="H402" s="259"/>
      <c r="I402" s="259"/>
      <c r="J402" s="262"/>
      <c r="K402" s="259"/>
      <c r="L402" s="259"/>
      <c r="M402" s="259"/>
      <c r="N402" s="259"/>
      <c r="O402" s="259"/>
      <c r="P402" s="259"/>
      <c r="Q402" s="259"/>
      <c r="R402" s="259"/>
      <c r="S402" s="259"/>
      <c r="T402" s="259"/>
      <c r="U402" s="259"/>
      <c r="V402" s="259"/>
      <c r="W402" s="259"/>
      <c r="X402" s="259"/>
      <c r="Y402" s="259"/>
      <c r="Z402" s="259"/>
    </row>
    <row r="403" customFormat="false" ht="12" hidden="false" customHeight="true" outlineLevel="0" collapsed="false">
      <c r="A403" s="259"/>
      <c r="B403" s="259"/>
      <c r="C403" s="259"/>
      <c r="D403" s="259"/>
      <c r="E403" s="259"/>
      <c r="F403" s="261"/>
      <c r="G403" s="259"/>
      <c r="H403" s="259"/>
      <c r="I403" s="259"/>
      <c r="J403" s="262"/>
      <c r="K403" s="259"/>
      <c r="L403" s="259"/>
      <c r="M403" s="259"/>
      <c r="N403" s="259"/>
      <c r="O403" s="259"/>
      <c r="P403" s="259"/>
      <c r="Q403" s="259"/>
      <c r="R403" s="259"/>
      <c r="S403" s="259"/>
      <c r="T403" s="259"/>
      <c r="U403" s="259"/>
      <c r="V403" s="259"/>
      <c r="W403" s="259"/>
      <c r="X403" s="259"/>
      <c r="Y403" s="259"/>
      <c r="Z403" s="259"/>
    </row>
    <row r="404" customFormat="false" ht="12" hidden="false" customHeight="true" outlineLevel="0" collapsed="false">
      <c r="A404" s="259"/>
      <c r="B404" s="259"/>
      <c r="C404" s="259"/>
      <c r="D404" s="259"/>
      <c r="E404" s="259"/>
      <c r="F404" s="261"/>
      <c r="G404" s="259"/>
      <c r="H404" s="259"/>
      <c r="I404" s="259"/>
      <c r="J404" s="262"/>
      <c r="K404" s="259"/>
      <c r="L404" s="259"/>
      <c r="M404" s="259"/>
      <c r="N404" s="259"/>
      <c r="O404" s="259"/>
      <c r="P404" s="259"/>
      <c r="Q404" s="259"/>
      <c r="R404" s="259"/>
      <c r="S404" s="259"/>
      <c r="T404" s="259"/>
      <c r="U404" s="259"/>
      <c r="V404" s="259"/>
      <c r="W404" s="259"/>
      <c r="X404" s="259"/>
      <c r="Y404" s="259"/>
      <c r="Z404" s="259"/>
    </row>
    <row r="405" customFormat="false" ht="12" hidden="false" customHeight="true" outlineLevel="0" collapsed="false">
      <c r="A405" s="259"/>
      <c r="B405" s="259"/>
      <c r="C405" s="259"/>
      <c r="D405" s="259"/>
      <c r="E405" s="259"/>
      <c r="F405" s="261"/>
      <c r="G405" s="259"/>
      <c r="H405" s="259"/>
      <c r="I405" s="259"/>
      <c r="J405" s="262"/>
      <c r="K405" s="259"/>
      <c r="L405" s="259"/>
      <c r="M405" s="259"/>
      <c r="N405" s="259"/>
      <c r="O405" s="259"/>
      <c r="P405" s="259"/>
      <c r="Q405" s="259"/>
      <c r="R405" s="259"/>
      <c r="S405" s="259"/>
      <c r="T405" s="259"/>
      <c r="U405" s="259"/>
      <c r="V405" s="259"/>
      <c r="W405" s="259"/>
      <c r="X405" s="259"/>
      <c r="Y405" s="259"/>
      <c r="Z405" s="259"/>
    </row>
    <row r="406" customFormat="false" ht="12" hidden="false" customHeight="true" outlineLevel="0" collapsed="false">
      <c r="A406" s="259"/>
      <c r="B406" s="259"/>
      <c r="C406" s="259"/>
      <c r="D406" s="259"/>
      <c r="E406" s="259"/>
      <c r="F406" s="261"/>
      <c r="G406" s="259"/>
      <c r="H406" s="259"/>
      <c r="I406" s="259"/>
      <c r="J406" s="262"/>
      <c r="K406" s="259"/>
      <c r="L406" s="259"/>
      <c r="M406" s="259"/>
      <c r="N406" s="259"/>
      <c r="O406" s="259"/>
      <c r="P406" s="259"/>
      <c r="Q406" s="259"/>
      <c r="R406" s="259"/>
      <c r="S406" s="259"/>
      <c r="T406" s="259"/>
      <c r="U406" s="259"/>
      <c r="V406" s="259"/>
      <c r="W406" s="259"/>
      <c r="X406" s="259"/>
      <c r="Y406" s="259"/>
      <c r="Z406" s="259"/>
    </row>
    <row r="407" customFormat="false" ht="12" hidden="false" customHeight="true" outlineLevel="0" collapsed="false">
      <c r="A407" s="259"/>
      <c r="B407" s="259"/>
      <c r="C407" s="259"/>
      <c r="D407" s="259"/>
      <c r="E407" s="259"/>
      <c r="F407" s="261"/>
      <c r="G407" s="259"/>
      <c r="H407" s="259"/>
      <c r="I407" s="259"/>
      <c r="J407" s="262"/>
      <c r="K407" s="259"/>
      <c r="L407" s="259"/>
      <c r="M407" s="259"/>
      <c r="N407" s="259"/>
      <c r="O407" s="259"/>
      <c r="P407" s="259"/>
      <c r="Q407" s="259"/>
      <c r="R407" s="259"/>
      <c r="S407" s="259"/>
      <c r="T407" s="259"/>
      <c r="U407" s="259"/>
      <c r="V407" s="259"/>
      <c r="W407" s="259"/>
      <c r="X407" s="259"/>
      <c r="Y407" s="259"/>
      <c r="Z407" s="259"/>
    </row>
    <row r="408" customFormat="false" ht="12" hidden="false" customHeight="true" outlineLevel="0" collapsed="false">
      <c r="A408" s="259"/>
      <c r="B408" s="259"/>
      <c r="C408" s="259"/>
      <c r="D408" s="259"/>
      <c r="E408" s="259"/>
      <c r="F408" s="261"/>
      <c r="G408" s="259"/>
      <c r="H408" s="259"/>
      <c r="I408" s="259"/>
      <c r="J408" s="262"/>
      <c r="K408" s="259"/>
      <c r="L408" s="259"/>
      <c r="M408" s="259"/>
      <c r="N408" s="259"/>
      <c r="O408" s="259"/>
      <c r="P408" s="259"/>
      <c r="Q408" s="259"/>
      <c r="R408" s="259"/>
      <c r="S408" s="259"/>
      <c r="T408" s="259"/>
      <c r="U408" s="259"/>
      <c r="V408" s="259"/>
      <c r="W408" s="259"/>
      <c r="X408" s="259"/>
      <c r="Y408" s="259"/>
      <c r="Z408" s="259"/>
    </row>
    <row r="409" customFormat="false" ht="12" hidden="false" customHeight="true" outlineLevel="0" collapsed="false">
      <c r="A409" s="259"/>
      <c r="B409" s="259"/>
      <c r="C409" s="259"/>
      <c r="D409" s="259"/>
      <c r="E409" s="259"/>
      <c r="F409" s="261"/>
      <c r="G409" s="259"/>
      <c r="H409" s="259"/>
      <c r="I409" s="259"/>
      <c r="J409" s="262"/>
      <c r="K409" s="259"/>
      <c r="L409" s="259"/>
      <c r="M409" s="259"/>
      <c r="N409" s="259"/>
      <c r="O409" s="259"/>
      <c r="P409" s="259"/>
      <c r="Q409" s="259"/>
      <c r="R409" s="259"/>
      <c r="S409" s="259"/>
      <c r="T409" s="259"/>
      <c r="U409" s="259"/>
      <c r="V409" s="259"/>
      <c r="W409" s="259"/>
      <c r="X409" s="259"/>
      <c r="Y409" s="259"/>
      <c r="Z409" s="259"/>
    </row>
    <row r="410" customFormat="false" ht="12" hidden="false" customHeight="true" outlineLevel="0" collapsed="false">
      <c r="A410" s="259"/>
      <c r="B410" s="259"/>
      <c r="C410" s="259"/>
      <c r="D410" s="259"/>
      <c r="E410" s="259"/>
      <c r="F410" s="261"/>
      <c r="G410" s="259"/>
      <c r="H410" s="259"/>
      <c r="I410" s="259"/>
      <c r="J410" s="262"/>
      <c r="K410" s="259"/>
      <c r="L410" s="259"/>
      <c r="M410" s="259"/>
      <c r="N410" s="259"/>
      <c r="O410" s="259"/>
      <c r="P410" s="259"/>
      <c r="Q410" s="259"/>
      <c r="R410" s="259"/>
      <c r="S410" s="259"/>
      <c r="T410" s="259"/>
      <c r="U410" s="259"/>
      <c r="V410" s="259"/>
      <c r="W410" s="259"/>
      <c r="X410" s="259"/>
      <c r="Y410" s="259"/>
      <c r="Z410" s="259"/>
    </row>
    <row r="411" customFormat="false" ht="12" hidden="false" customHeight="true" outlineLevel="0" collapsed="false">
      <c r="A411" s="259"/>
      <c r="B411" s="259"/>
      <c r="C411" s="259"/>
      <c r="D411" s="259"/>
      <c r="E411" s="259"/>
      <c r="F411" s="261"/>
      <c r="G411" s="259"/>
      <c r="H411" s="259"/>
      <c r="I411" s="259"/>
      <c r="J411" s="262"/>
      <c r="K411" s="259"/>
      <c r="L411" s="259"/>
      <c r="M411" s="259"/>
      <c r="N411" s="259"/>
      <c r="O411" s="259"/>
      <c r="P411" s="259"/>
      <c r="Q411" s="259"/>
      <c r="R411" s="259"/>
      <c r="S411" s="259"/>
      <c r="T411" s="259"/>
      <c r="U411" s="259"/>
      <c r="V411" s="259"/>
      <c r="W411" s="259"/>
      <c r="X411" s="259"/>
      <c r="Y411" s="259"/>
      <c r="Z411" s="259"/>
    </row>
    <row r="412" customFormat="false" ht="12" hidden="false" customHeight="true" outlineLevel="0" collapsed="false">
      <c r="A412" s="259"/>
      <c r="B412" s="259"/>
      <c r="C412" s="259"/>
      <c r="D412" s="259"/>
      <c r="E412" s="259"/>
      <c r="F412" s="261"/>
      <c r="G412" s="259"/>
      <c r="H412" s="259"/>
      <c r="I412" s="259"/>
      <c r="J412" s="262"/>
      <c r="K412" s="259"/>
      <c r="L412" s="259"/>
      <c r="M412" s="259"/>
      <c r="N412" s="259"/>
      <c r="O412" s="259"/>
      <c r="P412" s="259"/>
      <c r="Q412" s="259"/>
      <c r="R412" s="259"/>
      <c r="S412" s="259"/>
      <c r="T412" s="259"/>
      <c r="U412" s="259"/>
      <c r="V412" s="259"/>
      <c r="W412" s="259"/>
      <c r="X412" s="259"/>
      <c r="Y412" s="259"/>
      <c r="Z412" s="259"/>
    </row>
    <row r="413" customFormat="false" ht="12" hidden="false" customHeight="true" outlineLevel="0" collapsed="false">
      <c r="A413" s="259"/>
      <c r="B413" s="259"/>
      <c r="C413" s="259"/>
      <c r="D413" s="259"/>
      <c r="E413" s="259"/>
      <c r="F413" s="261"/>
      <c r="G413" s="259"/>
      <c r="H413" s="259"/>
      <c r="I413" s="259"/>
      <c r="J413" s="262"/>
      <c r="K413" s="259"/>
      <c r="L413" s="259"/>
      <c r="M413" s="259"/>
      <c r="N413" s="259"/>
      <c r="O413" s="259"/>
      <c r="P413" s="259"/>
      <c r="Q413" s="259"/>
      <c r="R413" s="259"/>
      <c r="S413" s="259"/>
      <c r="T413" s="259"/>
      <c r="U413" s="259"/>
      <c r="V413" s="259"/>
      <c r="W413" s="259"/>
      <c r="X413" s="259"/>
      <c r="Y413" s="259"/>
      <c r="Z413" s="259"/>
    </row>
    <row r="414" customFormat="false" ht="12" hidden="false" customHeight="true" outlineLevel="0" collapsed="false">
      <c r="A414" s="259"/>
      <c r="B414" s="259"/>
      <c r="C414" s="259"/>
      <c r="D414" s="259"/>
      <c r="E414" s="259"/>
      <c r="F414" s="261"/>
      <c r="G414" s="259"/>
      <c r="H414" s="259"/>
      <c r="I414" s="259"/>
      <c r="J414" s="262"/>
      <c r="K414" s="259"/>
      <c r="L414" s="259"/>
      <c r="M414" s="259"/>
      <c r="N414" s="259"/>
      <c r="O414" s="259"/>
      <c r="P414" s="259"/>
      <c r="Q414" s="259"/>
      <c r="R414" s="259"/>
      <c r="S414" s="259"/>
      <c r="T414" s="259"/>
      <c r="U414" s="259"/>
      <c r="V414" s="259"/>
      <c r="W414" s="259"/>
      <c r="X414" s="259"/>
      <c r="Y414" s="259"/>
      <c r="Z414" s="259"/>
    </row>
    <row r="415" customFormat="false" ht="12" hidden="false" customHeight="true" outlineLevel="0" collapsed="false">
      <c r="A415" s="259"/>
      <c r="B415" s="259"/>
      <c r="C415" s="259"/>
      <c r="D415" s="259"/>
      <c r="E415" s="259"/>
      <c r="F415" s="261"/>
      <c r="G415" s="259"/>
      <c r="H415" s="259"/>
      <c r="I415" s="259"/>
      <c r="J415" s="262"/>
      <c r="K415" s="259"/>
      <c r="L415" s="259"/>
      <c r="M415" s="259"/>
      <c r="N415" s="259"/>
      <c r="O415" s="259"/>
      <c r="P415" s="259"/>
      <c r="Q415" s="259"/>
      <c r="R415" s="259"/>
      <c r="S415" s="259"/>
      <c r="T415" s="259"/>
      <c r="U415" s="259"/>
      <c r="V415" s="259"/>
      <c r="W415" s="259"/>
      <c r="X415" s="259"/>
      <c r="Y415" s="259"/>
      <c r="Z415" s="259"/>
    </row>
    <row r="416" customFormat="false" ht="12" hidden="false" customHeight="true" outlineLevel="0" collapsed="false">
      <c r="A416" s="259"/>
      <c r="B416" s="259"/>
      <c r="C416" s="259"/>
      <c r="D416" s="259"/>
      <c r="E416" s="259"/>
      <c r="F416" s="261"/>
      <c r="G416" s="259"/>
      <c r="H416" s="259"/>
      <c r="I416" s="259"/>
      <c r="J416" s="262"/>
      <c r="K416" s="259"/>
      <c r="L416" s="259"/>
      <c r="M416" s="259"/>
      <c r="N416" s="259"/>
      <c r="O416" s="259"/>
      <c r="P416" s="259"/>
      <c r="Q416" s="259"/>
      <c r="R416" s="259"/>
      <c r="S416" s="259"/>
      <c r="T416" s="259"/>
      <c r="U416" s="259"/>
      <c r="V416" s="259"/>
      <c r="W416" s="259"/>
      <c r="X416" s="259"/>
      <c r="Y416" s="259"/>
      <c r="Z416" s="259"/>
    </row>
    <row r="417" customFormat="false" ht="12" hidden="false" customHeight="true" outlineLevel="0" collapsed="false">
      <c r="A417" s="259"/>
      <c r="B417" s="259"/>
      <c r="C417" s="259"/>
      <c r="D417" s="259"/>
      <c r="E417" s="259"/>
      <c r="F417" s="261"/>
      <c r="G417" s="259"/>
      <c r="H417" s="259"/>
      <c r="I417" s="259"/>
      <c r="J417" s="262"/>
      <c r="K417" s="259"/>
      <c r="L417" s="259"/>
      <c r="M417" s="259"/>
      <c r="N417" s="259"/>
      <c r="O417" s="259"/>
      <c r="P417" s="259"/>
      <c r="Q417" s="259"/>
      <c r="R417" s="259"/>
      <c r="S417" s="259"/>
      <c r="T417" s="259"/>
      <c r="U417" s="259"/>
      <c r="V417" s="259"/>
      <c r="W417" s="259"/>
      <c r="X417" s="259"/>
      <c r="Y417" s="259"/>
      <c r="Z417" s="259"/>
    </row>
    <row r="418" customFormat="false" ht="12" hidden="false" customHeight="true" outlineLevel="0" collapsed="false">
      <c r="A418" s="259"/>
      <c r="B418" s="259"/>
      <c r="C418" s="259"/>
      <c r="D418" s="259"/>
      <c r="E418" s="259"/>
      <c r="F418" s="261"/>
      <c r="G418" s="259"/>
      <c r="H418" s="259"/>
      <c r="I418" s="259"/>
      <c r="J418" s="262"/>
      <c r="K418" s="259"/>
      <c r="L418" s="259"/>
      <c r="M418" s="259"/>
      <c r="N418" s="259"/>
      <c r="O418" s="259"/>
      <c r="P418" s="259"/>
      <c r="Q418" s="259"/>
      <c r="R418" s="259"/>
      <c r="S418" s="259"/>
      <c r="T418" s="259"/>
      <c r="U418" s="259"/>
      <c r="V418" s="259"/>
      <c r="W418" s="259"/>
      <c r="X418" s="259"/>
      <c r="Y418" s="259"/>
      <c r="Z418" s="259"/>
    </row>
    <row r="419" customFormat="false" ht="12" hidden="false" customHeight="true" outlineLevel="0" collapsed="false">
      <c r="A419" s="259"/>
      <c r="B419" s="259"/>
      <c r="C419" s="259"/>
      <c r="D419" s="259"/>
      <c r="E419" s="259"/>
      <c r="F419" s="261"/>
      <c r="G419" s="259"/>
      <c r="H419" s="259"/>
      <c r="I419" s="259"/>
      <c r="J419" s="262"/>
      <c r="K419" s="259"/>
      <c r="L419" s="259"/>
      <c r="M419" s="259"/>
      <c r="N419" s="259"/>
      <c r="O419" s="259"/>
      <c r="P419" s="259"/>
      <c r="Q419" s="259"/>
      <c r="R419" s="259"/>
      <c r="S419" s="259"/>
      <c r="T419" s="259"/>
      <c r="U419" s="259"/>
      <c r="V419" s="259"/>
      <c r="W419" s="259"/>
      <c r="X419" s="259"/>
      <c r="Y419" s="259"/>
      <c r="Z419" s="259"/>
    </row>
    <row r="420" customFormat="false" ht="12" hidden="false" customHeight="true" outlineLevel="0" collapsed="false">
      <c r="A420" s="259"/>
      <c r="B420" s="259"/>
      <c r="C420" s="259"/>
      <c r="D420" s="259"/>
      <c r="E420" s="259"/>
      <c r="F420" s="261"/>
      <c r="G420" s="259"/>
      <c r="H420" s="259"/>
      <c r="I420" s="259"/>
      <c r="J420" s="262"/>
      <c r="K420" s="259"/>
      <c r="L420" s="259"/>
      <c r="M420" s="259"/>
      <c r="N420" s="259"/>
      <c r="O420" s="259"/>
      <c r="P420" s="259"/>
      <c r="Q420" s="259"/>
      <c r="R420" s="259"/>
      <c r="S420" s="259"/>
      <c r="T420" s="259"/>
      <c r="U420" s="259"/>
      <c r="V420" s="259"/>
      <c r="W420" s="259"/>
      <c r="X420" s="259"/>
      <c r="Y420" s="259"/>
      <c r="Z420" s="259"/>
    </row>
    <row r="421" customFormat="false" ht="12" hidden="false" customHeight="true" outlineLevel="0" collapsed="false">
      <c r="A421" s="259"/>
      <c r="B421" s="259"/>
      <c r="C421" s="259"/>
      <c r="D421" s="259"/>
      <c r="E421" s="259"/>
      <c r="F421" s="261"/>
      <c r="G421" s="259"/>
      <c r="H421" s="259"/>
      <c r="I421" s="259"/>
      <c r="J421" s="262"/>
      <c r="K421" s="259"/>
      <c r="L421" s="259"/>
      <c r="M421" s="259"/>
      <c r="N421" s="259"/>
      <c r="O421" s="259"/>
      <c r="P421" s="259"/>
      <c r="Q421" s="259"/>
      <c r="R421" s="259"/>
      <c r="S421" s="259"/>
      <c r="T421" s="259"/>
      <c r="U421" s="259"/>
      <c r="V421" s="259"/>
      <c r="W421" s="259"/>
      <c r="X421" s="259"/>
      <c r="Y421" s="259"/>
      <c r="Z421" s="259"/>
    </row>
    <row r="422" customFormat="false" ht="12" hidden="false" customHeight="true" outlineLevel="0" collapsed="false">
      <c r="A422" s="259"/>
      <c r="B422" s="259"/>
      <c r="C422" s="259"/>
      <c r="D422" s="259"/>
      <c r="E422" s="259"/>
      <c r="F422" s="261"/>
      <c r="G422" s="259"/>
      <c r="H422" s="259"/>
      <c r="I422" s="259"/>
      <c r="J422" s="262"/>
      <c r="K422" s="259"/>
      <c r="L422" s="259"/>
      <c r="M422" s="259"/>
      <c r="N422" s="259"/>
      <c r="O422" s="259"/>
      <c r="P422" s="259"/>
      <c r="Q422" s="259"/>
      <c r="R422" s="259"/>
      <c r="S422" s="259"/>
      <c r="T422" s="259"/>
      <c r="U422" s="259"/>
      <c r="V422" s="259"/>
      <c r="W422" s="259"/>
      <c r="X422" s="259"/>
      <c r="Y422" s="259"/>
      <c r="Z422" s="259"/>
    </row>
    <row r="423" customFormat="false" ht="12" hidden="false" customHeight="true" outlineLevel="0" collapsed="false">
      <c r="A423" s="259"/>
      <c r="B423" s="259"/>
      <c r="C423" s="259"/>
      <c r="D423" s="259"/>
      <c r="E423" s="259"/>
      <c r="F423" s="261"/>
      <c r="G423" s="259"/>
      <c r="H423" s="259"/>
      <c r="I423" s="259"/>
      <c r="J423" s="262"/>
      <c r="K423" s="259"/>
      <c r="L423" s="259"/>
      <c r="M423" s="259"/>
      <c r="N423" s="259"/>
      <c r="O423" s="259"/>
      <c r="P423" s="259"/>
      <c r="Q423" s="259"/>
      <c r="R423" s="259"/>
      <c r="S423" s="259"/>
      <c r="T423" s="259"/>
      <c r="U423" s="259"/>
      <c r="V423" s="259"/>
      <c r="W423" s="259"/>
      <c r="X423" s="259"/>
      <c r="Y423" s="259"/>
      <c r="Z423" s="259"/>
    </row>
    <row r="424" customFormat="false" ht="12" hidden="false" customHeight="true" outlineLevel="0" collapsed="false">
      <c r="A424" s="259"/>
      <c r="B424" s="259"/>
      <c r="C424" s="259"/>
      <c r="D424" s="259"/>
      <c r="E424" s="259"/>
      <c r="F424" s="261"/>
      <c r="G424" s="259"/>
      <c r="H424" s="259"/>
      <c r="I424" s="259"/>
      <c r="J424" s="262"/>
      <c r="K424" s="259"/>
      <c r="L424" s="259"/>
      <c r="M424" s="259"/>
      <c r="N424" s="259"/>
      <c r="O424" s="259"/>
      <c r="P424" s="259"/>
      <c r="Q424" s="259"/>
      <c r="R424" s="259"/>
      <c r="S424" s="259"/>
      <c r="T424" s="259"/>
      <c r="U424" s="259"/>
      <c r="V424" s="259"/>
      <c r="W424" s="259"/>
      <c r="X424" s="259"/>
      <c r="Y424" s="259"/>
      <c r="Z424" s="259"/>
    </row>
    <row r="425" customFormat="false" ht="12" hidden="false" customHeight="true" outlineLevel="0" collapsed="false">
      <c r="A425" s="259"/>
      <c r="B425" s="259"/>
      <c r="C425" s="259"/>
      <c r="D425" s="259"/>
      <c r="E425" s="259"/>
      <c r="F425" s="261"/>
      <c r="G425" s="259"/>
      <c r="H425" s="259"/>
      <c r="I425" s="259"/>
      <c r="J425" s="262"/>
      <c r="K425" s="259"/>
      <c r="L425" s="259"/>
      <c r="M425" s="259"/>
      <c r="N425" s="259"/>
      <c r="O425" s="259"/>
      <c r="P425" s="259"/>
      <c r="Q425" s="259"/>
      <c r="R425" s="259"/>
      <c r="S425" s="259"/>
      <c r="T425" s="259"/>
      <c r="U425" s="259"/>
      <c r="V425" s="259"/>
      <c r="W425" s="259"/>
      <c r="X425" s="259"/>
      <c r="Y425" s="259"/>
      <c r="Z425" s="259"/>
    </row>
    <row r="426" customFormat="false" ht="12" hidden="false" customHeight="true" outlineLevel="0" collapsed="false">
      <c r="A426" s="259"/>
      <c r="B426" s="259"/>
      <c r="C426" s="259"/>
      <c r="D426" s="259"/>
      <c r="E426" s="259"/>
      <c r="F426" s="261"/>
      <c r="G426" s="259"/>
      <c r="H426" s="259"/>
      <c r="I426" s="259"/>
      <c r="J426" s="262"/>
      <c r="K426" s="259"/>
      <c r="L426" s="259"/>
      <c r="M426" s="259"/>
      <c r="N426" s="259"/>
      <c r="O426" s="259"/>
      <c r="P426" s="259"/>
      <c r="Q426" s="259"/>
      <c r="R426" s="259"/>
      <c r="S426" s="259"/>
      <c r="T426" s="259"/>
      <c r="U426" s="259"/>
      <c r="V426" s="259"/>
      <c r="W426" s="259"/>
      <c r="X426" s="259"/>
      <c r="Y426" s="259"/>
      <c r="Z426" s="259"/>
    </row>
    <row r="427" customFormat="false" ht="12" hidden="false" customHeight="true" outlineLevel="0" collapsed="false">
      <c r="A427" s="259"/>
      <c r="B427" s="259"/>
      <c r="C427" s="259"/>
      <c r="D427" s="259"/>
      <c r="E427" s="259"/>
      <c r="F427" s="261"/>
      <c r="G427" s="259"/>
      <c r="H427" s="259"/>
      <c r="I427" s="259"/>
      <c r="J427" s="262"/>
      <c r="K427" s="259"/>
      <c r="L427" s="259"/>
      <c r="M427" s="259"/>
      <c r="N427" s="259"/>
      <c r="O427" s="259"/>
      <c r="P427" s="259"/>
      <c r="Q427" s="259"/>
      <c r="R427" s="259"/>
      <c r="S427" s="259"/>
      <c r="T427" s="259"/>
      <c r="U427" s="259"/>
      <c r="V427" s="259"/>
      <c r="W427" s="259"/>
      <c r="X427" s="259"/>
      <c r="Y427" s="259"/>
      <c r="Z427" s="259"/>
    </row>
    <row r="428" customFormat="false" ht="12" hidden="false" customHeight="true" outlineLevel="0" collapsed="false">
      <c r="A428" s="259"/>
      <c r="B428" s="259"/>
      <c r="C428" s="259"/>
      <c r="D428" s="259"/>
      <c r="E428" s="259"/>
      <c r="F428" s="261"/>
      <c r="G428" s="259"/>
      <c r="H428" s="259"/>
      <c r="I428" s="259"/>
      <c r="J428" s="262"/>
      <c r="K428" s="259"/>
      <c r="L428" s="259"/>
      <c r="M428" s="259"/>
      <c r="N428" s="259"/>
      <c r="O428" s="259"/>
      <c r="P428" s="259"/>
      <c r="Q428" s="259"/>
      <c r="R428" s="259"/>
      <c r="S428" s="259"/>
      <c r="T428" s="259"/>
      <c r="U428" s="259"/>
      <c r="V428" s="259"/>
      <c r="W428" s="259"/>
      <c r="X428" s="259"/>
      <c r="Y428" s="259"/>
      <c r="Z428" s="259"/>
    </row>
    <row r="429" customFormat="false" ht="12" hidden="false" customHeight="true" outlineLevel="0" collapsed="false">
      <c r="A429" s="259"/>
      <c r="B429" s="259"/>
      <c r="C429" s="259"/>
      <c r="D429" s="259"/>
      <c r="E429" s="259"/>
      <c r="F429" s="261"/>
      <c r="G429" s="259"/>
      <c r="H429" s="259"/>
      <c r="I429" s="259"/>
      <c r="J429" s="262"/>
      <c r="K429" s="259"/>
      <c r="L429" s="259"/>
      <c r="M429" s="259"/>
      <c r="N429" s="259"/>
      <c r="O429" s="259"/>
      <c r="P429" s="259"/>
      <c r="Q429" s="259"/>
      <c r="R429" s="259"/>
      <c r="S429" s="259"/>
      <c r="T429" s="259"/>
      <c r="U429" s="259"/>
      <c r="V429" s="259"/>
      <c r="W429" s="259"/>
      <c r="X429" s="259"/>
      <c r="Y429" s="259"/>
      <c r="Z429" s="259"/>
    </row>
    <row r="430" customFormat="false" ht="12" hidden="false" customHeight="true" outlineLevel="0" collapsed="false">
      <c r="A430" s="259"/>
      <c r="B430" s="259"/>
      <c r="C430" s="259"/>
      <c r="D430" s="259"/>
      <c r="E430" s="259"/>
      <c r="F430" s="261"/>
      <c r="G430" s="259"/>
      <c r="H430" s="259"/>
      <c r="I430" s="259"/>
      <c r="J430" s="262"/>
      <c r="K430" s="259"/>
      <c r="L430" s="259"/>
      <c r="M430" s="259"/>
      <c r="N430" s="259"/>
      <c r="O430" s="259"/>
      <c r="P430" s="259"/>
      <c r="Q430" s="259"/>
      <c r="R430" s="259"/>
      <c r="S430" s="259"/>
      <c r="T430" s="259"/>
      <c r="U430" s="259"/>
      <c r="V430" s="259"/>
      <c r="W430" s="259"/>
      <c r="X430" s="259"/>
      <c r="Y430" s="259"/>
      <c r="Z430" s="259"/>
    </row>
    <row r="431" customFormat="false" ht="12" hidden="false" customHeight="true" outlineLevel="0" collapsed="false">
      <c r="A431" s="259"/>
      <c r="B431" s="259"/>
      <c r="C431" s="259"/>
      <c r="D431" s="259"/>
      <c r="E431" s="259"/>
      <c r="F431" s="261"/>
      <c r="G431" s="259"/>
      <c r="H431" s="259"/>
      <c r="I431" s="259"/>
      <c r="J431" s="262"/>
      <c r="K431" s="259"/>
      <c r="L431" s="259"/>
      <c r="M431" s="259"/>
      <c r="N431" s="259"/>
      <c r="O431" s="259"/>
      <c r="P431" s="259"/>
      <c r="Q431" s="259"/>
      <c r="R431" s="259"/>
      <c r="S431" s="259"/>
      <c r="T431" s="259"/>
      <c r="U431" s="259"/>
      <c r="V431" s="259"/>
      <c r="W431" s="259"/>
      <c r="X431" s="259"/>
      <c r="Y431" s="259"/>
      <c r="Z431" s="259"/>
    </row>
    <row r="432" customFormat="false" ht="12" hidden="false" customHeight="true" outlineLevel="0" collapsed="false">
      <c r="A432" s="259"/>
      <c r="B432" s="259"/>
      <c r="C432" s="259"/>
      <c r="D432" s="259"/>
      <c r="E432" s="259"/>
      <c r="F432" s="261"/>
      <c r="G432" s="259"/>
      <c r="H432" s="259"/>
      <c r="I432" s="259"/>
      <c r="J432" s="262"/>
      <c r="K432" s="259"/>
      <c r="L432" s="259"/>
      <c r="M432" s="259"/>
      <c r="N432" s="259"/>
      <c r="O432" s="259"/>
      <c r="P432" s="259"/>
      <c r="Q432" s="259"/>
      <c r="R432" s="259"/>
      <c r="S432" s="259"/>
      <c r="T432" s="259"/>
      <c r="U432" s="259"/>
      <c r="V432" s="259"/>
      <c r="W432" s="259"/>
      <c r="X432" s="259"/>
      <c r="Y432" s="259"/>
      <c r="Z432" s="259"/>
    </row>
    <row r="433" customFormat="false" ht="12" hidden="false" customHeight="true" outlineLevel="0" collapsed="false">
      <c r="A433" s="259"/>
      <c r="B433" s="259"/>
      <c r="C433" s="259"/>
      <c r="D433" s="259"/>
      <c r="E433" s="259"/>
      <c r="F433" s="261"/>
      <c r="G433" s="259"/>
      <c r="H433" s="259"/>
      <c r="I433" s="259"/>
      <c r="J433" s="262"/>
      <c r="K433" s="259"/>
      <c r="L433" s="259"/>
      <c r="M433" s="259"/>
      <c r="N433" s="259"/>
      <c r="O433" s="259"/>
      <c r="P433" s="259"/>
      <c r="Q433" s="259"/>
      <c r="R433" s="259"/>
      <c r="S433" s="259"/>
      <c r="T433" s="259"/>
      <c r="U433" s="259"/>
      <c r="V433" s="259"/>
      <c r="W433" s="259"/>
      <c r="X433" s="259"/>
      <c r="Y433" s="259"/>
      <c r="Z433" s="259"/>
    </row>
    <row r="434" customFormat="false" ht="12" hidden="false" customHeight="true" outlineLevel="0" collapsed="false">
      <c r="A434" s="259"/>
      <c r="B434" s="259"/>
      <c r="C434" s="259"/>
      <c r="D434" s="259"/>
      <c r="E434" s="259"/>
      <c r="F434" s="261"/>
      <c r="G434" s="259"/>
      <c r="H434" s="259"/>
      <c r="I434" s="259"/>
      <c r="J434" s="262"/>
      <c r="K434" s="259"/>
      <c r="L434" s="259"/>
      <c r="M434" s="259"/>
      <c r="N434" s="259"/>
      <c r="O434" s="259"/>
      <c r="P434" s="259"/>
      <c r="Q434" s="259"/>
      <c r="R434" s="259"/>
      <c r="S434" s="259"/>
      <c r="T434" s="259"/>
      <c r="U434" s="259"/>
      <c r="V434" s="259"/>
      <c r="W434" s="259"/>
      <c r="X434" s="259"/>
      <c r="Y434" s="259"/>
      <c r="Z434" s="259"/>
    </row>
    <row r="435" customFormat="false" ht="12" hidden="false" customHeight="true" outlineLevel="0" collapsed="false">
      <c r="A435" s="259"/>
      <c r="B435" s="259"/>
      <c r="C435" s="259"/>
      <c r="D435" s="259"/>
      <c r="E435" s="259"/>
      <c r="F435" s="261"/>
      <c r="G435" s="259"/>
      <c r="H435" s="259"/>
      <c r="I435" s="259"/>
      <c r="J435" s="262"/>
      <c r="K435" s="259"/>
      <c r="L435" s="259"/>
      <c r="M435" s="259"/>
      <c r="N435" s="259"/>
      <c r="O435" s="259"/>
      <c r="P435" s="259"/>
      <c r="Q435" s="259"/>
      <c r="R435" s="259"/>
      <c r="S435" s="259"/>
      <c r="T435" s="259"/>
      <c r="U435" s="259"/>
      <c r="V435" s="259"/>
      <c r="W435" s="259"/>
      <c r="X435" s="259"/>
      <c r="Y435" s="259"/>
      <c r="Z435" s="259"/>
    </row>
    <row r="436" customFormat="false" ht="12" hidden="false" customHeight="true" outlineLevel="0" collapsed="false">
      <c r="A436" s="259"/>
      <c r="B436" s="259"/>
      <c r="C436" s="259"/>
      <c r="D436" s="259"/>
      <c r="E436" s="259"/>
      <c r="F436" s="261"/>
      <c r="G436" s="259"/>
      <c r="H436" s="259"/>
      <c r="I436" s="259"/>
      <c r="J436" s="262"/>
      <c r="K436" s="259"/>
      <c r="L436" s="259"/>
      <c r="M436" s="259"/>
      <c r="N436" s="259"/>
      <c r="O436" s="259"/>
      <c r="P436" s="259"/>
      <c r="Q436" s="259"/>
      <c r="R436" s="259"/>
      <c r="S436" s="259"/>
      <c r="T436" s="259"/>
      <c r="U436" s="259"/>
      <c r="V436" s="259"/>
      <c r="W436" s="259"/>
      <c r="X436" s="259"/>
      <c r="Y436" s="259"/>
      <c r="Z436" s="259"/>
    </row>
    <row r="437" customFormat="false" ht="12" hidden="false" customHeight="true" outlineLevel="0" collapsed="false">
      <c r="A437" s="259"/>
      <c r="B437" s="259"/>
      <c r="C437" s="259"/>
      <c r="D437" s="259"/>
      <c r="E437" s="259"/>
      <c r="F437" s="261"/>
      <c r="G437" s="259"/>
      <c r="H437" s="259"/>
      <c r="I437" s="259"/>
      <c r="J437" s="262"/>
      <c r="K437" s="259"/>
      <c r="L437" s="259"/>
      <c r="M437" s="259"/>
      <c r="N437" s="259"/>
      <c r="O437" s="259"/>
      <c r="P437" s="259"/>
      <c r="Q437" s="259"/>
      <c r="R437" s="259"/>
      <c r="S437" s="259"/>
      <c r="T437" s="259"/>
      <c r="U437" s="259"/>
      <c r="V437" s="259"/>
      <c r="W437" s="259"/>
      <c r="X437" s="259"/>
      <c r="Y437" s="259"/>
      <c r="Z437" s="259"/>
    </row>
    <row r="438" customFormat="false" ht="12" hidden="false" customHeight="true" outlineLevel="0" collapsed="false">
      <c r="A438" s="259"/>
      <c r="B438" s="259"/>
      <c r="C438" s="259"/>
      <c r="D438" s="259"/>
      <c r="E438" s="259"/>
      <c r="F438" s="261"/>
      <c r="G438" s="259"/>
      <c r="H438" s="259"/>
      <c r="I438" s="259"/>
      <c r="J438" s="262"/>
      <c r="K438" s="259"/>
      <c r="L438" s="259"/>
      <c r="M438" s="259"/>
      <c r="N438" s="259"/>
      <c r="O438" s="259"/>
      <c r="P438" s="259"/>
      <c r="Q438" s="259"/>
      <c r="R438" s="259"/>
      <c r="S438" s="259"/>
      <c r="T438" s="259"/>
      <c r="U438" s="259"/>
      <c r="V438" s="259"/>
      <c r="W438" s="259"/>
      <c r="X438" s="259"/>
      <c r="Y438" s="259"/>
      <c r="Z438" s="259"/>
    </row>
    <row r="439" customFormat="false" ht="12" hidden="false" customHeight="true" outlineLevel="0" collapsed="false">
      <c r="A439" s="259"/>
      <c r="B439" s="259"/>
      <c r="C439" s="259"/>
      <c r="D439" s="259"/>
      <c r="E439" s="259"/>
      <c r="F439" s="261"/>
      <c r="G439" s="259"/>
      <c r="H439" s="259"/>
      <c r="I439" s="259"/>
      <c r="J439" s="262"/>
      <c r="K439" s="259"/>
      <c r="L439" s="259"/>
      <c r="M439" s="259"/>
      <c r="N439" s="259"/>
      <c r="O439" s="259"/>
      <c r="P439" s="259"/>
      <c r="Q439" s="259"/>
      <c r="R439" s="259"/>
      <c r="S439" s="259"/>
      <c r="T439" s="259"/>
      <c r="U439" s="259"/>
      <c r="V439" s="259"/>
      <c r="W439" s="259"/>
      <c r="X439" s="259"/>
      <c r="Y439" s="259"/>
      <c r="Z439" s="259"/>
    </row>
    <row r="440" customFormat="false" ht="12" hidden="false" customHeight="true" outlineLevel="0" collapsed="false">
      <c r="A440" s="259"/>
      <c r="B440" s="259"/>
      <c r="C440" s="259"/>
      <c r="D440" s="259"/>
      <c r="E440" s="259"/>
      <c r="F440" s="261"/>
      <c r="G440" s="259"/>
      <c r="H440" s="259"/>
      <c r="I440" s="259"/>
      <c r="J440" s="262"/>
      <c r="K440" s="259"/>
      <c r="L440" s="259"/>
      <c r="M440" s="259"/>
      <c r="N440" s="259"/>
      <c r="O440" s="259"/>
      <c r="P440" s="259"/>
      <c r="Q440" s="259"/>
      <c r="R440" s="259"/>
      <c r="S440" s="259"/>
      <c r="T440" s="259"/>
      <c r="U440" s="259"/>
      <c r="V440" s="259"/>
      <c r="W440" s="259"/>
      <c r="X440" s="259"/>
      <c r="Y440" s="259"/>
      <c r="Z440" s="259"/>
    </row>
    <row r="441" customFormat="false" ht="12" hidden="false" customHeight="true" outlineLevel="0" collapsed="false">
      <c r="A441" s="259"/>
      <c r="B441" s="259"/>
      <c r="C441" s="259"/>
      <c r="D441" s="259"/>
      <c r="E441" s="259"/>
      <c r="F441" s="261"/>
      <c r="G441" s="259"/>
      <c r="H441" s="259"/>
      <c r="I441" s="259"/>
      <c r="J441" s="262"/>
      <c r="K441" s="259"/>
      <c r="L441" s="259"/>
      <c r="M441" s="259"/>
      <c r="N441" s="259"/>
      <c r="O441" s="259"/>
      <c r="P441" s="259"/>
      <c r="Q441" s="259"/>
      <c r="R441" s="259"/>
      <c r="S441" s="259"/>
      <c r="T441" s="259"/>
      <c r="U441" s="259"/>
      <c r="V441" s="259"/>
      <c r="W441" s="259"/>
      <c r="X441" s="259"/>
      <c r="Y441" s="259"/>
      <c r="Z441" s="259"/>
    </row>
    <row r="442" customFormat="false" ht="12" hidden="false" customHeight="true" outlineLevel="0" collapsed="false">
      <c r="A442" s="259"/>
      <c r="B442" s="259"/>
      <c r="C442" s="259"/>
      <c r="D442" s="259"/>
      <c r="E442" s="259"/>
      <c r="F442" s="261"/>
      <c r="G442" s="259"/>
      <c r="H442" s="259"/>
      <c r="I442" s="259"/>
      <c r="J442" s="262"/>
      <c r="K442" s="259"/>
      <c r="L442" s="259"/>
      <c r="M442" s="259"/>
      <c r="N442" s="259"/>
      <c r="O442" s="259"/>
      <c r="P442" s="259"/>
      <c r="Q442" s="259"/>
      <c r="R442" s="259"/>
      <c r="S442" s="259"/>
      <c r="T442" s="259"/>
      <c r="U442" s="259"/>
      <c r="V442" s="259"/>
      <c r="W442" s="259"/>
      <c r="X442" s="259"/>
      <c r="Y442" s="259"/>
      <c r="Z442" s="259"/>
    </row>
    <row r="443" customFormat="false" ht="12" hidden="false" customHeight="true" outlineLevel="0" collapsed="false">
      <c r="A443" s="259"/>
      <c r="B443" s="259"/>
      <c r="C443" s="259"/>
      <c r="D443" s="259"/>
      <c r="E443" s="259"/>
      <c r="F443" s="261"/>
      <c r="G443" s="259"/>
      <c r="H443" s="259"/>
      <c r="I443" s="259"/>
      <c r="J443" s="262"/>
      <c r="K443" s="259"/>
      <c r="L443" s="259"/>
      <c r="M443" s="259"/>
      <c r="N443" s="259"/>
      <c r="O443" s="259"/>
      <c r="P443" s="259"/>
      <c r="Q443" s="259"/>
      <c r="R443" s="259"/>
      <c r="S443" s="259"/>
      <c r="T443" s="259"/>
      <c r="U443" s="259"/>
      <c r="V443" s="259"/>
      <c r="W443" s="259"/>
      <c r="X443" s="259"/>
      <c r="Y443" s="259"/>
      <c r="Z443" s="259"/>
    </row>
    <row r="444" customFormat="false" ht="12" hidden="false" customHeight="true" outlineLevel="0" collapsed="false">
      <c r="A444" s="259"/>
      <c r="B444" s="259"/>
      <c r="C444" s="259"/>
      <c r="D444" s="259"/>
      <c r="E444" s="259"/>
      <c r="F444" s="261"/>
      <c r="G444" s="259"/>
      <c r="H444" s="259"/>
      <c r="I444" s="259"/>
      <c r="J444" s="262"/>
      <c r="K444" s="259"/>
      <c r="L444" s="259"/>
      <c r="M444" s="259"/>
      <c r="N444" s="259"/>
      <c r="O444" s="259"/>
      <c r="P444" s="259"/>
      <c r="Q444" s="259"/>
      <c r="R444" s="259"/>
      <c r="S444" s="259"/>
      <c r="T444" s="259"/>
      <c r="U444" s="259"/>
      <c r="V444" s="259"/>
      <c r="W444" s="259"/>
      <c r="X444" s="259"/>
      <c r="Y444" s="259"/>
      <c r="Z444" s="259"/>
    </row>
    <row r="445" customFormat="false" ht="12" hidden="false" customHeight="true" outlineLevel="0" collapsed="false">
      <c r="A445" s="259"/>
      <c r="B445" s="259"/>
      <c r="C445" s="259"/>
      <c r="D445" s="259"/>
      <c r="E445" s="259"/>
      <c r="F445" s="261"/>
      <c r="G445" s="259"/>
      <c r="H445" s="259"/>
      <c r="I445" s="259"/>
      <c r="J445" s="262"/>
      <c r="K445" s="259"/>
      <c r="L445" s="259"/>
      <c r="M445" s="259"/>
      <c r="N445" s="259"/>
      <c r="O445" s="259"/>
      <c r="P445" s="259"/>
      <c r="Q445" s="259"/>
      <c r="R445" s="259"/>
      <c r="S445" s="259"/>
      <c r="T445" s="259"/>
      <c r="U445" s="259"/>
      <c r="V445" s="259"/>
      <c r="W445" s="259"/>
      <c r="X445" s="259"/>
      <c r="Y445" s="259"/>
      <c r="Z445" s="259"/>
    </row>
    <row r="446" customFormat="false" ht="12" hidden="false" customHeight="true" outlineLevel="0" collapsed="false">
      <c r="A446" s="259"/>
      <c r="B446" s="259"/>
      <c r="C446" s="259"/>
      <c r="D446" s="259"/>
      <c r="E446" s="259"/>
      <c r="F446" s="261"/>
      <c r="G446" s="259"/>
      <c r="H446" s="259"/>
      <c r="I446" s="259"/>
      <c r="J446" s="262"/>
      <c r="K446" s="259"/>
      <c r="L446" s="259"/>
      <c r="M446" s="259"/>
      <c r="N446" s="259"/>
      <c r="O446" s="259"/>
      <c r="P446" s="259"/>
      <c r="Q446" s="259"/>
      <c r="R446" s="259"/>
      <c r="S446" s="259"/>
      <c r="T446" s="259"/>
      <c r="U446" s="259"/>
      <c r="V446" s="259"/>
      <c r="W446" s="259"/>
      <c r="X446" s="259"/>
      <c r="Y446" s="259"/>
      <c r="Z446" s="259"/>
    </row>
    <row r="447" customFormat="false" ht="12" hidden="false" customHeight="true" outlineLevel="0" collapsed="false">
      <c r="A447" s="259"/>
      <c r="B447" s="259"/>
      <c r="C447" s="259"/>
      <c r="D447" s="259"/>
      <c r="E447" s="259"/>
      <c r="F447" s="261"/>
      <c r="G447" s="259"/>
      <c r="H447" s="259"/>
      <c r="I447" s="259"/>
      <c r="J447" s="262"/>
      <c r="K447" s="259"/>
      <c r="L447" s="259"/>
      <c r="M447" s="259"/>
      <c r="N447" s="259"/>
      <c r="O447" s="259"/>
      <c r="P447" s="259"/>
      <c r="Q447" s="259"/>
      <c r="R447" s="259"/>
      <c r="S447" s="259"/>
      <c r="T447" s="259"/>
      <c r="U447" s="259"/>
      <c r="V447" s="259"/>
      <c r="W447" s="259"/>
      <c r="X447" s="259"/>
      <c r="Y447" s="259"/>
      <c r="Z447" s="259"/>
    </row>
    <row r="448" customFormat="false" ht="12" hidden="false" customHeight="true" outlineLevel="0" collapsed="false">
      <c r="A448" s="259"/>
      <c r="B448" s="259"/>
      <c r="C448" s="259"/>
      <c r="D448" s="259"/>
      <c r="E448" s="259"/>
      <c r="F448" s="261"/>
      <c r="G448" s="259"/>
      <c r="H448" s="259"/>
      <c r="I448" s="259"/>
      <c r="J448" s="262"/>
      <c r="K448" s="259"/>
      <c r="L448" s="259"/>
      <c r="M448" s="259"/>
      <c r="N448" s="259"/>
      <c r="O448" s="259"/>
      <c r="P448" s="259"/>
      <c r="Q448" s="259"/>
      <c r="R448" s="259"/>
      <c r="S448" s="259"/>
      <c r="T448" s="259"/>
      <c r="U448" s="259"/>
      <c r="V448" s="259"/>
      <c r="W448" s="259"/>
      <c r="X448" s="259"/>
      <c r="Y448" s="259"/>
      <c r="Z448" s="259"/>
    </row>
    <row r="449" customFormat="false" ht="12" hidden="false" customHeight="true" outlineLevel="0" collapsed="false">
      <c r="A449" s="259"/>
      <c r="B449" s="259"/>
      <c r="C449" s="259"/>
      <c r="D449" s="259"/>
      <c r="E449" s="259"/>
      <c r="F449" s="261"/>
      <c r="G449" s="259"/>
      <c r="H449" s="259"/>
      <c r="I449" s="259"/>
      <c r="J449" s="262"/>
      <c r="K449" s="259"/>
      <c r="L449" s="259"/>
      <c r="M449" s="259"/>
      <c r="N449" s="259"/>
      <c r="O449" s="259"/>
      <c r="P449" s="259"/>
      <c r="Q449" s="259"/>
      <c r="R449" s="259"/>
      <c r="S449" s="259"/>
      <c r="T449" s="259"/>
      <c r="U449" s="259"/>
      <c r="V449" s="259"/>
      <c r="W449" s="259"/>
      <c r="X449" s="259"/>
      <c r="Y449" s="259"/>
      <c r="Z449" s="259"/>
    </row>
    <row r="450" customFormat="false" ht="12" hidden="false" customHeight="true" outlineLevel="0" collapsed="false">
      <c r="A450" s="259"/>
      <c r="B450" s="259"/>
      <c r="C450" s="259"/>
      <c r="D450" s="259"/>
      <c r="E450" s="259"/>
      <c r="F450" s="261"/>
      <c r="G450" s="259"/>
      <c r="H450" s="259"/>
      <c r="I450" s="259"/>
      <c r="J450" s="262"/>
      <c r="K450" s="259"/>
      <c r="L450" s="259"/>
      <c r="M450" s="259"/>
      <c r="N450" s="259"/>
      <c r="O450" s="259"/>
      <c r="P450" s="259"/>
      <c r="Q450" s="259"/>
      <c r="R450" s="259"/>
      <c r="S450" s="259"/>
      <c r="T450" s="259"/>
      <c r="U450" s="259"/>
      <c r="V450" s="259"/>
      <c r="W450" s="259"/>
      <c r="X450" s="259"/>
      <c r="Y450" s="259"/>
      <c r="Z450" s="259"/>
    </row>
    <row r="451" customFormat="false" ht="12" hidden="false" customHeight="true" outlineLevel="0" collapsed="false">
      <c r="A451" s="259"/>
      <c r="B451" s="259"/>
      <c r="C451" s="259"/>
      <c r="D451" s="259"/>
      <c r="E451" s="259"/>
      <c r="F451" s="261"/>
      <c r="G451" s="259"/>
      <c r="H451" s="259"/>
      <c r="I451" s="259"/>
      <c r="J451" s="262"/>
      <c r="K451" s="259"/>
      <c r="L451" s="259"/>
      <c r="M451" s="259"/>
      <c r="N451" s="259"/>
      <c r="O451" s="259"/>
      <c r="P451" s="259"/>
      <c r="Q451" s="259"/>
      <c r="R451" s="259"/>
      <c r="S451" s="259"/>
      <c r="T451" s="259"/>
      <c r="U451" s="259"/>
      <c r="V451" s="259"/>
      <c r="W451" s="259"/>
      <c r="X451" s="259"/>
      <c r="Y451" s="259"/>
      <c r="Z451" s="259"/>
    </row>
    <row r="452" customFormat="false" ht="12" hidden="false" customHeight="true" outlineLevel="0" collapsed="false">
      <c r="A452" s="259"/>
      <c r="B452" s="259"/>
      <c r="C452" s="259"/>
      <c r="D452" s="259"/>
      <c r="E452" s="259"/>
      <c r="F452" s="261"/>
      <c r="G452" s="259"/>
      <c r="H452" s="259"/>
      <c r="I452" s="259"/>
      <c r="J452" s="262"/>
      <c r="K452" s="259"/>
      <c r="L452" s="259"/>
      <c r="M452" s="259"/>
      <c r="N452" s="259"/>
      <c r="O452" s="259"/>
      <c r="P452" s="259"/>
      <c r="Q452" s="259"/>
      <c r="R452" s="259"/>
      <c r="S452" s="259"/>
      <c r="T452" s="259"/>
      <c r="U452" s="259"/>
      <c r="V452" s="259"/>
      <c r="W452" s="259"/>
      <c r="X452" s="259"/>
      <c r="Y452" s="259"/>
      <c r="Z452" s="259"/>
    </row>
    <row r="453" customFormat="false" ht="12" hidden="false" customHeight="true" outlineLevel="0" collapsed="false">
      <c r="A453" s="259"/>
      <c r="B453" s="259"/>
      <c r="C453" s="259"/>
      <c r="D453" s="259"/>
      <c r="E453" s="259"/>
      <c r="F453" s="261"/>
      <c r="G453" s="259"/>
      <c r="H453" s="259"/>
      <c r="I453" s="259"/>
      <c r="J453" s="262"/>
      <c r="K453" s="259"/>
      <c r="L453" s="259"/>
      <c r="M453" s="259"/>
      <c r="N453" s="259"/>
      <c r="O453" s="259"/>
      <c r="P453" s="259"/>
      <c r="Q453" s="259"/>
      <c r="R453" s="259"/>
      <c r="S453" s="259"/>
      <c r="T453" s="259"/>
      <c r="U453" s="259"/>
      <c r="V453" s="259"/>
      <c r="W453" s="259"/>
      <c r="X453" s="259"/>
      <c r="Y453" s="259"/>
      <c r="Z453" s="259"/>
    </row>
    <row r="454" customFormat="false" ht="12" hidden="false" customHeight="true" outlineLevel="0" collapsed="false">
      <c r="A454" s="259"/>
      <c r="B454" s="259"/>
      <c r="C454" s="259"/>
      <c r="D454" s="259"/>
      <c r="E454" s="259"/>
      <c r="F454" s="261"/>
      <c r="G454" s="259"/>
      <c r="H454" s="259"/>
      <c r="I454" s="259"/>
      <c r="J454" s="262"/>
      <c r="K454" s="259"/>
      <c r="L454" s="259"/>
      <c r="M454" s="259"/>
      <c r="N454" s="259"/>
      <c r="O454" s="259"/>
      <c r="P454" s="259"/>
      <c r="Q454" s="259"/>
      <c r="R454" s="259"/>
      <c r="S454" s="259"/>
      <c r="T454" s="259"/>
      <c r="U454" s="259"/>
      <c r="V454" s="259"/>
      <c r="W454" s="259"/>
      <c r="X454" s="259"/>
      <c r="Y454" s="259"/>
      <c r="Z454" s="259"/>
    </row>
    <row r="455" customFormat="false" ht="12" hidden="false" customHeight="true" outlineLevel="0" collapsed="false">
      <c r="A455" s="259"/>
      <c r="B455" s="259"/>
      <c r="C455" s="259"/>
      <c r="D455" s="259"/>
      <c r="E455" s="259"/>
      <c r="F455" s="261"/>
      <c r="G455" s="259"/>
      <c r="H455" s="259"/>
      <c r="I455" s="259"/>
      <c r="J455" s="262"/>
      <c r="K455" s="259"/>
      <c r="L455" s="259"/>
      <c r="M455" s="259"/>
      <c r="N455" s="259"/>
      <c r="O455" s="259"/>
      <c r="P455" s="259"/>
      <c r="Q455" s="259"/>
      <c r="R455" s="259"/>
      <c r="S455" s="259"/>
      <c r="T455" s="259"/>
      <c r="U455" s="259"/>
      <c r="V455" s="259"/>
      <c r="W455" s="259"/>
      <c r="X455" s="259"/>
      <c r="Y455" s="259"/>
      <c r="Z455" s="259"/>
    </row>
    <row r="456" customFormat="false" ht="12" hidden="false" customHeight="true" outlineLevel="0" collapsed="false">
      <c r="A456" s="259"/>
      <c r="B456" s="259"/>
      <c r="C456" s="259"/>
      <c r="D456" s="259"/>
      <c r="E456" s="259"/>
      <c r="F456" s="261"/>
      <c r="G456" s="259"/>
      <c r="H456" s="259"/>
      <c r="I456" s="259"/>
      <c r="J456" s="262"/>
      <c r="K456" s="259"/>
      <c r="L456" s="259"/>
      <c r="M456" s="259"/>
      <c r="N456" s="259"/>
      <c r="O456" s="259"/>
      <c r="P456" s="259"/>
      <c r="Q456" s="259"/>
      <c r="R456" s="259"/>
      <c r="S456" s="259"/>
      <c r="T456" s="259"/>
      <c r="U456" s="259"/>
      <c r="V456" s="259"/>
      <c r="W456" s="259"/>
      <c r="X456" s="259"/>
      <c r="Y456" s="259"/>
      <c r="Z456" s="259"/>
    </row>
    <row r="457" customFormat="false" ht="12" hidden="false" customHeight="true" outlineLevel="0" collapsed="false">
      <c r="A457" s="259"/>
      <c r="B457" s="259"/>
      <c r="C457" s="259"/>
      <c r="D457" s="259"/>
      <c r="E457" s="259"/>
      <c r="F457" s="261"/>
      <c r="G457" s="259"/>
      <c r="H457" s="259"/>
      <c r="I457" s="259"/>
      <c r="J457" s="262"/>
      <c r="K457" s="259"/>
      <c r="L457" s="259"/>
      <c r="M457" s="259"/>
      <c r="N457" s="259"/>
      <c r="O457" s="259"/>
      <c r="P457" s="259"/>
      <c r="Q457" s="259"/>
      <c r="R457" s="259"/>
      <c r="S457" s="259"/>
      <c r="T457" s="259"/>
      <c r="U457" s="259"/>
      <c r="V457" s="259"/>
      <c r="W457" s="259"/>
      <c r="X457" s="259"/>
      <c r="Y457" s="259"/>
      <c r="Z457" s="259"/>
    </row>
    <row r="458" customFormat="false" ht="12" hidden="false" customHeight="true" outlineLevel="0" collapsed="false">
      <c r="A458" s="259"/>
      <c r="B458" s="259"/>
      <c r="C458" s="259"/>
      <c r="D458" s="259"/>
      <c r="E458" s="259"/>
      <c r="F458" s="261"/>
      <c r="G458" s="259"/>
      <c r="H458" s="259"/>
      <c r="I458" s="259"/>
      <c r="J458" s="262"/>
      <c r="K458" s="259"/>
      <c r="L458" s="259"/>
      <c r="M458" s="259"/>
      <c r="N458" s="259"/>
      <c r="O458" s="259"/>
      <c r="P458" s="259"/>
      <c r="Q458" s="259"/>
      <c r="R458" s="259"/>
      <c r="S458" s="259"/>
      <c r="T458" s="259"/>
      <c r="U458" s="259"/>
      <c r="V458" s="259"/>
      <c r="W458" s="259"/>
      <c r="X458" s="259"/>
      <c r="Y458" s="259"/>
      <c r="Z458" s="259"/>
    </row>
    <row r="459" customFormat="false" ht="12" hidden="false" customHeight="true" outlineLevel="0" collapsed="false">
      <c r="A459" s="259"/>
      <c r="B459" s="259"/>
      <c r="C459" s="259"/>
      <c r="D459" s="259"/>
      <c r="E459" s="259"/>
      <c r="F459" s="261"/>
      <c r="G459" s="259"/>
      <c r="H459" s="259"/>
      <c r="I459" s="259"/>
      <c r="J459" s="262"/>
      <c r="K459" s="259"/>
      <c r="L459" s="259"/>
      <c r="M459" s="259"/>
      <c r="N459" s="259"/>
      <c r="O459" s="259"/>
      <c r="P459" s="259"/>
      <c r="Q459" s="259"/>
      <c r="R459" s="259"/>
      <c r="S459" s="259"/>
      <c r="T459" s="259"/>
      <c r="U459" s="259"/>
      <c r="V459" s="259"/>
      <c r="W459" s="259"/>
      <c r="X459" s="259"/>
      <c r="Y459" s="259"/>
      <c r="Z459" s="259"/>
    </row>
    <row r="460" customFormat="false" ht="12" hidden="false" customHeight="true" outlineLevel="0" collapsed="false">
      <c r="A460" s="259"/>
      <c r="B460" s="259"/>
      <c r="C460" s="259"/>
      <c r="D460" s="259"/>
      <c r="E460" s="259"/>
      <c r="F460" s="261"/>
      <c r="G460" s="259"/>
      <c r="H460" s="259"/>
      <c r="I460" s="259"/>
      <c r="J460" s="262"/>
      <c r="K460" s="259"/>
      <c r="L460" s="259"/>
      <c r="M460" s="259"/>
      <c r="N460" s="259"/>
      <c r="O460" s="259"/>
      <c r="P460" s="259"/>
      <c r="Q460" s="259"/>
      <c r="R460" s="259"/>
      <c r="S460" s="259"/>
      <c r="T460" s="259"/>
      <c r="U460" s="259"/>
      <c r="V460" s="259"/>
      <c r="W460" s="259"/>
      <c r="X460" s="259"/>
      <c r="Y460" s="259"/>
      <c r="Z460" s="259"/>
    </row>
    <row r="461" customFormat="false" ht="12" hidden="false" customHeight="true" outlineLevel="0" collapsed="false">
      <c r="A461" s="259"/>
      <c r="B461" s="259"/>
      <c r="C461" s="259"/>
      <c r="D461" s="259"/>
      <c r="E461" s="259"/>
      <c r="F461" s="261"/>
      <c r="G461" s="259"/>
      <c r="H461" s="259"/>
      <c r="I461" s="259"/>
      <c r="J461" s="262"/>
      <c r="K461" s="259"/>
      <c r="L461" s="259"/>
      <c r="M461" s="259"/>
      <c r="N461" s="259"/>
      <c r="O461" s="259"/>
      <c r="P461" s="259"/>
      <c r="Q461" s="259"/>
      <c r="R461" s="259"/>
      <c r="S461" s="259"/>
      <c r="T461" s="259"/>
      <c r="U461" s="259"/>
      <c r="V461" s="259"/>
      <c r="W461" s="259"/>
      <c r="X461" s="259"/>
      <c r="Y461" s="259"/>
      <c r="Z461" s="259"/>
    </row>
    <row r="462" customFormat="false" ht="12" hidden="false" customHeight="true" outlineLevel="0" collapsed="false">
      <c r="A462" s="259"/>
      <c r="B462" s="259"/>
      <c r="C462" s="259"/>
      <c r="D462" s="259"/>
      <c r="E462" s="259"/>
      <c r="F462" s="261"/>
      <c r="G462" s="259"/>
      <c r="H462" s="259"/>
      <c r="I462" s="259"/>
      <c r="J462" s="262"/>
      <c r="K462" s="259"/>
      <c r="L462" s="259"/>
      <c r="M462" s="259"/>
      <c r="N462" s="259"/>
      <c r="O462" s="259"/>
      <c r="P462" s="259"/>
      <c r="Q462" s="259"/>
      <c r="R462" s="259"/>
      <c r="S462" s="259"/>
      <c r="T462" s="259"/>
      <c r="U462" s="259"/>
      <c r="V462" s="259"/>
      <c r="W462" s="259"/>
      <c r="X462" s="259"/>
      <c r="Y462" s="259"/>
      <c r="Z462" s="259"/>
    </row>
    <row r="463" customFormat="false" ht="12" hidden="false" customHeight="true" outlineLevel="0" collapsed="false">
      <c r="A463" s="259"/>
      <c r="B463" s="259"/>
      <c r="C463" s="259"/>
      <c r="D463" s="259"/>
      <c r="E463" s="259"/>
      <c r="F463" s="261"/>
      <c r="G463" s="259"/>
      <c r="H463" s="259"/>
      <c r="I463" s="259"/>
      <c r="J463" s="262"/>
      <c r="K463" s="259"/>
      <c r="L463" s="259"/>
      <c r="M463" s="259"/>
      <c r="N463" s="259"/>
      <c r="O463" s="259"/>
      <c r="P463" s="259"/>
      <c r="Q463" s="259"/>
      <c r="R463" s="259"/>
      <c r="S463" s="259"/>
      <c r="T463" s="259"/>
      <c r="U463" s="259"/>
      <c r="V463" s="259"/>
      <c r="W463" s="259"/>
      <c r="X463" s="259"/>
      <c r="Y463" s="259"/>
      <c r="Z463" s="259"/>
    </row>
    <row r="464" customFormat="false" ht="12" hidden="false" customHeight="true" outlineLevel="0" collapsed="false">
      <c r="A464" s="259"/>
      <c r="B464" s="259"/>
      <c r="C464" s="259"/>
      <c r="D464" s="259"/>
      <c r="E464" s="259"/>
      <c r="F464" s="261"/>
      <c r="G464" s="259"/>
      <c r="H464" s="259"/>
      <c r="I464" s="259"/>
      <c r="J464" s="262"/>
      <c r="K464" s="259"/>
      <c r="L464" s="259"/>
      <c r="M464" s="259"/>
      <c r="N464" s="259"/>
      <c r="O464" s="259"/>
      <c r="P464" s="259"/>
      <c r="Q464" s="259"/>
      <c r="R464" s="259"/>
      <c r="S464" s="259"/>
      <c r="T464" s="259"/>
      <c r="U464" s="259"/>
      <c r="V464" s="259"/>
      <c r="W464" s="259"/>
      <c r="X464" s="259"/>
      <c r="Y464" s="259"/>
      <c r="Z464" s="259"/>
    </row>
    <row r="465" customFormat="false" ht="12" hidden="false" customHeight="true" outlineLevel="0" collapsed="false">
      <c r="A465" s="259"/>
      <c r="B465" s="259"/>
      <c r="C465" s="259"/>
      <c r="D465" s="259"/>
      <c r="E465" s="259"/>
      <c r="F465" s="261"/>
      <c r="G465" s="259"/>
      <c r="H465" s="259"/>
      <c r="I465" s="259"/>
      <c r="J465" s="262"/>
      <c r="K465" s="259"/>
      <c r="L465" s="259"/>
      <c r="M465" s="259"/>
      <c r="N465" s="259"/>
      <c r="O465" s="259"/>
      <c r="P465" s="259"/>
      <c r="Q465" s="259"/>
      <c r="R465" s="259"/>
      <c r="S465" s="259"/>
      <c r="T465" s="259"/>
      <c r="U465" s="259"/>
      <c r="V465" s="259"/>
      <c r="W465" s="259"/>
      <c r="X465" s="259"/>
      <c r="Y465" s="259"/>
      <c r="Z465" s="259"/>
    </row>
    <row r="466" customFormat="false" ht="12" hidden="false" customHeight="true" outlineLevel="0" collapsed="false">
      <c r="A466" s="259"/>
      <c r="B466" s="259"/>
      <c r="C466" s="259"/>
      <c r="D466" s="259"/>
      <c r="E466" s="259"/>
      <c r="F466" s="261"/>
      <c r="G466" s="259"/>
      <c r="H466" s="259"/>
      <c r="I466" s="259"/>
      <c r="J466" s="262"/>
      <c r="K466" s="259"/>
      <c r="L466" s="259"/>
      <c r="M466" s="259"/>
      <c r="N466" s="259"/>
      <c r="O466" s="259"/>
      <c r="P466" s="259"/>
      <c r="Q466" s="259"/>
      <c r="R466" s="259"/>
      <c r="S466" s="259"/>
      <c r="T466" s="259"/>
      <c r="U466" s="259"/>
      <c r="V466" s="259"/>
      <c r="W466" s="259"/>
      <c r="X466" s="259"/>
      <c r="Y466" s="259"/>
      <c r="Z466" s="259"/>
    </row>
    <row r="467" customFormat="false" ht="12" hidden="false" customHeight="true" outlineLevel="0" collapsed="false">
      <c r="A467" s="259"/>
      <c r="B467" s="259"/>
      <c r="C467" s="259"/>
      <c r="D467" s="259"/>
      <c r="E467" s="259"/>
      <c r="F467" s="261"/>
      <c r="G467" s="259"/>
      <c r="H467" s="259"/>
      <c r="I467" s="259"/>
      <c r="J467" s="262"/>
      <c r="K467" s="259"/>
      <c r="L467" s="259"/>
      <c r="M467" s="259"/>
      <c r="N467" s="259"/>
      <c r="O467" s="259"/>
      <c r="P467" s="259"/>
      <c r="Q467" s="259"/>
      <c r="R467" s="259"/>
      <c r="S467" s="259"/>
      <c r="T467" s="259"/>
      <c r="U467" s="259"/>
      <c r="V467" s="259"/>
      <c r="W467" s="259"/>
      <c r="X467" s="259"/>
      <c r="Y467" s="259"/>
      <c r="Z467" s="259"/>
    </row>
    <row r="468" customFormat="false" ht="12" hidden="false" customHeight="true" outlineLevel="0" collapsed="false">
      <c r="A468" s="259"/>
      <c r="B468" s="259"/>
      <c r="C468" s="259"/>
      <c r="D468" s="259"/>
      <c r="E468" s="259"/>
      <c r="F468" s="261"/>
      <c r="G468" s="259"/>
      <c r="H468" s="259"/>
      <c r="I468" s="259"/>
      <c r="J468" s="262"/>
      <c r="K468" s="259"/>
      <c r="L468" s="259"/>
      <c r="M468" s="259"/>
      <c r="N468" s="259"/>
      <c r="O468" s="259"/>
      <c r="P468" s="259"/>
      <c r="Q468" s="259"/>
      <c r="R468" s="259"/>
      <c r="S468" s="259"/>
      <c r="T468" s="259"/>
      <c r="U468" s="259"/>
      <c r="V468" s="259"/>
      <c r="W468" s="259"/>
      <c r="X468" s="259"/>
      <c r="Y468" s="259"/>
      <c r="Z468" s="259"/>
    </row>
    <row r="469" customFormat="false" ht="12" hidden="false" customHeight="true" outlineLevel="0" collapsed="false">
      <c r="A469" s="259"/>
      <c r="B469" s="259"/>
      <c r="C469" s="259"/>
      <c r="D469" s="259"/>
      <c r="E469" s="259"/>
      <c r="F469" s="261"/>
      <c r="G469" s="259"/>
      <c r="H469" s="259"/>
      <c r="I469" s="259"/>
      <c r="J469" s="262"/>
      <c r="K469" s="259"/>
      <c r="L469" s="259"/>
      <c r="M469" s="259"/>
      <c r="N469" s="259"/>
      <c r="O469" s="259"/>
      <c r="P469" s="259"/>
      <c r="Q469" s="259"/>
      <c r="R469" s="259"/>
      <c r="S469" s="259"/>
      <c r="T469" s="259"/>
      <c r="U469" s="259"/>
      <c r="V469" s="259"/>
      <c r="W469" s="259"/>
      <c r="X469" s="259"/>
      <c r="Y469" s="259"/>
      <c r="Z469" s="259"/>
    </row>
    <row r="470" customFormat="false" ht="12" hidden="false" customHeight="true" outlineLevel="0" collapsed="false">
      <c r="A470" s="259"/>
      <c r="B470" s="259"/>
      <c r="C470" s="259"/>
      <c r="D470" s="259"/>
      <c r="E470" s="259"/>
      <c r="F470" s="261"/>
      <c r="G470" s="259"/>
      <c r="H470" s="259"/>
      <c r="I470" s="259"/>
      <c r="J470" s="262"/>
      <c r="K470" s="259"/>
      <c r="L470" s="259"/>
      <c r="M470" s="259"/>
      <c r="N470" s="259"/>
      <c r="O470" s="259"/>
      <c r="P470" s="259"/>
      <c r="Q470" s="259"/>
      <c r="R470" s="259"/>
      <c r="S470" s="259"/>
      <c r="T470" s="259"/>
      <c r="U470" s="259"/>
      <c r="V470" s="259"/>
      <c r="W470" s="259"/>
      <c r="X470" s="259"/>
      <c r="Y470" s="259"/>
      <c r="Z470" s="259"/>
    </row>
    <row r="471" customFormat="false" ht="12" hidden="false" customHeight="true" outlineLevel="0" collapsed="false">
      <c r="A471" s="259"/>
      <c r="B471" s="259"/>
      <c r="C471" s="259"/>
      <c r="D471" s="259"/>
      <c r="E471" s="259"/>
      <c r="F471" s="261"/>
      <c r="G471" s="259"/>
      <c r="H471" s="259"/>
      <c r="I471" s="259"/>
      <c r="J471" s="262"/>
      <c r="K471" s="259"/>
      <c r="L471" s="259"/>
      <c r="M471" s="259"/>
      <c r="N471" s="259"/>
      <c r="O471" s="259"/>
      <c r="P471" s="259"/>
      <c r="Q471" s="259"/>
      <c r="R471" s="259"/>
      <c r="S471" s="259"/>
      <c r="T471" s="259"/>
      <c r="U471" s="259"/>
      <c r="V471" s="259"/>
      <c r="W471" s="259"/>
      <c r="X471" s="259"/>
      <c r="Y471" s="259"/>
      <c r="Z471" s="259"/>
    </row>
    <row r="472" customFormat="false" ht="12" hidden="false" customHeight="true" outlineLevel="0" collapsed="false">
      <c r="A472" s="259"/>
      <c r="B472" s="259"/>
      <c r="C472" s="259"/>
      <c r="D472" s="259"/>
      <c r="E472" s="259"/>
      <c r="F472" s="261"/>
      <c r="G472" s="259"/>
      <c r="H472" s="259"/>
      <c r="I472" s="259"/>
      <c r="J472" s="262"/>
      <c r="K472" s="259"/>
      <c r="L472" s="259"/>
      <c r="M472" s="259"/>
      <c r="N472" s="259"/>
      <c r="O472" s="259"/>
      <c r="P472" s="259"/>
      <c r="Q472" s="259"/>
      <c r="R472" s="259"/>
      <c r="S472" s="259"/>
      <c r="T472" s="259"/>
      <c r="U472" s="259"/>
      <c r="V472" s="259"/>
      <c r="W472" s="259"/>
      <c r="X472" s="259"/>
      <c r="Y472" s="259"/>
      <c r="Z472" s="259"/>
    </row>
    <row r="473" customFormat="false" ht="12" hidden="false" customHeight="true" outlineLevel="0" collapsed="false">
      <c r="A473" s="259"/>
      <c r="B473" s="259"/>
      <c r="C473" s="259"/>
      <c r="D473" s="259"/>
      <c r="E473" s="259"/>
      <c r="F473" s="261"/>
      <c r="G473" s="259"/>
      <c r="H473" s="259"/>
      <c r="I473" s="259"/>
      <c r="J473" s="262"/>
      <c r="K473" s="259"/>
      <c r="L473" s="259"/>
      <c r="M473" s="259"/>
      <c r="N473" s="259"/>
      <c r="O473" s="259"/>
      <c r="P473" s="259"/>
      <c r="Q473" s="259"/>
      <c r="R473" s="259"/>
      <c r="S473" s="259"/>
      <c r="T473" s="259"/>
      <c r="U473" s="259"/>
      <c r="V473" s="259"/>
      <c r="W473" s="259"/>
      <c r="X473" s="259"/>
      <c r="Y473" s="259"/>
      <c r="Z473" s="259"/>
    </row>
    <row r="474" customFormat="false" ht="12" hidden="false" customHeight="true" outlineLevel="0" collapsed="false">
      <c r="A474" s="259"/>
      <c r="B474" s="259"/>
      <c r="C474" s="259"/>
      <c r="D474" s="259"/>
      <c r="E474" s="259"/>
      <c r="F474" s="261"/>
      <c r="G474" s="259"/>
      <c r="H474" s="259"/>
      <c r="I474" s="259"/>
      <c r="J474" s="262"/>
      <c r="K474" s="259"/>
      <c r="L474" s="259"/>
      <c r="M474" s="259"/>
      <c r="N474" s="259"/>
      <c r="O474" s="259"/>
      <c r="P474" s="259"/>
      <c r="Q474" s="259"/>
      <c r="R474" s="259"/>
      <c r="S474" s="259"/>
      <c r="T474" s="259"/>
      <c r="U474" s="259"/>
      <c r="V474" s="259"/>
      <c r="W474" s="259"/>
      <c r="X474" s="259"/>
      <c r="Y474" s="259"/>
      <c r="Z474" s="259"/>
    </row>
    <row r="475" customFormat="false" ht="12" hidden="false" customHeight="true" outlineLevel="0" collapsed="false">
      <c r="A475" s="259"/>
      <c r="B475" s="259"/>
      <c r="C475" s="259"/>
      <c r="D475" s="259"/>
      <c r="E475" s="259"/>
      <c r="F475" s="261"/>
      <c r="G475" s="259"/>
      <c r="H475" s="259"/>
      <c r="I475" s="259"/>
      <c r="J475" s="262"/>
      <c r="K475" s="259"/>
      <c r="L475" s="259"/>
      <c r="M475" s="259"/>
      <c r="N475" s="259"/>
      <c r="O475" s="259"/>
      <c r="P475" s="259"/>
      <c r="Q475" s="259"/>
      <c r="R475" s="259"/>
      <c r="S475" s="259"/>
      <c r="T475" s="259"/>
      <c r="U475" s="259"/>
      <c r="V475" s="259"/>
      <c r="W475" s="259"/>
      <c r="X475" s="259"/>
      <c r="Y475" s="259"/>
      <c r="Z475" s="259"/>
    </row>
    <row r="476" customFormat="false" ht="12" hidden="false" customHeight="true" outlineLevel="0" collapsed="false">
      <c r="A476" s="259"/>
      <c r="B476" s="259"/>
      <c r="C476" s="259"/>
      <c r="D476" s="259"/>
      <c r="E476" s="259"/>
      <c r="F476" s="261"/>
      <c r="G476" s="259"/>
      <c r="H476" s="259"/>
      <c r="I476" s="259"/>
      <c r="J476" s="262"/>
      <c r="K476" s="259"/>
      <c r="L476" s="259"/>
      <c r="M476" s="259"/>
      <c r="N476" s="259"/>
      <c r="O476" s="259"/>
      <c r="P476" s="259"/>
      <c r="Q476" s="259"/>
      <c r="R476" s="259"/>
      <c r="S476" s="259"/>
      <c r="T476" s="259"/>
      <c r="U476" s="259"/>
      <c r="V476" s="259"/>
      <c r="W476" s="259"/>
      <c r="X476" s="259"/>
      <c r="Y476" s="259"/>
      <c r="Z476" s="259"/>
    </row>
    <row r="477" customFormat="false" ht="12" hidden="false" customHeight="true" outlineLevel="0" collapsed="false">
      <c r="A477" s="259"/>
      <c r="B477" s="259"/>
      <c r="C477" s="259"/>
      <c r="D477" s="259"/>
      <c r="E477" s="259"/>
      <c r="F477" s="261"/>
      <c r="G477" s="259"/>
      <c r="H477" s="259"/>
      <c r="I477" s="259"/>
      <c r="J477" s="262"/>
      <c r="K477" s="259"/>
      <c r="L477" s="259"/>
      <c r="M477" s="259"/>
      <c r="N477" s="259"/>
      <c r="O477" s="259"/>
      <c r="P477" s="259"/>
      <c r="Q477" s="259"/>
      <c r="R477" s="259"/>
      <c r="S477" s="259"/>
      <c r="T477" s="259"/>
      <c r="U477" s="259"/>
      <c r="V477" s="259"/>
      <c r="W477" s="259"/>
      <c r="X477" s="259"/>
      <c r="Y477" s="259"/>
      <c r="Z477" s="259"/>
    </row>
    <row r="478" customFormat="false" ht="12" hidden="false" customHeight="true" outlineLevel="0" collapsed="false">
      <c r="A478" s="259"/>
      <c r="B478" s="259"/>
      <c r="C478" s="259"/>
      <c r="D478" s="259"/>
      <c r="E478" s="259"/>
      <c r="F478" s="261"/>
      <c r="G478" s="259"/>
      <c r="H478" s="259"/>
      <c r="I478" s="259"/>
      <c r="J478" s="262"/>
      <c r="K478" s="259"/>
      <c r="L478" s="259"/>
      <c r="M478" s="259"/>
      <c r="N478" s="259"/>
      <c r="O478" s="259"/>
      <c r="P478" s="259"/>
      <c r="Q478" s="259"/>
      <c r="R478" s="259"/>
      <c r="S478" s="259"/>
      <c r="T478" s="259"/>
      <c r="U478" s="259"/>
      <c r="V478" s="259"/>
      <c r="W478" s="259"/>
      <c r="X478" s="259"/>
      <c r="Y478" s="259"/>
      <c r="Z478" s="259"/>
    </row>
    <row r="479" customFormat="false" ht="12" hidden="false" customHeight="true" outlineLevel="0" collapsed="false">
      <c r="A479" s="259"/>
      <c r="B479" s="259"/>
      <c r="C479" s="259"/>
      <c r="D479" s="259"/>
      <c r="E479" s="259"/>
      <c r="F479" s="261"/>
      <c r="G479" s="259"/>
      <c r="H479" s="259"/>
      <c r="I479" s="259"/>
      <c r="J479" s="262"/>
      <c r="K479" s="259"/>
      <c r="L479" s="259"/>
      <c r="M479" s="259"/>
      <c r="N479" s="259"/>
      <c r="O479" s="259"/>
      <c r="P479" s="259"/>
      <c r="Q479" s="259"/>
      <c r="R479" s="259"/>
      <c r="S479" s="259"/>
      <c r="T479" s="259"/>
      <c r="U479" s="259"/>
      <c r="V479" s="259"/>
      <c r="W479" s="259"/>
      <c r="X479" s="259"/>
      <c r="Y479" s="259"/>
      <c r="Z479" s="259"/>
    </row>
    <row r="480" customFormat="false" ht="12" hidden="false" customHeight="true" outlineLevel="0" collapsed="false">
      <c r="A480" s="259"/>
      <c r="B480" s="259"/>
      <c r="C480" s="259"/>
      <c r="D480" s="259"/>
      <c r="E480" s="259"/>
      <c r="F480" s="261"/>
      <c r="G480" s="259"/>
      <c r="H480" s="259"/>
      <c r="I480" s="259"/>
      <c r="J480" s="262"/>
      <c r="K480" s="259"/>
      <c r="L480" s="259"/>
      <c r="M480" s="259"/>
      <c r="N480" s="259"/>
      <c r="O480" s="259"/>
      <c r="P480" s="259"/>
      <c r="Q480" s="259"/>
      <c r="R480" s="259"/>
      <c r="S480" s="259"/>
      <c r="T480" s="259"/>
      <c r="U480" s="259"/>
      <c r="V480" s="259"/>
      <c r="W480" s="259"/>
      <c r="X480" s="259"/>
      <c r="Y480" s="259"/>
      <c r="Z480" s="259"/>
    </row>
    <row r="481" customFormat="false" ht="12" hidden="false" customHeight="true" outlineLevel="0" collapsed="false">
      <c r="A481" s="259"/>
      <c r="B481" s="259"/>
      <c r="C481" s="259"/>
      <c r="D481" s="259"/>
      <c r="E481" s="259"/>
      <c r="F481" s="261"/>
      <c r="G481" s="259"/>
      <c r="H481" s="259"/>
      <c r="I481" s="259"/>
      <c r="J481" s="262"/>
      <c r="K481" s="259"/>
      <c r="L481" s="259"/>
      <c r="M481" s="259"/>
      <c r="N481" s="259"/>
      <c r="O481" s="259"/>
      <c r="P481" s="259"/>
      <c r="Q481" s="259"/>
      <c r="R481" s="259"/>
      <c r="S481" s="259"/>
      <c r="T481" s="259"/>
      <c r="U481" s="259"/>
      <c r="V481" s="259"/>
      <c r="W481" s="259"/>
      <c r="X481" s="259"/>
      <c r="Y481" s="259"/>
      <c r="Z481" s="259"/>
    </row>
    <row r="482" customFormat="false" ht="12" hidden="false" customHeight="true" outlineLevel="0" collapsed="false">
      <c r="A482" s="259"/>
      <c r="B482" s="259"/>
      <c r="C482" s="259"/>
      <c r="D482" s="259"/>
      <c r="E482" s="259"/>
      <c r="F482" s="261"/>
      <c r="G482" s="259"/>
      <c r="H482" s="259"/>
      <c r="I482" s="259"/>
      <c r="J482" s="262"/>
      <c r="K482" s="259"/>
      <c r="L482" s="259"/>
      <c r="M482" s="259"/>
      <c r="N482" s="259"/>
      <c r="O482" s="259"/>
      <c r="P482" s="259"/>
      <c r="Q482" s="259"/>
      <c r="R482" s="259"/>
      <c r="S482" s="259"/>
      <c r="T482" s="259"/>
      <c r="U482" s="259"/>
      <c r="V482" s="259"/>
      <c r="W482" s="259"/>
      <c r="X482" s="259"/>
      <c r="Y482" s="259"/>
      <c r="Z482" s="259"/>
    </row>
    <row r="483" customFormat="false" ht="12" hidden="false" customHeight="true" outlineLevel="0" collapsed="false">
      <c r="A483" s="259"/>
      <c r="B483" s="259"/>
      <c r="C483" s="259"/>
      <c r="D483" s="259"/>
      <c r="E483" s="259"/>
      <c r="F483" s="261"/>
      <c r="G483" s="259"/>
      <c r="H483" s="259"/>
      <c r="I483" s="259"/>
      <c r="J483" s="262"/>
      <c r="K483" s="259"/>
      <c r="L483" s="259"/>
      <c r="M483" s="259"/>
      <c r="N483" s="259"/>
      <c r="O483" s="259"/>
      <c r="P483" s="259"/>
      <c r="Q483" s="259"/>
      <c r="R483" s="259"/>
      <c r="S483" s="259"/>
      <c r="T483" s="259"/>
      <c r="U483" s="259"/>
      <c r="V483" s="259"/>
      <c r="W483" s="259"/>
      <c r="X483" s="259"/>
      <c r="Y483" s="259"/>
      <c r="Z483" s="259"/>
    </row>
    <row r="484" customFormat="false" ht="12" hidden="false" customHeight="true" outlineLevel="0" collapsed="false">
      <c r="A484" s="259"/>
      <c r="B484" s="259"/>
      <c r="C484" s="259"/>
      <c r="D484" s="259"/>
      <c r="E484" s="259"/>
      <c r="F484" s="261"/>
      <c r="G484" s="259"/>
      <c r="H484" s="259"/>
      <c r="I484" s="259"/>
      <c r="J484" s="262"/>
      <c r="K484" s="259"/>
      <c r="L484" s="259"/>
      <c r="M484" s="259"/>
      <c r="N484" s="259"/>
      <c r="O484" s="259"/>
      <c r="P484" s="259"/>
      <c r="Q484" s="259"/>
      <c r="R484" s="259"/>
      <c r="S484" s="259"/>
      <c r="T484" s="259"/>
      <c r="U484" s="259"/>
      <c r="V484" s="259"/>
      <c r="W484" s="259"/>
      <c r="X484" s="259"/>
      <c r="Y484" s="259"/>
      <c r="Z484" s="259"/>
    </row>
    <row r="485" customFormat="false" ht="12" hidden="false" customHeight="true" outlineLevel="0" collapsed="false">
      <c r="A485" s="259"/>
      <c r="B485" s="259"/>
      <c r="C485" s="259"/>
      <c r="D485" s="259"/>
      <c r="E485" s="259"/>
      <c r="F485" s="261"/>
      <c r="G485" s="259"/>
      <c r="H485" s="259"/>
      <c r="I485" s="259"/>
      <c r="J485" s="262"/>
      <c r="K485" s="259"/>
      <c r="L485" s="259"/>
      <c r="M485" s="259"/>
      <c r="N485" s="259"/>
      <c r="O485" s="259"/>
      <c r="P485" s="259"/>
      <c r="Q485" s="259"/>
      <c r="R485" s="259"/>
      <c r="S485" s="259"/>
      <c r="T485" s="259"/>
      <c r="U485" s="259"/>
      <c r="V485" s="259"/>
      <c r="W485" s="259"/>
      <c r="X485" s="259"/>
      <c r="Y485" s="259"/>
      <c r="Z485" s="259"/>
    </row>
    <row r="486" customFormat="false" ht="12" hidden="false" customHeight="true" outlineLevel="0" collapsed="false">
      <c r="A486" s="259"/>
      <c r="B486" s="259"/>
      <c r="C486" s="259"/>
      <c r="D486" s="259"/>
      <c r="E486" s="259"/>
      <c r="F486" s="261"/>
      <c r="G486" s="259"/>
      <c r="H486" s="259"/>
      <c r="I486" s="259"/>
      <c r="J486" s="262"/>
      <c r="K486" s="259"/>
      <c r="L486" s="259"/>
      <c r="M486" s="259"/>
      <c r="N486" s="259"/>
      <c r="O486" s="259"/>
      <c r="P486" s="259"/>
      <c r="Q486" s="259"/>
      <c r="R486" s="259"/>
      <c r="S486" s="259"/>
      <c r="T486" s="259"/>
      <c r="U486" s="259"/>
      <c r="V486" s="259"/>
      <c r="W486" s="259"/>
      <c r="X486" s="259"/>
      <c r="Y486" s="259"/>
      <c r="Z486" s="259"/>
    </row>
    <row r="487" customFormat="false" ht="12" hidden="false" customHeight="true" outlineLevel="0" collapsed="false">
      <c r="A487" s="259"/>
      <c r="B487" s="259"/>
      <c r="C487" s="259"/>
      <c r="D487" s="259"/>
      <c r="E487" s="259"/>
      <c r="F487" s="261"/>
      <c r="G487" s="259"/>
      <c r="H487" s="259"/>
      <c r="I487" s="259"/>
      <c r="J487" s="262"/>
      <c r="K487" s="259"/>
      <c r="L487" s="259"/>
      <c r="M487" s="259"/>
      <c r="N487" s="259"/>
      <c r="O487" s="259"/>
      <c r="P487" s="259"/>
      <c r="Q487" s="259"/>
      <c r="R487" s="259"/>
      <c r="S487" s="259"/>
      <c r="T487" s="259"/>
      <c r="U487" s="259"/>
      <c r="V487" s="259"/>
      <c r="W487" s="259"/>
      <c r="X487" s="259"/>
      <c r="Y487" s="259"/>
      <c r="Z487" s="259"/>
    </row>
    <row r="488" customFormat="false" ht="12" hidden="false" customHeight="true" outlineLevel="0" collapsed="false">
      <c r="A488" s="259"/>
      <c r="B488" s="259"/>
      <c r="C488" s="259"/>
      <c r="D488" s="259"/>
      <c r="E488" s="259"/>
      <c r="F488" s="261"/>
      <c r="G488" s="259"/>
      <c r="H488" s="259"/>
      <c r="I488" s="259"/>
      <c r="J488" s="262"/>
      <c r="K488" s="259"/>
      <c r="L488" s="259"/>
      <c r="M488" s="259"/>
      <c r="N488" s="259"/>
      <c r="O488" s="259"/>
      <c r="P488" s="259"/>
      <c r="Q488" s="259"/>
      <c r="R488" s="259"/>
      <c r="S488" s="259"/>
      <c r="T488" s="259"/>
      <c r="U488" s="259"/>
      <c r="V488" s="259"/>
      <c r="W488" s="259"/>
      <c r="X488" s="259"/>
      <c r="Y488" s="259"/>
      <c r="Z488" s="259"/>
    </row>
    <row r="489" customFormat="false" ht="12" hidden="false" customHeight="true" outlineLevel="0" collapsed="false">
      <c r="A489" s="259"/>
      <c r="B489" s="259"/>
      <c r="C489" s="259"/>
      <c r="D489" s="259"/>
      <c r="E489" s="259"/>
      <c r="F489" s="261"/>
      <c r="G489" s="259"/>
      <c r="H489" s="259"/>
      <c r="I489" s="259"/>
      <c r="J489" s="262"/>
      <c r="K489" s="259"/>
      <c r="L489" s="259"/>
      <c r="M489" s="259"/>
      <c r="N489" s="259"/>
      <c r="O489" s="259"/>
      <c r="P489" s="259"/>
      <c r="Q489" s="259"/>
      <c r="R489" s="259"/>
      <c r="S489" s="259"/>
      <c r="T489" s="259"/>
      <c r="U489" s="259"/>
      <c r="V489" s="259"/>
      <c r="W489" s="259"/>
      <c r="X489" s="259"/>
      <c r="Y489" s="259"/>
      <c r="Z489" s="259"/>
    </row>
    <row r="490" customFormat="false" ht="12" hidden="false" customHeight="true" outlineLevel="0" collapsed="false">
      <c r="A490" s="259"/>
      <c r="B490" s="259"/>
      <c r="C490" s="259"/>
      <c r="D490" s="259"/>
      <c r="E490" s="259"/>
      <c r="F490" s="261"/>
      <c r="G490" s="259"/>
      <c r="H490" s="259"/>
      <c r="I490" s="259"/>
      <c r="J490" s="262"/>
      <c r="K490" s="259"/>
      <c r="L490" s="259"/>
      <c r="M490" s="259"/>
      <c r="N490" s="259"/>
      <c r="O490" s="259"/>
      <c r="P490" s="259"/>
      <c r="Q490" s="259"/>
      <c r="R490" s="259"/>
      <c r="S490" s="259"/>
      <c r="T490" s="259"/>
      <c r="U490" s="259"/>
      <c r="V490" s="259"/>
      <c r="W490" s="259"/>
      <c r="X490" s="259"/>
      <c r="Y490" s="259"/>
      <c r="Z490" s="259"/>
    </row>
    <row r="491" customFormat="false" ht="12" hidden="false" customHeight="true" outlineLevel="0" collapsed="false">
      <c r="A491" s="259"/>
      <c r="B491" s="259"/>
      <c r="C491" s="259"/>
      <c r="D491" s="259"/>
      <c r="E491" s="259"/>
      <c r="F491" s="261"/>
      <c r="G491" s="259"/>
      <c r="H491" s="259"/>
      <c r="I491" s="259"/>
      <c r="J491" s="262"/>
      <c r="K491" s="259"/>
      <c r="L491" s="259"/>
      <c r="M491" s="259"/>
      <c r="N491" s="259"/>
      <c r="O491" s="259"/>
      <c r="P491" s="259"/>
      <c r="Q491" s="259"/>
      <c r="R491" s="259"/>
      <c r="S491" s="259"/>
      <c r="T491" s="259"/>
      <c r="U491" s="259"/>
      <c r="V491" s="259"/>
      <c r="W491" s="259"/>
      <c r="X491" s="259"/>
      <c r="Y491" s="259"/>
      <c r="Z491" s="259"/>
    </row>
    <row r="492" customFormat="false" ht="12" hidden="false" customHeight="true" outlineLevel="0" collapsed="false">
      <c r="A492" s="259"/>
      <c r="B492" s="259"/>
      <c r="C492" s="259"/>
      <c r="D492" s="259"/>
      <c r="E492" s="259"/>
      <c r="F492" s="261"/>
      <c r="G492" s="259"/>
      <c r="H492" s="259"/>
      <c r="I492" s="259"/>
      <c r="J492" s="262"/>
      <c r="K492" s="259"/>
      <c r="L492" s="259"/>
      <c r="M492" s="259"/>
      <c r="N492" s="259"/>
      <c r="O492" s="259"/>
      <c r="P492" s="259"/>
      <c r="Q492" s="259"/>
      <c r="R492" s="259"/>
      <c r="S492" s="259"/>
      <c r="T492" s="259"/>
      <c r="U492" s="259"/>
      <c r="V492" s="259"/>
      <c r="W492" s="259"/>
      <c r="X492" s="259"/>
      <c r="Y492" s="259"/>
      <c r="Z492" s="259"/>
    </row>
    <row r="493" customFormat="false" ht="12" hidden="false" customHeight="true" outlineLevel="0" collapsed="false">
      <c r="A493" s="259"/>
      <c r="B493" s="259"/>
      <c r="C493" s="259"/>
      <c r="D493" s="259"/>
      <c r="E493" s="259"/>
      <c r="F493" s="261"/>
      <c r="G493" s="259"/>
      <c r="H493" s="259"/>
      <c r="I493" s="259"/>
      <c r="J493" s="262"/>
      <c r="K493" s="259"/>
      <c r="L493" s="259"/>
      <c r="M493" s="259"/>
      <c r="N493" s="259"/>
      <c r="O493" s="259"/>
      <c r="P493" s="259"/>
      <c r="Q493" s="259"/>
      <c r="R493" s="259"/>
      <c r="S493" s="259"/>
      <c r="T493" s="259"/>
      <c r="U493" s="259"/>
      <c r="V493" s="259"/>
      <c r="W493" s="259"/>
      <c r="X493" s="259"/>
      <c r="Y493" s="259"/>
      <c r="Z493" s="259"/>
    </row>
    <row r="494" customFormat="false" ht="12" hidden="false" customHeight="true" outlineLevel="0" collapsed="false">
      <c r="A494" s="259"/>
      <c r="B494" s="259"/>
      <c r="C494" s="259"/>
      <c r="D494" s="259"/>
      <c r="E494" s="259"/>
      <c r="F494" s="261"/>
      <c r="G494" s="259"/>
      <c r="H494" s="259"/>
      <c r="I494" s="259"/>
      <c r="J494" s="262"/>
      <c r="K494" s="259"/>
      <c r="L494" s="259"/>
      <c r="M494" s="259"/>
      <c r="N494" s="259"/>
      <c r="O494" s="259"/>
      <c r="P494" s="259"/>
      <c r="Q494" s="259"/>
      <c r="R494" s="259"/>
      <c r="S494" s="259"/>
      <c r="T494" s="259"/>
      <c r="U494" s="259"/>
      <c r="V494" s="259"/>
      <c r="W494" s="259"/>
      <c r="X494" s="259"/>
      <c r="Y494" s="259"/>
      <c r="Z494" s="259"/>
    </row>
    <row r="495" customFormat="false" ht="12" hidden="false" customHeight="true" outlineLevel="0" collapsed="false">
      <c r="A495" s="259"/>
      <c r="B495" s="259"/>
      <c r="C495" s="259"/>
      <c r="D495" s="259"/>
      <c r="E495" s="259"/>
      <c r="F495" s="261"/>
      <c r="G495" s="259"/>
      <c r="H495" s="259"/>
      <c r="I495" s="259"/>
      <c r="J495" s="262"/>
      <c r="K495" s="259"/>
      <c r="L495" s="259"/>
      <c r="M495" s="259"/>
      <c r="N495" s="259"/>
      <c r="O495" s="259"/>
      <c r="P495" s="259"/>
      <c r="Q495" s="259"/>
      <c r="R495" s="259"/>
      <c r="S495" s="259"/>
      <c r="T495" s="259"/>
      <c r="U495" s="259"/>
      <c r="V495" s="259"/>
      <c r="W495" s="259"/>
      <c r="X495" s="259"/>
      <c r="Y495" s="259"/>
      <c r="Z495" s="259"/>
    </row>
    <row r="496" customFormat="false" ht="12" hidden="false" customHeight="true" outlineLevel="0" collapsed="false">
      <c r="A496" s="259"/>
      <c r="B496" s="259"/>
      <c r="C496" s="259"/>
      <c r="D496" s="259"/>
      <c r="E496" s="259"/>
      <c r="F496" s="261"/>
      <c r="G496" s="259"/>
      <c r="H496" s="259"/>
      <c r="I496" s="259"/>
      <c r="J496" s="262"/>
      <c r="K496" s="259"/>
      <c r="L496" s="259"/>
      <c r="M496" s="259"/>
      <c r="N496" s="259"/>
      <c r="O496" s="259"/>
      <c r="P496" s="259"/>
      <c r="Q496" s="259"/>
      <c r="R496" s="259"/>
      <c r="S496" s="259"/>
      <c r="T496" s="259"/>
      <c r="U496" s="259"/>
      <c r="V496" s="259"/>
      <c r="W496" s="259"/>
      <c r="X496" s="259"/>
      <c r="Y496" s="259"/>
      <c r="Z496" s="259"/>
    </row>
    <row r="497" customFormat="false" ht="12" hidden="false" customHeight="true" outlineLevel="0" collapsed="false">
      <c r="A497" s="259"/>
      <c r="B497" s="259"/>
      <c r="C497" s="259"/>
      <c r="D497" s="259"/>
      <c r="E497" s="259"/>
      <c r="F497" s="261"/>
      <c r="G497" s="259"/>
      <c r="H497" s="259"/>
      <c r="I497" s="259"/>
      <c r="J497" s="262"/>
      <c r="K497" s="259"/>
      <c r="L497" s="259"/>
      <c r="M497" s="259"/>
      <c r="N497" s="259"/>
      <c r="O497" s="259"/>
      <c r="P497" s="259"/>
      <c r="Q497" s="259"/>
      <c r="R497" s="259"/>
      <c r="S497" s="259"/>
      <c r="T497" s="259"/>
      <c r="U497" s="259"/>
      <c r="V497" s="259"/>
      <c r="W497" s="259"/>
      <c r="X497" s="259"/>
      <c r="Y497" s="259"/>
      <c r="Z497" s="259"/>
    </row>
    <row r="498" customFormat="false" ht="12" hidden="false" customHeight="true" outlineLevel="0" collapsed="false">
      <c r="A498" s="259"/>
      <c r="B498" s="259"/>
      <c r="C498" s="259"/>
      <c r="D498" s="259"/>
      <c r="E498" s="259"/>
      <c r="F498" s="261"/>
      <c r="G498" s="259"/>
      <c r="H498" s="259"/>
      <c r="I498" s="259"/>
      <c r="J498" s="262"/>
      <c r="K498" s="259"/>
      <c r="L498" s="259"/>
      <c r="M498" s="259"/>
      <c r="N498" s="259"/>
      <c r="O498" s="259"/>
      <c r="P498" s="259"/>
      <c r="Q498" s="259"/>
      <c r="R498" s="259"/>
      <c r="S498" s="259"/>
      <c r="T498" s="259"/>
      <c r="U498" s="259"/>
      <c r="V498" s="259"/>
      <c r="W498" s="259"/>
      <c r="X498" s="259"/>
      <c r="Y498" s="259"/>
      <c r="Z498" s="259"/>
    </row>
    <row r="499" customFormat="false" ht="12" hidden="false" customHeight="true" outlineLevel="0" collapsed="false">
      <c r="A499" s="259"/>
      <c r="B499" s="259"/>
      <c r="C499" s="259"/>
      <c r="D499" s="259"/>
      <c r="E499" s="259"/>
      <c r="F499" s="261"/>
      <c r="G499" s="259"/>
      <c r="H499" s="259"/>
      <c r="I499" s="259"/>
      <c r="J499" s="262"/>
      <c r="K499" s="259"/>
      <c r="L499" s="259"/>
      <c r="M499" s="259"/>
      <c r="N499" s="259"/>
      <c r="O499" s="259"/>
      <c r="P499" s="259"/>
      <c r="Q499" s="259"/>
      <c r="R499" s="259"/>
      <c r="S499" s="259"/>
      <c r="T499" s="259"/>
      <c r="U499" s="259"/>
      <c r="V499" s="259"/>
      <c r="W499" s="259"/>
      <c r="X499" s="259"/>
      <c r="Y499" s="259"/>
      <c r="Z499" s="259"/>
    </row>
    <row r="500" customFormat="false" ht="12" hidden="false" customHeight="true" outlineLevel="0" collapsed="false">
      <c r="A500" s="259"/>
      <c r="B500" s="259"/>
      <c r="C500" s="259"/>
      <c r="D500" s="259"/>
      <c r="E500" s="259"/>
      <c r="F500" s="261"/>
      <c r="G500" s="259"/>
      <c r="H500" s="259"/>
      <c r="I500" s="259"/>
      <c r="J500" s="262"/>
      <c r="K500" s="259"/>
      <c r="L500" s="259"/>
      <c r="M500" s="259"/>
      <c r="N500" s="259"/>
      <c r="O500" s="259"/>
      <c r="P500" s="259"/>
      <c r="Q500" s="259"/>
      <c r="R500" s="259"/>
      <c r="S500" s="259"/>
      <c r="T500" s="259"/>
      <c r="U500" s="259"/>
      <c r="V500" s="259"/>
      <c r="W500" s="259"/>
      <c r="X500" s="259"/>
      <c r="Y500" s="259"/>
      <c r="Z500" s="259"/>
    </row>
    <row r="501" customFormat="false" ht="12" hidden="false" customHeight="true" outlineLevel="0" collapsed="false">
      <c r="A501" s="259"/>
      <c r="B501" s="259"/>
      <c r="C501" s="259"/>
      <c r="D501" s="259"/>
      <c r="E501" s="259"/>
      <c r="F501" s="261"/>
      <c r="G501" s="259"/>
      <c r="H501" s="259"/>
      <c r="I501" s="259"/>
      <c r="J501" s="262"/>
      <c r="K501" s="259"/>
      <c r="L501" s="259"/>
      <c r="M501" s="259"/>
      <c r="N501" s="259"/>
      <c r="O501" s="259"/>
      <c r="P501" s="259"/>
      <c r="Q501" s="259"/>
      <c r="R501" s="259"/>
      <c r="S501" s="259"/>
      <c r="T501" s="259"/>
      <c r="U501" s="259"/>
      <c r="V501" s="259"/>
      <c r="W501" s="259"/>
      <c r="X501" s="259"/>
      <c r="Y501" s="259"/>
      <c r="Z501" s="259"/>
    </row>
    <row r="502" customFormat="false" ht="12" hidden="false" customHeight="true" outlineLevel="0" collapsed="false">
      <c r="A502" s="259"/>
      <c r="B502" s="259"/>
      <c r="C502" s="259"/>
      <c r="D502" s="259"/>
      <c r="E502" s="259"/>
      <c r="F502" s="261"/>
      <c r="G502" s="259"/>
      <c r="H502" s="259"/>
      <c r="I502" s="259"/>
      <c r="J502" s="262"/>
      <c r="K502" s="259"/>
      <c r="L502" s="259"/>
      <c r="M502" s="259"/>
      <c r="N502" s="259"/>
      <c r="O502" s="259"/>
      <c r="P502" s="259"/>
      <c r="Q502" s="259"/>
      <c r="R502" s="259"/>
      <c r="S502" s="259"/>
      <c r="T502" s="259"/>
      <c r="U502" s="259"/>
      <c r="V502" s="259"/>
      <c r="W502" s="259"/>
      <c r="X502" s="259"/>
      <c r="Y502" s="259"/>
      <c r="Z502" s="259"/>
    </row>
    <row r="503" customFormat="false" ht="12" hidden="false" customHeight="true" outlineLevel="0" collapsed="false">
      <c r="A503" s="259"/>
      <c r="B503" s="259"/>
      <c r="C503" s="259"/>
      <c r="D503" s="259"/>
      <c r="E503" s="259"/>
      <c r="F503" s="261"/>
      <c r="G503" s="259"/>
      <c r="H503" s="259"/>
      <c r="I503" s="259"/>
      <c r="J503" s="262"/>
      <c r="K503" s="259"/>
      <c r="L503" s="259"/>
      <c r="M503" s="259"/>
      <c r="N503" s="259"/>
      <c r="O503" s="259"/>
      <c r="P503" s="259"/>
      <c r="Q503" s="259"/>
      <c r="R503" s="259"/>
      <c r="S503" s="259"/>
      <c r="T503" s="259"/>
      <c r="U503" s="259"/>
      <c r="V503" s="259"/>
      <c r="W503" s="259"/>
      <c r="X503" s="259"/>
      <c r="Y503" s="259"/>
      <c r="Z503" s="259"/>
    </row>
    <row r="504" customFormat="false" ht="12" hidden="false" customHeight="true" outlineLevel="0" collapsed="false">
      <c r="A504" s="259"/>
      <c r="B504" s="259"/>
      <c r="C504" s="259"/>
      <c r="D504" s="259"/>
      <c r="E504" s="259"/>
      <c r="F504" s="261"/>
      <c r="G504" s="259"/>
      <c r="H504" s="259"/>
      <c r="I504" s="259"/>
      <c r="J504" s="262"/>
      <c r="K504" s="259"/>
      <c r="L504" s="259"/>
      <c r="M504" s="259"/>
      <c r="N504" s="259"/>
      <c r="O504" s="259"/>
      <c r="P504" s="259"/>
      <c r="Q504" s="259"/>
      <c r="R504" s="259"/>
      <c r="S504" s="259"/>
      <c r="T504" s="259"/>
      <c r="U504" s="259"/>
      <c r="V504" s="259"/>
      <c r="W504" s="259"/>
      <c r="X504" s="259"/>
      <c r="Y504" s="259"/>
      <c r="Z504" s="259"/>
    </row>
    <row r="505" customFormat="false" ht="12" hidden="false" customHeight="true" outlineLevel="0" collapsed="false">
      <c r="A505" s="259"/>
      <c r="B505" s="259"/>
      <c r="C505" s="259"/>
      <c r="D505" s="259"/>
      <c r="E505" s="259"/>
      <c r="F505" s="261"/>
      <c r="G505" s="259"/>
      <c r="H505" s="259"/>
      <c r="I505" s="259"/>
      <c r="J505" s="262"/>
      <c r="K505" s="259"/>
      <c r="L505" s="259"/>
      <c r="M505" s="259"/>
      <c r="N505" s="259"/>
      <c r="O505" s="259"/>
      <c r="P505" s="259"/>
      <c r="Q505" s="259"/>
      <c r="R505" s="259"/>
      <c r="S505" s="259"/>
      <c r="T505" s="259"/>
      <c r="U505" s="259"/>
      <c r="V505" s="259"/>
      <c r="W505" s="259"/>
      <c r="X505" s="259"/>
      <c r="Y505" s="259"/>
      <c r="Z505" s="259"/>
    </row>
    <row r="506" customFormat="false" ht="12" hidden="false" customHeight="true" outlineLevel="0" collapsed="false">
      <c r="A506" s="259"/>
      <c r="B506" s="259"/>
      <c r="C506" s="259"/>
      <c r="D506" s="259"/>
      <c r="E506" s="259"/>
      <c r="F506" s="261"/>
      <c r="G506" s="259"/>
      <c r="H506" s="259"/>
      <c r="I506" s="259"/>
      <c r="J506" s="262"/>
      <c r="K506" s="259"/>
      <c r="L506" s="259"/>
      <c r="M506" s="259"/>
      <c r="N506" s="259"/>
      <c r="O506" s="259"/>
      <c r="P506" s="259"/>
      <c r="Q506" s="259"/>
      <c r="R506" s="259"/>
      <c r="S506" s="259"/>
      <c r="T506" s="259"/>
      <c r="U506" s="259"/>
      <c r="V506" s="259"/>
      <c r="W506" s="259"/>
      <c r="X506" s="259"/>
      <c r="Y506" s="259"/>
      <c r="Z506" s="259"/>
    </row>
    <row r="507" customFormat="false" ht="12" hidden="false" customHeight="true" outlineLevel="0" collapsed="false">
      <c r="A507" s="259"/>
      <c r="B507" s="259"/>
      <c r="C507" s="259"/>
      <c r="D507" s="259"/>
      <c r="E507" s="259"/>
      <c r="F507" s="261"/>
      <c r="G507" s="259"/>
      <c r="H507" s="259"/>
      <c r="I507" s="259"/>
      <c r="J507" s="262"/>
      <c r="K507" s="259"/>
      <c r="L507" s="259"/>
      <c r="M507" s="259"/>
      <c r="N507" s="259"/>
      <c r="O507" s="259"/>
      <c r="P507" s="259"/>
      <c r="Q507" s="259"/>
      <c r="R507" s="259"/>
      <c r="S507" s="259"/>
      <c r="T507" s="259"/>
      <c r="U507" s="259"/>
      <c r="V507" s="259"/>
      <c r="W507" s="259"/>
      <c r="X507" s="259"/>
      <c r="Y507" s="259"/>
      <c r="Z507" s="259"/>
    </row>
    <row r="508" customFormat="false" ht="12" hidden="false" customHeight="true" outlineLevel="0" collapsed="false">
      <c r="A508" s="259"/>
      <c r="B508" s="259"/>
      <c r="C508" s="259"/>
      <c r="D508" s="259"/>
      <c r="E508" s="259"/>
      <c r="F508" s="261"/>
      <c r="G508" s="259"/>
      <c r="H508" s="259"/>
      <c r="I508" s="259"/>
      <c r="J508" s="262"/>
      <c r="K508" s="259"/>
      <c r="L508" s="259"/>
      <c r="M508" s="259"/>
      <c r="N508" s="259"/>
      <c r="O508" s="259"/>
      <c r="P508" s="259"/>
      <c r="Q508" s="259"/>
      <c r="R508" s="259"/>
      <c r="S508" s="259"/>
      <c r="T508" s="259"/>
      <c r="U508" s="259"/>
      <c r="V508" s="259"/>
      <c r="W508" s="259"/>
      <c r="X508" s="259"/>
      <c r="Y508" s="259"/>
      <c r="Z508" s="259"/>
    </row>
    <row r="509" customFormat="false" ht="12" hidden="false" customHeight="true" outlineLevel="0" collapsed="false">
      <c r="A509" s="259"/>
      <c r="B509" s="259"/>
      <c r="C509" s="259"/>
      <c r="D509" s="259"/>
      <c r="E509" s="259"/>
      <c r="F509" s="261"/>
      <c r="G509" s="259"/>
      <c r="H509" s="259"/>
      <c r="I509" s="259"/>
      <c r="J509" s="262"/>
      <c r="K509" s="259"/>
      <c r="L509" s="259"/>
      <c r="M509" s="259"/>
      <c r="N509" s="259"/>
      <c r="O509" s="259"/>
      <c r="P509" s="259"/>
      <c r="Q509" s="259"/>
      <c r="R509" s="259"/>
      <c r="S509" s="259"/>
      <c r="T509" s="259"/>
      <c r="U509" s="259"/>
      <c r="V509" s="259"/>
      <c r="W509" s="259"/>
      <c r="X509" s="259"/>
      <c r="Y509" s="259"/>
      <c r="Z509" s="259"/>
    </row>
    <row r="510" customFormat="false" ht="12" hidden="false" customHeight="true" outlineLevel="0" collapsed="false">
      <c r="A510" s="259"/>
      <c r="B510" s="259"/>
      <c r="C510" s="259"/>
      <c r="D510" s="259"/>
      <c r="E510" s="259"/>
      <c r="F510" s="261"/>
      <c r="G510" s="259"/>
      <c r="H510" s="259"/>
      <c r="I510" s="259"/>
      <c r="J510" s="262"/>
      <c r="K510" s="259"/>
      <c r="L510" s="259"/>
      <c r="M510" s="259"/>
      <c r="N510" s="259"/>
      <c r="O510" s="259"/>
      <c r="P510" s="259"/>
      <c r="Q510" s="259"/>
      <c r="R510" s="259"/>
      <c r="S510" s="259"/>
      <c r="T510" s="259"/>
      <c r="U510" s="259"/>
      <c r="V510" s="259"/>
      <c r="W510" s="259"/>
      <c r="X510" s="259"/>
      <c r="Y510" s="259"/>
      <c r="Z510" s="259"/>
    </row>
    <row r="511" customFormat="false" ht="12" hidden="false" customHeight="true" outlineLevel="0" collapsed="false">
      <c r="A511" s="259"/>
      <c r="B511" s="259"/>
      <c r="C511" s="259"/>
      <c r="D511" s="259"/>
      <c r="E511" s="259"/>
      <c r="F511" s="261"/>
      <c r="G511" s="259"/>
      <c r="H511" s="259"/>
      <c r="I511" s="259"/>
      <c r="J511" s="262"/>
      <c r="K511" s="259"/>
      <c r="L511" s="259"/>
      <c r="M511" s="259"/>
      <c r="N511" s="259"/>
      <c r="O511" s="259"/>
      <c r="P511" s="259"/>
      <c r="Q511" s="259"/>
      <c r="R511" s="259"/>
      <c r="S511" s="259"/>
      <c r="T511" s="259"/>
      <c r="U511" s="259"/>
      <c r="V511" s="259"/>
      <c r="W511" s="259"/>
      <c r="X511" s="259"/>
      <c r="Y511" s="259"/>
      <c r="Z511" s="259"/>
    </row>
    <row r="512" customFormat="false" ht="12" hidden="false" customHeight="true" outlineLevel="0" collapsed="false">
      <c r="A512" s="259"/>
      <c r="B512" s="259"/>
      <c r="C512" s="259"/>
      <c r="D512" s="259"/>
      <c r="E512" s="259"/>
      <c r="F512" s="261"/>
      <c r="G512" s="259"/>
      <c r="H512" s="259"/>
      <c r="I512" s="259"/>
      <c r="J512" s="262"/>
      <c r="K512" s="259"/>
      <c r="L512" s="259"/>
      <c r="M512" s="259"/>
      <c r="N512" s="259"/>
      <c r="O512" s="259"/>
      <c r="P512" s="259"/>
      <c r="Q512" s="259"/>
      <c r="R512" s="259"/>
      <c r="S512" s="259"/>
      <c r="T512" s="259"/>
      <c r="U512" s="259"/>
      <c r="V512" s="259"/>
      <c r="W512" s="259"/>
      <c r="X512" s="259"/>
      <c r="Y512" s="259"/>
      <c r="Z512" s="259"/>
    </row>
    <row r="513" customFormat="false" ht="12" hidden="false" customHeight="true" outlineLevel="0" collapsed="false">
      <c r="A513" s="259"/>
      <c r="B513" s="259"/>
      <c r="C513" s="259"/>
      <c r="D513" s="259"/>
      <c r="E513" s="259"/>
      <c r="F513" s="261"/>
      <c r="G513" s="259"/>
      <c r="H513" s="259"/>
      <c r="I513" s="259"/>
      <c r="J513" s="262"/>
      <c r="K513" s="259"/>
      <c r="L513" s="259"/>
      <c r="M513" s="259"/>
      <c r="N513" s="259"/>
      <c r="O513" s="259"/>
      <c r="P513" s="259"/>
      <c r="Q513" s="259"/>
      <c r="R513" s="259"/>
      <c r="S513" s="259"/>
      <c r="T513" s="259"/>
      <c r="U513" s="259"/>
      <c r="V513" s="259"/>
      <c r="W513" s="259"/>
      <c r="X513" s="259"/>
      <c r="Y513" s="259"/>
      <c r="Z513" s="259"/>
    </row>
    <row r="514" customFormat="false" ht="12" hidden="false" customHeight="true" outlineLevel="0" collapsed="false">
      <c r="A514" s="259"/>
      <c r="B514" s="259"/>
      <c r="C514" s="259"/>
      <c r="D514" s="259"/>
      <c r="E514" s="259"/>
      <c r="F514" s="261"/>
      <c r="G514" s="259"/>
      <c r="H514" s="259"/>
      <c r="I514" s="259"/>
      <c r="J514" s="262"/>
      <c r="K514" s="259"/>
      <c r="L514" s="259"/>
      <c r="M514" s="259"/>
      <c r="N514" s="259"/>
      <c r="O514" s="259"/>
      <c r="P514" s="259"/>
      <c r="Q514" s="259"/>
      <c r="R514" s="259"/>
      <c r="S514" s="259"/>
      <c r="T514" s="259"/>
      <c r="U514" s="259"/>
      <c r="V514" s="259"/>
      <c r="W514" s="259"/>
      <c r="X514" s="259"/>
      <c r="Y514" s="259"/>
      <c r="Z514" s="259"/>
    </row>
    <row r="515" customFormat="false" ht="12" hidden="false" customHeight="true" outlineLevel="0" collapsed="false">
      <c r="A515" s="259"/>
      <c r="B515" s="259"/>
      <c r="C515" s="259"/>
      <c r="D515" s="259"/>
      <c r="E515" s="259"/>
      <c r="F515" s="261"/>
      <c r="G515" s="259"/>
      <c r="H515" s="259"/>
      <c r="I515" s="259"/>
      <c r="J515" s="262"/>
      <c r="K515" s="259"/>
      <c r="L515" s="259"/>
      <c r="M515" s="259"/>
      <c r="N515" s="259"/>
      <c r="O515" s="259"/>
      <c r="P515" s="259"/>
      <c r="Q515" s="259"/>
      <c r="R515" s="259"/>
      <c r="S515" s="259"/>
      <c r="T515" s="259"/>
      <c r="U515" s="259"/>
      <c r="V515" s="259"/>
      <c r="W515" s="259"/>
      <c r="X515" s="259"/>
      <c r="Y515" s="259"/>
      <c r="Z515" s="259"/>
    </row>
    <row r="516" customFormat="false" ht="12" hidden="false" customHeight="true" outlineLevel="0" collapsed="false">
      <c r="A516" s="259"/>
      <c r="B516" s="259"/>
      <c r="C516" s="259"/>
      <c r="D516" s="259"/>
      <c r="E516" s="259"/>
      <c r="F516" s="261"/>
      <c r="G516" s="259"/>
      <c r="H516" s="259"/>
      <c r="I516" s="259"/>
      <c r="J516" s="262"/>
      <c r="K516" s="259"/>
      <c r="L516" s="259"/>
      <c r="M516" s="259"/>
      <c r="N516" s="259"/>
      <c r="O516" s="259"/>
      <c r="P516" s="259"/>
      <c r="Q516" s="259"/>
      <c r="R516" s="259"/>
      <c r="S516" s="259"/>
      <c r="T516" s="259"/>
      <c r="U516" s="259"/>
      <c r="V516" s="259"/>
      <c r="W516" s="259"/>
      <c r="X516" s="259"/>
      <c r="Y516" s="259"/>
      <c r="Z516" s="259"/>
    </row>
    <row r="517" customFormat="false" ht="12" hidden="false" customHeight="true" outlineLevel="0" collapsed="false">
      <c r="A517" s="259"/>
      <c r="B517" s="259"/>
      <c r="C517" s="259"/>
      <c r="D517" s="259"/>
      <c r="E517" s="259"/>
      <c r="F517" s="261"/>
      <c r="G517" s="259"/>
      <c r="H517" s="259"/>
      <c r="I517" s="259"/>
      <c r="J517" s="262"/>
      <c r="K517" s="259"/>
      <c r="L517" s="259"/>
      <c r="M517" s="259"/>
      <c r="N517" s="259"/>
      <c r="O517" s="259"/>
      <c r="P517" s="259"/>
      <c r="Q517" s="259"/>
      <c r="R517" s="259"/>
      <c r="S517" s="259"/>
      <c r="T517" s="259"/>
      <c r="U517" s="259"/>
      <c r="V517" s="259"/>
      <c r="W517" s="259"/>
      <c r="X517" s="259"/>
      <c r="Y517" s="259"/>
      <c r="Z517" s="259"/>
    </row>
    <row r="518" customFormat="false" ht="12" hidden="false" customHeight="true" outlineLevel="0" collapsed="false">
      <c r="A518" s="259"/>
      <c r="B518" s="259"/>
      <c r="C518" s="259"/>
      <c r="D518" s="259"/>
      <c r="E518" s="259"/>
      <c r="F518" s="261"/>
      <c r="G518" s="259"/>
      <c r="H518" s="259"/>
      <c r="I518" s="259"/>
      <c r="J518" s="262"/>
      <c r="K518" s="259"/>
      <c r="L518" s="259"/>
      <c r="M518" s="259"/>
      <c r="N518" s="259"/>
      <c r="O518" s="259"/>
      <c r="P518" s="259"/>
      <c r="Q518" s="259"/>
      <c r="R518" s="259"/>
      <c r="S518" s="259"/>
      <c r="T518" s="259"/>
      <c r="U518" s="259"/>
      <c r="V518" s="259"/>
      <c r="W518" s="259"/>
      <c r="X518" s="259"/>
      <c r="Y518" s="259"/>
      <c r="Z518" s="259"/>
    </row>
    <row r="519" customFormat="false" ht="12" hidden="false" customHeight="true" outlineLevel="0" collapsed="false">
      <c r="A519" s="259"/>
      <c r="B519" s="259"/>
      <c r="C519" s="259"/>
      <c r="D519" s="259"/>
      <c r="E519" s="259"/>
      <c r="F519" s="261"/>
      <c r="G519" s="259"/>
      <c r="H519" s="259"/>
      <c r="I519" s="259"/>
      <c r="J519" s="262"/>
      <c r="K519" s="259"/>
      <c r="L519" s="259"/>
      <c r="M519" s="259"/>
      <c r="N519" s="259"/>
      <c r="O519" s="259"/>
      <c r="P519" s="259"/>
      <c r="Q519" s="259"/>
      <c r="R519" s="259"/>
      <c r="S519" s="259"/>
      <c r="T519" s="259"/>
      <c r="U519" s="259"/>
      <c r="V519" s="259"/>
      <c r="W519" s="259"/>
      <c r="X519" s="259"/>
      <c r="Y519" s="259"/>
      <c r="Z519" s="259"/>
    </row>
    <row r="520" customFormat="false" ht="12" hidden="false" customHeight="true" outlineLevel="0" collapsed="false">
      <c r="A520" s="259"/>
      <c r="B520" s="259"/>
      <c r="C520" s="259"/>
      <c r="D520" s="259"/>
      <c r="E520" s="259"/>
      <c r="F520" s="261"/>
      <c r="G520" s="259"/>
      <c r="H520" s="259"/>
      <c r="I520" s="259"/>
      <c r="J520" s="262"/>
      <c r="K520" s="259"/>
      <c r="L520" s="259"/>
      <c r="M520" s="259"/>
      <c r="N520" s="259"/>
      <c r="O520" s="259"/>
      <c r="P520" s="259"/>
      <c r="Q520" s="259"/>
      <c r="R520" s="259"/>
      <c r="S520" s="259"/>
      <c r="T520" s="259"/>
      <c r="U520" s="259"/>
      <c r="V520" s="259"/>
      <c r="W520" s="259"/>
      <c r="X520" s="259"/>
      <c r="Y520" s="259"/>
      <c r="Z520" s="259"/>
    </row>
    <row r="521" customFormat="false" ht="12" hidden="false" customHeight="true" outlineLevel="0" collapsed="false">
      <c r="A521" s="259"/>
      <c r="B521" s="259"/>
      <c r="C521" s="259"/>
      <c r="D521" s="259"/>
      <c r="E521" s="259"/>
      <c r="F521" s="261"/>
      <c r="G521" s="259"/>
      <c r="H521" s="259"/>
      <c r="I521" s="259"/>
      <c r="J521" s="262"/>
      <c r="K521" s="259"/>
      <c r="L521" s="259"/>
      <c r="M521" s="259"/>
      <c r="N521" s="259"/>
      <c r="O521" s="259"/>
      <c r="P521" s="259"/>
      <c r="Q521" s="259"/>
      <c r="R521" s="259"/>
      <c r="S521" s="259"/>
      <c r="T521" s="259"/>
      <c r="U521" s="259"/>
      <c r="V521" s="259"/>
      <c r="W521" s="259"/>
      <c r="X521" s="259"/>
      <c r="Y521" s="259"/>
      <c r="Z521" s="259"/>
    </row>
    <row r="522" customFormat="false" ht="12" hidden="false" customHeight="true" outlineLevel="0" collapsed="false">
      <c r="A522" s="259"/>
      <c r="B522" s="259"/>
      <c r="C522" s="259"/>
      <c r="D522" s="259"/>
      <c r="E522" s="259"/>
      <c r="F522" s="261"/>
      <c r="G522" s="259"/>
      <c r="H522" s="259"/>
      <c r="I522" s="259"/>
      <c r="J522" s="262"/>
      <c r="K522" s="259"/>
      <c r="L522" s="259"/>
      <c r="M522" s="259"/>
      <c r="N522" s="259"/>
      <c r="O522" s="259"/>
      <c r="P522" s="259"/>
      <c r="Q522" s="259"/>
      <c r="R522" s="259"/>
      <c r="S522" s="259"/>
      <c r="T522" s="259"/>
      <c r="U522" s="259"/>
      <c r="V522" s="259"/>
      <c r="W522" s="259"/>
      <c r="X522" s="259"/>
      <c r="Y522" s="259"/>
      <c r="Z522" s="259"/>
    </row>
    <row r="523" customFormat="false" ht="12" hidden="false" customHeight="true" outlineLevel="0" collapsed="false">
      <c r="A523" s="259"/>
      <c r="B523" s="259"/>
      <c r="C523" s="259"/>
      <c r="D523" s="259"/>
      <c r="E523" s="259"/>
      <c r="F523" s="261"/>
      <c r="G523" s="259"/>
      <c r="H523" s="259"/>
      <c r="I523" s="259"/>
      <c r="J523" s="262"/>
      <c r="K523" s="259"/>
      <c r="L523" s="259"/>
      <c r="M523" s="259"/>
      <c r="N523" s="259"/>
      <c r="O523" s="259"/>
      <c r="P523" s="259"/>
      <c r="Q523" s="259"/>
      <c r="R523" s="259"/>
      <c r="S523" s="259"/>
      <c r="T523" s="259"/>
      <c r="U523" s="259"/>
      <c r="V523" s="259"/>
      <c r="W523" s="259"/>
      <c r="X523" s="259"/>
      <c r="Y523" s="259"/>
      <c r="Z523" s="259"/>
    </row>
    <row r="524" customFormat="false" ht="12" hidden="false" customHeight="true" outlineLevel="0" collapsed="false">
      <c r="A524" s="259"/>
      <c r="B524" s="259"/>
      <c r="C524" s="259"/>
      <c r="D524" s="259"/>
      <c r="E524" s="259"/>
      <c r="F524" s="261"/>
      <c r="G524" s="259"/>
      <c r="H524" s="259"/>
      <c r="I524" s="259"/>
      <c r="J524" s="262"/>
      <c r="K524" s="259"/>
      <c r="L524" s="259"/>
      <c r="M524" s="259"/>
      <c r="N524" s="259"/>
      <c r="O524" s="259"/>
      <c r="P524" s="259"/>
      <c r="Q524" s="259"/>
      <c r="R524" s="259"/>
      <c r="S524" s="259"/>
      <c r="T524" s="259"/>
      <c r="U524" s="259"/>
      <c r="V524" s="259"/>
      <c r="W524" s="259"/>
      <c r="X524" s="259"/>
      <c r="Y524" s="259"/>
      <c r="Z524" s="259"/>
    </row>
    <row r="525" customFormat="false" ht="12" hidden="false" customHeight="true" outlineLevel="0" collapsed="false">
      <c r="A525" s="259"/>
      <c r="B525" s="259"/>
      <c r="C525" s="259"/>
      <c r="D525" s="259"/>
      <c r="E525" s="259"/>
      <c r="F525" s="261"/>
      <c r="G525" s="259"/>
      <c r="H525" s="259"/>
      <c r="I525" s="259"/>
      <c r="J525" s="262"/>
      <c r="K525" s="259"/>
      <c r="L525" s="259"/>
      <c r="M525" s="259"/>
      <c r="N525" s="259"/>
      <c r="O525" s="259"/>
      <c r="P525" s="259"/>
      <c r="Q525" s="259"/>
      <c r="R525" s="259"/>
      <c r="S525" s="259"/>
      <c r="T525" s="259"/>
      <c r="U525" s="259"/>
      <c r="V525" s="259"/>
      <c r="W525" s="259"/>
      <c r="X525" s="259"/>
      <c r="Y525" s="259"/>
      <c r="Z525" s="259"/>
    </row>
    <row r="526" customFormat="false" ht="12" hidden="false" customHeight="true" outlineLevel="0" collapsed="false">
      <c r="A526" s="259"/>
      <c r="B526" s="259"/>
      <c r="C526" s="259"/>
      <c r="D526" s="259"/>
      <c r="E526" s="259"/>
      <c r="F526" s="261"/>
      <c r="G526" s="259"/>
      <c r="H526" s="259"/>
      <c r="I526" s="259"/>
      <c r="J526" s="262"/>
      <c r="K526" s="259"/>
      <c r="L526" s="259"/>
      <c r="M526" s="259"/>
      <c r="N526" s="259"/>
      <c r="O526" s="259"/>
      <c r="P526" s="259"/>
      <c r="Q526" s="259"/>
      <c r="R526" s="259"/>
      <c r="S526" s="259"/>
      <c r="T526" s="259"/>
      <c r="U526" s="259"/>
      <c r="V526" s="259"/>
      <c r="W526" s="259"/>
      <c r="X526" s="259"/>
      <c r="Y526" s="259"/>
      <c r="Z526" s="259"/>
    </row>
    <row r="527" customFormat="false" ht="12" hidden="false" customHeight="true" outlineLevel="0" collapsed="false">
      <c r="A527" s="259"/>
      <c r="B527" s="259"/>
      <c r="C527" s="259"/>
      <c r="D527" s="259"/>
      <c r="E527" s="259"/>
      <c r="F527" s="261"/>
      <c r="G527" s="259"/>
      <c r="H527" s="259"/>
      <c r="I527" s="259"/>
      <c r="J527" s="262"/>
      <c r="K527" s="259"/>
      <c r="L527" s="259"/>
      <c r="M527" s="259"/>
      <c r="N527" s="259"/>
      <c r="O527" s="259"/>
      <c r="P527" s="259"/>
      <c r="Q527" s="259"/>
      <c r="R527" s="259"/>
      <c r="S527" s="259"/>
      <c r="T527" s="259"/>
      <c r="U527" s="259"/>
      <c r="V527" s="259"/>
      <c r="W527" s="259"/>
      <c r="X527" s="259"/>
      <c r="Y527" s="259"/>
      <c r="Z527" s="259"/>
    </row>
    <row r="528" customFormat="false" ht="12" hidden="false" customHeight="true" outlineLevel="0" collapsed="false">
      <c r="A528" s="259"/>
      <c r="B528" s="259"/>
      <c r="C528" s="259"/>
      <c r="D528" s="259"/>
      <c r="E528" s="259"/>
      <c r="F528" s="261"/>
      <c r="G528" s="259"/>
      <c r="H528" s="259"/>
      <c r="I528" s="259"/>
      <c r="J528" s="262"/>
      <c r="K528" s="259"/>
      <c r="L528" s="259"/>
      <c r="M528" s="259"/>
      <c r="N528" s="259"/>
      <c r="O528" s="259"/>
      <c r="P528" s="259"/>
      <c r="Q528" s="259"/>
      <c r="R528" s="259"/>
      <c r="S528" s="259"/>
      <c r="T528" s="259"/>
      <c r="U528" s="259"/>
      <c r="V528" s="259"/>
      <c r="W528" s="259"/>
      <c r="X528" s="259"/>
      <c r="Y528" s="259"/>
      <c r="Z528" s="259"/>
    </row>
    <row r="529" customFormat="false" ht="12" hidden="false" customHeight="true" outlineLevel="0" collapsed="false">
      <c r="A529" s="259"/>
      <c r="B529" s="259"/>
      <c r="C529" s="259"/>
      <c r="D529" s="259"/>
      <c r="E529" s="259"/>
      <c r="F529" s="261"/>
      <c r="G529" s="259"/>
      <c r="H529" s="259"/>
      <c r="I529" s="259"/>
      <c r="J529" s="262"/>
      <c r="K529" s="259"/>
      <c r="L529" s="259"/>
      <c r="M529" s="259"/>
      <c r="N529" s="259"/>
      <c r="O529" s="259"/>
      <c r="P529" s="259"/>
      <c r="Q529" s="259"/>
      <c r="R529" s="259"/>
      <c r="S529" s="259"/>
      <c r="T529" s="259"/>
      <c r="U529" s="259"/>
      <c r="V529" s="259"/>
      <c r="W529" s="259"/>
      <c r="X529" s="259"/>
      <c r="Y529" s="259"/>
      <c r="Z529" s="259"/>
    </row>
    <row r="530" customFormat="false" ht="12" hidden="false" customHeight="true" outlineLevel="0" collapsed="false">
      <c r="A530" s="259"/>
      <c r="B530" s="259"/>
      <c r="C530" s="259"/>
      <c r="D530" s="259"/>
      <c r="E530" s="259"/>
      <c r="F530" s="261"/>
      <c r="G530" s="259"/>
      <c r="H530" s="259"/>
      <c r="I530" s="259"/>
      <c r="J530" s="262"/>
      <c r="K530" s="259"/>
      <c r="L530" s="259"/>
      <c r="M530" s="259"/>
      <c r="N530" s="259"/>
      <c r="O530" s="259"/>
      <c r="P530" s="259"/>
      <c r="Q530" s="259"/>
      <c r="R530" s="259"/>
      <c r="S530" s="259"/>
      <c r="T530" s="259"/>
      <c r="U530" s="259"/>
      <c r="V530" s="259"/>
      <c r="W530" s="259"/>
      <c r="X530" s="259"/>
      <c r="Y530" s="259"/>
      <c r="Z530" s="259"/>
    </row>
    <row r="531" customFormat="false" ht="12" hidden="false" customHeight="true" outlineLevel="0" collapsed="false">
      <c r="A531" s="259"/>
      <c r="B531" s="259"/>
      <c r="C531" s="259"/>
      <c r="D531" s="259"/>
      <c r="E531" s="259"/>
      <c r="F531" s="261"/>
      <c r="G531" s="259"/>
      <c r="H531" s="259"/>
      <c r="I531" s="259"/>
      <c r="J531" s="262"/>
      <c r="K531" s="259"/>
      <c r="L531" s="259"/>
      <c r="M531" s="259"/>
      <c r="N531" s="259"/>
      <c r="O531" s="259"/>
      <c r="P531" s="259"/>
      <c r="Q531" s="259"/>
      <c r="R531" s="259"/>
      <c r="S531" s="259"/>
      <c r="T531" s="259"/>
      <c r="U531" s="259"/>
      <c r="V531" s="259"/>
      <c r="W531" s="259"/>
      <c r="X531" s="259"/>
      <c r="Y531" s="259"/>
      <c r="Z531" s="259"/>
    </row>
    <row r="532" customFormat="false" ht="12" hidden="false" customHeight="true" outlineLevel="0" collapsed="false">
      <c r="A532" s="259"/>
      <c r="B532" s="259"/>
      <c r="C532" s="259"/>
      <c r="D532" s="259"/>
      <c r="E532" s="259"/>
      <c r="F532" s="261"/>
      <c r="G532" s="259"/>
      <c r="H532" s="259"/>
      <c r="I532" s="259"/>
      <c r="J532" s="262"/>
      <c r="K532" s="259"/>
      <c r="L532" s="259"/>
      <c r="M532" s="259"/>
      <c r="N532" s="259"/>
      <c r="O532" s="259"/>
      <c r="P532" s="259"/>
      <c r="Q532" s="259"/>
      <c r="R532" s="259"/>
      <c r="S532" s="259"/>
      <c r="T532" s="259"/>
      <c r="U532" s="259"/>
      <c r="V532" s="259"/>
      <c r="W532" s="259"/>
      <c r="X532" s="259"/>
      <c r="Y532" s="259"/>
      <c r="Z532" s="259"/>
    </row>
    <row r="533" customFormat="false" ht="12" hidden="false" customHeight="true" outlineLevel="0" collapsed="false">
      <c r="A533" s="259"/>
      <c r="B533" s="259"/>
      <c r="C533" s="259"/>
      <c r="D533" s="259"/>
      <c r="E533" s="259"/>
      <c r="F533" s="261"/>
      <c r="G533" s="259"/>
      <c r="H533" s="259"/>
      <c r="I533" s="259"/>
      <c r="J533" s="262"/>
      <c r="K533" s="259"/>
      <c r="L533" s="259"/>
      <c r="M533" s="259"/>
      <c r="N533" s="259"/>
      <c r="O533" s="259"/>
      <c r="P533" s="259"/>
      <c r="Q533" s="259"/>
      <c r="R533" s="259"/>
      <c r="S533" s="259"/>
      <c r="T533" s="259"/>
      <c r="U533" s="259"/>
      <c r="V533" s="259"/>
      <c r="W533" s="259"/>
      <c r="X533" s="259"/>
      <c r="Y533" s="259"/>
      <c r="Z533" s="259"/>
    </row>
    <row r="534" customFormat="false" ht="12" hidden="false" customHeight="true" outlineLevel="0" collapsed="false">
      <c r="A534" s="259"/>
      <c r="B534" s="259"/>
      <c r="C534" s="259"/>
      <c r="D534" s="259"/>
      <c r="E534" s="259"/>
      <c r="F534" s="261"/>
      <c r="G534" s="259"/>
      <c r="H534" s="259"/>
      <c r="I534" s="259"/>
      <c r="J534" s="262"/>
      <c r="K534" s="259"/>
      <c r="L534" s="259"/>
      <c r="M534" s="259"/>
      <c r="N534" s="259"/>
      <c r="O534" s="259"/>
      <c r="P534" s="259"/>
      <c r="Q534" s="259"/>
      <c r="R534" s="259"/>
      <c r="S534" s="259"/>
      <c r="T534" s="259"/>
      <c r="U534" s="259"/>
      <c r="V534" s="259"/>
      <c r="W534" s="259"/>
      <c r="X534" s="259"/>
      <c r="Y534" s="259"/>
      <c r="Z534" s="259"/>
    </row>
    <row r="535" customFormat="false" ht="12" hidden="false" customHeight="true" outlineLevel="0" collapsed="false">
      <c r="A535" s="259"/>
      <c r="B535" s="259"/>
      <c r="C535" s="259"/>
      <c r="D535" s="259"/>
      <c r="E535" s="259"/>
      <c r="F535" s="261"/>
      <c r="G535" s="259"/>
      <c r="H535" s="259"/>
      <c r="I535" s="259"/>
      <c r="J535" s="262"/>
      <c r="K535" s="259"/>
      <c r="L535" s="259"/>
      <c r="M535" s="259"/>
      <c r="N535" s="259"/>
      <c r="O535" s="259"/>
      <c r="P535" s="259"/>
      <c r="Q535" s="259"/>
      <c r="R535" s="259"/>
      <c r="S535" s="259"/>
      <c r="T535" s="259"/>
      <c r="U535" s="259"/>
      <c r="V535" s="259"/>
      <c r="W535" s="259"/>
      <c r="X535" s="259"/>
      <c r="Y535" s="259"/>
      <c r="Z535" s="259"/>
    </row>
    <row r="536" customFormat="false" ht="12" hidden="false" customHeight="true" outlineLevel="0" collapsed="false">
      <c r="A536" s="259"/>
      <c r="B536" s="259"/>
      <c r="C536" s="259"/>
      <c r="D536" s="259"/>
      <c r="E536" s="259"/>
      <c r="F536" s="261"/>
      <c r="G536" s="259"/>
      <c r="H536" s="259"/>
      <c r="I536" s="259"/>
      <c r="J536" s="262"/>
      <c r="K536" s="259"/>
      <c r="L536" s="259"/>
      <c r="M536" s="259"/>
      <c r="N536" s="259"/>
      <c r="O536" s="259"/>
      <c r="P536" s="259"/>
      <c r="Q536" s="259"/>
      <c r="R536" s="259"/>
      <c r="S536" s="259"/>
      <c r="T536" s="259"/>
      <c r="U536" s="259"/>
      <c r="V536" s="259"/>
      <c r="W536" s="259"/>
      <c r="X536" s="259"/>
      <c r="Y536" s="259"/>
      <c r="Z536" s="259"/>
    </row>
    <row r="537" customFormat="false" ht="12" hidden="false" customHeight="true" outlineLevel="0" collapsed="false">
      <c r="A537" s="259"/>
      <c r="B537" s="259"/>
      <c r="C537" s="259"/>
      <c r="D537" s="259"/>
      <c r="E537" s="259"/>
      <c r="F537" s="261"/>
      <c r="G537" s="259"/>
      <c r="H537" s="259"/>
      <c r="I537" s="259"/>
      <c r="J537" s="262"/>
      <c r="K537" s="259"/>
      <c r="L537" s="259"/>
      <c r="M537" s="259"/>
      <c r="N537" s="259"/>
      <c r="O537" s="259"/>
      <c r="P537" s="259"/>
      <c r="Q537" s="259"/>
      <c r="R537" s="259"/>
      <c r="S537" s="259"/>
      <c r="T537" s="259"/>
      <c r="U537" s="259"/>
      <c r="V537" s="259"/>
      <c r="W537" s="259"/>
      <c r="X537" s="259"/>
      <c r="Y537" s="259"/>
      <c r="Z537" s="259"/>
    </row>
    <row r="538" customFormat="false" ht="12" hidden="false" customHeight="true" outlineLevel="0" collapsed="false">
      <c r="A538" s="259"/>
      <c r="B538" s="259"/>
      <c r="C538" s="259"/>
      <c r="D538" s="259"/>
      <c r="E538" s="259"/>
      <c r="F538" s="261"/>
      <c r="G538" s="259"/>
      <c r="H538" s="259"/>
      <c r="I538" s="259"/>
      <c r="J538" s="262"/>
      <c r="K538" s="259"/>
      <c r="L538" s="259"/>
      <c r="M538" s="259"/>
      <c r="N538" s="259"/>
      <c r="O538" s="259"/>
      <c r="P538" s="259"/>
      <c r="Q538" s="259"/>
      <c r="R538" s="259"/>
      <c r="S538" s="259"/>
      <c r="T538" s="259"/>
      <c r="U538" s="259"/>
      <c r="V538" s="259"/>
      <c r="W538" s="259"/>
      <c r="X538" s="259"/>
      <c r="Y538" s="259"/>
      <c r="Z538" s="259"/>
    </row>
    <row r="539" customFormat="false" ht="12" hidden="false" customHeight="true" outlineLevel="0" collapsed="false">
      <c r="A539" s="259"/>
      <c r="B539" s="259"/>
      <c r="C539" s="259"/>
      <c r="D539" s="259"/>
      <c r="E539" s="259"/>
      <c r="F539" s="261"/>
      <c r="G539" s="259"/>
      <c r="H539" s="259"/>
      <c r="I539" s="259"/>
      <c r="J539" s="262"/>
      <c r="K539" s="259"/>
      <c r="L539" s="259"/>
      <c r="M539" s="259"/>
      <c r="N539" s="259"/>
      <c r="O539" s="259"/>
      <c r="P539" s="259"/>
      <c r="Q539" s="259"/>
      <c r="R539" s="259"/>
      <c r="S539" s="259"/>
      <c r="T539" s="259"/>
      <c r="U539" s="259"/>
      <c r="V539" s="259"/>
      <c r="W539" s="259"/>
      <c r="X539" s="259"/>
      <c r="Y539" s="259"/>
      <c r="Z539" s="259"/>
    </row>
    <row r="540" customFormat="false" ht="12" hidden="false" customHeight="true" outlineLevel="0" collapsed="false">
      <c r="A540" s="259"/>
      <c r="B540" s="259"/>
      <c r="C540" s="259"/>
      <c r="D540" s="259"/>
      <c r="E540" s="259"/>
      <c r="F540" s="261"/>
      <c r="G540" s="259"/>
      <c r="H540" s="259"/>
      <c r="I540" s="259"/>
      <c r="J540" s="262"/>
      <c r="K540" s="259"/>
      <c r="L540" s="259"/>
      <c r="M540" s="259"/>
      <c r="N540" s="259"/>
      <c r="O540" s="259"/>
      <c r="P540" s="259"/>
      <c r="Q540" s="259"/>
      <c r="R540" s="259"/>
      <c r="S540" s="259"/>
      <c r="T540" s="259"/>
      <c r="U540" s="259"/>
      <c r="V540" s="259"/>
      <c r="W540" s="259"/>
      <c r="X540" s="259"/>
      <c r="Y540" s="259"/>
      <c r="Z540" s="259"/>
    </row>
    <row r="541" customFormat="false" ht="12" hidden="false" customHeight="true" outlineLevel="0" collapsed="false">
      <c r="A541" s="259"/>
      <c r="B541" s="259"/>
      <c r="C541" s="259"/>
      <c r="D541" s="259"/>
      <c r="E541" s="259"/>
      <c r="F541" s="261"/>
      <c r="G541" s="259"/>
      <c r="H541" s="259"/>
      <c r="I541" s="259"/>
      <c r="J541" s="262"/>
      <c r="K541" s="259"/>
      <c r="L541" s="259"/>
      <c r="M541" s="259"/>
      <c r="N541" s="259"/>
      <c r="O541" s="259"/>
      <c r="P541" s="259"/>
      <c r="Q541" s="259"/>
      <c r="R541" s="259"/>
      <c r="S541" s="259"/>
      <c r="T541" s="259"/>
      <c r="U541" s="259"/>
      <c r="V541" s="259"/>
      <c r="W541" s="259"/>
      <c r="X541" s="259"/>
      <c r="Y541" s="259"/>
      <c r="Z541" s="259"/>
    </row>
    <row r="542" customFormat="false" ht="12" hidden="false" customHeight="true" outlineLevel="0" collapsed="false">
      <c r="A542" s="259"/>
      <c r="B542" s="259"/>
      <c r="C542" s="259"/>
      <c r="D542" s="259"/>
      <c r="E542" s="259"/>
      <c r="F542" s="261"/>
      <c r="G542" s="259"/>
      <c r="H542" s="259"/>
      <c r="I542" s="259"/>
      <c r="J542" s="262"/>
      <c r="K542" s="259"/>
      <c r="L542" s="259"/>
      <c r="M542" s="259"/>
      <c r="N542" s="259"/>
      <c r="O542" s="259"/>
      <c r="P542" s="259"/>
      <c r="Q542" s="259"/>
      <c r="R542" s="259"/>
      <c r="S542" s="259"/>
      <c r="T542" s="259"/>
      <c r="U542" s="259"/>
      <c r="V542" s="259"/>
      <c r="W542" s="259"/>
      <c r="X542" s="259"/>
      <c r="Y542" s="259"/>
      <c r="Z542" s="259"/>
    </row>
    <row r="543" customFormat="false" ht="12" hidden="false" customHeight="true" outlineLevel="0" collapsed="false">
      <c r="A543" s="259"/>
      <c r="B543" s="259"/>
      <c r="C543" s="259"/>
      <c r="D543" s="259"/>
      <c r="E543" s="259"/>
      <c r="F543" s="261"/>
      <c r="G543" s="259"/>
      <c r="H543" s="259"/>
      <c r="I543" s="259"/>
      <c r="J543" s="262"/>
      <c r="K543" s="259"/>
      <c r="L543" s="259"/>
      <c r="M543" s="259"/>
      <c r="N543" s="259"/>
      <c r="O543" s="259"/>
      <c r="P543" s="259"/>
      <c r="Q543" s="259"/>
      <c r="R543" s="259"/>
      <c r="S543" s="259"/>
      <c r="T543" s="259"/>
      <c r="U543" s="259"/>
      <c r="V543" s="259"/>
      <c r="W543" s="259"/>
      <c r="X543" s="259"/>
      <c r="Y543" s="259"/>
      <c r="Z543" s="259"/>
    </row>
    <row r="544" customFormat="false" ht="12" hidden="false" customHeight="true" outlineLevel="0" collapsed="false">
      <c r="A544" s="259"/>
      <c r="B544" s="259"/>
      <c r="C544" s="259"/>
      <c r="D544" s="259"/>
      <c r="E544" s="259"/>
      <c r="F544" s="261"/>
      <c r="G544" s="259"/>
      <c r="H544" s="259"/>
      <c r="I544" s="259"/>
      <c r="J544" s="262"/>
      <c r="K544" s="259"/>
      <c r="L544" s="259"/>
      <c r="M544" s="259"/>
      <c r="N544" s="259"/>
      <c r="O544" s="259"/>
      <c r="P544" s="259"/>
      <c r="Q544" s="259"/>
      <c r="R544" s="259"/>
      <c r="S544" s="259"/>
      <c r="T544" s="259"/>
      <c r="U544" s="259"/>
      <c r="V544" s="259"/>
      <c r="W544" s="259"/>
      <c r="X544" s="259"/>
      <c r="Y544" s="259"/>
      <c r="Z544" s="259"/>
    </row>
    <row r="545" customFormat="false" ht="12" hidden="false" customHeight="true" outlineLevel="0" collapsed="false">
      <c r="A545" s="259"/>
      <c r="B545" s="259"/>
      <c r="C545" s="259"/>
      <c r="D545" s="259"/>
      <c r="E545" s="259"/>
      <c r="F545" s="261"/>
      <c r="G545" s="259"/>
      <c r="H545" s="259"/>
      <c r="I545" s="259"/>
      <c r="J545" s="262"/>
      <c r="K545" s="259"/>
      <c r="L545" s="259"/>
      <c r="M545" s="259"/>
      <c r="N545" s="259"/>
      <c r="O545" s="259"/>
      <c r="P545" s="259"/>
      <c r="Q545" s="259"/>
      <c r="R545" s="259"/>
      <c r="S545" s="259"/>
      <c r="T545" s="259"/>
      <c r="U545" s="259"/>
      <c r="V545" s="259"/>
      <c r="W545" s="259"/>
      <c r="X545" s="259"/>
      <c r="Y545" s="259"/>
      <c r="Z545" s="259"/>
    </row>
    <row r="546" customFormat="false" ht="12" hidden="false" customHeight="true" outlineLevel="0" collapsed="false">
      <c r="A546" s="259"/>
      <c r="B546" s="259"/>
      <c r="C546" s="259"/>
      <c r="D546" s="259"/>
      <c r="E546" s="259"/>
      <c r="F546" s="261"/>
      <c r="G546" s="259"/>
      <c r="H546" s="259"/>
      <c r="I546" s="259"/>
      <c r="J546" s="262"/>
      <c r="K546" s="259"/>
      <c r="L546" s="259"/>
      <c r="M546" s="259"/>
      <c r="N546" s="259"/>
      <c r="O546" s="259"/>
      <c r="P546" s="259"/>
      <c r="Q546" s="259"/>
      <c r="R546" s="259"/>
      <c r="S546" s="259"/>
      <c r="T546" s="259"/>
      <c r="U546" s="259"/>
      <c r="V546" s="259"/>
      <c r="W546" s="259"/>
      <c r="X546" s="259"/>
      <c r="Y546" s="259"/>
      <c r="Z546" s="259"/>
    </row>
    <row r="547" customFormat="false" ht="12" hidden="false" customHeight="true" outlineLevel="0" collapsed="false">
      <c r="A547" s="259"/>
      <c r="B547" s="259"/>
      <c r="C547" s="259"/>
      <c r="D547" s="259"/>
      <c r="E547" s="259"/>
      <c r="F547" s="261"/>
      <c r="G547" s="259"/>
      <c r="H547" s="259"/>
      <c r="I547" s="259"/>
      <c r="J547" s="262"/>
      <c r="K547" s="259"/>
      <c r="L547" s="259"/>
      <c r="M547" s="259"/>
      <c r="N547" s="259"/>
      <c r="O547" s="259"/>
      <c r="P547" s="259"/>
      <c r="Q547" s="259"/>
      <c r="R547" s="259"/>
      <c r="S547" s="259"/>
      <c r="T547" s="259"/>
      <c r="U547" s="259"/>
      <c r="V547" s="259"/>
      <c r="W547" s="259"/>
      <c r="X547" s="259"/>
      <c r="Y547" s="259"/>
      <c r="Z547" s="259"/>
    </row>
    <row r="548" customFormat="false" ht="12" hidden="false" customHeight="true" outlineLevel="0" collapsed="false">
      <c r="A548" s="259"/>
      <c r="B548" s="259"/>
      <c r="C548" s="259"/>
      <c r="D548" s="259"/>
      <c r="E548" s="259"/>
      <c r="F548" s="261"/>
      <c r="G548" s="259"/>
      <c r="H548" s="259"/>
      <c r="I548" s="259"/>
      <c r="J548" s="262"/>
      <c r="K548" s="259"/>
      <c r="L548" s="259"/>
      <c r="M548" s="259"/>
      <c r="N548" s="259"/>
      <c r="O548" s="259"/>
      <c r="P548" s="259"/>
      <c r="Q548" s="259"/>
      <c r="R548" s="259"/>
      <c r="S548" s="259"/>
      <c r="T548" s="259"/>
      <c r="U548" s="259"/>
      <c r="V548" s="259"/>
      <c r="W548" s="259"/>
      <c r="X548" s="259"/>
      <c r="Y548" s="259"/>
      <c r="Z548" s="259"/>
    </row>
    <row r="549" customFormat="false" ht="12" hidden="false" customHeight="true" outlineLevel="0" collapsed="false">
      <c r="A549" s="259"/>
      <c r="B549" s="259"/>
      <c r="C549" s="259"/>
      <c r="D549" s="259"/>
      <c r="E549" s="259"/>
      <c r="F549" s="261"/>
      <c r="G549" s="259"/>
      <c r="H549" s="259"/>
      <c r="I549" s="259"/>
      <c r="J549" s="262"/>
      <c r="K549" s="259"/>
      <c r="L549" s="259"/>
      <c r="M549" s="259"/>
      <c r="N549" s="259"/>
      <c r="O549" s="259"/>
      <c r="P549" s="259"/>
      <c r="Q549" s="259"/>
      <c r="R549" s="259"/>
      <c r="S549" s="259"/>
      <c r="T549" s="259"/>
      <c r="U549" s="259"/>
      <c r="V549" s="259"/>
      <c r="W549" s="259"/>
      <c r="X549" s="259"/>
      <c r="Y549" s="259"/>
      <c r="Z549" s="259"/>
    </row>
    <row r="550" customFormat="false" ht="12" hidden="false" customHeight="true" outlineLevel="0" collapsed="false">
      <c r="A550" s="259"/>
      <c r="B550" s="259"/>
      <c r="C550" s="259"/>
      <c r="D550" s="259"/>
      <c r="E550" s="259"/>
      <c r="F550" s="261"/>
      <c r="G550" s="259"/>
      <c r="H550" s="259"/>
      <c r="I550" s="259"/>
      <c r="J550" s="262"/>
      <c r="K550" s="259"/>
      <c r="L550" s="259"/>
      <c r="M550" s="259"/>
      <c r="N550" s="259"/>
      <c r="O550" s="259"/>
      <c r="P550" s="259"/>
      <c r="Q550" s="259"/>
      <c r="R550" s="259"/>
      <c r="S550" s="259"/>
      <c r="T550" s="259"/>
      <c r="U550" s="259"/>
      <c r="V550" s="259"/>
      <c r="W550" s="259"/>
      <c r="X550" s="259"/>
      <c r="Y550" s="259"/>
      <c r="Z550" s="259"/>
    </row>
    <row r="551" customFormat="false" ht="12" hidden="false" customHeight="true" outlineLevel="0" collapsed="false">
      <c r="A551" s="259"/>
      <c r="B551" s="259"/>
      <c r="C551" s="259"/>
      <c r="D551" s="259"/>
      <c r="E551" s="259"/>
      <c r="F551" s="261"/>
      <c r="G551" s="259"/>
      <c r="H551" s="259"/>
      <c r="I551" s="259"/>
      <c r="J551" s="262"/>
      <c r="K551" s="259"/>
      <c r="L551" s="259"/>
      <c r="M551" s="259"/>
      <c r="N551" s="259"/>
      <c r="O551" s="259"/>
      <c r="P551" s="259"/>
      <c r="Q551" s="259"/>
      <c r="R551" s="259"/>
      <c r="S551" s="259"/>
      <c r="T551" s="259"/>
      <c r="U551" s="259"/>
      <c r="V551" s="259"/>
      <c r="W551" s="259"/>
      <c r="X551" s="259"/>
      <c r="Y551" s="259"/>
      <c r="Z551" s="259"/>
    </row>
    <row r="552" customFormat="false" ht="12" hidden="false" customHeight="true" outlineLevel="0" collapsed="false">
      <c r="A552" s="259"/>
      <c r="B552" s="259"/>
      <c r="C552" s="259"/>
      <c r="D552" s="259"/>
      <c r="E552" s="259"/>
      <c r="F552" s="261"/>
      <c r="G552" s="259"/>
      <c r="H552" s="259"/>
      <c r="I552" s="259"/>
      <c r="J552" s="262"/>
      <c r="K552" s="259"/>
      <c r="L552" s="259"/>
      <c r="M552" s="259"/>
      <c r="N552" s="259"/>
      <c r="O552" s="259"/>
      <c r="P552" s="259"/>
      <c r="Q552" s="259"/>
      <c r="R552" s="259"/>
      <c r="S552" s="259"/>
      <c r="T552" s="259"/>
      <c r="U552" s="259"/>
      <c r="V552" s="259"/>
      <c r="W552" s="259"/>
      <c r="X552" s="259"/>
      <c r="Y552" s="259"/>
      <c r="Z552" s="259"/>
    </row>
    <row r="553" customFormat="false" ht="12" hidden="false" customHeight="true" outlineLevel="0" collapsed="false">
      <c r="A553" s="259"/>
      <c r="B553" s="259"/>
      <c r="C553" s="259"/>
      <c r="D553" s="259"/>
      <c r="E553" s="259"/>
      <c r="F553" s="261"/>
      <c r="G553" s="259"/>
      <c r="H553" s="259"/>
      <c r="I553" s="259"/>
      <c r="J553" s="262"/>
      <c r="K553" s="259"/>
      <c r="L553" s="259"/>
      <c r="M553" s="259"/>
      <c r="N553" s="259"/>
      <c r="O553" s="259"/>
      <c r="P553" s="259"/>
      <c r="Q553" s="259"/>
      <c r="R553" s="259"/>
      <c r="S553" s="259"/>
      <c r="T553" s="259"/>
      <c r="U553" s="259"/>
      <c r="V553" s="259"/>
      <c r="W553" s="259"/>
      <c r="X553" s="259"/>
      <c r="Y553" s="259"/>
      <c r="Z553" s="259"/>
    </row>
    <row r="554" customFormat="false" ht="12" hidden="false" customHeight="true" outlineLevel="0" collapsed="false">
      <c r="A554" s="259"/>
      <c r="B554" s="259"/>
      <c r="C554" s="259"/>
      <c r="D554" s="259"/>
      <c r="E554" s="259"/>
      <c r="F554" s="261"/>
      <c r="G554" s="259"/>
      <c r="H554" s="259"/>
      <c r="I554" s="259"/>
      <c r="J554" s="262"/>
      <c r="K554" s="259"/>
      <c r="L554" s="259"/>
      <c r="M554" s="259"/>
      <c r="N554" s="259"/>
      <c r="O554" s="259"/>
      <c r="P554" s="259"/>
      <c r="Q554" s="259"/>
      <c r="R554" s="259"/>
      <c r="S554" s="259"/>
      <c r="T554" s="259"/>
      <c r="U554" s="259"/>
      <c r="V554" s="259"/>
      <c r="W554" s="259"/>
      <c r="X554" s="259"/>
      <c r="Y554" s="259"/>
      <c r="Z554" s="259"/>
    </row>
    <row r="555" customFormat="false" ht="12" hidden="false" customHeight="true" outlineLevel="0" collapsed="false">
      <c r="A555" s="259"/>
      <c r="B555" s="259"/>
      <c r="C555" s="259"/>
      <c r="D555" s="259"/>
      <c r="E555" s="259"/>
      <c r="F555" s="261"/>
      <c r="G555" s="259"/>
      <c r="H555" s="259"/>
      <c r="I555" s="259"/>
      <c r="J555" s="262"/>
      <c r="K555" s="259"/>
      <c r="L555" s="259"/>
      <c r="M555" s="259"/>
      <c r="N555" s="259"/>
      <c r="O555" s="259"/>
      <c r="P555" s="259"/>
      <c r="Q555" s="259"/>
      <c r="R555" s="259"/>
      <c r="S555" s="259"/>
      <c r="T555" s="259"/>
      <c r="U555" s="259"/>
      <c r="V555" s="259"/>
      <c r="W555" s="259"/>
      <c r="X555" s="259"/>
      <c r="Y555" s="259"/>
      <c r="Z555" s="259"/>
    </row>
    <row r="556" customFormat="false" ht="12" hidden="false" customHeight="true" outlineLevel="0" collapsed="false">
      <c r="A556" s="259"/>
      <c r="B556" s="259"/>
      <c r="C556" s="259"/>
      <c r="D556" s="259"/>
      <c r="E556" s="259"/>
      <c r="F556" s="261"/>
      <c r="G556" s="259"/>
      <c r="H556" s="259"/>
      <c r="I556" s="259"/>
      <c r="J556" s="262"/>
      <c r="K556" s="259"/>
      <c r="L556" s="259"/>
      <c r="M556" s="259"/>
      <c r="N556" s="259"/>
      <c r="O556" s="259"/>
      <c r="P556" s="259"/>
      <c r="Q556" s="259"/>
      <c r="R556" s="259"/>
      <c r="S556" s="259"/>
      <c r="T556" s="259"/>
      <c r="U556" s="259"/>
      <c r="V556" s="259"/>
      <c r="W556" s="259"/>
      <c r="X556" s="259"/>
      <c r="Y556" s="259"/>
      <c r="Z556" s="259"/>
    </row>
    <row r="557" customFormat="false" ht="12" hidden="false" customHeight="true" outlineLevel="0" collapsed="false">
      <c r="A557" s="259"/>
      <c r="B557" s="259"/>
      <c r="C557" s="259"/>
      <c r="D557" s="259"/>
      <c r="E557" s="259"/>
      <c r="F557" s="261"/>
      <c r="G557" s="259"/>
      <c r="H557" s="259"/>
      <c r="I557" s="259"/>
      <c r="J557" s="262"/>
      <c r="K557" s="259"/>
      <c r="L557" s="259"/>
      <c r="M557" s="259"/>
      <c r="N557" s="259"/>
      <c r="O557" s="259"/>
      <c r="P557" s="259"/>
      <c r="Q557" s="259"/>
      <c r="R557" s="259"/>
      <c r="S557" s="259"/>
      <c r="T557" s="259"/>
      <c r="U557" s="259"/>
      <c r="V557" s="259"/>
      <c r="W557" s="259"/>
      <c r="X557" s="259"/>
      <c r="Y557" s="259"/>
      <c r="Z557" s="259"/>
    </row>
    <row r="558" customFormat="false" ht="12" hidden="false" customHeight="true" outlineLevel="0" collapsed="false">
      <c r="A558" s="259"/>
      <c r="B558" s="259"/>
      <c r="C558" s="259"/>
      <c r="D558" s="259"/>
      <c r="E558" s="259"/>
      <c r="F558" s="261"/>
      <c r="G558" s="259"/>
      <c r="H558" s="259"/>
      <c r="I558" s="259"/>
      <c r="J558" s="262"/>
      <c r="K558" s="259"/>
      <c r="L558" s="259"/>
      <c r="M558" s="259"/>
      <c r="N558" s="259"/>
      <c r="O558" s="259"/>
      <c r="P558" s="259"/>
      <c r="Q558" s="259"/>
      <c r="R558" s="259"/>
      <c r="S558" s="259"/>
      <c r="T558" s="259"/>
      <c r="U558" s="259"/>
      <c r="V558" s="259"/>
      <c r="W558" s="259"/>
      <c r="X558" s="259"/>
      <c r="Y558" s="259"/>
      <c r="Z558" s="259"/>
    </row>
    <row r="559" customFormat="false" ht="12" hidden="false" customHeight="true" outlineLevel="0" collapsed="false">
      <c r="A559" s="259"/>
      <c r="B559" s="259"/>
      <c r="C559" s="259"/>
      <c r="D559" s="259"/>
      <c r="E559" s="259"/>
      <c r="F559" s="261"/>
      <c r="G559" s="259"/>
      <c r="H559" s="259"/>
      <c r="I559" s="259"/>
      <c r="J559" s="262"/>
      <c r="K559" s="259"/>
      <c r="L559" s="259"/>
      <c r="M559" s="259"/>
      <c r="N559" s="259"/>
      <c r="O559" s="259"/>
      <c r="P559" s="259"/>
      <c r="Q559" s="259"/>
      <c r="R559" s="259"/>
      <c r="S559" s="259"/>
      <c r="T559" s="259"/>
      <c r="U559" s="259"/>
      <c r="V559" s="259"/>
      <c r="W559" s="259"/>
      <c r="X559" s="259"/>
      <c r="Y559" s="259"/>
      <c r="Z559" s="259"/>
    </row>
    <row r="560" customFormat="false" ht="12" hidden="false" customHeight="true" outlineLevel="0" collapsed="false">
      <c r="A560" s="259"/>
      <c r="B560" s="259"/>
      <c r="C560" s="259"/>
      <c r="D560" s="259"/>
      <c r="E560" s="259"/>
      <c r="F560" s="261"/>
      <c r="G560" s="259"/>
      <c r="H560" s="259"/>
      <c r="I560" s="259"/>
      <c r="J560" s="262"/>
      <c r="K560" s="259"/>
      <c r="L560" s="259"/>
      <c r="M560" s="259"/>
      <c r="N560" s="259"/>
      <c r="O560" s="259"/>
      <c r="P560" s="259"/>
      <c r="Q560" s="259"/>
      <c r="R560" s="259"/>
      <c r="S560" s="259"/>
      <c r="T560" s="259"/>
      <c r="U560" s="259"/>
      <c r="V560" s="259"/>
      <c r="W560" s="259"/>
      <c r="X560" s="259"/>
      <c r="Y560" s="259"/>
      <c r="Z560" s="259"/>
    </row>
    <row r="561" customFormat="false" ht="12" hidden="false" customHeight="true" outlineLevel="0" collapsed="false">
      <c r="A561" s="259"/>
      <c r="B561" s="259"/>
      <c r="C561" s="259"/>
      <c r="D561" s="259"/>
      <c r="E561" s="259"/>
      <c r="F561" s="261"/>
      <c r="G561" s="259"/>
      <c r="H561" s="259"/>
      <c r="I561" s="259"/>
      <c r="J561" s="262"/>
      <c r="K561" s="259"/>
      <c r="L561" s="259"/>
      <c r="M561" s="259"/>
      <c r="N561" s="259"/>
      <c r="O561" s="259"/>
      <c r="P561" s="259"/>
      <c r="Q561" s="259"/>
      <c r="R561" s="259"/>
      <c r="S561" s="259"/>
      <c r="T561" s="259"/>
      <c r="U561" s="259"/>
      <c r="V561" s="259"/>
      <c r="W561" s="259"/>
      <c r="X561" s="259"/>
      <c r="Y561" s="259"/>
      <c r="Z561" s="259"/>
    </row>
    <row r="562" customFormat="false" ht="12" hidden="false" customHeight="true" outlineLevel="0" collapsed="false">
      <c r="A562" s="259"/>
      <c r="B562" s="259"/>
      <c r="C562" s="259"/>
      <c r="D562" s="259"/>
      <c r="E562" s="259"/>
      <c r="F562" s="261"/>
      <c r="G562" s="259"/>
      <c r="H562" s="259"/>
      <c r="I562" s="259"/>
      <c r="J562" s="262"/>
      <c r="K562" s="259"/>
      <c r="L562" s="259"/>
      <c r="M562" s="259"/>
      <c r="N562" s="259"/>
      <c r="O562" s="259"/>
      <c r="P562" s="259"/>
      <c r="Q562" s="259"/>
      <c r="R562" s="259"/>
      <c r="S562" s="259"/>
      <c r="T562" s="259"/>
      <c r="U562" s="259"/>
      <c r="V562" s="259"/>
      <c r="W562" s="259"/>
      <c r="X562" s="259"/>
      <c r="Y562" s="259"/>
      <c r="Z562" s="259"/>
    </row>
    <row r="563" customFormat="false" ht="12" hidden="false" customHeight="true" outlineLevel="0" collapsed="false">
      <c r="A563" s="259"/>
      <c r="B563" s="259"/>
      <c r="C563" s="259"/>
      <c r="D563" s="259"/>
      <c r="E563" s="259"/>
      <c r="F563" s="261"/>
      <c r="G563" s="259"/>
      <c r="H563" s="259"/>
      <c r="I563" s="259"/>
      <c r="J563" s="262"/>
      <c r="K563" s="259"/>
      <c r="L563" s="259"/>
      <c r="M563" s="259"/>
      <c r="N563" s="259"/>
      <c r="O563" s="259"/>
      <c r="P563" s="259"/>
      <c r="Q563" s="259"/>
      <c r="R563" s="259"/>
      <c r="S563" s="259"/>
      <c r="T563" s="259"/>
      <c r="U563" s="259"/>
      <c r="V563" s="259"/>
      <c r="W563" s="259"/>
      <c r="X563" s="259"/>
      <c r="Y563" s="259"/>
      <c r="Z563" s="259"/>
    </row>
    <row r="564" customFormat="false" ht="12" hidden="false" customHeight="true" outlineLevel="0" collapsed="false">
      <c r="A564" s="259"/>
      <c r="B564" s="259"/>
      <c r="C564" s="259"/>
      <c r="D564" s="259"/>
      <c r="E564" s="259"/>
      <c r="F564" s="261"/>
      <c r="G564" s="259"/>
      <c r="H564" s="259"/>
      <c r="I564" s="259"/>
      <c r="J564" s="262"/>
      <c r="K564" s="259"/>
      <c r="L564" s="259"/>
      <c r="M564" s="259"/>
      <c r="N564" s="259"/>
      <c r="O564" s="259"/>
      <c r="P564" s="259"/>
      <c r="Q564" s="259"/>
      <c r="R564" s="259"/>
      <c r="S564" s="259"/>
      <c r="T564" s="259"/>
      <c r="U564" s="259"/>
      <c r="V564" s="259"/>
      <c r="W564" s="259"/>
      <c r="X564" s="259"/>
      <c r="Y564" s="259"/>
      <c r="Z564" s="259"/>
    </row>
    <row r="565" customFormat="false" ht="12" hidden="false" customHeight="true" outlineLevel="0" collapsed="false">
      <c r="A565" s="259"/>
      <c r="B565" s="259"/>
      <c r="C565" s="259"/>
      <c r="D565" s="259"/>
      <c r="E565" s="259"/>
      <c r="F565" s="261"/>
      <c r="G565" s="259"/>
      <c r="H565" s="259"/>
      <c r="I565" s="259"/>
      <c r="J565" s="262"/>
      <c r="K565" s="259"/>
      <c r="L565" s="259"/>
      <c r="M565" s="259"/>
      <c r="N565" s="259"/>
      <c r="O565" s="259"/>
      <c r="P565" s="259"/>
      <c r="Q565" s="259"/>
      <c r="R565" s="259"/>
      <c r="S565" s="259"/>
      <c r="T565" s="259"/>
      <c r="U565" s="259"/>
      <c r="V565" s="259"/>
      <c r="W565" s="259"/>
      <c r="X565" s="259"/>
      <c r="Y565" s="259"/>
      <c r="Z565" s="259"/>
    </row>
    <row r="566" customFormat="false" ht="12" hidden="false" customHeight="true" outlineLevel="0" collapsed="false">
      <c r="A566" s="259"/>
      <c r="B566" s="259"/>
      <c r="C566" s="259"/>
      <c r="D566" s="259"/>
      <c r="E566" s="259"/>
      <c r="F566" s="261"/>
      <c r="G566" s="259"/>
      <c r="H566" s="259"/>
      <c r="I566" s="259"/>
      <c r="J566" s="262"/>
      <c r="K566" s="259"/>
      <c r="L566" s="259"/>
      <c r="M566" s="259"/>
      <c r="N566" s="259"/>
      <c r="O566" s="259"/>
      <c r="P566" s="259"/>
      <c r="Q566" s="259"/>
      <c r="R566" s="259"/>
      <c r="S566" s="259"/>
      <c r="T566" s="259"/>
      <c r="U566" s="259"/>
      <c r="V566" s="259"/>
      <c r="W566" s="259"/>
      <c r="X566" s="259"/>
      <c r="Y566" s="259"/>
      <c r="Z566" s="259"/>
    </row>
    <row r="567" customFormat="false" ht="12" hidden="false" customHeight="true" outlineLevel="0" collapsed="false">
      <c r="A567" s="259"/>
      <c r="B567" s="259"/>
      <c r="C567" s="259"/>
      <c r="D567" s="259"/>
      <c r="E567" s="259"/>
      <c r="F567" s="261"/>
      <c r="G567" s="259"/>
      <c r="H567" s="259"/>
      <c r="I567" s="259"/>
      <c r="J567" s="262"/>
      <c r="K567" s="259"/>
      <c r="L567" s="259"/>
      <c r="M567" s="259"/>
      <c r="N567" s="259"/>
      <c r="O567" s="259"/>
      <c r="P567" s="259"/>
      <c r="Q567" s="259"/>
      <c r="R567" s="259"/>
      <c r="S567" s="259"/>
      <c r="T567" s="259"/>
      <c r="U567" s="259"/>
      <c r="V567" s="259"/>
      <c r="W567" s="259"/>
      <c r="X567" s="259"/>
      <c r="Y567" s="259"/>
      <c r="Z567" s="259"/>
    </row>
    <row r="568" customFormat="false" ht="12" hidden="false" customHeight="true" outlineLevel="0" collapsed="false">
      <c r="A568" s="259"/>
      <c r="B568" s="259"/>
      <c r="C568" s="259"/>
      <c r="D568" s="259"/>
      <c r="E568" s="259"/>
      <c r="F568" s="261"/>
      <c r="G568" s="259"/>
      <c r="H568" s="259"/>
      <c r="I568" s="259"/>
      <c r="J568" s="262"/>
      <c r="K568" s="259"/>
      <c r="L568" s="259"/>
      <c r="M568" s="259"/>
      <c r="N568" s="259"/>
      <c r="O568" s="259"/>
      <c r="P568" s="259"/>
      <c r="Q568" s="259"/>
      <c r="R568" s="259"/>
      <c r="S568" s="259"/>
      <c r="T568" s="259"/>
      <c r="U568" s="259"/>
      <c r="V568" s="259"/>
      <c r="W568" s="259"/>
      <c r="X568" s="259"/>
      <c r="Y568" s="259"/>
      <c r="Z568" s="259"/>
    </row>
    <row r="569" customFormat="false" ht="12" hidden="false" customHeight="true" outlineLevel="0" collapsed="false">
      <c r="A569" s="259"/>
      <c r="B569" s="259"/>
      <c r="C569" s="259"/>
      <c r="D569" s="259"/>
      <c r="E569" s="259"/>
      <c r="F569" s="261"/>
      <c r="G569" s="259"/>
      <c r="H569" s="259"/>
      <c r="I569" s="259"/>
      <c r="J569" s="262"/>
      <c r="K569" s="259"/>
      <c r="L569" s="259"/>
      <c r="M569" s="259"/>
      <c r="N569" s="259"/>
      <c r="O569" s="259"/>
      <c r="P569" s="259"/>
      <c r="Q569" s="259"/>
      <c r="R569" s="259"/>
      <c r="S569" s="259"/>
      <c r="T569" s="259"/>
      <c r="U569" s="259"/>
      <c r="V569" s="259"/>
      <c r="W569" s="259"/>
      <c r="X569" s="259"/>
      <c r="Y569" s="259"/>
      <c r="Z569" s="259"/>
    </row>
    <row r="570" customFormat="false" ht="12" hidden="false" customHeight="true" outlineLevel="0" collapsed="false">
      <c r="A570" s="259"/>
      <c r="B570" s="259"/>
      <c r="C570" s="259"/>
      <c r="D570" s="259"/>
      <c r="E570" s="259"/>
      <c r="F570" s="261"/>
      <c r="G570" s="259"/>
      <c r="H570" s="259"/>
      <c r="I570" s="259"/>
      <c r="J570" s="262"/>
      <c r="K570" s="259"/>
      <c r="L570" s="259"/>
      <c r="M570" s="259"/>
      <c r="N570" s="259"/>
      <c r="O570" s="259"/>
      <c r="P570" s="259"/>
      <c r="Q570" s="259"/>
      <c r="R570" s="259"/>
      <c r="S570" s="259"/>
      <c r="T570" s="259"/>
      <c r="U570" s="259"/>
      <c r="V570" s="259"/>
      <c r="W570" s="259"/>
      <c r="X570" s="259"/>
      <c r="Y570" s="259"/>
      <c r="Z570" s="259"/>
    </row>
    <row r="571" customFormat="false" ht="12" hidden="false" customHeight="true" outlineLevel="0" collapsed="false">
      <c r="A571" s="259"/>
      <c r="B571" s="259"/>
      <c r="C571" s="259"/>
      <c r="D571" s="259"/>
      <c r="E571" s="259"/>
      <c r="F571" s="261"/>
      <c r="G571" s="259"/>
      <c r="H571" s="259"/>
      <c r="I571" s="259"/>
      <c r="J571" s="262"/>
      <c r="K571" s="259"/>
      <c r="L571" s="259"/>
      <c r="M571" s="259"/>
      <c r="N571" s="259"/>
      <c r="O571" s="259"/>
      <c r="P571" s="259"/>
      <c r="Q571" s="259"/>
      <c r="R571" s="259"/>
      <c r="S571" s="259"/>
      <c r="T571" s="259"/>
      <c r="U571" s="259"/>
      <c r="V571" s="259"/>
      <c r="W571" s="259"/>
      <c r="X571" s="259"/>
      <c r="Y571" s="259"/>
      <c r="Z571" s="259"/>
    </row>
    <row r="572" customFormat="false" ht="12" hidden="false" customHeight="true" outlineLevel="0" collapsed="false">
      <c r="A572" s="259"/>
      <c r="B572" s="259"/>
      <c r="C572" s="259"/>
      <c r="D572" s="259"/>
      <c r="E572" s="259"/>
      <c r="F572" s="261"/>
      <c r="G572" s="259"/>
      <c r="H572" s="259"/>
      <c r="I572" s="259"/>
      <c r="J572" s="262"/>
      <c r="K572" s="259"/>
      <c r="L572" s="259"/>
      <c r="M572" s="259"/>
      <c r="N572" s="259"/>
      <c r="O572" s="259"/>
      <c r="P572" s="259"/>
      <c r="Q572" s="259"/>
      <c r="R572" s="259"/>
      <c r="S572" s="259"/>
      <c r="T572" s="259"/>
      <c r="U572" s="259"/>
      <c r="V572" s="259"/>
      <c r="W572" s="259"/>
      <c r="X572" s="259"/>
      <c r="Y572" s="259"/>
      <c r="Z572" s="259"/>
    </row>
    <row r="573" customFormat="false" ht="12" hidden="false" customHeight="true" outlineLevel="0" collapsed="false">
      <c r="A573" s="259"/>
      <c r="B573" s="259"/>
      <c r="C573" s="259"/>
      <c r="D573" s="259"/>
      <c r="E573" s="259"/>
      <c r="F573" s="261"/>
      <c r="G573" s="259"/>
      <c r="H573" s="259"/>
      <c r="I573" s="259"/>
      <c r="J573" s="262"/>
      <c r="K573" s="259"/>
      <c r="L573" s="259"/>
      <c r="M573" s="259"/>
      <c r="N573" s="259"/>
      <c r="O573" s="259"/>
      <c r="P573" s="259"/>
      <c r="Q573" s="259"/>
      <c r="R573" s="259"/>
      <c r="S573" s="259"/>
      <c r="T573" s="259"/>
      <c r="U573" s="259"/>
      <c r="V573" s="259"/>
      <c r="W573" s="259"/>
      <c r="X573" s="259"/>
      <c r="Y573" s="259"/>
      <c r="Z573" s="259"/>
    </row>
    <row r="574" customFormat="false" ht="12" hidden="false" customHeight="true" outlineLevel="0" collapsed="false">
      <c r="A574" s="259"/>
      <c r="B574" s="259"/>
      <c r="C574" s="259"/>
      <c r="D574" s="259"/>
      <c r="E574" s="259"/>
      <c r="F574" s="261"/>
      <c r="G574" s="259"/>
      <c r="H574" s="259"/>
      <c r="I574" s="259"/>
      <c r="J574" s="262"/>
      <c r="K574" s="259"/>
      <c r="L574" s="259"/>
      <c r="M574" s="259"/>
      <c r="N574" s="259"/>
      <c r="O574" s="259"/>
      <c r="P574" s="259"/>
      <c r="Q574" s="259"/>
      <c r="R574" s="259"/>
      <c r="S574" s="259"/>
      <c r="T574" s="259"/>
      <c r="U574" s="259"/>
      <c r="V574" s="259"/>
      <c r="W574" s="259"/>
      <c r="X574" s="259"/>
      <c r="Y574" s="259"/>
      <c r="Z574" s="259"/>
    </row>
    <row r="575" customFormat="false" ht="12" hidden="false" customHeight="true" outlineLevel="0" collapsed="false">
      <c r="A575" s="259"/>
      <c r="B575" s="259"/>
      <c r="C575" s="259"/>
      <c r="D575" s="259"/>
      <c r="E575" s="259"/>
      <c r="F575" s="261"/>
      <c r="G575" s="259"/>
      <c r="H575" s="259"/>
      <c r="I575" s="259"/>
      <c r="J575" s="262"/>
      <c r="K575" s="259"/>
      <c r="L575" s="259"/>
      <c r="M575" s="259"/>
      <c r="N575" s="259"/>
      <c r="O575" s="259"/>
      <c r="P575" s="259"/>
      <c r="Q575" s="259"/>
      <c r="R575" s="259"/>
      <c r="S575" s="259"/>
      <c r="T575" s="259"/>
      <c r="U575" s="259"/>
      <c r="V575" s="259"/>
      <c r="W575" s="259"/>
      <c r="X575" s="259"/>
      <c r="Y575" s="259"/>
      <c r="Z575" s="259"/>
    </row>
    <row r="576" customFormat="false" ht="12" hidden="false" customHeight="true" outlineLevel="0" collapsed="false">
      <c r="A576" s="259"/>
      <c r="B576" s="259"/>
      <c r="C576" s="259"/>
      <c r="D576" s="259"/>
      <c r="E576" s="259"/>
      <c r="F576" s="261"/>
      <c r="G576" s="259"/>
      <c r="H576" s="259"/>
      <c r="I576" s="259"/>
      <c r="J576" s="262"/>
      <c r="K576" s="259"/>
      <c r="L576" s="259"/>
      <c r="M576" s="259"/>
      <c r="N576" s="259"/>
      <c r="O576" s="259"/>
      <c r="P576" s="259"/>
      <c r="Q576" s="259"/>
      <c r="R576" s="259"/>
      <c r="S576" s="259"/>
      <c r="T576" s="259"/>
      <c r="U576" s="259"/>
      <c r="V576" s="259"/>
      <c r="W576" s="259"/>
      <c r="X576" s="259"/>
      <c r="Y576" s="259"/>
      <c r="Z576" s="259"/>
    </row>
    <row r="577" customFormat="false" ht="12" hidden="false" customHeight="true" outlineLevel="0" collapsed="false">
      <c r="A577" s="259"/>
      <c r="B577" s="259"/>
      <c r="C577" s="259"/>
      <c r="D577" s="259"/>
      <c r="E577" s="259"/>
      <c r="F577" s="261"/>
      <c r="G577" s="259"/>
      <c r="H577" s="259"/>
      <c r="I577" s="259"/>
      <c r="J577" s="262"/>
      <c r="K577" s="259"/>
      <c r="L577" s="259"/>
      <c r="M577" s="259"/>
      <c r="N577" s="259"/>
      <c r="O577" s="259"/>
      <c r="P577" s="259"/>
      <c r="Q577" s="259"/>
      <c r="R577" s="259"/>
      <c r="S577" s="259"/>
      <c r="T577" s="259"/>
      <c r="U577" s="259"/>
      <c r="V577" s="259"/>
      <c r="W577" s="259"/>
      <c r="X577" s="259"/>
      <c r="Y577" s="259"/>
      <c r="Z577" s="259"/>
    </row>
    <row r="578" customFormat="false" ht="12" hidden="false" customHeight="true" outlineLevel="0" collapsed="false">
      <c r="A578" s="259"/>
      <c r="B578" s="259"/>
      <c r="C578" s="259"/>
      <c r="D578" s="259"/>
      <c r="E578" s="259"/>
      <c r="F578" s="261"/>
      <c r="G578" s="259"/>
      <c r="H578" s="259"/>
      <c r="I578" s="259"/>
      <c r="J578" s="262"/>
      <c r="K578" s="259"/>
      <c r="L578" s="259"/>
      <c r="M578" s="259"/>
      <c r="N578" s="259"/>
      <c r="O578" s="259"/>
      <c r="P578" s="259"/>
      <c r="Q578" s="259"/>
      <c r="R578" s="259"/>
      <c r="S578" s="259"/>
      <c r="T578" s="259"/>
      <c r="U578" s="259"/>
      <c r="V578" s="259"/>
      <c r="W578" s="259"/>
      <c r="X578" s="259"/>
      <c r="Y578" s="259"/>
      <c r="Z578" s="259"/>
    </row>
    <row r="579" customFormat="false" ht="12" hidden="false" customHeight="true" outlineLevel="0" collapsed="false">
      <c r="A579" s="259"/>
      <c r="B579" s="259"/>
      <c r="C579" s="259"/>
      <c r="D579" s="259"/>
      <c r="E579" s="259"/>
      <c r="F579" s="261"/>
      <c r="G579" s="259"/>
      <c r="H579" s="259"/>
      <c r="I579" s="259"/>
      <c r="J579" s="262"/>
      <c r="K579" s="259"/>
      <c r="L579" s="259"/>
      <c r="M579" s="259"/>
      <c r="N579" s="259"/>
      <c r="O579" s="259"/>
      <c r="P579" s="259"/>
      <c r="Q579" s="259"/>
      <c r="R579" s="259"/>
      <c r="S579" s="259"/>
      <c r="T579" s="259"/>
      <c r="U579" s="259"/>
      <c r="V579" s="259"/>
      <c r="W579" s="259"/>
      <c r="X579" s="259"/>
      <c r="Y579" s="259"/>
      <c r="Z579" s="259"/>
    </row>
    <row r="580" customFormat="false" ht="12" hidden="false" customHeight="true" outlineLevel="0" collapsed="false">
      <c r="A580" s="259"/>
      <c r="B580" s="259"/>
      <c r="C580" s="259"/>
      <c r="D580" s="259"/>
      <c r="E580" s="259"/>
      <c r="F580" s="261"/>
      <c r="G580" s="259"/>
      <c r="H580" s="259"/>
      <c r="I580" s="259"/>
      <c r="J580" s="262"/>
      <c r="K580" s="259"/>
      <c r="L580" s="259"/>
      <c r="M580" s="259"/>
      <c r="N580" s="259"/>
      <c r="O580" s="259"/>
      <c r="P580" s="259"/>
      <c r="Q580" s="259"/>
      <c r="R580" s="259"/>
      <c r="S580" s="259"/>
      <c r="T580" s="259"/>
      <c r="U580" s="259"/>
      <c r="V580" s="259"/>
      <c r="W580" s="259"/>
      <c r="X580" s="259"/>
      <c r="Y580" s="259"/>
      <c r="Z580" s="259"/>
    </row>
    <row r="581" customFormat="false" ht="12" hidden="false" customHeight="true" outlineLevel="0" collapsed="false">
      <c r="A581" s="259"/>
      <c r="B581" s="259"/>
      <c r="C581" s="259"/>
      <c r="D581" s="259"/>
      <c r="E581" s="259"/>
      <c r="F581" s="261"/>
      <c r="G581" s="259"/>
      <c r="H581" s="259"/>
      <c r="I581" s="259"/>
      <c r="J581" s="262"/>
      <c r="K581" s="259"/>
      <c r="L581" s="259"/>
      <c r="M581" s="259"/>
      <c r="N581" s="259"/>
      <c r="O581" s="259"/>
      <c r="P581" s="259"/>
      <c r="Q581" s="259"/>
      <c r="R581" s="259"/>
      <c r="S581" s="259"/>
      <c r="T581" s="259"/>
      <c r="U581" s="259"/>
      <c r="V581" s="259"/>
      <c r="W581" s="259"/>
      <c r="X581" s="259"/>
      <c r="Y581" s="259"/>
      <c r="Z581" s="259"/>
    </row>
    <row r="582" customFormat="false" ht="12" hidden="false" customHeight="true" outlineLevel="0" collapsed="false">
      <c r="A582" s="259"/>
      <c r="B582" s="259"/>
      <c r="C582" s="259"/>
      <c r="D582" s="259"/>
      <c r="E582" s="259"/>
      <c r="F582" s="261"/>
      <c r="G582" s="259"/>
      <c r="H582" s="259"/>
      <c r="I582" s="259"/>
      <c r="J582" s="262"/>
      <c r="K582" s="259"/>
      <c r="L582" s="259"/>
      <c r="M582" s="259"/>
      <c r="N582" s="259"/>
      <c r="O582" s="259"/>
      <c r="P582" s="259"/>
      <c r="Q582" s="259"/>
      <c r="R582" s="259"/>
      <c r="S582" s="259"/>
      <c r="T582" s="259"/>
      <c r="U582" s="259"/>
      <c r="V582" s="259"/>
      <c r="W582" s="259"/>
      <c r="X582" s="259"/>
      <c r="Y582" s="259"/>
      <c r="Z582" s="259"/>
    </row>
    <row r="583" customFormat="false" ht="12" hidden="false" customHeight="true" outlineLevel="0" collapsed="false">
      <c r="A583" s="259"/>
      <c r="B583" s="259"/>
      <c r="C583" s="259"/>
      <c r="D583" s="259"/>
      <c r="E583" s="259"/>
      <c r="F583" s="261"/>
      <c r="G583" s="259"/>
      <c r="H583" s="259"/>
      <c r="I583" s="259"/>
      <c r="J583" s="262"/>
      <c r="K583" s="259"/>
      <c r="L583" s="259"/>
      <c r="M583" s="259"/>
      <c r="N583" s="259"/>
      <c r="O583" s="259"/>
      <c r="P583" s="259"/>
      <c r="Q583" s="259"/>
      <c r="R583" s="259"/>
      <c r="S583" s="259"/>
      <c r="T583" s="259"/>
      <c r="U583" s="259"/>
      <c r="V583" s="259"/>
      <c r="W583" s="259"/>
      <c r="X583" s="259"/>
      <c r="Y583" s="259"/>
      <c r="Z583" s="259"/>
    </row>
    <row r="584" customFormat="false" ht="12" hidden="false" customHeight="true" outlineLevel="0" collapsed="false">
      <c r="A584" s="259"/>
      <c r="B584" s="259"/>
      <c r="C584" s="259"/>
      <c r="D584" s="259"/>
      <c r="E584" s="259"/>
      <c r="F584" s="261"/>
      <c r="G584" s="259"/>
      <c r="H584" s="259"/>
      <c r="I584" s="259"/>
      <c r="J584" s="262"/>
      <c r="K584" s="259"/>
      <c r="L584" s="259"/>
      <c r="M584" s="259"/>
      <c r="N584" s="259"/>
      <c r="O584" s="259"/>
      <c r="P584" s="259"/>
      <c r="Q584" s="259"/>
      <c r="R584" s="259"/>
      <c r="S584" s="259"/>
      <c r="T584" s="259"/>
      <c r="U584" s="259"/>
      <c r="V584" s="259"/>
      <c r="W584" s="259"/>
      <c r="X584" s="259"/>
      <c r="Y584" s="259"/>
      <c r="Z584" s="259"/>
    </row>
    <row r="585" customFormat="false" ht="12" hidden="false" customHeight="true" outlineLevel="0" collapsed="false">
      <c r="A585" s="259"/>
      <c r="B585" s="259"/>
      <c r="C585" s="259"/>
      <c r="D585" s="259"/>
      <c r="E585" s="259"/>
      <c r="F585" s="261"/>
      <c r="G585" s="259"/>
      <c r="H585" s="259"/>
      <c r="I585" s="259"/>
      <c r="J585" s="262"/>
      <c r="K585" s="259"/>
      <c r="L585" s="259"/>
      <c r="M585" s="259"/>
      <c r="N585" s="259"/>
      <c r="O585" s="259"/>
      <c r="P585" s="259"/>
      <c r="Q585" s="259"/>
      <c r="R585" s="259"/>
      <c r="S585" s="259"/>
      <c r="T585" s="259"/>
      <c r="U585" s="259"/>
      <c r="V585" s="259"/>
      <c r="W585" s="259"/>
      <c r="X585" s="259"/>
      <c r="Y585" s="259"/>
      <c r="Z585" s="259"/>
    </row>
    <row r="586" customFormat="false" ht="12" hidden="false" customHeight="true" outlineLevel="0" collapsed="false">
      <c r="A586" s="259"/>
      <c r="B586" s="259"/>
      <c r="C586" s="259"/>
      <c r="D586" s="259"/>
      <c r="E586" s="259"/>
      <c r="F586" s="261"/>
      <c r="G586" s="259"/>
      <c r="H586" s="259"/>
      <c r="I586" s="259"/>
      <c r="J586" s="262"/>
      <c r="K586" s="259"/>
      <c r="L586" s="259"/>
      <c r="M586" s="259"/>
      <c r="N586" s="259"/>
      <c r="O586" s="259"/>
      <c r="P586" s="259"/>
      <c r="Q586" s="259"/>
      <c r="R586" s="259"/>
      <c r="S586" s="259"/>
      <c r="T586" s="259"/>
      <c r="U586" s="259"/>
      <c r="V586" s="259"/>
      <c r="W586" s="259"/>
      <c r="X586" s="259"/>
      <c r="Y586" s="259"/>
      <c r="Z586" s="259"/>
    </row>
    <row r="587" customFormat="false" ht="12" hidden="false" customHeight="true" outlineLevel="0" collapsed="false">
      <c r="A587" s="259"/>
      <c r="B587" s="259"/>
      <c r="C587" s="259"/>
      <c r="D587" s="259"/>
      <c r="E587" s="259"/>
      <c r="F587" s="261"/>
      <c r="G587" s="259"/>
      <c r="H587" s="259"/>
      <c r="I587" s="259"/>
      <c r="J587" s="262"/>
      <c r="K587" s="259"/>
      <c r="L587" s="259"/>
      <c r="M587" s="259"/>
      <c r="N587" s="259"/>
      <c r="O587" s="259"/>
      <c r="P587" s="259"/>
      <c r="Q587" s="259"/>
      <c r="R587" s="259"/>
      <c r="S587" s="259"/>
      <c r="T587" s="259"/>
      <c r="U587" s="259"/>
      <c r="V587" s="259"/>
      <c r="W587" s="259"/>
      <c r="X587" s="259"/>
      <c r="Y587" s="259"/>
      <c r="Z587" s="259"/>
    </row>
    <row r="588" customFormat="false" ht="12" hidden="false" customHeight="true" outlineLevel="0" collapsed="false">
      <c r="A588" s="259"/>
      <c r="B588" s="259"/>
      <c r="C588" s="259"/>
      <c r="D588" s="259"/>
      <c r="E588" s="259"/>
      <c r="F588" s="261"/>
      <c r="G588" s="259"/>
      <c r="H588" s="259"/>
      <c r="I588" s="259"/>
      <c r="J588" s="262"/>
      <c r="K588" s="259"/>
      <c r="L588" s="259"/>
      <c r="M588" s="259"/>
      <c r="N588" s="259"/>
      <c r="O588" s="259"/>
      <c r="P588" s="259"/>
      <c r="Q588" s="259"/>
      <c r="R588" s="259"/>
      <c r="S588" s="259"/>
      <c r="T588" s="259"/>
      <c r="U588" s="259"/>
      <c r="V588" s="259"/>
      <c r="W588" s="259"/>
      <c r="X588" s="259"/>
      <c r="Y588" s="259"/>
      <c r="Z588" s="259"/>
    </row>
    <row r="589" customFormat="false" ht="12" hidden="false" customHeight="true" outlineLevel="0" collapsed="false">
      <c r="A589" s="259"/>
      <c r="B589" s="259"/>
      <c r="C589" s="259"/>
      <c r="D589" s="259"/>
      <c r="E589" s="259"/>
      <c r="F589" s="261"/>
      <c r="G589" s="259"/>
      <c r="H589" s="259"/>
      <c r="I589" s="259"/>
      <c r="J589" s="262"/>
      <c r="K589" s="259"/>
      <c r="L589" s="259"/>
      <c r="M589" s="259"/>
      <c r="N589" s="259"/>
      <c r="O589" s="259"/>
      <c r="P589" s="259"/>
      <c r="Q589" s="259"/>
      <c r="R589" s="259"/>
      <c r="S589" s="259"/>
      <c r="T589" s="259"/>
      <c r="U589" s="259"/>
      <c r="V589" s="259"/>
      <c r="W589" s="259"/>
      <c r="X589" s="259"/>
      <c r="Y589" s="259"/>
      <c r="Z589" s="259"/>
    </row>
    <row r="590" customFormat="false" ht="12" hidden="false" customHeight="true" outlineLevel="0" collapsed="false">
      <c r="A590" s="259"/>
      <c r="B590" s="259"/>
      <c r="C590" s="259"/>
      <c r="D590" s="259"/>
      <c r="E590" s="259"/>
      <c r="F590" s="261"/>
      <c r="G590" s="259"/>
      <c r="H590" s="259"/>
      <c r="I590" s="259"/>
      <c r="J590" s="262"/>
      <c r="K590" s="259"/>
      <c r="L590" s="259"/>
      <c r="M590" s="259"/>
      <c r="N590" s="259"/>
      <c r="O590" s="259"/>
      <c r="P590" s="259"/>
      <c r="Q590" s="259"/>
      <c r="R590" s="259"/>
      <c r="S590" s="259"/>
      <c r="T590" s="259"/>
      <c r="U590" s="259"/>
      <c r="V590" s="259"/>
      <c r="W590" s="259"/>
      <c r="X590" s="259"/>
      <c r="Y590" s="259"/>
      <c r="Z590" s="259"/>
    </row>
    <row r="591" customFormat="false" ht="12" hidden="false" customHeight="true" outlineLevel="0" collapsed="false">
      <c r="A591" s="259"/>
      <c r="B591" s="259"/>
      <c r="C591" s="259"/>
      <c r="D591" s="259"/>
      <c r="E591" s="259"/>
      <c r="F591" s="261"/>
      <c r="G591" s="259"/>
      <c r="H591" s="259"/>
      <c r="I591" s="259"/>
      <c r="J591" s="262"/>
      <c r="K591" s="259"/>
      <c r="L591" s="259"/>
      <c r="M591" s="259"/>
      <c r="N591" s="259"/>
      <c r="O591" s="259"/>
      <c r="P591" s="259"/>
      <c r="Q591" s="259"/>
      <c r="R591" s="259"/>
      <c r="S591" s="259"/>
      <c r="T591" s="259"/>
      <c r="U591" s="259"/>
      <c r="V591" s="259"/>
      <c r="W591" s="259"/>
      <c r="X591" s="259"/>
      <c r="Y591" s="259"/>
      <c r="Z591" s="259"/>
    </row>
    <row r="592" customFormat="false" ht="12" hidden="false" customHeight="true" outlineLevel="0" collapsed="false">
      <c r="A592" s="259"/>
      <c r="B592" s="259"/>
      <c r="C592" s="259"/>
      <c r="D592" s="259"/>
      <c r="E592" s="259"/>
      <c r="F592" s="261"/>
      <c r="G592" s="259"/>
      <c r="H592" s="259"/>
      <c r="I592" s="259"/>
      <c r="J592" s="262"/>
      <c r="K592" s="259"/>
      <c r="L592" s="259"/>
      <c r="M592" s="259"/>
      <c r="N592" s="259"/>
      <c r="O592" s="259"/>
      <c r="P592" s="259"/>
      <c r="Q592" s="259"/>
      <c r="R592" s="259"/>
      <c r="S592" s="259"/>
      <c r="T592" s="259"/>
      <c r="U592" s="259"/>
      <c r="V592" s="259"/>
      <c r="W592" s="259"/>
      <c r="X592" s="259"/>
      <c r="Y592" s="259"/>
      <c r="Z592" s="259"/>
    </row>
    <row r="593" customFormat="false" ht="12" hidden="false" customHeight="true" outlineLevel="0" collapsed="false">
      <c r="A593" s="259"/>
      <c r="B593" s="259"/>
      <c r="C593" s="259"/>
      <c r="D593" s="259"/>
      <c r="E593" s="259"/>
      <c r="F593" s="261"/>
      <c r="G593" s="259"/>
      <c r="H593" s="259"/>
      <c r="I593" s="259"/>
      <c r="J593" s="262"/>
      <c r="K593" s="259"/>
      <c r="L593" s="259"/>
      <c r="M593" s="259"/>
      <c r="N593" s="259"/>
      <c r="O593" s="259"/>
      <c r="P593" s="259"/>
      <c r="Q593" s="259"/>
      <c r="R593" s="259"/>
      <c r="S593" s="259"/>
      <c r="T593" s="259"/>
      <c r="U593" s="259"/>
      <c r="V593" s="259"/>
      <c r="W593" s="259"/>
      <c r="X593" s="259"/>
      <c r="Y593" s="259"/>
      <c r="Z593" s="259"/>
    </row>
    <row r="594" customFormat="false" ht="12" hidden="false" customHeight="true" outlineLevel="0" collapsed="false">
      <c r="A594" s="259"/>
      <c r="B594" s="259"/>
      <c r="C594" s="259"/>
      <c r="D594" s="259"/>
      <c r="E594" s="259"/>
      <c r="F594" s="261"/>
      <c r="G594" s="259"/>
      <c r="H594" s="259"/>
      <c r="I594" s="259"/>
      <c r="J594" s="262"/>
      <c r="K594" s="259"/>
      <c r="L594" s="259"/>
      <c r="M594" s="259"/>
      <c r="N594" s="259"/>
      <c r="O594" s="259"/>
      <c r="P594" s="259"/>
      <c r="Q594" s="259"/>
      <c r="R594" s="259"/>
      <c r="S594" s="259"/>
      <c r="T594" s="259"/>
      <c r="U594" s="259"/>
      <c r="V594" s="259"/>
      <c r="W594" s="259"/>
      <c r="X594" s="259"/>
      <c r="Y594" s="259"/>
      <c r="Z594" s="259"/>
    </row>
    <row r="595" customFormat="false" ht="12" hidden="false" customHeight="true" outlineLevel="0" collapsed="false">
      <c r="A595" s="259"/>
      <c r="B595" s="259"/>
      <c r="C595" s="259"/>
      <c r="D595" s="259"/>
      <c r="E595" s="259"/>
      <c r="F595" s="261"/>
      <c r="G595" s="259"/>
      <c r="H595" s="259"/>
      <c r="I595" s="259"/>
      <c r="J595" s="262"/>
      <c r="K595" s="259"/>
      <c r="L595" s="259"/>
      <c r="M595" s="259"/>
      <c r="N595" s="259"/>
      <c r="O595" s="259"/>
      <c r="P595" s="259"/>
      <c r="Q595" s="259"/>
      <c r="R595" s="259"/>
      <c r="S595" s="259"/>
      <c r="T595" s="259"/>
      <c r="U595" s="259"/>
      <c r="V595" s="259"/>
      <c r="W595" s="259"/>
      <c r="X595" s="259"/>
      <c r="Y595" s="259"/>
      <c r="Z595" s="259"/>
    </row>
    <row r="596" customFormat="false" ht="12" hidden="false" customHeight="true" outlineLevel="0" collapsed="false">
      <c r="A596" s="259"/>
      <c r="B596" s="259"/>
      <c r="C596" s="259"/>
      <c r="D596" s="259"/>
      <c r="E596" s="259"/>
      <c r="F596" s="261"/>
      <c r="G596" s="259"/>
      <c r="H596" s="259"/>
      <c r="I596" s="259"/>
      <c r="J596" s="262"/>
      <c r="K596" s="259"/>
      <c r="L596" s="259"/>
      <c r="M596" s="259"/>
      <c r="N596" s="259"/>
      <c r="O596" s="259"/>
      <c r="P596" s="259"/>
      <c r="Q596" s="259"/>
      <c r="R596" s="259"/>
      <c r="S596" s="259"/>
      <c r="T596" s="259"/>
      <c r="U596" s="259"/>
      <c r="V596" s="259"/>
      <c r="W596" s="259"/>
      <c r="X596" s="259"/>
      <c r="Y596" s="259"/>
      <c r="Z596" s="259"/>
    </row>
    <row r="597" customFormat="false" ht="12" hidden="false" customHeight="true" outlineLevel="0" collapsed="false">
      <c r="A597" s="259"/>
      <c r="B597" s="259"/>
      <c r="C597" s="259"/>
      <c r="D597" s="259"/>
      <c r="E597" s="259"/>
      <c r="F597" s="261"/>
      <c r="G597" s="259"/>
      <c r="H597" s="259"/>
      <c r="I597" s="259"/>
      <c r="J597" s="262"/>
      <c r="K597" s="259"/>
      <c r="L597" s="259"/>
      <c r="M597" s="259"/>
      <c r="N597" s="259"/>
      <c r="O597" s="259"/>
      <c r="P597" s="259"/>
      <c r="Q597" s="259"/>
      <c r="R597" s="259"/>
      <c r="S597" s="259"/>
      <c r="T597" s="259"/>
      <c r="U597" s="259"/>
      <c r="V597" s="259"/>
      <c r="W597" s="259"/>
      <c r="X597" s="259"/>
      <c r="Y597" s="259"/>
      <c r="Z597" s="259"/>
    </row>
    <row r="598" customFormat="false" ht="12" hidden="false" customHeight="true" outlineLevel="0" collapsed="false">
      <c r="A598" s="259"/>
      <c r="B598" s="259"/>
      <c r="C598" s="259"/>
      <c r="D598" s="259"/>
      <c r="E598" s="259"/>
      <c r="F598" s="261"/>
      <c r="G598" s="259"/>
      <c r="H598" s="259"/>
      <c r="I598" s="259"/>
      <c r="J598" s="262"/>
      <c r="K598" s="259"/>
      <c r="L598" s="259"/>
      <c r="M598" s="259"/>
      <c r="N598" s="259"/>
      <c r="O598" s="259"/>
      <c r="P598" s="259"/>
      <c r="Q598" s="259"/>
      <c r="R598" s="259"/>
      <c r="S598" s="259"/>
      <c r="T598" s="259"/>
      <c r="U598" s="259"/>
      <c r="V598" s="259"/>
      <c r="W598" s="259"/>
      <c r="X598" s="259"/>
      <c r="Y598" s="259"/>
      <c r="Z598" s="259"/>
    </row>
    <row r="599" customFormat="false" ht="12" hidden="false" customHeight="true" outlineLevel="0" collapsed="false">
      <c r="A599" s="259"/>
      <c r="B599" s="259"/>
      <c r="C599" s="259"/>
      <c r="D599" s="259"/>
      <c r="E599" s="259"/>
      <c r="F599" s="261"/>
      <c r="G599" s="259"/>
      <c r="H599" s="259"/>
      <c r="I599" s="259"/>
      <c r="J599" s="262"/>
      <c r="K599" s="259"/>
      <c r="L599" s="259"/>
      <c r="M599" s="259"/>
      <c r="N599" s="259"/>
      <c r="O599" s="259"/>
      <c r="P599" s="259"/>
      <c r="Q599" s="259"/>
      <c r="R599" s="259"/>
      <c r="S599" s="259"/>
      <c r="T599" s="259"/>
      <c r="U599" s="259"/>
      <c r="V599" s="259"/>
      <c r="W599" s="259"/>
      <c r="X599" s="259"/>
      <c r="Y599" s="259"/>
      <c r="Z599" s="259"/>
    </row>
    <row r="600" customFormat="false" ht="12" hidden="false" customHeight="true" outlineLevel="0" collapsed="false">
      <c r="A600" s="259"/>
      <c r="B600" s="259"/>
      <c r="C600" s="259"/>
      <c r="D600" s="259"/>
      <c r="E600" s="259"/>
      <c r="F600" s="261"/>
      <c r="G600" s="259"/>
      <c r="H600" s="259"/>
      <c r="I600" s="259"/>
      <c r="J600" s="262"/>
      <c r="K600" s="259"/>
      <c r="L600" s="259"/>
      <c r="M600" s="259"/>
      <c r="N600" s="259"/>
      <c r="O600" s="259"/>
      <c r="P600" s="259"/>
      <c r="Q600" s="259"/>
      <c r="R600" s="259"/>
      <c r="S600" s="259"/>
      <c r="T600" s="259"/>
      <c r="U600" s="259"/>
      <c r="V600" s="259"/>
      <c r="W600" s="259"/>
      <c r="X600" s="259"/>
      <c r="Y600" s="259"/>
      <c r="Z600" s="259"/>
    </row>
    <row r="601" customFormat="false" ht="12" hidden="false" customHeight="true" outlineLevel="0" collapsed="false">
      <c r="A601" s="259"/>
      <c r="B601" s="259"/>
      <c r="C601" s="259"/>
      <c r="D601" s="259"/>
      <c r="E601" s="259"/>
      <c r="F601" s="261"/>
      <c r="G601" s="259"/>
      <c r="H601" s="259"/>
      <c r="I601" s="259"/>
      <c r="J601" s="262"/>
      <c r="K601" s="259"/>
      <c r="L601" s="259"/>
      <c r="M601" s="259"/>
      <c r="N601" s="259"/>
      <c r="O601" s="259"/>
      <c r="P601" s="259"/>
      <c r="Q601" s="259"/>
      <c r="R601" s="259"/>
      <c r="S601" s="259"/>
      <c r="T601" s="259"/>
      <c r="U601" s="259"/>
      <c r="V601" s="259"/>
      <c r="W601" s="259"/>
      <c r="X601" s="259"/>
      <c r="Y601" s="259"/>
      <c r="Z601" s="259"/>
    </row>
    <row r="602" customFormat="false" ht="12" hidden="false" customHeight="true" outlineLevel="0" collapsed="false">
      <c r="A602" s="259"/>
      <c r="B602" s="259"/>
      <c r="C602" s="259"/>
      <c r="D602" s="259"/>
      <c r="E602" s="259"/>
      <c r="F602" s="261"/>
      <c r="G602" s="259"/>
      <c r="H602" s="259"/>
      <c r="I602" s="259"/>
      <c r="J602" s="262"/>
      <c r="K602" s="259"/>
      <c r="L602" s="259"/>
      <c r="M602" s="259"/>
      <c r="N602" s="259"/>
      <c r="O602" s="259"/>
      <c r="P602" s="259"/>
      <c r="Q602" s="259"/>
      <c r="R602" s="259"/>
      <c r="S602" s="259"/>
      <c r="T602" s="259"/>
      <c r="U602" s="259"/>
      <c r="V602" s="259"/>
      <c r="W602" s="259"/>
      <c r="X602" s="259"/>
      <c r="Y602" s="259"/>
      <c r="Z602" s="259"/>
    </row>
    <row r="603" customFormat="false" ht="12" hidden="false" customHeight="true" outlineLevel="0" collapsed="false">
      <c r="A603" s="259"/>
      <c r="B603" s="259"/>
      <c r="C603" s="259"/>
      <c r="D603" s="259"/>
      <c r="E603" s="259"/>
      <c r="F603" s="261"/>
      <c r="G603" s="259"/>
      <c r="H603" s="259"/>
      <c r="I603" s="259"/>
      <c r="J603" s="262"/>
      <c r="K603" s="259"/>
      <c r="L603" s="259"/>
      <c r="M603" s="259"/>
      <c r="N603" s="259"/>
      <c r="O603" s="259"/>
      <c r="P603" s="259"/>
      <c r="Q603" s="259"/>
      <c r="R603" s="259"/>
      <c r="S603" s="259"/>
      <c r="T603" s="259"/>
      <c r="U603" s="259"/>
      <c r="V603" s="259"/>
      <c r="W603" s="259"/>
      <c r="X603" s="259"/>
      <c r="Y603" s="259"/>
      <c r="Z603" s="259"/>
    </row>
    <row r="604" customFormat="false" ht="12" hidden="false" customHeight="true" outlineLevel="0" collapsed="false">
      <c r="A604" s="259"/>
      <c r="B604" s="259"/>
      <c r="C604" s="259"/>
      <c r="D604" s="259"/>
      <c r="E604" s="259"/>
      <c r="F604" s="261"/>
      <c r="G604" s="259"/>
      <c r="H604" s="259"/>
      <c r="I604" s="259"/>
      <c r="J604" s="262"/>
      <c r="K604" s="259"/>
      <c r="L604" s="259"/>
      <c r="M604" s="259"/>
      <c r="N604" s="259"/>
      <c r="O604" s="259"/>
      <c r="P604" s="259"/>
      <c r="Q604" s="259"/>
      <c r="R604" s="259"/>
      <c r="S604" s="259"/>
      <c r="T604" s="259"/>
      <c r="U604" s="259"/>
      <c r="V604" s="259"/>
      <c r="W604" s="259"/>
      <c r="X604" s="259"/>
      <c r="Y604" s="259"/>
      <c r="Z604" s="259"/>
    </row>
    <row r="605" customFormat="false" ht="12" hidden="false" customHeight="true" outlineLevel="0" collapsed="false">
      <c r="A605" s="259"/>
      <c r="B605" s="259"/>
      <c r="C605" s="259"/>
      <c r="D605" s="259"/>
      <c r="E605" s="259"/>
      <c r="F605" s="261"/>
      <c r="G605" s="259"/>
      <c r="H605" s="259"/>
      <c r="I605" s="259"/>
      <c r="J605" s="262"/>
      <c r="K605" s="259"/>
      <c r="L605" s="259"/>
      <c r="M605" s="259"/>
      <c r="N605" s="259"/>
      <c r="O605" s="259"/>
      <c r="P605" s="259"/>
      <c r="Q605" s="259"/>
      <c r="R605" s="259"/>
      <c r="S605" s="259"/>
      <c r="T605" s="259"/>
      <c r="U605" s="259"/>
      <c r="V605" s="259"/>
      <c r="W605" s="259"/>
      <c r="X605" s="259"/>
      <c r="Y605" s="259"/>
      <c r="Z605" s="259"/>
    </row>
    <row r="606" customFormat="false" ht="12" hidden="false" customHeight="true" outlineLevel="0" collapsed="false">
      <c r="A606" s="259"/>
      <c r="B606" s="259"/>
      <c r="C606" s="259"/>
      <c r="D606" s="259"/>
      <c r="E606" s="259"/>
      <c r="F606" s="261"/>
      <c r="G606" s="259"/>
      <c r="H606" s="259"/>
      <c r="I606" s="259"/>
      <c r="J606" s="262"/>
      <c r="K606" s="259"/>
      <c r="L606" s="259"/>
      <c r="M606" s="259"/>
      <c r="N606" s="259"/>
      <c r="O606" s="259"/>
      <c r="P606" s="259"/>
      <c r="Q606" s="259"/>
      <c r="R606" s="259"/>
      <c r="S606" s="259"/>
      <c r="T606" s="259"/>
      <c r="U606" s="259"/>
      <c r="V606" s="259"/>
      <c r="W606" s="259"/>
      <c r="X606" s="259"/>
      <c r="Y606" s="259"/>
      <c r="Z606" s="259"/>
    </row>
    <row r="607" customFormat="false" ht="12" hidden="false" customHeight="true" outlineLevel="0" collapsed="false">
      <c r="A607" s="259"/>
      <c r="B607" s="259"/>
      <c r="C607" s="259"/>
      <c r="D607" s="259"/>
      <c r="E607" s="259"/>
      <c r="F607" s="261"/>
      <c r="G607" s="259"/>
      <c r="H607" s="259"/>
      <c r="I607" s="259"/>
      <c r="J607" s="262"/>
      <c r="K607" s="259"/>
      <c r="L607" s="259"/>
      <c r="M607" s="259"/>
      <c r="N607" s="259"/>
      <c r="O607" s="259"/>
      <c r="P607" s="259"/>
      <c r="Q607" s="259"/>
      <c r="R607" s="259"/>
      <c r="S607" s="259"/>
      <c r="T607" s="259"/>
      <c r="U607" s="259"/>
      <c r="V607" s="259"/>
      <c r="W607" s="259"/>
      <c r="X607" s="259"/>
      <c r="Y607" s="259"/>
      <c r="Z607" s="259"/>
    </row>
    <row r="608" customFormat="false" ht="12" hidden="false" customHeight="true" outlineLevel="0" collapsed="false">
      <c r="A608" s="259"/>
      <c r="B608" s="259"/>
      <c r="C608" s="259"/>
      <c r="D608" s="259"/>
      <c r="E608" s="259"/>
      <c r="F608" s="261"/>
      <c r="G608" s="259"/>
      <c r="H608" s="259"/>
      <c r="I608" s="259"/>
      <c r="J608" s="262"/>
      <c r="K608" s="259"/>
      <c r="L608" s="259"/>
      <c r="M608" s="259"/>
      <c r="N608" s="259"/>
      <c r="O608" s="259"/>
      <c r="P608" s="259"/>
      <c r="Q608" s="259"/>
      <c r="R608" s="259"/>
      <c r="S608" s="259"/>
      <c r="T608" s="259"/>
      <c r="U608" s="259"/>
      <c r="V608" s="259"/>
      <c r="W608" s="259"/>
      <c r="X608" s="259"/>
      <c r="Y608" s="259"/>
      <c r="Z608" s="259"/>
    </row>
    <row r="609" customFormat="false" ht="12" hidden="false" customHeight="true" outlineLevel="0" collapsed="false">
      <c r="A609" s="259"/>
      <c r="B609" s="259"/>
      <c r="C609" s="259"/>
      <c r="D609" s="259"/>
      <c r="E609" s="259"/>
      <c r="F609" s="261"/>
      <c r="G609" s="259"/>
      <c r="H609" s="259"/>
      <c r="I609" s="259"/>
      <c r="J609" s="262"/>
      <c r="K609" s="259"/>
      <c r="L609" s="259"/>
      <c r="M609" s="259"/>
      <c r="N609" s="259"/>
      <c r="O609" s="259"/>
      <c r="P609" s="259"/>
      <c r="Q609" s="259"/>
      <c r="R609" s="259"/>
      <c r="S609" s="259"/>
      <c r="T609" s="259"/>
      <c r="U609" s="259"/>
      <c r="V609" s="259"/>
      <c r="W609" s="259"/>
      <c r="X609" s="259"/>
      <c r="Y609" s="259"/>
      <c r="Z609" s="259"/>
    </row>
    <row r="610" customFormat="false" ht="12" hidden="false" customHeight="true" outlineLevel="0" collapsed="false">
      <c r="A610" s="259"/>
      <c r="B610" s="259"/>
      <c r="C610" s="259"/>
      <c r="D610" s="259"/>
      <c r="E610" s="259"/>
      <c r="F610" s="261"/>
      <c r="G610" s="259"/>
      <c r="H610" s="259"/>
      <c r="I610" s="259"/>
      <c r="J610" s="262"/>
      <c r="K610" s="259"/>
      <c r="L610" s="259"/>
      <c r="M610" s="259"/>
      <c r="N610" s="259"/>
      <c r="O610" s="259"/>
      <c r="P610" s="259"/>
      <c r="Q610" s="259"/>
      <c r="R610" s="259"/>
      <c r="S610" s="259"/>
      <c r="T610" s="259"/>
      <c r="U610" s="259"/>
      <c r="V610" s="259"/>
      <c r="W610" s="259"/>
      <c r="X610" s="259"/>
      <c r="Y610" s="259"/>
      <c r="Z610" s="259"/>
    </row>
    <row r="611" customFormat="false" ht="12" hidden="false" customHeight="true" outlineLevel="0" collapsed="false">
      <c r="A611" s="259"/>
      <c r="B611" s="259"/>
      <c r="C611" s="259"/>
      <c r="D611" s="259"/>
      <c r="E611" s="259"/>
      <c r="F611" s="261"/>
      <c r="G611" s="259"/>
      <c r="H611" s="259"/>
      <c r="I611" s="259"/>
      <c r="J611" s="262"/>
      <c r="K611" s="259"/>
      <c r="L611" s="259"/>
      <c r="M611" s="259"/>
      <c r="N611" s="259"/>
      <c r="O611" s="259"/>
      <c r="P611" s="259"/>
      <c r="Q611" s="259"/>
      <c r="R611" s="259"/>
      <c r="S611" s="259"/>
      <c r="T611" s="259"/>
      <c r="U611" s="259"/>
      <c r="V611" s="259"/>
      <c r="W611" s="259"/>
      <c r="X611" s="259"/>
      <c r="Y611" s="259"/>
      <c r="Z611" s="259"/>
    </row>
    <row r="612" customFormat="false" ht="12" hidden="false" customHeight="true" outlineLevel="0" collapsed="false">
      <c r="A612" s="259"/>
      <c r="B612" s="259"/>
      <c r="C612" s="259"/>
      <c r="D612" s="259"/>
      <c r="E612" s="259"/>
      <c r="F612" s="261"/>
      <c r="G612" s="259"/>
      <c r="H612" s="259"/>
      <c r="I612" s="259"/>
      <c r="J612" s="262"/>
      <c r="K612" s="259"/>
      <c r="L612" s="259"/>
      <c r="M612" s="259"/>
      <c r="N612" s="259"/>
      <c r="O612" s="259"/>
      <c r="P612" s="259"/>
      <c r="Q612" s="259"/>
      <c r="R612" s="259"/>
      <c r="S612" s="259"/>
      <c r="T612" s="259"/>
      <c r="U612" s="259"/>
      <c r="V612" s="259"/>
      <c r="W612" s="259"/>
      <c r="X612" s="259"/>
      <c r="Y612" s="259"/>
      <c r="Z612" s="259"/>
    </row>
    <row r="613" customFormat="false" ht="12" hidden="false" customHeight="true" outlineLevel="0" collapsed="false">
      <c r="A613" s="259"/>
      <c r="B613" s="259"/>
      <c r="C613" s="259"/>
      <c r="D613" s="259"/>
      <c r="E613" s="259"/>
      <c r="F613" s="261"/>
      <c r="G613" s="259"/>
      <c r="H613" s="259"/>
      <c r="I613" s="259"/>
      <c r="J613" s="262"/>
      <c r="K613" s="259"/>
      <c r="L613" s="259"/>
      <c r="M613" s="259"/>
      <c r="N613" s="259"/>
      <c r="O613" s="259"/>
      <c r="P613" s="259"/>
      <c r="Q613" s="259"/>
      <c r="R613" s="259"/>
      <c r="S613" s="259"/>
      <c r="T613" s="259"/>
      <c r="U613" s="259"/>
      <c r="V613" s="259"/>
      <c r="W613" s="259"/>
      <c r="X613" s="259"/>
      <c r="Y613" s="259"/>
      <c r="Z613" s="259"/>
    </row>
    <row r="614" customFormat="false" ht="12" hidden="false" customHeight="true" outlineLevel="0" collapsed="false">
      <c r="A614" s="259"/>
      <c r="B614" s="259"/>
      <c r="C614" s="259"/>
      <c r="D614" s="259"/>
      <c r="E614" s="259"/>
      <c r="F614" s="261"/>
      <c r="G614" s="259"/>
      <c r="H614" s="259"/>
      <c r="I614" s="259"/>
      <c r="J614" s="262"/>
      <c r="K614" s="259"/>
      <c r="L614" s="259"/>
      <c r="M614" s="259"/>
      <c r="N614" s="259"/>
      <c r="O614" s="259"/>
      <c r="P614" s="259"/>
      <c r="Q614" s="259"/>
      <c r="R614" s="259"/>
      <c r="S614" s="259"/>
      <c r="T614" s="259"/>
      <c r="U614" s="259"/>
      <c r="V614" s="259"/>
      <c r="W614" s="259"/>
      <c r="X614" s="259"/>
      <c r="Y614" s="259"/>
      <c r="Z614" s="259"/>
    </row>
    <row r="615" customFormat="false" ht="12" hidden="false" customHeight="true" outlineLevel="0" collapsed="false">
      <c r="A615" s="259"/>
      <c r="B615" s="259"/>
      <c r="C615" s="259"/>
      <c r="D615" s="259"/>
      <c r="E615" s="259"/>
      <c r="F615" s="261"/>
      <c r="G615" s="259"/>
      <c r="H615" s="259"/>
      <c r="I615" s="259"/>
      <c r="J615" s="262"/>
      <c r="K615" s="259"/>
      <c r="L615" s="259"/>
      <c r="M615" s="259"/>
      <c r="N615" s="259"/>
      <c r="O615" s="259"/>
      <c r="P615" s="259"/>
      <c r="Q615" s="259"/>
      <c r="R615" s="259"/>
      <c r="S615" s="259"/>
      <c r="T615" s="259"/>
      <c r="U615" s="259"/>
      <c r="V615" s="259"/>
      <c r="W615" s="259"/>
      <c r="X615" s="259"/>
      <c r="Y615" s="259"/>
      <c r="Z615" s="259"/>
    </row>
    <row r="616" customFormat="false" ht="12" hidden="false" customHeight="true" outlineLevel="0" collapsed="false">
      <c r="A616" s="259"/>
      <c r="B616" s="259"/>
      <c r="C616" s="259"/>
      <c r="D616" s="259"/>
      <c r="E616" s="259"/>
      <c r="F616" s="261"/>
      <c r="G616" s="259"/>
      <c r="H616" s="259"/>
      <c r="I616" s="259"/>
      <c r="J616" s="262"/>
      <c r="K616" s="259"/>
      <c r="L616" s="259"/>
      <c r="M616" s="259"/>
      <c r="N616" s="259"/>
      <c r="O616" s="259"/>
      <c r="P616" s="259"/>
      <c r="Q616" s="259"/>
      <c r="R616" s="259"/>
      <c r="S616" s="259"/>
      <c r="T616" s="259"/>
      <c r="U616" s="259"/>
      <c r="V616" s="259"/>
      <c r="W616" s="259"/>
      <c r="X616" s="259"/>
      <c r="Y616" s="259"/>
      <c r="Z616" s="259"/>
    </row>
    <row r="617" customFormat="false" ht="12" hidden="false" customHeight="true" outlineLevel="0" collapsed="false">
      <c r="A617" s="259"/>
      <c r="B617" s="259"/>
      <c r="C617" s="259"/>
      <c r="D617" s="259"/>
      <c r="E617" s="259"/>
      <c r="F617" s="261"/>
      <c r="G617" s="259"/>
      <c r="H617" s="259"/>
      <c r="I617" s="259"/>
      <c r="J617" s="262"/>
      <c r="K617" s="259"/>
      <c r="L617" s="259"/>
      <c r="M617" s="259"/>
      <c r="N617" s="259"/>
      <c r="O617" s="259"/>
      <c r="P617" s="259"/>
      <c r="Q617" s="259"/>
      <c r="R617" s="259"/>
      <c r="S617" s="259"/>
      <c r="T617" s="259"/>
      <c r="U617" s="259"/>
      <c r="V617" s="259"/>
      <c r="W617" s="259"/>
      <c r="X617" s="259"/>
      <c r="Y617" s="259"/>
      <c r="Z617" s="259"/>
    </row>
    <row r="618" customFormat="false" ht="12" hidden="false" customHeight="true" outlineLevel="0" collapsed="false">
      <c r="A618" s="259"/>
      <c r="B618" s="259"/>
      <c r="C618" s="259"/>
      <c r="D618" s="259"/>
      <c r="E618" s="259"/>
      <c r="F618" s="261"/>
      <c r="G618" s="259"/>
      <c r="H618" s="259"/>
      <c r="I618" s="259"/>
      <c r="J618" s="262"/>
      <c r="K618" s="259"/>
      <c r="L618" s="259"/>
      <c r="M618" s="259"/>
      <c r="N618" s="259"/>
      <c r="O618" s="259"/>
      <c r="P618" s="259"/>
      <c r="Q618" s="259"/>
      <c r="R618" s="259"/>
      <c r="S618" s="259"/>
      <c r="T618" s="259"/>
      <c r="U618" s="259"/>
      <c r="V618" s="259"/>
      <c r="W618" s="259"/>
      <c r="X618" s="259"/>
      <c r="Y618" s="259"/>
      <c r="Z618" s="259"/>
    </row>
    <row r="619" customFormat="false" ht="12" hidden="false" customHeight="true" outlineLevel="0" collapsed="false">
      <c r="A619" s="259"/>
      <c r="B619" s="259"/>
      <c r="C619" s="259"/>
      <c r="D619" s="259"/>
      <c r="E619" s="259"/>
      <c r="F619" s="261"/>
      <c r="G619" s="259"/>
      <c r="H619" s="259"/>
      <c r="I619" s="259"/>
      <c r="J619" s="262"/>
      <c r="K619" s="259"/>
      <c r="L619" s="259"/>
      <c r="M619" s="259"/>
      <c r="N619" s="259"/>
      <c r="O619" s="259"/>
      <c r="P619" s="259"/>
      <c r="Q619" s="259"/>
      <c r="R619" s="259"/>
      <c r="S619" s="259"/>
      <c r="T619" s="259"/>
      <c r="U619" s="259"/>
      <c r="V619" s="259"/>
      <c r="W619" s="259"/>
      <c r="X619" s="259"/>
      <c r="Y619" s="259"/>
      <c r="Z619" s="259"/>
    </row>
    <row r="620" customFormat="false" ht="12" hidden="false" customHeight="true" outlineLevel="0" collapsed="false">
      <c r="A620" s="259"/>
      <c r="B620" s="259"/>
      <c r="C620" s="259"/>
      <c r="D620" s="259"/>
      <c r="E620" s="259"/>
      <c r="F620" s="261"/>
      <c r="G620" s="259"/>
      <c r="H620" s="259"/>
      <c r="I620" s="259"/>
      <c r="J620" s="262"/>
      <c r="K620" s="259"/>
      <c r="L620" s="259"/>
      <c r="M620" s="259"/>
      <c r="N620" s="259"/>
      <c r="O620" s="259"/>
      <c r="P620" s="259"/>
      <c r="Q620" s="259"/>
      <c r="R620" s="259"/>
      <c r="S620" s="259"/>
      <c r="T620" s="259"/>
      <c r="U620" s="259"/>
      <c r="V620" s="259"/>
      <c r="W620" s="259"/>
      <c r="X620" s="259"/>
      <c r="Y620" s="259"/>
      <c r="Z620" s="259"/>
    </row>
    <row r="621" customFormat="false" ht="12" hidden="false" customHeight="true" outlineLevel="0" collapsed="false">
      <c r="A621" s="259"/>
      <c r="B621" s="259"/>
      <c r="C621" s="259"/>
      <c r="D621" s="259"/>
      <c r="E621" s="259"/>
      <c r="F621" s="261"/>
      <c r="G621" s="259"/>
      <c r="H621" s="259"/>
      <c r="I621" s="259"/>
      <c r="J621" s="262"/>
      <c r="K621" s="259"/>
      <c r="L621" s="259"/>
      <c r="M621" s="259"/>
      <c r="N621" s="259"/>
      <c r="O621" s="259"/>
      <c r="P621" s="259"/>
      <c r="Q621" s="259"/>
      <c r="R621" s="259"/>
      <c r="S621" s="259"/>
      <c r="T621" s="259"/>
      <c r="U621" s="259"/>
      <c r="V621" s="259"/>
      <c r="W621" s="259"/>
      <c r="X621" s="259"/>
      <c r="Y621" s="259"/>
      <c r="Z621" s="259"/>
    </row>
    <row r="622" customFormat="false" ht="12" hidden="false" customHeight="true" outlineLevel="0" collapsed="false">
      <c r="A622" s="259"/>
      <c r="B622" s="259"/>
      <c r="C622" s="259"/>
      <c r="D622" s="259"/>
      <c r="E622" s="259"/>
      <c r="F622" s="261"/>
      <c r="G622" s="259"/>
      <c r="H622" s="259"/>
      <c r="I622" s="259"/>
      <c r="J622" s="262"/>
      <c r="K622" s="259"/>
      <c r="L622" s="259"/>
      <c r="M622" s="259"/>
      <c r="N622" s="259"/>
      <c r="O622" s="259"/>
      <c r="P622" s="259"/>
      <c r="Q622" s="259"/>
      <c r="R622" s="259"/>
      <c r="S622" s="259"/>
      <c r="T622" s="259"/>
      <c r="U622" s="259"/>
      <c r="V622" s="259"/>
      <c r="W622" s="259"/>
      <c r="X622" s="259"/>
      <c r="Y622" s="259"/>
      <c r="Z622" s="259"/>
    </row>
    <row r="623" customFormat="false" ht="12" hidden="false" customHeight="true" outlineLevel="0" collapsed="false">
      <c r="A623" s="259"/>
      <c r="B623" s="259"/>
      <c r="C623" s="259"/>
      <c r="D623" s="259"/>
      <c r="E623" s="259"/>
      <c r="F623" s="261"/>
      <c r="G623" s="259"/>
      <c r="H623" s="259"/>
      <c r="I623" s="259"/>
      <c r="J623" s="262"/>
      <c r="K623" s="259"/>
      <c r="L623" s="259"/>
      <c r="M623" s="259"/>
      <c r="N623" s="259"/>
      <c r="O623" s="259"/>
      <c r="P623" s="259"/>
      <c r="Q623" s="259"/>
      <c r="R623" s="259"/>
      <c r="S623" s="259"/>
      <c r="T623" s="259"/>
      <c r="U623" s="259"/>
      <c r="V623" s="259"/>
      <c r="W623" s="259"/>
      <c r="X623" s="259"/>
      <c r="Y623" s="259"/>
      <c r="Z623" s="259"/>
    </row>
    <row r="624" customFormat="false" ht="12" hidden="false" customHeight="true" outlineLevel="0" collapsed="false">
      <c r="A624" s="259"/>
      <c r="B624" s="259"/>
      <c r="C624" s="259"/>
      <c r="D624" s="259"/>
      <c r="E624" s="259"/>
      <c r="F624" s="261"/>
      <c r="G624" s="259"/>
      <c r="H624" s="259"/>
      <c r="I624" s="259"/>
      <c r="J624" s="262"/>
      <c r="K624" s="259"/>
      <c r="L624" s="259"/>
      <c r="M624" s="259"/>
      <c r="N624" s="259"/>
      <c r="O624" s="259"/>
      <c r="P624" s="259"/>
      <c r="Q624" s="259"/>
      <c r="R624" s="259"/>
      <c r="S624" s="259"/>
      <c r="T624" s="259"/>
      <c r="U624" s="259"/>
      <c r="V624" s="259"/>
      <c r="W624" s="259"/>
      <c r="X624" s="259"/>
      <c r="Y624" s="259"/>
      <c r="Z624" s="259"/>
    </row>
    <row r="625" customFormat="false" ht="12" hidden="false" customHeight="true" outlineLevel="0" collapsed="false">
      <c r="A625" s="259"/>
      <c r="B625" s="259"/>
      <c r="C625" s="259"/>
      <c r="D625" s="259"/>
      <c r="E625" s="259"/>
      <c r="F625" s="261"/>
      <c r="G625" s="259"/>
      <c r="H625" s="259"/>
      <c r="I625" s="259"/>
      <c r="J625" s="262"/>
      <c r="K625" s="259"/>
      <c r="L625" s="259"/>
      <c r="M625" s="259"/>
      <c r="N625" s="259"/>
      <c r="O625" s="259"/>
      <c r="P625" s="259"/>
      <c r="Q625" s="259"/>
      <c r="R625" s="259"/>
      <c r="S625" s="259"/>
      <c r="T625" s="259"/>
      <c r="U625" s="259"/>
      <c r="V625" s="259"/>
      <c r="W625" s="259"/>
      <c r="X625" s="259"/>
      <c r="Y625" s="259"/>
      <c r="Z625" s="259"/>
    </row>
    <row r="626" customFormat="false" ht="12" hidden="false" customHeight="true" outlineLevel="0" collapsed="false">
      <c r="A626" s="259"/>
      <c r="B626" s="259"/>
      <c r="C626" s="259"/>
      <c r="D626" s="259"/>
      <c r="E626" s="259"/>
      <c r="F626" s="261"/>
      <c r="G626" s="259"/>
      <c r="H626" s="259"/>
      <c r="I626" s="259"/>
      <c r="J626" s="262"/>
      <c r="K626" s="259"/>
      <c r="L626" s="259"/>
      <c r="M626" s="259"/>
      <c r="N626" s="259"/>
      <c r="O626" s="259"/>
      <c r="P626" s="259"/>
      <c r="Q626" s="259"/>
      <c r="R626" s="259"/>
      <c r="S626" s="259"/>
      <c r="T626" s="259"/>
      <c r="U626" s="259"/>
      <c r="V626" s="259"/>
      <c r="W626" s="259"/>
      <c r="X626" s="259"/>
      <c r="Y626" s="259"/>
      <c r="Z626" s="259"/>
    </row>
    <row r="627" customFormat="false" ht="12" hidden="false" customHeight="true" outlineLevel="0" collapsed="false">
      <c r="A627" s="259"/>
      <c r="B627" s="259"/>
      <c r="C627" s="259"/>
      <c r="D627" s="259"/>
      <c r="E627" s="259"/>
      <c r="F627" s="261"/>
      <c r="G627" s="259"/>
      <c r="H627" s="259"/>
      <c r="I627" s="259"/>
      <c r="J627" s="262"/>
      <c r="K627" s="259"/>
      <c r="L627" s="259"/>
      <c r="M627" s="259"/>
      <c r="N627" s="259"/>
      <c r="O627" s="259"/>
      <c r="P627" s="259"/>
      <c r="Q627" s="259"/>
      <c r="R627" s="259"/>
      <c r="S627" s="259"/>
      <c r="T627" s="259"/>
      <c r="U627" s="259"/>
      <c r="V627" s="259"/>
      <c r="W627" s="259"/>
      <c r="X627" s="259"/>
      <c r="Y627" s="259"/>
      <c r="Z627" s="259"/>
    </row>
    <row r="628" customFormat="false" ht="12" hidden="false" customHeight="true" outlineLevel="0" collapsed="false">
      <c r="A628" s="259"/>
      <c r="B628" s="259"/>
      <c r="C628" s="259"/>
      <c r="D628" s="259"/>
      <c r="E628" s="259"/>
      <c r="F628" s="261"/>
      <c r="G628" s="259"/>
      <c r="H628" s="259"/>
      <c r="I628" s="259"/>
      <c r="J628" s="262"/>
      <c r="K628" s="259"/>
      <c r="L628" s="259"/>
      <c r="M628" s="259"/>
      <c r="N628" s="259"/>
      <c r="O628" s="259"/>
      <c r="P628" s="259"/>
      <c r="Q628" s="259"/>
      <c r="R628" s="259"/>
      <c r="S628" s="259"/>
      <c r="T628" s="259"/>
      <c r="U628" s="259"/>
      <c r="V628" s="259"/>
      <c r="W628" s="259"/>
      <c r="X628" s="259"/>
      <c r="Y628" s="259"/>
      <c r="Z628" s="259"/>
    </row>
    <row r="629" customFormat="false" ht="12" hidden="false" customHeight="true" outlineLevel="0" collapsed="false">
      <c r="A629" s="259"/>
      <c r="B629" s="259"/>
      <c r="C629" s="259"/>
      <c r="D629" s="259"/>
      <c r="E629" s="259"/>
      <c r="F629" s="261"/>
      <c r="G629" s="259"/>
      <c r="H629" s="259"/>
      <c r="I629" s="259"/>
      <c r="J629" s="262"/>
      <c r="K629" s="259"/>
      <c r="L629" s="259"/>
      <c r="M629" s="259"/>
      <c r="N629" s="259"/>
      <c r="O629" s="259"/>
      <c r="P629" s="259"/>
      <c r="Q629" s="259"/>
      <c r="R629" s="259"/>
      <c r="S629" s="259"/>
      <c r="T629" s="259"/>
      <c r="U629" s="259"/>
      <c r="V629" s="259"/>
      <c r="W629" s="259"/>
      <c r="X629" s="259"/>
      <c r="Y629" s="259"/>
      <c r="Z629" s="259"/>
    </row>
    <row r="630" customFormat="false" ht="12" hidden="false" customHeight="true" outlineLevel="0" collapsed="false">
      <c r="A630" s="259"/>
      <c r="B630" s="259"/>
      <c r="C630" s="259"/>
      <c r="D630" s="259"/>
      <c r="E630" s="259"/>
      <c r="F630" s="261"/>
      <c r="G630" s="259"/>
      <c r="H630" s="259"/>
      <c r="I630" s="259"/>
      <c r="J630" s="262"/>
      <c r="K630" s="259"/>
      <c r="L630" s="259"/>
      <c r="M630" s="259"/>
      <c r="N630" s="259"/>
      <c r="O630" s="259"/>
      <c r="P630" s="259"/>
      <c r="Q630" s="259"/>
      <c r="R630" s="259"/>
      <c r="S630" s="259"/>
      <c r="T630" s="259"/>
      <c r="U630" s="259"/>
      <c r="V630" s="259"/>
      <c r="W630" s="259"/>
      <c r="X630" s="259"/>
      <c r="Y630" s="259"/>
      <c r="Z630" s="259"/>
    </row>
    <row r="631" customFormat="false" ht="12" hidden="false" customHeight="true" outlineLevel="0" collapsed="false">
      <c r="A631" s="259"/>
      <c r="B631" s="259"/>
      <c r="C631" s="259"/>
      <c r="D631" s="259"/>
      <c r="E631" s="259"/>
      <c r="F631" s="261"/>
      <c r="G631" s="259"/>
      <c r="H631" s="259"/>
      <c r="I631" s="259"/>
      <c r="J631" s="262"/>
      <c r="K631" s="259"/>
      <c r="L631" s="259"/>
      <c r="M631" s="259"/>
      <c r="N631" s="259"/>
      <c r="O631" s="259"/>
      <c r="P631" s="259"/>
      <c r="Q631" s="259"/>
      <c r="R631" s="259"/>
      <c r="S631" s="259"/>
      <c r="T631" s="259"/>
      <c r="U631" s="259"/>
      <c r="V631" s="259"/>
      <c r="W631" s="259"/>
      <c r="X631" s="259"/>
      <c r="Y631" s="259"/>
      <c r="Z631" s="259"/>
    </row>
    <row r="632" customFormat="false" ht="12" hidden="false" customHeight="true" outlineLevel="0" collapsed="false">
      <c r="A632" s="259"/>
      <c r="B632" s="259"/>
      <c r="C632" s="259"/>
      <c r="D632" s="259"/>
      <c r="E632" s="259"/>
      <c r="F632" s="261"/>
      <c r="G632" s="259"/>
      <c r="H632" s="259"/>
      <c r="I632" s="259"/>
      <c r="J632" s="262"/>
      <c r="K632" s="259"/>
      <c r="L632" s="259"/>
      <c r="M632" s="259"/>
      <c r="N632" s="259"/>
      <c r="O632" s="259"/>
      <c r="P632" s="259"/>
      <c r="Q632" s="259"/>
      <c r="R632" s="259"/>
      <c r="S632" s="259"/>
      <c r="T632" s="259"/>
      <c r="U632" s="259"/>
      <c r="V632" s="259"/>
      <c r="W632" s="259"/>
      <c r="X632" s="259"/>
      <c r="Y632" s="259"/>
      <c r="Z632" s="259"/>
    </row>
    <row r="633" customFormat="false" ht="12" hidden="false" customHeight="true" outlineLevel="0" collapsed="false">
      <c r="A633" s="259"/>
      <c r="B633" s="259"/>
      <c r="C633" s="259"/>
      <c r="D633" s="259"/>
      <c r="E633" s="259"/>
      <c r="F633" s="261"/>
      <c r="G633" s="259"/>
      <c r="H633" s="259"/>
      <c r="I633" s="259"/>
      <c r="J633" s="262"/>
      <c r="K633" s="259"/>
      <c r="L633" s="259"/>
      <c r="M633" s="259"/>
      <c r="N633" s="259"/>
      <c r="O633" s="259"/>
      <c r="P633" s="259"/>
      <c r="Q633" s="259"/>
      <c r="R633" s="259"/>
      <c r="S633" s="259"/>
      <c r="T633" s="259"/>
      <c r="U633" s="259"/>
      <c r="V633" s="259"/>
      <c r="W633" s="259"/>
      <c r="X633" s="259"/>
      <c r="Y633" s="259"/>
      <c r="Z633" s="259"/>
    </row>
    <row r="634" customFormat="false" ht="12" hidden="false" customHeight="true" outlineLevel="0" collapsed="false">
      <c r="A634" s="259"/>
      <c r="B634" s="259"/>
      <c r="C634" s="259"/>
      <c r="D634" s="259"/>
      <c r="E634" s="259"/>
      <c r="F634" s="261"/>
      <c r="G634" s="259"/>
      <c r="H634" s="259"/>
      <c r="I634" s="259"/>
      <c r="J634" s="262"/>
      <c r="K634" s="259"/>
      <c r="L634" s="259"/>
      <c r="M634" s="259"/>
      <c r="N634" s="259"/>
      <c r="O634" s="259"/>
      <c r="P634" s="259"/>
      <c r="Q634" s="259"/>
      <c r="R634" s="259"/>
      <c r="S634" s="259"/>
      <c r="T634" s="259"/>
      <c r="U634" s="259"/>
      <c r="V634" s="259"/>
      <c r="W634" s="259"/>
      <c r="X634" s="259"/>
      <c r="Y634" s="259"/>
      <c r="Z634" s="259"/>
    </row>
    <row r="635" customFormat="false" ht="12" hidden="false" customHeight="true" outlineLevel="0" collapsed="false">
      <c r="A635" s="259"/>
      <c r="B635" s="259"/>
      <c r="C635" s="259"/>
      <c r="D635" s="259"/>
      <c r="E635" s="259"/>
      <c r="F635" s="261"/>
      <c r="G635" s="259"/>
      <c r="H635" s="259"/>
      <c r="I635" s="259"/>
      <c r="J635" s="262"/>
      <c r="K635" s="259"/>
      <c r="L635" s="259"/>
      <c r="M635" s="259"/>
      <c r="N635" s="259"/>
      <c r="O635" s="259"/>
      <c r="P635" s="259"/>
      <c r="Q635" s="259"/>
      <c r="R635" s="259"/>
      <c r="S635" s="259"/>
      <c r="T635" s="259"/>
      <c r="U635" s="259"/>
      <c r="V635" s="259"/>
      <c r="W635" s="259"/>
      <c r="X635" s="259"/>
      <c r="Y635" s="259"/>
      <c r="Z635" s="259"/>
    </row>
    <row r="636" customFormat="false" ht="12" hidden="false" customHeight="true" outlineLevel="0" collapsed="false">
      <c r="A636" s="259"/>
      <c r="B636" s="259"/>
      <c r="C636" s="259"/>
      <c r="D636" s="259"/>
      <c r="E636" s="259"/>
      <c r="F636" s="261"/>
      <c r="G636" s="259"/>
      <c r="H636" s="259"/>
      <c r="I636" s="259"/>
      <c r="J636" s="262"/>
      <c r="K636" s="259"/>
      <c r="L636" s="259"/>
      <c r="M636" s="259"/>
      <c r="N636" s="259"/>
      <c r="O636" s="259"/>
      <c r="P636" s="259"/>
      <c r="Q636" s="259"/>
      <c r="R636" s="259"/>
      <c r="S636" s="259"/>
      <c r="T636" s="259"/>
      <c r="U636" s="259"/>
      <c r="V636" s="259"/>
      <c r="W636" s="259"/>
      <c r="X636" s="259"/>
      <c r="Y636" s="259"/>
      <c r="Z636" s="259"/>
    </row>
    <row r="637" customFormat="false" ht="12" hidden="false" customHeight="true" outlineLevel="0" collapsed="false">
      <c r="A637" s="259"/>
      <c r="B637" s="259"/>
      <c r="C637" s="259"/>
      <c r="D637" s="259"/>
      <c r="E637" s="259"/>
      <c r="F637" s="261"/>
      <c r="G637" s="259"/>
      <c r="H637" s="259"/>
      <c r="I637" s="259"/>
      <c r="J637" s="262"/>
      <c r="K637" s="259"/>
      <c r="L637" s="259"/>
      <c r="M637" s="259"/>
      <c r="N637" s="259"/>
      <c r="O637" s="259"/>
      <c r="P637" s="259"/>
      <c r="Q637" s="259"/>
      <c r="R637" s="259"/>
      <c r="S637" s="259"/>
      <c r="T637" s="259"/>
      <c r="U637" s="259"/>
      <c r="V637" s="259"/>
      <c r="W637" s="259"/>
      <c r="X637" s="259"/>
      <c r="Y637" s="259"/>
      <c r="Z637" s="259"/>
    </row>
    <row r="638" customFormat="false" ht="12" hidden="false" customHeight="true" outlineLevel="0" collapsed="false">
      <c r="A638" s="259"/>
      <c r="B638" s="259"/>
      <c r="C638" s="259"/>
      <c r="D638" s="259"/>
      <c r="E638" s="259"/>
      <c r="F638" s="261"/>
      <c r="G638" s="259"/>
      <c r="H638" s="259"/>
      <c r="I638" s="259"/>
      <c r="J638" s="262"/>
      <c r="K638" s="259"/>
      <c r="L638" s="259"/>
      <c r="M638" s="259"/>
      <c r="N638" s="259"/>
      <c r="O638" s="259"/>
      <c r="P638" s="259"/>
      <c r="Q638" s="259"/>
      <c r="R638" s="259"/>
      <c r="S638" s="259"/>
      <c r="T638" s="259"/>
      <c r="U638" s="259"/>
      <c r="V638" s="259"/>
      <c r="W638" s="259"/>
      <c r="X638" s="259"/>
      <c r="Y638" s="259"/>
      <c r="Z638" s="259"/>
    </row>
    <row r="639" customFormat="false" ht="12" hidden="false" customHeight="true" outlineLevel="0" collapsed="false">
      <c r="A639" s="259"/>
      <c r="B639" s="259"/>
      <c r="C639" s="259"/>
      <c r="D639" s="259"/>
      <c r="E639" s="259"/>
      <c r="F639" s="261"/>
      <c r="G639" s="259"/>
      <c r="H639" s="259"/>
      <c r="I639" s="259"/>
      <c r="J639" s="262"/>
      <c r="K639" s="259"/>
      <c r="L639" s="259"/>
      <c r="M639" s="259"/>
      <c r="N639" s="259"/>
      <c r="O639" s="259"/>
      <c r="P639" s="259"/>
      <c r="Q639" s="259"/>
      <c r="R639" s="259"/>
      <c r="S639" s="259"/>
      <c r="T639" s="259"/>
      <c r="U639" s="259"/>
      <c r="V639" s="259"/>
      <c r="W639" s="259"/>
      <c r="X639" s="259"/>
      <c r="Y639" s="259"/>
      <c r="Z639" s="259"/>
    </row>
    <row r="640" customFormat="false" ht="12" hidden="false" customHeight="true" outlineLevel="0" collapsed="false">
      <c r="A640" s="259"/>
      <c r="B640" s="259"/>
      <c r="C640" s="259"/>
      <c r="D640" s="259"/>
      <c r="E640" s="259"/>
      <c r="F640" s="261"/>
      <c r="G640" s="259"/>
      <c r="H640" s="259"/>
      <c r="I640" s="259"/>
      <c r="J640" s="262"/>
      <c r="K640" s="259"/>
      <c r="L640" s="259"/>
      <c r="M640" s="259"/>
      <c r="N640" s="259"/>
      <c r="O640" s="259"/>
      <c r="P640" s="259"/>
      <c r="Q640" s="259"/>
      <c r="R640" s="259"/>
      <c r="S640" s="259"/>
      <c r="T640" s="259"/>
      <c r="U640" s="259"/>
      <c r="V640" s="259"/>
      <c r="W640" s="259"/>
      <c r="X640" s="259"/>
      <c r="Y640" s="259"/>
      <c r="Z640" s="259"/>
    </row>
    <row r="641" customFormat="false" ht="12" hidden="false" customHeight="true" outlineLevel="0" collapsed="false">
      <c r="A641" s="259"/>
      <c r="B641" s="259"/>
      <c r="C641" s="259"/>
      <c r="D641" s="259"/>
      <c r="E641" s="259"/>
      <c r="F641" s="261"/>
      <c r="G641" s="259"/>
      <c r="H641" s="259"/>
      <c r="I641" s="259"/>
      <c r="J641" s="262"/>
      <c r="K641" s="259"/>
      <c r="L641" s="259"/>
      <c r="M641" s="259"/>
      <c r="N641" s="259"/>
      <c r="O641" s="259"/>
      <c r="P641" s="259"/>
      <c r="Q641" s="259"/>
      <c r="R641" s="259"/>
      <c r="S641" s="259"/>
      <c r="T641" s="259"/>
      <c r="U641" s="259"/>
      <c r="V641" s="259"/>
      <c r="W641" s="259"/>
      <c r="X641" s="259"/>
      <c r="Y641" s="259"/>
      <c r="Z641" s="259"/>
    </row>
    <row r="642" customFormat="false" ht="12" hidden="false" customHeight="true" outlineLevel="0" collapsed="false">
      <c r="A642" s="259"/>
      <c r="B642" s="259"/>
      <c r="C642" s="259"/>
      <c r="D642" s="259"/>
      <c r="E642" s="259"/>
      <c r="F642" s="261"/>
      <c r="G642" s="259"/>
      <c r="H642" s="259"/>
      <c r="I642" s="259"/>
      <c r="J642" s="262"/>
      <c r="K642" s="259"/>
      <c r="L642" s="259"/>
      <c r="M642" s="259"/>
      <c r="N642" s="259"/>
      <c r="O642" s="259"/>
      <c r="P642" s="259"/>
      <c r="Q642" s="259"/>
      <c r="R642" s="259"/>
      <c r="S642" s="259"/>
      <c r="T642" s="259"/>
      <c r="U642" s="259"/>
      <c r="V642" s="259"/>
      <c r="W642" s="259"/>
      <c r="X642" s="259"/>
      <c r="Y642" s="259"/>
      <c r="Z642" s="259"/>
    </row>
    <row r="643" customFormat="false" ht="12" hidden="false" customHeight="true" outlineLevel="0" collapsed="false">
      <c r="A643" s="259"/>
      <c r="B643" s="259"/>
      <c r="C643" s="259"/>
      <c r="D643" s="259"/>
      <c r="E643" s="259"/>
      <c r="F643" s="261"/>
      <c r="G643" s="259"/>
      <c r="H643" s="259"/>
      <c r="I643" s="259"/>
      <c r="J643" s="262"/>
      <c r="K643" s="259"/>
      <c r="L643" s="259"/>
      <c r="M643" s="259"/>
      <c r="N643" s="259"/>
      <c r="O643" s="259"/>
      <c r="P643" s="259"/>
      <c r="Q643" s="259"/>
      <c r="R643" s="259"/>
      <c r="S643" s="259"/>
      <c r="T643" s="259"/>
      <c r="U643" s="259"/>
      <c r="V643" s="259"/>
      <c r="W643" s="259"/>
      <c r="X643" s="259"/>
      <c r="Y643" s="259"/>
      <c r="Z643" s="259"/>
    </row>
    <row r="644" customFormat="false" ht="12" hidden="false" customHeight="true" outlineLevel="0" collapsed="false">
      <c r="A644" s="259"/>
      <c r="B644" s="259"/>
      <c r="C644" s="259"/>
      <c r="D644" s="259"/>
      <c r="E644" s="259"/>
      <c r="F644" s="261"/>
      <c r="G644" s="259"/>
      <c r="H644" s="259"/>
      <c r="I644" s="259"/>
      <c r="J644" s="262"/>
      <c r="K644" s="259"/>
      <c r="L644" s="259"/>
      <c r="M644" s="259"/>
      <c r="N644" s="259"/>
      <c r="O644" s="259"/>
      <c r="P644" s="259"/>
      <c r="Q644" s="259"/>
      <c r="R644" s="259"/>
      <c r="S644" s="259"/>
      <c r="T644" s="259"/>
      <c r="U644" s="259"/>
      <c r="V644" s="259"/>
      <c r="W644" s="259"/>
      <c r="X644" s="259"/>
      <c r="Y644" s="259"/>
      <c r="Z644" s="259"/>
    </row>
    <row r="645" customFormat="false" ht="12" hidden="false" customHeight="true" outlineLevel="0" collapsed="false">
      <c r="A645" s="259"/>
      <c r="B645" s="259"/>
      <c r="C645" s="259"/>
      <c r="D645" s="259"/>
      <c r="E645" s="259"/>
      <c r="F645" s="261"/>
      <c r="G645" s="259"/>
      <c r="H645" s="259"/>
      <c r="I645" s="259"/>
      <c r="J645" s="262"/>
      <c r="K645" s="259"/>
      <c r="L645" s="259"/>
      <c r="M645" s="259"/>
      <c r="N645" s="259"/>
      <c r="O645" s="259"/>
      <c r="P645" s="259"/>
      <c r="Q645" s="259"/>
      <c r="R645" s="259"/>
      <c r="S645" s="259"/>
      <c r="T645" s="259"/>
      <c r="U645" s="259"/>
      <c r="V645" s="259"/>
      <c r="W645" s="259"/>
      <c r="X645" s="259"/>
      <c r="Y645" s="259"/>
      <c r="Z645" s="259"/>
    </row>
    <row r="646" customFormat="false" ht="12" hidden="false" customHeight="true" outlineLevel="0" collapsed="false">
      <c r="A646" s="259"/>
      <c r="B646" s="259"/>
      <c r="C646" s="259"/>
      <c r="D646" s="259"/>
      <c r="E646" s="259"/>
      <c r="F646" s="261"/>
      <c r="G646" s="259"/>
      <c r="H646" s="259"/>
      <c r="I646" s="259"/>
      <c r="J646" s="262"/>
      <c r="K646" s="259"/>
      <c r="L646" s="259"/>
      <c r="M646" s="259"/>
      <c r="N646" s="259"/>
      <c r="O646" s="259"/>
      <c r="P646" s="259"/>
      <c r="Q646" s="259"/>
      <c r="R646" s="259"/>
      <c r="S646" s="259"/>
      <c r="T646" s="259"/>
      <c r="U646" s="259"/>
      <c r="V646" s="259"/>
      <c r="W646" s="259"/>
      <c r="X646" s="259"/>
      <c r="Y646" s="259"/>
      <c r="Z646" s="259"/>
    </row>
    <row r="647" customFormat="false" ht="12" hidden="false" customHeight="true" outlineLevel="0" collapsed="false">
      <c r="A647" s="259"/>
      <c r="B647" s="259"/>
      <c r="C647" s="259"/>
      <c r="D647" s="259"/>
      <c r="E647" s="259"/>
      <c r="F647" s="261"/>
      <c r="G647" s="259"/>
      <c r="H647" s="259"/>
      <c r="I647" s="259"/>
      <c r="J647" s="262"/>
      <c r="K647" s="259"/>
      <c r="L647" s="259"/>
      <c r="M647" s="259"/>
      <c r="N647" s="259"/>
      <c r="O647" s="259"/>
      <c r="P647" s="259"/>
      <c r="Q647" s="259"/>
      <c r="R647" s="259"/>
      <c r="S647" s="259"/>
      <c r="T647" s="259"/>
      <c r="U647" s="259"/>
      <c r="V647" s="259"/>
      <c r="W647" s="259"/>
      <c r="X647" s="259"/>
      <c r="Y647" s="259"/>
      <c r="Z647" s="259"/>
    </row>
    <row r="648" customFormat="false" ht="12" hidden="false" customHeight="true" outlineLevel="0" collapsed="false">
      <c r="A648" s="259"/>
      <c r="B648" s="259"/>
      <c r="C648" s="259"/>
      <c r="D648" s="259"/>
      <c r="E648" s="259"/>
      <c r="F648" s="261"/>
      <c r="G648" s="259"/>
      <c r="H648" s="259"/>
      <c r="I648" s="259"/>
      <c r="J648" s="262"/>
      <c r="K648" s="259"/>
      <c r="L648" s="259"/>
      <c r="M648" s="259"/>
      <c r="N648" s="259"/>
      <c r="O648" s="259"/>
      <c r="P648" s="259"/>
      <c r="Q648" s="259"/>
      <c r="R648" s="259"/>
      <c r="S648" s="259"/>
      <c r="T648" s="259"/>
      <c r="U648" s="259"/>
      <c r="V648" s="259"/>
      <c r="W648" s="259"/>
      <c r="X648" s="259"/>
      <c r="Y648" s="259"/>
      <c r="Z648" s="259"/>
    </row>
    <row r="649" customFormat="false" ht="12" hidden="false" customHeight="true" outlineLevel="0" collapsed="false">
      <c r="A649" s="259"/>
      <c r="B649" s="259"/>
      <c r="C649" s="259"/>
      <c r="D649" s="259"/>
      <c r="E649" s="259"/>
      <c r="F649" s="261"/>
      <c r="G649" s="259"/>
      <c r="H649" s="259"/>
      <c r="I649" s="259"/>
      <c r="J649" s="262"/>
      <c r="K649" s="259"/>
      <c r="L649" s="259"/>
      <c r="M649" s="259"/>
      <c r="N649" s="259"/>
      <c r="O649" s="259"/>
      <c r="P649" s="259"/>
      <c r="Q649" s="259"/>
      <c r="R649" s="259"/>
      <c r="S649" s="259"/>
      <c r="T649" s="259"/>
      <c r="U649" s="259"/>
      <c r="V649" s="259"/>
      <c r="W649" s="259"/>
      <c r="X649" s="259"/>
      <c r="Y649" s="259"/>
      <c r="Z649" s="259"/>
    </row>
    <row r="650" customFormat="false" ht="12" hidden="false" customHeight="true" outlineLevel="0" collapsed="false">
      <c r="A650" s="259"/>
      <c r="B650" s="259"/>
      <c r="C650" s="259"/>
      <c r="D650" s="259"/>
      <c r="E650" s="259"/>
      <c r="F650" s="261"/>
      <c r="G650" s="259"/>
      <c r="H650" s="259"/>
      <c r="I650" s="259"/>
      <c r="J650" s="262"/>
      <c r="K650" s="259"/>
      <c r="L650" s="259"/>
      <c r="M650" s="259"/>
      <c r="N650" s="259"/>
      <c r="O650" s="259"/>
      <c r="P650" s="259"/>
      <c r="Q650" s="259"/>
      <c r="R650" s="259"/>
      <c r="S650" s="259"/>
      <c r="T650" s="259"/>
      <c r="U650" s="259"/>
      <c r="V650" s="259"/>
      <c r="W650" s="259"/>
      <c r="X650" s="259"/>
      <c r="Y650" s="259"/>
      <c r="Z650" s="259"/>
    </row>
    <row r="651" customFormat="false" ht="12" hidden="false" customHeight="true" outlineLevel="0" collapsed="false">
      <c r="A651" s="259"/>
      <c r="B651" s="259"/>
      <c r="C651" s="259"/>
      <c r="D651" s="259"/>
      <c r="E651" s="259"/>
      <c r="F651" s="261"/>
      <c r="G651" s="259"/>
      <c r="H651" s="259"/>
      <c r="I651" s="259"/>
      <c r="J651" s="262"/>
      <c r="K651" s="259"/>
      <c r="L651" s="259"/>
      <c r="M651" s="259"/>
      <c r="N651" s="259"/>
      <c r="O651" s="259"/>
      <c r="P651" s="259"/>
      <c r="Q651" s="259"/>
      <c r="R651" s="259"/>
      <c r="S651" s="259"/>
      <c r="T651" s="259"/>
      <c r="U651" s="259"/>
      <c r="V651" s="259"/>
      <c r="W651" s="259"/>
      <c r="X651" s="259"/>
      <c r="Y651" s="259"/>
      <c r="Z651" s="259"/>
    </row>
    <row r="652" customFormat="false" ht="12" hidden="false" customHeight="true" outlineLevel="0" collapsed="false">
      <c r="A652" s="259"/>
      <c r="B652" s="259"/>
      <c r="C652" s="259"/>
      <c r="D652" s="259"/>
      <c r="E652" s="259"/>
      <c r="F652" s="261"/>
      <c r="G652" s="259"/>
      <c r="H652" s="259"/>
      <c r="I652" s="259"/>
      <c r="J652" s="262"/>
      <c r="K652" s="259"/>
      <c r="L652" s="259"/>
      <c r="M652" s="259"/>
      <c r="N652" s="259"/>
      <c r="O652" s="259"/>
      <c r="P652" s="259"/>
      <c r="Q652" s="259"/>
      <c r="R652" s="259"/>
      <c r="S652" s="259"/>
      <c r="T652" s="259"/>
      <c r="U652" s="259"/>
      <c r="V652" s="259"/>
      <c r="W652" s="259"/>
      <c r="X652" s="259"/>
      <c r="Y652" s="259"/>
      <c r="Z652" s="259"/>
    </row>
    <row r="653" customFormat="false" ht="12" hidden="false" customHeight="true" outlineLevel="0" collapsed="false">
      <c r="A653" s="259"/>
      <c r="B653" s="259"/>
      <c r="C653" s="259"/>
      <c r="D653" s="259"/>
      <c r="E653" s="259"/>
      <c r="F653" s="261"/>
      <c r="G653" s="259"/>
      <c r="H653" s="259"/>
      <c r="I653" s="259"/>
      <c r="J653" s="262"/>
      <c r="K653" s="259"/>
      <c r="L653" s="259"/>
      <c r="M653" s="259"/>
      <c r="N653" s="259"/>
      <c r="O653" s="259"/>
      <c r="P653" s="259"/>
      <c r="Q653" s="259"/>
      <c r="R653" s="259"/>
      <c r="S653" s="259"/>
      <c r="T653" s="259"/>
      <c r="U653" s="259"/>
      <c r="V653" s="259"/>
      <c r="W653" s="259"/>
      <c r="X653" s="259"/>
      <c r="Y653" s="259"/>
      <c r="Z653" s="259"/>
    </row>
    <row r="654" customFormat="false" ht="12" hidden="false" customHeight="true" outlineLevel="0" collapsed="false">
      <c r="A654" s="259"/>
      <c r="B654" s="259"/>
      <c r="C654" s="259"/>
      <c r="D654" s="259"/>
      <c r="E654" s="259"/>
      <c r="F654" s="261"/>
      <c r="G654" s="259"/>
      <c r="H654" s="259"/>
      <c r="I654" s="259"/>
      <c r="J654" s="262"/>
      <c r="K654" s="259"/>
      <c r="L654" s="259"/>
      <c r="M654" s="259"/>
      <c r="N654" s="259"/>
      <c r="O654" s="259"/>
      <c r="P654" s="259"/>
      <c r="Q654" s="259"/>
      <c r="R654" s="259"/>
      <c r="S654" s="259"/>
      <c r="T654" s="259"/>
      <c r="U654" s="259"/>
      <c r="V654" s="259"/>
      <c r="W654" s="259"/>
      <c r="X654" s="259"/>
      <c r="Y654" s="259"/>
      <c r="Z654" s="259"/>
    </row>
    <row r="655" customFormat="false" ht="12" hidden="false" customHeight="true" outlineLevel="0" collapsed="false">
      <c r="A655" s="259"/>
      <c r="B655" s="259"/>
      <c r="C655" s="259"/>
      <c r="D655" s="259"/>
      <c r="E655" s="259"/>
      <c r="F655" s="261"/>
      <c r="G655" s="259"/>
      <c r="H655" s="259"/>
      <c r="I655" s="259"/>
      <c r="J655" s="262"/>
      <c r="K655" s="259"/>
      <c r="L655" s="259"/>
      <c r="M655" s="259"/>
      <c r="N655" s="259"/>
      <c r="O655" s="259"/>
      <c r="P655" s="259"/>
      <c r="Q655" s="259"/>
      <c r="R655" s="259"/>
      <c r="S655" s="259"/>
      <c r="T655" s="259"/>
      <c r="U655" s="259"/>
      <c r="V655" s="259"/>
      <c r="W655" s="259"/>
      <c r="X655" s="259"/>
      <c r="Y655" s="259"/>
      <c r="Z655" s="259"/>
    </row>
    <row r="656" customFormat="false" ht="12" hidden="false" customHeight="true" outlineLevel="0" collapsed="false">
      <c r="A656" s="259"/>
      <c r="B656" s="259"/>
      <c r="C656" s="259"/>
      <c r="D656" s="259"/>
      <c r="E656" s="259"/>
      <c r="F656" s="261"/>
      <c r="G656" s="259"/>
      <c r="H656" s="259"/>
      <c r="I656" s="259"/>
      <c r="J656" s="262"/>
      <c r="K656" s="259"/>
      <c r="L656" s="259"/>
      <c r="M656" s="259"/>
      <c r="N656" s="259"/>
      <c r="O656" s="259"/>
      <c r="P656" s="259"/>
      <c r="Q656" s="259"/>
      <c r="R656" s="259"/>
      <c r="S656" s="259"/>
      <c r="T656" s="259"/>
      <c r="U656" s="259"/>
      <c r="V656" s="259"/>
      <c r="W656" s="259"/>
      <c r="X656" s="259"/>
      <c r="Y656" s="259"/>
      <c r="Z656" s="259"/>
    </row>
    <row r="657" customFormat="false" ht="12" hidden="false" customHeight="true" outlineLevel="0" collapsed="false">
      <c r="A657" s="259"/>
      <c r="B657" s="259"/>
      <c r="C657" s="259"/>
      <c r="D657" s="259"/>
      <c r="E657" s="259"/>
      <c r="F657" s="261"/>
      <c r="G657" s="259"/>
      <c r="H657" s="259"/>
      <c r="I657" s="259"/>
      <c r="J657" s="262"/>
      <c r="K657" s="259"/>
      <c r="L657" s="259"/>
      <c r="M657" s="259"/>
      <c r="N657" s="259"/>
      <c r="O657" s="259"/>
      <c r="P657" s="259"/>
      <c r="Q657" s="259"/>
      <c r="R657" s="259"/>
      <c r="S657" s="259"/>
      <c r="T657" s="259"/>
      <c r="U657" s="259"/>
      <c r="V657" s="259"/>
      <c r="W657" s="259"/>
      <c r="X657" s="259"/>
      <c r="Y657" s="259"/>
      <c r="Z657" s="259"/>
    </row>
    <row r="658" customFormat="false" ht="12" hidden="false" customHeight="true" outlineLevel="0" collapsed="false">
      <c r="A658" s="259"/>
      <c r="B658" s="259"/>
      <c r="C658" s="259"/>
      <c r="D658" s="259"/>
      <c r="E658" s="259"/>
      <c r="F658" s="261"/>
      <c r="G658" s="259"/>
      <c r="H658" s="259"/>
      <c r="I658" s="259"/>
      <c r="J658" s="262"/>
      <c r="K658" s="259"/>
      <c r="L658" s="259"/>
      <c r="M658" s="259"/>
      <c r="N658" s="259"/>
      <c r="O658" s="259"/>
      <c r="P658" s="259"/>
      <c r="Q658" s="259"/>
      <c r="R658" s="259"/>
      <c r="S658" s="259"/>
      <c r="T658" s="259"/>
      <c r="U658" s="259"/>
      <c r="V658" s="259"/>
      <c r="W658" s="259"/>
      <c r="X658" s="259"/>
      <c r="Y658" s="259"/>
      <c r="Z658" s="259"/>
    </row>
    <row r="659" customFormat="false" ht="12" hidden="false" customHeight="true" outlineLevel="0" collapsed="false">
      <c r="A659" s="259"/>
      <c r="B659" s="259"/>
      <c r="C659" s="259"/>
      <c r="D659" s="259"/>
      <c r="E659" s="259"/>
      <c r="F659" s="261"/>
      <c r="G659" s="259"/>
      <c r="H659" s="259"/>
      <c r="I659" s="259"/>
      <c r="J659" s="262"/>
      <c r="K659" s="259"/>
      <c r="L659" s="259"/>
      <c r="M659" s="259"/>
      <c r="N659" s="259"/>
      <c r="O659" s="259"/>
      <c r="P659" s="259"/>
      <c r="Q659" s="259"/>
      <c r="R659" s="259"/>
      <c r="S659" s="259"/>
      <c r="T659" s="259"/>
      <c r="U659" s="259"/>
      <c r="V659" s="259"/>
      <c r="W659" s="259"/>
      <c r="X659" s="259"/>
      <c r="Y659" s="259"/>
      <c r="Z659" s="259"/>
    </row>
    <row r="660" customFormat="false" ht="12" hidden="false" customHeight="true" outlineLevel="0" collapsed="false">
      <c r="A660" s="259"/>
      <c r="B660" s="259"/>
      <c r="C660" s="259"/>
      <c r="D660" s="259"/>
      <c r="E660" s="259"/>
      <c r="F660" s="261"/>
      <c r="G660" s="259"/>
      <c r="H660" s="259"/>
      <c r="I660" s="259"/>
      <c r="J660" s="262"/>
      <c r="K660" s="259"/>
      <c r="L660" s="259"/>
      <c r="M660" s="259"/>
      <c r="N660" s="259"/>
      <c r="O660" s="259"/>
      <c r="P660" s="259"/>
      <c r="Q660" s="259"/>
      <c r="R660" s="259"/>
      <c r="S660" s="259"/>
      <c r="T660" s="259"/>
      <c r="U660" s="259"/>
      <c r="V660" s="259"/>
      <c r="W660" s="259"/>
      <c r="X660" s="259"/>
      <c r="Y660" s="259"/>
      <c r="Z660" s="259"/>
    </row>
    <row r="661" customFormat="false" ht="12" hidden="false" customHeight="true" outlineLevel="0" collapsed="false">
      <c r="A661" s="259"/>
      <c r="B661" s="259"/>
      <c r="C661" s="259"/>
      <c r="D661" s="259"/>
      <c r="E661" s="259"/>
      <c r="F661" s="261"/>
      <c r="G661" s="259"/>
      <c r="H661" s="259"/>
      <c r="I661" s="259"/>
      <c r="J661" s="262"/>
      <c r="K661" s="259"/>
      <c r="L661" s="259"/>
      <c r="M661" s="259"/>
      <c r="N661" s="259"/>
      <c r="O661" s="259"/>
      <c r="P661" s="259"/>
      <c r="Q661" s="259"/>
      <c r="R661" s="259"/>
      <c r="S661" s="259"/>
      <c r="T661" s="259"/>
      <c r="U661" s="259"/>
      <c r="V661" s="259"/>
      <c r="W661" s="259"/>
      <c r="X661" s="259"/>
      <c r="Y661" s="259"/>
      <c r="Z661" s="259"/>
    </row>
    <row r="662" customFormat="false" ht="12" hidden="false" customHeight="true" outlineLevel="0" collapsed="false">
      <c r="A662" s="259"/>
      <c r="B662" s="259"/>
      <c r="C662" s="259"/>
      <c r="D662" s="259"/>
      <c r="E662" s="259"/>
      <c r="F662" s="261"/>
      <c r="G662" s="259"/>
      <c r="H662" s="259"/>
      <c r="I662" s="259"/>
      <c r="J662" s="262"/>
      <c r="K662" s="259"/>
      <c r="L662" s="259"/>
      <c r="M662" s="259"/>
      <c r="N662" s="259"/>
      <c r="O662" s="259"/>
      <c r="P662" s="259"/>
      <c r="Q662" s="259"/>
      <c r="R662" s="259"/>
      <c r="S662" s="259"/>
      <c r="T662" s="259"/>
      <c r="U662" s="259"/>
      <c r="V662" s="259"/>
      <c r="W662" s="259"/>
      <c r="X662" s="259"/>
      <c r="Y662" s="259"/>
      <c r="Z662" s="259"/>
    </row>
    <row r="663" customFormat="false" ht="12" hidden="false" customHeight="true" outlineLevel="0" collapsed="false">
      <c r="A663" s="259"/>
      <c r="B663" s="259"/>
      <c r="C663" s="259"/>
      <c r="D663" s="259"/>
      <c r="E663" s="259"/>
      <c r="F663" s="261"/>
      <c r="G663" s="259"/>
      <c r="H663" s="259"/>
      <c r="I663" s="259"/>
      <c r="J663" s="262"/>
      <c r="K663" s="259"/>
      <c r="L663" s="259"/>
      <c r="M663" s="259"/>
      <c r="N663" s="259"/>
      <c r="O663" s="259"/>
      <c r="P663" s="259"/>
      <c r="Q663" s="259"/>
      <c r="R663" s="259"/>
      <c r="S663" s="259"/>
      <c r="T663" s="259"/>
      <c r="U663" s="259"/>
      <c r="V663" s="259"/>
      <c r="W663" s="259"/>
      <c r="X663" s="259"/>
      <c r="Y663" s="259"/>
      <c r="Z663" s="259"/>
    </row>
    <row r="664" customFormat="false" ht="12" hidden="false" customHeight="true" outlineLevel="0" collapsed="false">
      <c r="A664" s="259"/>
      <c r="B664" s="259"/>
      <c r="C664" s="259"/>
      <c r="D664" s="259"/>
      <c r="E664" s="259"/>
      <c r="F664" s="261"/>
      <c r="G664" s="259"/>
      <c r="H664" s="259"/>
      <c r="I664" s="259"/>
      <c r="J664" s="262"/>
      <c r="K664" s="259"/>
      <c r="L664" s="259"/>
      <c r="M664" s="259"/>
      <c r="N664" s="259"/>
      <c r="O664" s="259"/>
      <c r="P664" s="259"/>
      <c r="Q664" s="259"/>
      <c r="R664" s="259"/>
      <c r="S664" s="259"/>
      <c r="T664" s="259"/>
      <c r="U664" s="259"/>
      <c r="V664" s="259"/>
      <c r="W664" s="259"/>
      <c r="X664" s="259"/>
      <c r="Y664" s="259"/>
      <c r="Z664" s="259"/>
    </row>
    <row r="665" customFormat="false" ht="12" hidden="false" customHeight="true" outlineLevel="0" collapsed="false">
      <c r="A665" s="259"/>
      <c r="B665" s="259"/>
      <c r="C665" s="259"/>
      <c r="D665" s="259"/>
      <c r="E665" s="259"/>
      <c r="F665" s="261"/>
      <c r="G665" s="259"/>
      <c r="H665" s="259"/>
      <c r="I665" s="259"/>
      <c r="J665" s="262"/>
      <c r="K665" s="259"/>
      <c r="L665" s="259"/>
      <c r="M665" s="259"/>
      <c r="N665" s="259"/>
      <c r="O665" s="259"/>
      <c r="P665" s="259"/>
      <c r="Q665" s="259"/>
      <c r="R665" s="259"/>
      <c r="S665" s="259"/>
      <c r="T665" s="259"/>
      <c r="U665" s="259"/>
      <c r="V665" s="259"/>
      <c r="W665" s="259"/>
      <c r="X665" s="259"/>
      <c r="Y665" s="259"/>
      <c r="Z665" s="259"/>
    </row>
    <row r="666" customFormat="false" ht="12" hidden="false" customHeight="true" outlineLevel="0" collapsed="false">
      <c r="A666" s="259"/>
      <c r="B666" s="259"/>
      <c r="C666" s="259"/>
      <c r="D666" s="259"/>
      <c r="E666" s="259"/>
      <c r="F666" s="261"/>
      <c r="G666" s="259"/>
      <c r="H666" s="259"/>
      <c r="I666" s="259"/>
      <c r="J666" s="262"/>
      <c r="K666" s="259"/>
      <c r="L666" s="259"/>
      <c r="M666" s="259"/>
      <c r="N666" s="259"/>
      <c r="O666" s="259"/>
      <c r="P666" s="259"/>
      <c r="Q666" s="259"/>
      <c r="R666" s="259"/>
      <c r="S666" s="259"/>
      <c r="T666" s="259"/>
      <c r="U666" s="259"/>
      <c r="V666" s="259"/>
      <c r="W666" s="259"/>
      <c r="X666" s="259"/>
      <c r="Y666" s="259"/>
      <c r="Z666" s="259"/>
    </row>
    <row r="667" customFormat="false" ht="12" hidden="false" customHeight="true" outlineLevel="0" collapsed="false">
      <c r="A667" s="259"/>
      <c r="B667" s="259"/>
      <c r="C667" s="259"/>
      <c r="D667" s="259"/>
      <c r="E667" s="259"/>
      <c r="F667" s="261"/>
      <c r="G667" s="259"/>
      <c r="H667" s="259"/>
      <c r="I667" s="259"/>
      <c r="J667" s="262"/>
      <c r="K667" s="259"/>
      <c r="L667" s="259"/>
      <c r="M667" s="259"/>
      <c r="N667" s="259"/>
      <c r="O667" s="259"/>
      <c r="P667" s="259"/>
      <c r="Q667" s="259"/>
      <c r="R667" s="259"/>
      <c r="S667" s="259"/>
      <c r="T667" s="259"/>
      <c r="U667" s="259"/>
      <c r="V667" s="259"/>
      <c r="W667" s="259"/>
      <c r="X667" s="259"/>
      <c r="Y667" s="259"/>
      <c r="Z667" s="259"/>
    </row>
    <row r="668" customFormat="false" ht="12" hidden="false" customHeight="true" outlineLevel="0" collapsed="false">
      <c r="A668" s="259"/>
      <c r="B668" s="259"/>
      <c r="C668" s="259"/>
      <c r="D668" s="259"/>
      <c r="E668" s="259"/>
      <c r="F668" s="261"/>
      <c r="G668" s="259"/>
      <c r="H668" s="259"/>
      <c r="I668" s="259"/>
      <c r="J668" s="262"/>
      <c r="K668" s="259"/>
      <c r="L668" s="259"/>
      <c r="M668" s="259"/>
      <c r="N668" s="259"/>
      <c r="O668" s="259"/>
      <c r="P668" s="259"/>
      <c r="Q668" s="259"/>
      <c r="R668" s="259"/>
      <c r="S668" s="259"/>
      <c r="T668" s="259"/>
      <c r="U668" s="259"/>
      <c r="V668" s="259"/>
      <c r="W668" s="259"/>
      <c r="X668" s="259"/>
      <c r="Y668" s="259"/>
      <c r="Z668" s="259"/>
    </row>
    <row r="669" customFormat="false" ht="12" hidden="false" customHeight="true" outlineLevel="0" collapsed="false">
      <c r="A669" s="259"/>
      <c r="B669" s="259"/>
      <c r="C669" s="259"/>
      <c r="D669" s="259"/>
      <c r="E669" s="259"/>
      <c r="F669" s="261"/>
      <c r="G669" s="259"/>
      <c r="H669" s="259"/>
      <c r="I669" s="259"/>
      <c r="J669" s="262"/>
      <c r="K669" s="259"/>
      <c r="L669" s="259"/>
      <c r="M669" s="259"/>
      <c r="N669" s="259"/>
      <c r="O669" s="259"/>
      <c r="P669" s="259"/>
      <c r="Q669" s="259"/>
      <c r="R669" s="259"/>
      <c r="S669" s="259"/>
      <c r="T669" s="259"/>
      <c r="U669" s="259"/>
      <c r="V669" s="259"/>
      <c r="W669" s="259"/>
      <c r="X669" s="259"/>
      <c r="Y669" s="259"/>
      <c r="Z669" s="259"/>
    </row>
    <row r="670" customFormat="false" ht="12" hidden="false" customHeight="true" outlineLevel="0" collapsed="false">
      <c r="A670" s="259"/>
      <c r="B670" s="259"/>
      <c r="C670" s="259"/>
      <c r="D670" s="259"/>
      <c r="E670" s="259"/>
      <c r="F670" s="261"/>
      <c r="G670" s="259"/>
      <c r="H670" s="259"/>
      <c r="I670" s="259"/>
      <c r="J670" s="262"/>
      <c r="K670" s="259"/>
      <c r="L670" s="259"/>
      <c r="M670" s="259"/>
      <c r="N670" s="259"/>
      <c r="O670" s="259"/>
      <c r="P670" s="259"/>
      <c r="Q670" s="259"/>
      <c r="R670" s="259"/>
      <c r="S670" s="259"/>
      <c r="T670" s="259"/>
      <c r="U670" s="259"/>
      <c r="V670" s="259"/>
      <c r="W670" s="259"/>
      <c r="X670" s="259"/>
      <c r="Y670" s="259"/>
      <c r="Z670" s="259"/>
    </row>
    <row r="671" customFormat="false" ht="12" hidden="false" customHeight="true" outlineLevel="0" collapsed="false">
      <c r="A671" s="259"/>
      <c r="B671" s="259"/>
      <c r="C671" s="259"/>
      <c r="D671" s="259"/>
      <c r="E671" s="259"/>
      <c r="F671" s="261"/>
      <c r="G671" s="259"/>
      <c r="H671" s="259"/>
      <c r="I671" s="259"/>
      <c r="J671" s="262"/>
      <c r="K671" s="259"/>
      <c r="L671" s="259"/>
      <c r="M671" s="259"/>
      <c r="N671" s="259"/>
      <c r="O671" s="259"/>
      <c r="P671" s="259"/>
      <c r="Q671" s="259"/>
      <c r="R671" s="259"/>
      <c r="S671" s="259"/>
      <c r="T671" s="259"/>
      <c r="U671" s="259"/>
      <c r="V671" s="259"/>
      <c r="W671" s="259"/>
      <c r="X671" s="259"/>
      <c r="Y671" s="259"/>
      <c r="Z671" s="259"/>
    </row>
    <row r="672" customFormat="false" ht="12" hidden="false" customHeight="true" outlineLevel="0" collapsed="false">
      <c r="A672" s="259"/>
      <c r="B672" s="259"/>
      <c r="C672" s="259"/>
      <c r="D672" s="259"/>
      <c r="E672" s="259"/>
      <c r="F672" s="261"/>
      <c r="G672" s="259"/>
      <c r="H672" s="259"/>
      <c r="I672" s="259"/>
      <c r="J672" s="262"/>
      <c r="K672" s="259"/>
      <c r="L672" s="259"/>
      <c r="M672" s="259"/>
      <c r="N672" s="259"/>
      <c r="O672" s="259"/>
      <c r="P672" s="259"/>
      <c r="Q672" s="259"/>
      <c r="R672" s="259"/>
      <c r="S672" s="259"/>
      <c r="T672" s="259"/>
      <c r="U672" s="259"/>
      <c r="V672" s="259"/>
      <c r="W672" s="259"/>
      <c r="X672" s="259"/>
      <c r="Y672" s="259"/>
      <c r="Z672" s="259"/>
    </row>
    <row r="673" customFormat="false" ht="12" hidden="false" customHeight="true" outlineLevel="0" collapsed="false">
      <c r="A673" s="259"/>
      <c r="B673" s="259"/>
      <c r="C673" s="259"/>
      <c r="D673" s="259"/>
      <c r="E673" s="259"/>
      <c r="F673" s="261"/>
      <c r="G673" s="259"/>
      <c r="H673" s="259"/>
      <c r="I673" s="259"/>
      <c r="J673" s="262"/>
      <c r="K673" s="259"/>
      <c r="L673" s="259"/>
      <c r="M673" s="259"/>
      <c r="N673" s="259"/>
      <c r="O673" s="259"/>
      <c r="P673" s="259"/>
      <c r="Q673" s="259"/>
      <c r="R673" s="259"/>
      <c r="S673" s="259"/>
      <c r="T673" s="259"/>
      <c r="U673" s="259"/>
      <c r="V673" s="259"/>
      <c r="W673" s="259"/>
      <c r="X673" s="259"/>
      <c r="Y673" s="259"/>
      <c r="Z673" s="259"/>
    </row>
    <row r="674" customFormat="false" ht="12" hidden="false" customHeight="true" outlineLevel="0" collapsed="false">
      <c r="A674" s="259"/>
      <c r="B674" s="259"/>
      <c r="C674" s="259"/>
      <c r="D674" s="259"/>
      <c r="E674" s="259"/>
      <c r="F674" s="261"/>
      <c r="G674" s="259"/>
      <c r="H674" s="259"/>
      <c r="I674" s="259"/>
      <c r="J674" s="262"/>
      <c r="K674" s="259"/>
      <c r="L674" s="259"/>
      <c r="M674" s="259"/>
      <c r="N674" s="259"/>
      <c r="O674" s="259"/>
      <c r="P674" s="259"/>
      <c r="Q674" s="259"/>
      <c r="R674" s="259"/>
      <c r="S674" s="259"/>
      <c r="T674" s="259"/>
      <c r="U674" s="259"/>
      <c r="V674" s="259"/>
      <c r="W674" s="259"/>
      <c r="X674" s="259"/>
      <c r="Y674" s="259"/>
      <c r="Z674" s="259"/>
    </row>
    <row r="675" customFormat="false" ht="12" hidden="false" customHeight="true" outlineLevel="0" collapsed="false">
      <c r="A675" s="259"/>
      <c r="B675" s="259"/>
      <c r="C675" s="259"/>
      <c r="D675" s="259"/>
      <c r="E675" s="259"/>
      <c r="F675" s="261"/>
      <c r="G675" s="259"/>
      <c r="H675" s="259"/>
      <c r="I675" s="259"/>
      <c r="J675" s="262"/>
      <c r="K675" s="259"/>
      <c r="L675" s="259"/>
      <c r="M675" s="259"/>
      <c r="N675" s="259"/>
      <c r="O675" s="259"/>
      <c r="P675" s="259"/>
      <c r="Q675" s="259"/>
      <c r="R675" s="259"/>
      <c r="S675" s="259"/>
      <c r="T675" s="259"/>
      <c r="U675" s="259"/>
      <c r="V675" s="259"/>
      <c r="W675" s="259"/>
      <c r="X675" s="259"/>
      <c r="Y675" s="259"/>
      <c r="Z675" s="259"/>
    </row>
    <row r="676" customFormat="false" ht="12" hidden="false" customHeight="true" outlineLevel="0" collapsed="false">
      <c r="A676" s="259"/>
      <c r="B676" s="259"/>
      <c r="C676" s="259"/>
      <c r="D676" s="259"/>
      <c r="E676" s="259"/>
      <c r="F676" s="261"/>
      <c r="G676" s="259"/>
      <c r="H676" s="259"/>
      <c r="I676" s="259"/>
      <c r="J676" s="262"/>
      <c r="K676" s="259"/>
      <c r="L676" s="259"/>
      <c r="M676" s="259"/>
      <c r="N676" s="259"/>
      <c r="O676" s="259"/>
      <c r="P676" s="259"/>
      <c r="Q676" s="259"/>
      <c r="R676" s="259"/>
      <c r="S676" s="259"/>
      <c r="T676" s="259"/>
      <c r="U676" s="259"/>
      <c r="V676" s="259"/>
      <c r="W676" s="259"/>
      <c r="X676" s="259"/>
      <c r="Y676" s="259"/>
      <c r="Z676" s="259"/>
    </row>
    <row r="677" customFormat="false" ht="12" hidden="false" customHeight="true" outlineLevel="0" collapsed="false">
      <c r="A677" s="259"/>
      <c r="B677" s="259"/>
      <c r="C677" s="259"/>
      <c r="D677" s="259"/>
      <c r="E677" s="259"/>
      <c r="F677" s="261"/>
      <c r="G677" s="259"/>
      <c r="H677" s="259"/>
      <c r="I677" s="259"/>
      <c r="J677" s="262"/>
      <c r="K677" s="259"/>
      <c r="L677" s="259"/>
      <c r="M677" s="259"/>
      <c r="N677" s="259"/>
      <c r="O677" s="259"/>
      <c r="P677" s="259"/>
      <c r="Q677" s="259"/>
      <c r="R677" s="259"/>
      <c r="S677" s="259"/>
      <c r="T677" s="259"/>
      <c r="U677" s="259"/>
      <c r="V677" s="259"/>
      <c r="W677" s="259"/>
      <c r="X677" s="259"/>
      <c r="Y677" s="259"/>
      <c r="Z677" s="259"/>
    </row>
    <row r="678" customFormat="false" ht="12" hidden="false" customHeight="true" outlineLevel="0" collapsed="false">
      <c r="A678" s="259"/>
      <c r="B678" s="259"/>
      <c r="C678" s="259"/>
      <c r="D678" s="259"/>
      <c r="E678" s="259"/>
      <c r="F678" s="261"/>
      <c r="G678" s="259"/>
      <c r="H678" s="259"/>
      <c r="I678" s="259"/>
      <c r="J678" s="262"/>
      <c r="K678" s="259"/>
      <c r="L678" s="259"/>
      <c r="M678" s="259"/>
      <c r="N678" s="259"/>
      <c r="O678" s="259"/>
      <c r="P678" s="259"/>
      <c r="Q678" s="259"/>
      <c r="R678" s="259"/>
      <c r="S678" s="259"/>
      <c r="T678" s="259"/>
      <c r="U678" s="259"/>
      <c r="V678" s="259"/>
      <c r="W678" s="259"/>
      <c r="X678" s="259"/>
      <c r="Y678" s="259"/>
      <c r="Z678" s="259"/>
    </row>
    <row r="679" customFormat="false" ht="12" hidden="false" customHeight="true" outlineLevel="0" collapsed="false">
      <c r="A679" s="259"/>
      <c r="B679" s="259"/>
      <c r="C679" s="259"/>
      <c r="D679" s="259"/>
      <c r="E679" s="259"/>
      <c r="F679" s="261"/>
      <c r="G679" s="259"/>
      <c r="H679" s="259"/>
      <c r="I679" s="259"/>
      <c r="J679" s="262"/>
      <c r="K679" s="259"/>
      <c r="L679" s="259"/>
      <c r="M679" s="259"/>
      <c r="N679" s="259"/>
      <c r="O679" s="259"/>
      <c r="P679" s="259"/>
      <c r="Q679" s="259"/>
      <c r="R679" s="259"/>
      <c r="S679" s="259"/>
      <c r="T679" s="259"/>
      <c r="U679" s="259"/>
      <c r="V679" s="259"/>
      <c r="W679" s="259"/>
      <c r="X679" s="259"/>
      <c r="Y679" s="259"/>
      <c r="Z679" s="259"/>
    </row>
    <row r="680" customFormat="false" ht="12" hidden="false" customHeight="true" outlineLevel="0" collapsed="false">
      <c r="A680" s="259"/>
      <c r="B680" s="259"/>
      <c r="C680" s="259"/>
      <c r="D680" s="259"/>
      <c r="E680" s="259"/>
      <c r="F680" s="261"/>
      <c r="G680" s="259"/>
      <c r="H680" s="259"/>
      <c r="I680" s="259"/>
      <c r="J680" s="262"/>
      <c r="K680" s="259"/>
      <c r="L680" s="259"/>
      <c r="M680" s="259"/>
      <c r="N680" s="259"/>
      <c r="O680" s="259"/>
      <c r="P680" s="259"/>
      <c r="Q680" s="259"/>
      <c r="R680" s="259"/>
      <c r="S680" s="259"/>
      <c r="T680" s="259"/>
      <c r="U680" s="259"/>
      <c r="V680" s="259"/>
      <c r="W680" s="259"/>
      <c r="X680" s="259"/>
      <c r="Y680" s="259"/>
      <c r="Z680" s="259"/>
    </row>
    <row r="681" customFormat="false" ht="12" hidden="false" customHeight="true" outlineLevel="0" collapsed="false">
      <c r="A681" s="259"/>
      <c r="B681" s="259"/>
      <c r="C681" s="259"/>
      <c r="D681" s="259"/>
      <c r="E681" s="259"/>
      <c r="F681" s="261"/>
      <c r="G681" s="259"/>
      <c r="H681" s="259"/>
      <c r="I681" s="259"/>
      <c r="J681" s="262"/>
      <c r="K681" s="259"/>
      <c r="L681" s="259"/>
      <c r="M681" s="259"/>
      <c r="N681" s="259"/>
      <c r="O681" s="259"/>
      <c r="P681" s="259"/>
      <c r="Q681" s="259"/>
      <c r="R681" s="259"/>
      <c r="S681" s="259"/>
      <c r="T681" s="259"/>
      <c r="U681" s="259"/>
      <c r="V681" s="259"/>
      <c r="W681" s="259"/>
      <c r="X681" s="259"/>
      <c r="Y681" s="259"/>
      <c r="Z681" s="259"/>
    </row>
    <row r="682" customFormat="false" ht="12" hidden="false" customHeight="true" outlineLevel="0" collapsed="false">
      <c r="A682" s="259"/>
      <c r="B682" s="259"/>
      <c r="C682" s="259"/>
      <c r="D682" s="259"/>
      <c r="E682" s="259"/>
      <c r="F682" s="261"/>
      <c r="G682" s="259"/>
      <c r="H682" s="259"/>
      <c r="I682" s="259"/>
      <c r="J682" s="262"/>
      <c r="K682" s="259"/>
      <c r="L682" s="259"/>
      <c r="M682" s="259"/>
      <c r="N682" s="259"/>
      <c r="O682" s="259"/>
      <c r="P682" s="259"/>
      <c r="Q682" s="259"/>
      <c r="R682" s="259"/>
      <c r="S682" s="259"/>
      <c r="T682" s="259"/>
      <c r="U682" s="259"/>
      <c r="V682" s="259"/>
      <c r="W682" s="259"/>
      <c r="X682" s="259"/>
      <c r="Y682" s="259"/>
      <c r="Z682" s="259"/>
    </row>
    <row r="683" customFormat="false" ht="12" hidden="false" customHeight="true" outlineLevel="0" collapsed="false">
      <c r="A683" s="259"/>
      <c r="B683" s="259"/>
      <c r="C683" s="259"/>
      <c r="D683" s="259"/>
      <c r="E683" s="259"/>
      <c r="F683" s="261"/>
      <c r="G683" s="259"/>
      <c r="H683" s="259"/>
      <c r="I683" s="259"/>
      <c r="J683" s="262"/>
      <c r="K683" s="259"/>
      <c r="L683" s="259"/>
      <c r="M683" s="259"/>
      <c r="N683" s="259"/>
      <c r="O683" s="259"/>
      <c r="P683" s="259"/>
      <c r="Q683" s="259"/>
      <c r="R683" s="259"/>
      <c r="S683" s="259"/>
      <c r="T683" s="259"/>
      <c r="U683" s="259"/>
      <c r="V683" s="259"/>
      <c r="W683" s="259"/>
      <c r="X683" s="259"/>
      <c r="Y683" s="259"/>
      <c r="Z683" s="259"/>
    </row>
    <row r="684" customFormat="false" ht="12" hidden="false" customHeight="true" outlineLevel="0" collapsed="false">
      <c r="A684" s="259"/>
      <c r="B684" s="259"/>
      <c r="C684" s="259"/>
      <c r="D684" s="259"/>
      <c r="E684" s="259"/>
      <c r="F684" s="261"/>
      <c r="G684" s="259"/>
      <c r="H684" s="259"/>
      <c r="I684" s="259"/>
      <c r="J684" s="262"/>
      <c r="K684" s="259"/>
      <c r="L684" s="259"/>
      <c r="M684" s="259"/>
      <c r="N684" s="259"/>
      <c r="O684" s="259"/>
      <c r="P684" s="259"/>
      <c r="Q684" s="259"/>
      <c r="R684" s="259"/>
      <c r="S684" s="259"/>
      <c r="T684" s="259"/>
      <c r="U684" s="259"/>
      <c r="V684" s="259"/>
      <c r="W684" s="259"/>
      <c r="X684" s="259"/>
      <c r="Y684" s="259"/>
      <c r="Z684" s="259"/>
    </row>
    <row r="685" customFormat="false" ht="12" hidden="false" customHeight="true" outlineLevel="0" collapsed="false">
      <c r="A685" s="259"/>
      <c r="B685" s="259"/>
      <c r="C685" s="259"/>
      <c r="D685" s="259"/>
      <c r="E685" s="259"/>
      <c r="F685" s="261"/>
      <c r="G685" s="259"/>
      <c r="H685" s="259"/>
      <c r="I685" s="259"/>
      <c r="J685" s="262"/>
      <c r="K685" s="259"/>
      <c r="L685" s="259"/>
      <c r="M685" s="259"/>
      <c r="N685" s="259"/>
      <c r="O685" s="259"/>
      <c r="P685" s="259"/>
      <c r="Q685" s="259"/>
      <c r="R685" s="259"/>
      <c r="S685" s="259"/>
      <c r="T685" s="259"/>
      <c r="U685" s="259"/>
      <c r="V685" s="259"/>
      <c r="W685" s="259"/>
      <c r="X685" s="259"/>
      <c r="Y685" s="259"/>
      <c r="Z685" s="259"/>
    </row>
    <row r="686" customFormat="false" ht="12" hidden="false" customHeight="true" outlineLevel="0" collapsed="false">
      <c r="A686" s="259"/>
      <c r="B686" s="259"/>
      <c r="C686" s="259"/>
      <c r="D686" s="259"/>
      <c r="E686" s="259"/>
      <c r="F686" s="261"/>
      <c r="G686" s="259"/>
      <c r="H686" s="259"/>
      <c r="I686" s="259"/>
      <c r="J686" s="262"/>
      <c r="K686" s="259"/>
      <c r="L686" s="259"/>
      <c r="M686" s="259"/>
      <c r="N686" s="259"/>
      <c r="O686" s="259"/>
      <c r="P686" s="259"/>
      <c r="Q686" s="259"/>
      <c r="R686" s="259"/>
      <c r="S686" s="259"/>
      <c r="T686" s="259"/>
      <c r="U686" s="259"/>
      <c r="V686" s="259"/>
      <c r="W686" s="259"/>
      <c r="X686" s="259"/>
      <c r="Y686" s="259"/>
      <c r="Z686" s="259"/>
    </row>
    <row r="687" customFormat="false" ht="12" hidden="false" customHeight="true" outlineLevel="0" collapsed="false">
      <c r="A687" s="259"/>
      <c r="B687" s="259"/>
      <c r="C687" s="259"/>
      <c r="D687" s="259"/>
      <c r="E687" s="259"/>
      <c r="F687" s="261"/>
      <c r="G687" s="259"/>
      <c r="H687" s="259"/>
      <c r="I687" s="259"/>
      <c r="J687" s="262"/>
      <c r="K687" s="259"/>
      <c r="L687" s="259"/>
      <c r="M687" s="259"/>
      <c r="N687" s="259"/>
      <c r="O687" s="259"/>
      <c r="P687" s="259"/>
      <c r="Q687" s="259"/>
      <c r="R687" s="259"/>
      <c r="S687" s="259"/>
      <c r="T687" s="259"/>
      <c r="U687" s="259"/>
      <c r="V687" s="259"/>
      <c r="W687" s="259"/>
      <c r="X687" s="259"/>
      <c r="Y687" s="259"/>
      <c r="Z687" s="259"/>
    </row>
    <row r="688" customFormat="false" ht="12" hidden="false" customHeight="true" outlineLevel="0" collapsed="false">
      <c r="A688" s="259"/>
      <c r="B688" s="259"/>
      <c r="C688" s="259"/>
      <c r="D688" s="259"/>
      <c r="E688" s="259"/>
      <c r="F688" s="261"/>
      <c r="G688" s="259"/>
      <c r="H688" s="259"/>
      <c r="I688" s="259"/>
      <c r="J688" s="262"/>
      <c r="K688" s="259"/>
      <c r="L688" s="259"/>
      <c r="M688" s="259"/>
      <c r="N688" s="259"/>
      <c r="O688" s="259"/>
      <c r="P688" s="259"/>
      <c r="Q688" s="259"/>
      <c r="R688" s="259"/>
      <c r="S688" s="259"/>
      <c r="T688" s="259"/>
      <c r="U688" s="259"/>
      <c r="V688" s="259"/>
      <c r="W688" s="259"/>
      <c r="X688" s="259"/>
      <c r="Y688" s="259"/>
      <c r="Z688" s="259"/>
    </row>
    <row r="689" customFormat="false" ht="12" hidden="false" customHeight="true" outlineLevel="0" collapsed="false">
      <c r="A689" s="259"/>
      <c r="B689" s="259"/>
      <c r="C689" s="259"/>
      <c r="D689" s="259"/>
      <c r="E689" s="259"/>
      <c r="F689" s="261"/>
      <c r="G689" s="259"/>
      <c r="H689" s="259"/>
      <c r="I689" s="259"/>
      <c r="J689" s="262"/>
      <c r="K689" s="259"/>
      <c r="L689" s="259"/>
      <c r="M689" s="259"/>
      <c r="N689" s="259"/>
      <c r="O689" s="259"/>
      <c r="P689" s="259"/>
      <c r="Q689" s="259"/>
      <c r="R689" s="259"/>
      <c r="S689" s="259"/>
      <c r="T689" s="259"/>
      <c r="U689" s="259"/>
      <c r="V689" s="259"/>
      <c r="W689" s="259"/>
      <c r="X689" s="259"/>
      <c r="Y689" s="259"/>
      <c r="Z689" s="259"/>
    </row>
    <row r="690" customFormat="false" ht="12" hidden="false" customHeight="true" outlineLevel="0" collapsed="false">
      <c r="A690" s="259"/>
      <c r="B690" s="259"/>
      <c r="C690" s="259"/>
      <c r="D690" s="259"/>
      <c r="E690" s="259"/>
      <c r="F690" s="261"/>
      <c r="G690" s="259"/>
      <c r="H690" s="259"/>
      <c r="I690" s="259"/>
      <c r="J690" s="262"/>
      <c r="K690" s="259"/>
      <c r="L690" s="259"/>
      <c r="M690" s="259"/>
      <c r="N690" s="259"/>
      <c r="O690" s="259"/>
      <c r="P690" s="259"/>
      <c r="Q690" s="259"/>
      <c r="R690" s="259"/>
      <c r="S690" s="259"/>
      <c r="T690" s="259"/>
      <c r="U690" s="259"/>
      <c r="V690" s="259"/>
      <c r="W690" s="259"/>
      <c r="X690" s="259"/>
      <c r="Y690" s="259"/>
      <c r="Z690" s="259"/>
    </row>
    <row r="691" customFormat="false" ht="12" hidden="false" customHeight="true" outlineLevel="0" collapsed="false">
      <c r="A691" s="259"/>
      <c r="B691" s="259"/>
      <c r="C691" s="259"/>
      <c r="D691" s="259"/>
      <c r="E691" s="259"/>
      <c r="F691" s="261"/>
      <c r="G691" s="259"/>
      <c r="H691" s="259"/>
      <c r="I691" s="259"/>
      <c r="J691" s="262"/>
      <c r="K691" s="259"/>
      <c r="L691" s="259"/>
      <c r="M691" s="259"/>
      <c r="N691" s="259"/>
      <c r="O691" s="259"/>
      <c r="P691" s="259"/>
      <c r="Q691" s="259"/>
      <c r="R691" s="259"/>
      <c r="S691" s="259"/>
      <c r="T691" s="259"/>
      <c r="U691" s="259"/>
      <c r="V691" s="259"/>
      <c r="W691" s="259"/>
      <c r="X691" s="259"/>
      <c r="Y691" s="259"/>
      <c r="Z691" s="259"/>
    </row>
    <row r="692" customFormat="false" ht="12" hidden="false" customHeight="true" outlineLevel="0" collapsed="false">
      <c r="A692" s="259"/>
      <c r="B692" s="259"/>
      <c r="C692" s="259"/>
      <c r="D692" s="259"/>
      <c r="E692" s="259"/>
      <c r="F692" s="261"/>
      <c r="G692" s="259"/>
      <c r="H692" s="259"/>
      <c r="I692" s="259"/>
      <c r="J692" s="262"/>
      <c r="K692" s="259"/>
      <c r="L692" s="259"/>
      <c r="M692" s="259"/>
      <c r="N692" s="259"/>
      <c r="O692" s="259"/>
      <c r="P692" s="259"/>
      <c r="Q692" s="259"/>
      <c r="R692" s="259"/>
      <c r="S692" s="259"/>
      <c r="T692" s="259"/>
      <c r="U692" s="259"/>
      <c r="V692" s="259"/>
      <c r="W692" s="259"/>
      <c r="X692" s="259"/>
      <c r="Y692" s="259"/>
      <c r="Z692" s="259"/>
    </row>
    <row r="693" customFormat="false" ht="12" hidden="false" customHeight="true" outlineLevel="0" collapsed="false">
      <c r="A693" s="259"/>
      <c r="B693" s="259"/>
      <c r="C693" s="259"/>
      <c r="D693" s="259"/>
      <c r="E693" s="259"/>
      <c r="F693" s="261"/>
      <c r="G693" s="259"/>
      <c r="H693" s="259"/>
      <c r="I693" s="259"/>
      <c r="J693" s="262"/>
      <c r="K693" s="259"/>
      <c r="L693" s="259"/>
      <c r="M693" s="259"/>
      <c r="N693" s="259"/>
      <c r="O693" s="259"/>
      <c r="P693" s="259"/>
      <c r="Q693" s="259"/>
      <c r="R693" s="259"/>
      <c r="S693" s="259"/>
      <c r="T693" s="259"/>
      <c r="U693" s="259"/>
      <c r="V693" s="259"/>
      <c r="W693" s="259"/>
      <c r="X693" s="259"/>
      <c r="Y693" s="259"/>
      <c r="Z693" s="259"/>
    </row>
    <row r="694" customFormat="false" ht="12" hidden="false" customHeight="true" outlineLevel="0" collapsed="false">
      <c r="A694" s="259"/>
      <c r="B694" s="259"/>
      <c r="C694" s="259"/>
      <c r="D694" s="259"/>
      <c r="E694" s="259"/>
      <c r="F694" s="261"/>
      <c r="G694" s="259"/>
      <c r="H694" s="259"/>
      <c r="I694" s="259"/>
      <c r="J694" s="262"/>
      <c r="K694" s="259"/>
      <c r="L694" s="259"/>
      <c r="M694" s="259"/>
      <c r="N694" s="259"/>
      <c r="O694" s="259"/>
      <c r="P694" s="259"/>
      <c r="Q694" s="259"/>
      <c r="R694" s="259"/>
      <c r="S694" s="259"/>
      <c r="T694" s="259"/>
      <c r="U694" s="259"/>
      <c r="V694" s="259"/>
      <c r="W694" s="259"/>
      <c r="X694" s="259"/>
      <c r="Y694" s="259"/>
      <c r="Z694" s="259"/>
    </row>
    <row r="695" customFormat="false" ht="12" hidden="false" customHeight="true" outlineLevel="0" collapsed="false">
      <c r="A695" s="259"/>
      <c r="B695" s="259"/>
      <c r="C695" s="259"/>
      <c r="D695" s="259"/>
      <c r="E695" s="259"/>
      <c r="F695" s="261"/>
      <c r="G695" s="259"/>
      <c r="H695" s="259"/>
      <c r="I695" s="259"/>
      <c r="J695" s="262"/>
      <c r="K695" s="259"/>
      <c r="L695" s="259"/>
      <c r="M695" s="259"/>
      <c r="N695" s="259"/>
      <c r="O695" s="259"/>
      <c r="P695" s="259"/>
      <c r="Q695" s="259"/>
      <c r="R695" s="259"/>
      <c r="S695" s="259"/>
      <c r="T695" s="259"/>
      <c r="U695" s="259"/>
      <c r="V695" s="259"/>
      <c r="W695" s="259"/>
      <c r="X695" s="259"/>
      <c r="Y695" s="259"/>
      <c r="Z695" s="259"/>
    </row>
    <row r="696" customFormat="false" ht="12" hidden="false" customHeight="true" outlineLevel="0" collapsed="false">
      <c r="A696" s="259"/>
      <c r="B696" s="259"/>
      <c r="C696" s="259"/>
      <c r="D696" s="259"/>
      <c r="E696" s="259"/>
      <c r="F696" s="261"/>
      <c r="G696" s="259"/>
      <c r="H696" s="259"/>
      <c r="I696" s="259"/>
      <c r="J696" s="262"/>
      <c r="K696" s="259"/>
      <c r="L696" s="259"/>
      <c r="M696" s="259"/>
      <c r="N696" s="259"/>
      <c r="O696" s="259"/>
      <c r="P696" s="259"/>
      <c r="Q696" s="259"/>
      <c r="R696" s="259"/>
      <c r="S696" s="259"/>
      <c r="T696" s="259"/>
      <c r="U696" s="259"/>
      <c r="V696" s="259"/>
      <c r="W696" s="259"/>
      <c r="X696" s="259"/>
      <c r="Y696" s="259"/>
      <c r="Z696" s="259"/>
    </row>
    <row r="697" customFormat="false" ht="12" hidden="false" customHeight="true" outlineLevel="0" collapsed="false">
      <c r="A697" s="259"/>
      <c r="B697" s="259"/>
      <c r="C697" s="259"/>
      <c r="D697" s="259"/>
      <c r="E697" s="259"/>
      <c r="F697" s="261"/>
      <c r="G697" s="259"/>
      <c r="H697" s="259"/>
      <c r="I697" s="259"/>
      <c r="J697" s="262"/>
      <c r="K697" s="259"/>
      <c r="L697" s="259"/>
      <c r="M697" s="259"/>
      <c r="N697" s="259"/>
      <c r="O697" s="259"/>
      <c r="P697" s="259"/>
      <c r="Q697" s="259"/>
      <c r="R697" s="259"/>
      <c r="S697" s="259"/>
      <c r="T697" s="259"/>
      <c r="U697" s="259"/>
      <c r="V697" s="259"/>
      <c r="W697" s="259"/>
      <c r="X697" s="259"/>
      <c r="Y697" s="259"/>
      <c r="Z697" s="259"/>
    </row>
    <row r="698" customFormat="false" ht="12" hidden="false" customHeight="true" outlineLevel="0" collapsed="false">
      <c r="A698" s="259"/>
      <c r="B698" s="259"/>
      <c r="C698" s="259"/>
      <c r="D698" s="259"/>
      <c r="E698" s="259"/>
      <c r="F698" s="261"/>
      <c r="G698" s="259"/>
      <c r="H698" s="259"/>
      <c r="I698" s="259"/>
      <c r="J698" s="262"/>
      <c r="K698" s="259"/>
      <c r="L698" s="259"/>
      <c r="M698" s="259"/>
      <c r="N698" s="259"/>
      <c r="O698" s="259"/>
      <c r="P698" s="259"/>
      <c r="Q698" s="259"/>
      <c r="R698" s="259"/>
      <c r="S698" s="259"/>
      <c r="T698" s="259"/>
      <c r="U698" s="259"/>
      <c r="V698" s="259"/>
      <c r="W698" s="259"/>
      <c r="X698" s="259"/>
      <c r="Y698" s="259"/>
      <c r="Z698" s="259"/>
    </row>
    <row r="699" customFormat="false" ht="12" hidden="false" customHeight="true" outlineLevel="0" collapsed="false">
      <c r="A699" s="259"/>
      <c r="B699" s="259"/>
      <c r="C699" s="259"/>
      <c r="D699" s="259"/>
      <c r="E699" s="259"/>
      <c r="F699" s="261"/>
      <c r="G699" s="259"/>
      <c r="H699" s="259"/>
      <c r="I699" s="259"/>
      <c r="J699" s="262"/>
      <c r="K699" s="259"/>
      <c r="L699" s="259"/>
      <c r="M699" s="259"/>
      <c r="N699" s="259"/>
      <c r="O699" s="259"/>
      <c r="P699" s="259"/>
      <c r="Q699" s="259"/>
      <c r="R699" s="259"/>
      <c r="S699" s="259"/>
      <c r="T699" s="259"/>
      <c r="U699" s="259"/>
      <c r="V699" s="259"/>
      <c r="W699" s="259"/>
      <c r="X699" s="259"/>
      <c r="Y699" s="259"/>
      <c r="Z699" s="259"/>
    </row>
    <row r="700" customFormat="false" ht="12" hidden="false" customHeight="true" outlineLevel="0" collapsed="false">
      <c r="A700" s="259"/>
      <c r="B700" s="259"/>
      <c r="C700" s="259"/>
      <c r="D700" s="259"/>
      <c r="E700" s="259"/>
      <c r="F700" s="261"/>
      <c r="G700" s="259"/>
      <c r="H700" s="259"/>
      <c r="I700" s="259"/>
      <c r="J700" s="262"/>
      <c r="K700" s="259"/>
      <c r="L700" s="259"/>
      <c r="M700" s="259"/>
      <c r="N700" s="259"/>
      <c r="O700" s="259"/>
      <c r="P700" s="259"/>
      <c r="Q700" s="259"/>
      <c r="R700" s="259"/>
      <c r="S700" s="259"/>
      <c r="T700" s="259"/>
      <c r="U700" s="259"/>
      <c r="V700" s="259"/>
      <c r="W700" s="259"/>
      <c r="X700" s="259"/>
      <c r="Y700" s="259"/>
      <c r="Z700" s="259"/>
    </row>
    <row r="701" customFormat="false" ht="12" hidden="false" customHeight="true" outlineLevel="0" collapsed="false">
      <c r="A701" s="259"/>
      <c r="B701" s="259"/>
      <c r="C701" s="259"/>
      <c r="D701" s="259"/>
      <c r="E701" s="259"/>
      <c r="F701" s="261"/>
      <c r="G701" s="259"/>
      <c r="H701" s="259"/>
      <c r="I701" s="259"/>
      <c r="J701" s="262"/>
      <c r="K701" s="259"/>
      <c r="L701" s="259"/>
      <c r="M701" s="259"/>
      <c r="N701" s="259"/>
      <c r="O701" s="259"/>
      <c r="P701" s="259"/>
      <c r="Q701" s="259"/>
      <c r="R701" s="259"/>
      <c r="S701" s="259"/>
      <c r="T701" s="259"/>
      <c r="U701" s="259"/>
      <c r="V701" s="259"/>
      <c r="W701" s="259"/>
      <c r="X701" s="259"/>
      <c r="Y701" s="259"/>
      <c r="Z701" s="259"/>
    </row>
    <row r="702" customFormat="false" ht="12" hidden="false" customHeight="true" outlineLevel="0" collapsed="false">
      <c r="A702" s="259"/>
      <c r="B702" s="259"/>
      <c r="C702" s="259"/>
      <c r="D702" s="259"/>
      <c r="E702" s="259"/>
      <c r="F702" s="261"/>
      <c r="G702" s="259"/>
      <c r="H702" s="259"/>
      <c r="I702" s="259"/>
      <c r="J702" s="262"/>
      <c r="K702" s="259"/>
      <c r="L702" s="259"/>
      <c r="M702" s="259"/>
      <c r="N702" s="259"/>
      <c r="O702" s="259"/>
      <c r="P702" s="259"/>
      <c r="Q702" s="259"/>
      <c r="R702" s="259"/>
      <c r="S702" s="259"/>
      <c r="T702" s="259"/>
      <c r="U702" s="259"/>
      <c r="V702" s="259"/>
      <c r="W702" s="259"/>
      <c r="X702" s="259"/>
      <c r="Y702" s="259"/>
      <c r="Z702" s="259"/>
    </row>
    <row r="703" customFormat="false" ht="12" hidden="false" customHeight="true" outlineLevel="0" collapsed="false">
      <c r="A703" s="259"/>
      <c r="B703" s="259"/>
      <c r="C703" s="259"/>
      <c r="D703" s="259"/>
      <c r="E703" s="259"/>
      <c r="F703" s="261"/>
      <c r="G703" s="259"/>
      <c r="H703" s="259"/>
      <c r="I703" s="259"/>
      <c r="J703" s="262"/>
      <c r="K703" s="259"/>
      <c r="L703" s="259"/>
      <c r="M703" s="259"/>
      <c r="N703" s="259"/>
      <c r="O703" s="259"/>
      <c r="P703" s="259"/>
      <c r="Q703" s="259"/>
      <c r="R703" s="259"/>
      <c r="S703" s="259"/>
      <c r="T703" s="259"/>
      <c r="U703" s="259"/>
      <c r="V703" s="259"/>
      <c r="W703" s="259"/>
      <c r="X703" s="259"/>
      <c r="Y703" s="259"/>
      <c r="Z703" s="259"/>
    </row>
    <row r="704" customFormat="false" ht="12" hidden="false" customHeight="true" outlineLevel="0" collapsed="false">
      <c r="A704" s="259"/>
      <c r="B704" s="259"/>
      <c r="C704" s="259"/>
      <c r="D704" s="259"/>
      <c r="E704" s="259"/>
      <c r="F704" s="261"/>
      <c r="G704" s="259"/>
      <c r="H704" s="259"/>
      <c r="I704" s="259"/>
      <c r="J704" s="262"/>
      <c r="K704" s="259"/>
      <c r="L704" s="259"/>
      <c r="M704" s="259"/>
      <c r="N704" s="259"/>
      <c r="O704" s="259"/>
      <c r="P704" s="259"/>
      <c r="Q704" s="259"/>
      <c r="R704" s="259"/>
      <c r="S704" s="259"/>
      <c r="T704" s="259"/>
      <c r="U704" s="259"/>
      <c r="V704" s="259"/>
      <c r="W704" s="259"/>
      <c r="X704" s="259"/>
      <c r="Y704" s="259"/>
      <c r="Z704" s="259"/>
    </row>
    <row r="705" customFormat="false" ht="12" hidden="false" customHeight="true" outlineLevel="0" collapsed="false">
      <c r="A705" s="259"/>
      <c r="B705" s="259"/>
      <c r="C705" s="259"/>
      <c r="D705" s="259"/>
      <c r="E705" s="259"/>
      <c r="F705" s="261"/>
      <c r="G705" s="259"/>
      <c r="H705" s="259"/>
      <c r="I705" s="259"/>
      <c r="J705" s="262"/>
      <c r="K705" s="259"/>
      <c r="L705" s="259"/>
      <c r="M705" s="259"/>
      <c r="N705" s="259"/>
      <c r="O705" s="259"/>
      <c r="P705" s="259"/>
      <c r="Q705" s="259"/>
      <c r="R705" s="259"/>
      <c r="S705" s="259"/>
      <c r="T705" s="259"/>
      <c r="U705" s="259"/>
      <c r="V705" s="259"/>
      <c r="W705" s="259"/>
      <c r="X705" s="259"/>
      <c r="Y705" s="259"/>
      <c r="Z705" s="259"/>
    </row>
    <row r="706" customFormat="false" ht="12" hidden="false" customHeight="true" outlineLevel="0" collapsed="false">
      <c r="A706" s="259"/>
      <c r="B706" s="259"/>
      <c r="C706" s="259"/>
      <c r="D706" s="259"/>
      <c r="E706" s="259"/>
      <c r="F706" s="261"/>
      <c r="G706" s="259"/>
      <c r="H706" s="259"/>
      <c r="I706" s="259"/>
      <c r="J706" s="262"/>
      <c r="K706" s="259"/>
      <c r="L706" s="259"/>
      <c r="M706" s="259"/>
      <c r="N706" s="259"/>
      <c r="O706" s="259"/>
      <c r="P706" s="259"/>
      <c r="Q706" s="259"/>
      <c r="R706" s="259"/>
      <c r="S706" s="259"/>
      <c r="T706" s="259"/>
      <c r="U706" s="259"/>
      <c r="V706" s="259"/>
      <c r="W706" s="259"/>
      <c r="X706" s="259"/>
      <c r="Y706" s="259"/>
      <c r="Z706" s="259"/>
    </row>
    <row r="707" customFormat="false" ht="12" hidden="false" customHeight="true" outlineLevel="0" collapsed="false">
      <c r="A707" s="259"/>
      <c r="B707" s="259"/>
      <c r="C707" s="259"/>
      <c r="D707" s="259"/>
      <c r="E707" s="259"/>
      <c r="F707" s="261"/>
      <c r="G707" s="259"/>
      <c r="H707" s="259"/>
      <c r="I707" s="259"/>
      <c r="J707" s="262"/>
      <c r="K707" s="259"/>
      <c r="L707" s="259"/>
      <c r="M707" s="259"/>
      <c r="N707" s="259"/>
      <c r="O707" s="259"/>
      <c r="P707" s="259"/>
      <c r="Q707" s="259"/>
      <c r="R707" s="259"/>
      <c r="S707" s="259"/>
      <c r="T707" s="259"/>
      <c r="U707" s="259"/>
      <c r="V707" s="259"/>
      <c r="W707" s="259"/>
      <c r="X707" s="259"/>
      <c r="Y707" s="259"/>
      <c r="Z707" s="259"/>
    </row>
    <row r="708" customFormat="false" ht="12" hidden="false" customHeight="true" outlineLevel="0" collapsed="false">
      <c r="A708" s="259"/>
      <c r="B708" s="259"/>
      <c r="C708" s="259"/>
      <c r="D708" s="259"/>
      <c r="E708" s="259"/>
      <c r="F708" s="261"/>
      <c r="G708" s="259"/>
      <c r="H708" s="259"/>
      <c r="I708" s="259"/>
      <c r="J708" s="262"/>
      <c r="K708" s="259"/>
      <c r="L708" s="259"/>
      <c r="M708" s="259"/>
      <c r="N708" s="259"/>
      <c r="O708" s="259"/>
      <c r="P708" s="259"/>
      <c r="Q708" s="259"/>
      <c r="R708" s="259"/>
      <c r="S708" s="259"/>
      <c r="T708" s="259"/>
      <c r="U708" s="259"/>
      <c r="V708" s="259"/>
      <c r="W708" s="259"/>
      <c r="X708" s="259"/>
      <c r="Y708" s="259"/>
      <c r="Z708" s="259"/>
    </row>
    <row r="709" customFormat="false" ht="12" hidden="false" customHeight="true" outlineLevel="0" collapsed="false">
      <c r="A709" s="259"/>
      <c r="B709" s="259"/>
      <c r="C709" s="259"/>
      <c r="D709" s="259"/>
      <c r="E709" s="259"/>
      <c r="F709" s="261"/>
      <c r="G709" s="259"/>
      <c r="H709" s="259"/>
      <c r="I709" s="259"/>
      <c r="J709" s="262"/>
      <c r="K709" s="259"/>
      <c r="L709" s="259"/>
      <c r="M709" s="259"/>
      <c r="N709" s="259"/>
      <c r="O709" s="259"/>
      <c r="P709" s="259"/>
      <c r="Q709" s="259"/>
      <c r="R709" s="259"/>
      <c r="S709" s="259"/>
      <c r="T709" s="259"/>
      <c r="U709" s="259"/>
      <c r="V709" s="259"/>
      <c r="W709" s="259"/>
      <c r="X709" s="259"/>
      <c r="Y709" s="259"/>
      <c r="Z709" s="259"/>
    </row>
    <row r="710" customFormat="false" ht="12" hidden="false" customHeight="true" outlineLevel="0" collapsed="false">
      <c r="A710" s="259"/>
      <c r="B710" s="259"/>
      <c r="C710" s="259"/>
      <c r="D710" s="259"/>
      <c r="E710" s="259"/>
      <c r="F710" s="261"/>
      <c r="G710" s="259"/>
      <c r="H710" s="259"/>
      <c r="I710" s="259"/>
      <c r="J710" s="262"/>
      <c r="K710" s="259"/>
      <c r="L710" s="259"/>
      <c r="M710" s="259"/>
      <c r="N710" s="259"/>
      <c r="O710" s="259"/>
      <c r="P710" s="259"/>
      <c r="Q710" s="259"/>
      <c r="R710" s="259"/>
      <c r="S710" s="259"/>
      <c r="T710" s="259"/>
      <c r="U710" s="259"/>
      <c r="V710" s="259"/>
      <c r="W710" s="259"/>
      <c r="X710" s="259"/>
      <c r="Y710" s="259"/>
      <c r="Z710" s="259"/>
    </row>
    <row r="711" customFormat="false" ht="12" hidden="false" customHeight="true" outlineLevel="0" collapsed="false">
      <c r="A711" s="259"/>
      <c r="B711" s="259"/>
      <c r="C711" s="259"/>
      <c r="D711" s="259"/>
      <c r="E711" s="259"/>
      <c r="F711" s="261"/>
      <c r="G711" s="259"/>
      <c r="H711" s="259"/>
      <c r="I711" s="259"/>
      <c r="J711" s="262"/>
      <c r="K711" s="259"/>
      <c r="L711" s="259"/>
      <c r="M711" s="259"/>
      <c r="N711" s="259"/>
      <c r="O711" s="259"/>
      <c r="P711" s="259"/>
      <c r="Q711" s="259"/>
      <c r="R711" s="259"/>
      <c r="S711" s="259"/>
      <c r="T711" s="259"/>
      <c r="U711" s="259"/>
      <c r="V711" s="259"/>
      <c r="W711" s="259"/>
      <c r="X711" s="259"/>
      <c r="Y711" s="259"/>
      <c r="Z711" s="259"/>
    </row>
    <row r="712" customFormat="false" ht="12" hidden="false" customHeight="true" outlineLevel="0" collapsed="false">
      <c r="A712" s="259"/>
      <c r="B712" s="259"/>
      <c r="C712" s="259"/>
      <c r="D712" s="259"/>
      <c r="E712" s="259"/>
      <c r="F712" s="261"/>
      <c r="G712" s="259"/>
      <c r="H712" s="259"/>
      <c r="I712" s="259"/>
      <c r="J712" s="262"/>
      <c r="K712" s="259"/>
      <c r="L712" s="259"/>
      <c r="M712" s="259"/>
      <c r="N712" s="259"/>
      <c r="O712" s="259"/>
      <c r="P712" s="259"/>
      <c r="Q712" s="259"/>
      <c r="R712" s="259"/>
      <c r="S712" s="259"/>
      <c r="T712" s="259"/>
      <c r="U712" s="259"/>
      <c r="V712" s="259"/>
      <c r="W712" s="259"/>
      <c r="X712" s="259"/>
      <c r="Y712" s="259"/>
      <c r="Z712" s="259"/>
    </row>
    <row r="713" customFormat="false" ht="12" hidden="false" customHeight="true" outlineLevel="0" collapsed="false">
      <c r="A713" s="259"/>
      <c r="B713" s="259"/>
      <c r="C713" s="259"/>
      <c r="D713" s="259"/>
      <c r="E713" s="259"/>
      <c r="F713" s="261"/>
      <c r="G713" s="259"/>
      <c r="H713" s="259"/>
      <c r="I713" s="259"/>
      <c r="J713" s="262"/>
      <c r="K713" s="259"/>
      <c r="L713" s="259"/>
      <c r="M713" s="259"/>
      <c r="N713" s="259"/>
      <c r="O713" s="259"/>
      <c r="P713" s="259"/>
      <c r="Q713" s="259"/>
      <c r="R713" s="259"/>
      <c r="S713" s="259"/>
      <c r="T713" s="259"/>
      <c r="U713" s="259"/>
      <c r="V713" s="259"/>
      <c r="W713" s="259"/>
      <c r="X713" s="259"/>
      <c r="Y713" s="259"/>
      <c r="Z713" s="259"/>
    </row>
    <row r="714" customFormat="false" ht="12" hidden="false" customHeight="true" outlineLevel="0" collapsed="false">
      <c r="A714" s="259"/>
      <c r="B714" s="259"/>
      <c r="C714" s="259"/>
      <c r="D714" s="259"/>
      <c r="E714" s="259"/>
      <c r="F714" s="261"/>
      <c r="G714" s="259"/>
      <c r="H714" s="259"/>
      <c r="I714" s="259"/>
      <c r="J714" s="262"/>
      <c r="K714" s="259"/>
      <c r="L714" s="259"/>
      <c r="M714" s="259"/>
      <c r="N714" s="259"/>
      <c r="O714" s="259"/>
      <c r="P714" s="259"/>
      <c r="Q714" s="259"/>
      <c r="R714" s="259"/>
      <c r="S714" s="259"/>
      <c r="T714" s="259"/>
      <c r="U714" s="259"/>
      <c r="V714" s="259"/>
      <c r="W714" s="259"/>
      <c r="X714" s="259"/>
      <c r="Y714" s="259"/>
      <c r="Z714" s="259"/>
    </row>
    <row r="715" customFormat="false" ht="12" hidden="false" customHeight="true" outlineLevel="0" collapsed="false">
      <c r="A715" s="259"/>
      <c r="B715" s="259"/>
      <c r="C715" s="259"/>
      <c r="D715" s="259"/>
      <c r="E715" s="259"/>
      <c r="F715" s="261"/>
      <c r="G715" s="259"/>
      <c r="H715" s="259"/>
      <c r="I715" s="259"/>
      <c r="J715" s="262"/>
      <c r="K715" s="259"/>
      <c r="L715" s="259"/>
      <c r="M715" s="259"/>
      <c r="N715" s="259"/>
      <c r="O715" s="259"/>
      <c r="P715" s="259"/>
      <c r="Q715" s="259"/>
      <c r="R715" s="259"/>
      <c r="S715" s="259"/>
      <c r="T715" s="259"/>
      <c r="U715" s="259"/>
      <c r="V715" s="259"/>
      <c r="W715" s="259"/>
      <c r="X715" s="259"/>
      <c r="Y715" s="259"/>
      <c r="Z715" s="259"/>
    </row>
    <row r="716" customFormat="false" ht="12" hidden="false" customHeight="true" outlineLevel="0" collapsed="false">
      <c r="A716" s="259"/>
      <c r="B716" s="259"/>
      <c r="C716" s="259"/>
      <c r="D716" s="259"/>
      <c r="E716" s="259"/>
      <c r="F716" s="261"/>
      <c r="G716" s="259"/>
      <c r="H716" s="259"/>
      <c r="I716" s="259"/>
      <c r="J716" s="262"/>
      <c r="K716" s="259"/>
      <c r="L716" s="259"/>
      <c r="M716" s="259"/>
      <c r="N716" s="259"/>
      <c r="O716" s="259"/>
      <c r="P716" s="259"/>
      <c r="Q716" s="259"/>
      <c r="R716" s="259"/>
      <c r="S716" s="259"/>
      <c r="T716" s="259"/>
      <c r="U716" s="259"/>
      <c r="V716" s="259"/>
      <c r="W716" s="259"/>
      <c r="X716" s="259"/>
      <c r="Y716" s="259"/>
      <c r="Z716" s="259"/>
    </row>
    <row r="717" customFormat="false" ht="12" hidden="false" customHeight="true" outlineLevel="0" collapsed="false">
      <c r="A717" s="259"/>
      <c r="B717" s="259"/>
      <c r="C717" s="259"/>
      <c r="D717" s="259"/>
      <c r="E717" s="259"/>
      <c r="F717" s="261"/>
      <c r="G717" s="259"/>
      <c r="H717" s="259"/>
      <c r="I717" s="259"/>
      <c r="J717" s="262"/>
      <c r="K717" s="259"/>
      <c r="L717" s="259"/>
      <c r="M717" s="259"/>
      <c r="N717" s="259"/>
      <c r="O717" s="259"/>
      <c r="P717" s="259"/>
      <c r="Q717" s="259"/>
      <c r="R717" s="259"/>
      <c r="S717" s="259"/>
      <c r="T717" s="259"/>
      <c r="U717" s="259"/>
      <c r="V717" s="259"/>
      <c r="W717" s="259"/>
      <c r="X717" s="259"/>
      <c r="Y717" s="259"/>
      <c r="Z717" s="259"/>
    </row>
    <row r="718" customFormat="false" ht="12" hidden="false" customHeight="true" outlineLevel="0" collapsed="false">
      <c r="A718" s="259"/>
      <c r="B718" s="259"/>
      <c r="C718" s="259"/>
      <c r="D718" s="259"/>
      <c r="E718" s="259"/>
      <c r="F718" s="261"/>
      <c r="G718" s="259"/>
      <c r="H718" s="259"/>
      <c r="I718" s="259"/>
      <c r="J718" s="262"/>
      <c r="K718" s="259"/>
      <c r="L718" s="259"/>
      <c r="M718" s="259"/>
      <c r="N718" s="259"/>
      <c r="O718" s="259"/>
      <c r="P718" s="259"/>
      <c r="Q718" s="259"/>
      <c r="R718" s="259"/>
      <c r="S718" s="259"/>
      <c r="T718" s="259"/>
      <c r="U718" s="259"/>
      <c r="V718" s="259"/>
      <c r="W718" s="259"/>
      <c r="X718" s="259"/>
      <c r="Y718" s="259"/>
      <c r="Z718" s="259"/>
    </row>
    <row r="719" customFormat="false" ht="12" hidden="false" customHeight="true" outlineLevel="0" collapsed="false">
      <c r="A719" s="259"/>
      <c r="B719" s="259"/>
      <c r="C719" s="259"/>
      <c r="D719" s="259"/>
      <c r="E719" s="259"/>
      <c r="F719" s="261"/>
      <c r="G719" s="259"/>
      <c r="H719" s="259"/>
      <c r="I719" s="259"/>
      <c r="J719" s="262"/>
      <c r="K719" s="259"/>
      <c r="L719" s="259"/>
      <c r="M719" s="259"/>
      <c r="N719" s="259"/>
      <c r="O719" s="259"/>
      <c r="P719" s="259"/>
      <c r="Q719" s="259"/>
      <c r="R719" s="259"/>
      <c r="S719" s="259"/>
      <c r="T719" s="259"/>
      <c r="U719" s="259"/>
      <c r="V719" s="259"/>
      <c r="W719" s="259"/>
      <c r="X719" s="259"/>
      <c r="Y719" s="259"/>
      <c r="Z719" s="259"/>
    </row>
    <row r="720" customFormat="false" ht="12" hidden="false" customHeight="true" outlineLevel="0" collapsed="false">
      <c r="A720" s="259"/>
      <c r="B720" s="259"/>
      <c r="C720" s="259"/>
      <c r="D720" s="259"/>
      <c r="E720" s="259"/>
      <c r="F720" s="261"/>
      <c r="G720" s="259"/>
      <c r="H720" s="259"/>
      <c r="I720" s="259"/>
      <c r="J720" s="262"/>
      <c r="K720" s="259"/>
      <c r="L720" s="259"/>
      <c r="M720" s="259"/>
      <c r="N720" s="259"/>
      <c r="O720" s="259"/>
      <c r="P720" s="259"/>
      <c r="Q720" s="259"/>
      <c r="R720" s="259"/>
      <c r="S720" s="259"/>
      <c r="T720" s="259"/>
      <c r="U720" s="259"/>
      <c r="V720" s="259"/>
      <c r="W720" s="259"/>
      <c r="X720" s="259"/>
      <c r="Y720" s="259"/>
      <c r="Z720" s="259"/>
    </row>
    <row r="721" customFormat="false" ht="12" hidden="false" customHeight="true" outlineLevel="0" collapsed="false">
      <c r="A721" s="259"/>
      <c r="B721" s="259"/>
      <c r="C721" s="259"/>
      <c r="D721" s="259"/>
      <c r="E721" s="259"/>
      <c r="F721" s="261"/>
      <c r="G721" s="259"/>
      <c r="H721" s="259"/>
      <c r="I721" s="259"/>
      <c r="J721" s="262"/>
      <c r="K721" s="259"/>
      <c r="L721" s="259"/>
      <c r="M721" s="259"/>
      <c r="N721" s="259"/>
      <c r="O721" s="259"/>
      <c r="P721" s="259"/>
      <c r="Q721" s="259"/>
      <c r="R721" s="259"/>
      <c r="S721" s="259"/>
      <c r="T721" s="259"/>
      <c r="U721" s="259"/>
      <c r="V721" s="259"/>
      <c r="W721" s="259"/>
      <c r="X721" s="259"/>
      <c r="Y721" s="259"/>
      <c r="Z721" s="259"/>
    </row>
    <row r="722" customFormat="false" ht="12" hidden="false" customHeight="true" outlineLevel="0" collapsed="false">
      <c r="A722" s="259"/>
      <c r="B722" s="259"/>
      <c r="C722" s="259"/>
      <c r="D722" s="259"/>
      <c r="E722" s="259"/>
      <c r="F722" s="261"/>
      <c r="G722" s="259"/>
      <c r="H722" s="259"/>
      <c r="I722" s="259"/>
      <c r="J722" s="262"/>
      <c r="K722" s="259"/>
      <c r="L722" s="259"/>
      <c r="M722" s="259"/>
      <c r="N722" s="259"/>
      <c r="O722" s="259"/>
      <c r="P722" s="259"/>
      <c r="Q722" s="259"/>
      <c r="R722" s="259"/>
      <c r="S722" s="259"/>
      <c r="T722" s="259"/>
      <c r="U722" s="259"/>
      <c r="V722" s="259"/>
      <c r="W722" s="259"/>
      <c r="X722" s="259"/>
      <c r="Y722" s="259"/>
      <c r="Z722" s="259"/>
    </row>
    <row r="723" customFormat="false" ht="12" hidden="false" customHeight="true" outlineLevel="0" collapsed="false">
      <c r="A723" s="259"/>
      <c r="B723" s="259"/>
      <c r="C723" s="259"/>
      <c r="D723" s="259"/>
      <c r="E723" s="259"/>
      <c r="F723" s="261"/>
      <c r="G723" s="259"/>
      <c r="H723" s="259"/>
      <c r="I723" s="259"/>
      <c r="J723" s="262"/>
      <c r="K723" s="259"/>
      <c r="L723" s="259"/>
      <c r="M723" s="259"/>
      <c r="N723" s="259"/>
      <c r="O723" s="259"/>
      <c r="P723" s="259"/>
      <c r="Q723" s="259"/>
      <c r="R723" s="259"/>
      <c r="S723" s="259"/>
      <c r="T723" s="259"/>
      <c r="U723" s="259"/>
      <c r="V723" s="259"/>
      <c r="W723" s="259"/>
      <c r="X723" s="259"/>
      <c r="Y723" s="259"/>
      <c r="Z723" s="259"/>
    </row>
    <row r="724" customFormat="false" ht="12" hidden="false" customHeight="true" outlineLevel="0" collapsed="false">
      <c r="A724" s="259"/>
      <c r="B724" s="259"/>
      <c r="C724" s="259"/>
      <c r="D724" s="259"/>
      <c r="E724" s="259"/>
      <c r="F724" s="261"/>
      <c r="G724" s="259"/>
      <c r="H724" s="259"/>
      <c r="I724" s="259"/>
      <c r="J724" s="262"/>
      <c r="K724" s="259"/>
      <c r="L724" s="259"/>
      <c r="M724" s="259"/>
      <c r="N724" s="259"/>
      <c r="O724" s="259"/>
      <c r="P724" s="259"/>
      <c r="Q724" s="259"/>
      <c r="R724" s="259"/>
      <c r="S724" s="259"/>
      <c r="T724" s="259"/>
      <c r="U724" s="259"/>
      <c r="V724" s="259"/>
      <c r="W724" s="259"/>
      <c r="X724" s="259"/>
      <c r="Y724" s="259"/>
      <c r="Z724" s="259"/>
    </row>
    <row r="725" customFormat="false" ht="12" hidden="false" customHeight="true" outlineLevel="0" collapsed="false">
      <c r="A725" s="259"/>
      <c r="B725" s="259"/>
      <c r="C725" s="259"/>
      <c r="D725" s="259"/>
      <c r="E725" s="259"/>
      <c r="F725" s="261"/>
      <c r="G725" s="259"/>
      <c r="H725" s="259"/>
      <c r="I725" s="259"/>
      <c r="J725" s="262"/>
      <c r="K725" s="259"/>
      <c r="L725" s="259"/>
      <c r="M725" s="259"/>
      <c r="N725" s="259"/>
      <c r="O725" s="259"/>
      <c r="P725" s="259"/>
      <c r="Q725" s="259"/>
      <c r="R725" s="259"/>
      <c r="S725" s="259"/>
      <c r="T725" s="259"/>
      <c r="U725" s="259"/>
      <c r="V725" s="259"/>
      <c r="W725" s="259"/>
      <c r="X725" s="259"/>
      <c r="Y725" s="259"/>
      <c r="Z725" s="259"/>
    </row>
    <row r="726" customFormat="false" ht="12" hidden="false" customHeight="true" outlineLevel="0" collapsed="false">
      <c r="A726" s="259"/>
      <c r="B726" s="259"/>
      <c r="C726" s="259"/>
      <c r="D726" s="259"/>
      <c r="E726" s="259"/>
      <c r="F726" s="261"/>
      <c r="G726" s="259"/>
      <c r="H726" s="259"/>
      <c r="I726" s="259"/>
      <c r="J726" s="262"/>
      <c r="K726" s="259"/>
      <c r="L726" s="259"/>
      <c r="M726" s="259"/>
      <c r="N726" s="259"/>
      <c r="O726" s="259"/>
      <c r="P726" s="259"/>
      <c r="Q726" s="259"/>
      <c r="R726" s="259"/>
      <c r="S726" s="259"/>
      <c r="T726" s="259"/>
      <c r="U726" s="259"/>
      <c r="V726" s="259"/>
      <c r="W726" s="259"/>
      <c r="X726" s="259"/>
      <c r="Y726" s="259"/>
      <c r="Z726" s="259"/>
    </row>
    <row r="727" customFormat="false" ht="12" hidden="false" customHeight="true" outlineLevel="0" collapsed="false">
      <c r="A727" s="259"/>
      <c r="B727" s="259"/>
      <c r="C727" s="259"/>
      <c r="D727" s="259"/>
      <c r="E727" s="259"/>
      <c r="F727" s="261"/>
      <c r="G727" s="259"/>
      <c r="H727" s="259"/>
      <c r="I727" s="259"/>
      <c r="J727" s="262"/>
      <c r="K727" s="259"/>
      <c r="L727" s="259"/>
      <c r="M727" s="259"/>
      <c r="N727" s="259"/>
      <c r="O727" s="259"/>
      <c r="P727" s="259"/>
      <c r="Q727" s="259"/>
      <c r="R727" s="259"/>
      <c r="S727" s="259"/>
      <c r="T727" s="259"/>
      <c r="U727" s="259"/>
      <c r="V727" s="259"/>
      <c r="W727" s="259"/>
      <c r="X727" s="259"/>
      <c r="Y727" s="259"/>
      <c r="Z727" s="259"/>
    </row>
    <row r="728" customFormat="false" ht="12" hidden="false" customHeight="true" outlineLevel="0" collapsed="false">
      <c r="A728" s="259"/>
      <c r="B728" s="259"/>
      <c r="C728" s="259"/>
      <c r="D728" s="259"/>
      <c r="E728" s="259"/>
      <c r="F728" s="261"/>
      <c r="G728" s="259"/>
      <c r="H728" s="259"/>
      <c r="I728" s="259"/>
      <c r="J728" s="262"/>
      <c r="K728" s="259"/>
      <c r="L728" s="259"/>
      <c r="M728" s="259"/>
      <c r="N728" s="259"/>
      <c r="O728" s="259"/>
      <c r="P728" s="259"/>
      <c r="Q728" s="259"/>
      <c r="R728" s="259"/>
      <c r="S728" s="259"/>
      <c r="T728" s="259"/>
      <c r="U728" s="259"/>
      <c r="V728" s="259"/>
      <c r="W728" s="259"/>
      <c r="X728" s="259"/>
      <c r="Y728" s="259"/>
      <c r="Z728" s="259"/>
    </row>
    <row r="729" customFormat="false" ht="12" hidden="false" customHeight="true" outlineLevel="0" collapsed="false">
      <c r="A729" s="259"/>
      <c r="B729" s="259"/>
      <c r="C729" s="259"/>
      <c r="D729" s="259"/>
      <c r="E729" s="259"/>
      <c r="F729" s="261"/>
      <c r="G729" s="259"/>
      <c r="H729" s="259"/>
      <c r="I729" s="259"/>
      <c r="J729" s="262"/>
      <c r="K729" s="259"/>
      <c r="L729" s="259"/>
      <c r="M729" s="259"/>
      <c r="N729" s="259"/>
      <c r="O729" s="259"/>
      <c r="P729" s="259"/>
      <c r="Q729" s="259"/>
      <c r="R729" s="259"/>
      <c r="S729" s="259"/>
      <c r="T729" s="259"/>
      <c r="U729" s="259"/>
      <c r="V729" s="259"/>
      <c r="W729" s="259"/>
      <c r="X729" s="259"/>
      <c r="Y729" s="259"/>
      <c r="Z729" s="259"/>
    </row>
    <row r="730" customFormat="false" ht="12" hidden="false" customHeight="true" outlineLevel="0" collapsed="false">
      <c r="A730" s="259"/>
      <c r="B730" s="259"/>
      <c r="C730" s="259"/>
      <c r="D730" s="259"/>
      <c r="E730" s="259"/>
      <c r="F730" s="261"/>
      <c r="G730" s="259"/>
      <c r="H730" s="259"/>
      <c r="I730" s="259"/>
      <c r="J730" s="262"/>
      <c r="K730" s="259"/>
      <c r="L730" s="259"/>
      <c r="M730" s="259"/>
      <c r="N730" s="259"/>
      <c r="O730" s="259"/>
      <c r="P730" s="259"/>
      <c r="Q730" s="259"/>
      <c r="R730" s="259"/>
      <c r="S730" s="259"/>
      <c r="T730" s="259"/>
      <c r="U730" s="259"/>
      <c r="V730" s="259"/>
      <c r="W730" s="259"/>
      <c r="X730" s="259"/>
      <c r="Y730" s="259"/>
      <c r="Z730" s="259"/>
    </row>
    <row r="731" customFormat="false" ht="12" hidden="false" customHeight="true" outlineLevel="0" collapsed="false">
      <c r="A731" s="259"/>
      <c r="B731" s="259"/>
      <c r="C731" s="259"/>
      <c r="D731" s="259"/>
      <c r="E731" s="259"/>
      <c r="F731" s="261"/>
      <c r="G731" s="259"/>
      <c r="H731" s="259"/>
      <c r="I731" s="259"/>
      <c r="J731" s="262"/>
      <c r="K731" s="259"/>
      <c r="L731" s="259"/>
      <c r="M731" s="259"/>
      <c r="N731" s="259"/>
      <c r="O731" s="259"/>
      <c r="P731" s="259"/>
      <c r="Q731" s="259"/>
      <c r="R731" s="259"/>
      <c r="S731" s="259"/>
      <c r="T731" s="259"/>
      <c r="U731" s="259"/>
      <c r="V731" s="259"/>
      <c r="W731" s="259"/>
      <c r="X731" s="259"/>
      <c r="Y731" s="259"/>
      <c r="Z731" s="259"/>
    </row>
    <row r="732" customFormat="false" ht="12" hidden="false" customHeight="true" outlineLevel="0" collapsed="false">
      <c r="A732" s="259"/>
      <c r="B732" s="259"/>
      <c r="C732" s="259"/>
      <c r="D732" s="259"/>
      <c r="E732" s="259"/>
      <c r="F732" s="261"/>
      <c r="G732" s="259"/>
      <c r="H732" s="259"/>
      <c r="I732" s="259"/>
      <c r="J732" s="262"/>
      <c r="K732" s="259"/>
      <c r="L732" s="259"/>
      <c r="M732" s="259"/>
      <c r="N732" s="259"/>
      <c r="O732" s="259"/>
      <c r="P732" s="259"/>
      <c r="Q732" s="259"/>
      <c r="R732" s="259"/>
      <c r="S732" s="259"/>
      <c r="T732" s="259"/>
      <c r="U732" s="259"/>
      <c r="V732" s="259"/>
      <c r="W732" s="259"/>
      <c r="X732" s="259"/>
      <c r="Y732" s="259"/>
      <c r="Z732" s="259"/>
    </row>
    <row r="733" customFormat="false" ht="12" hidden="false" customHeight="true" outlineLevel="0" collapsed="false">
      <c r="A733" s="259"/>
      <c r="B733" s="259"/>
      <c r="C733" s="259"/>
      <c r="D733" s="259"/>
      <c r="E733" s="259"/>
      <c r="F733" s="261"/>
      <c r="G733" s="259"/>
      <c r="H733" s="259"/>
      <c r="I733" s="259"/>
      <c r="J733" s="262"/>
      <c r="K733" s="259"/>
      <c r="L733" s="259"/>
      <c r="M733" s="259"/>
      <c r="N733" s="259"/>
      <c r="O733" s="259"/>
      <c r="P733" s="259"/>
      <c r="Q733" s="259"/>
      <c r="R733" s="259"/>
      <c r="S733" s="259"/>
      <c r="T733" s="259"/>
      <c r="U733" s="259"/>
      <c r="V733" s="259"/>
      <c r="W733" s="259"/>
      <c r="X733" s="259"/>
      <c r="Y733" s="259"/>
      <c r="Z733" s="259"/>
    </row>
    <row r="734" customFormat="false" ht="12" hidden="false" customHeight="true" outlineLevel="0" collapsed="false">
      <c r="A734" s="259"/>
      <c r="B734" s="259"/>
      <c r="C734" s="259"/>
      <c r="D734" s="259"/>
      <c r="E734" s="259"/>
      <c r="F734" s="261"/>
      <c r="G734" s="259"/>
      <c r="H734" s="259"/>
      <c r="I734" s="259"/>
      <c r="J734" s="262"/>
      <c r="K734" s="259"/>
      <c r="L734" s="259"/>
      <c r="M734" s="259"/>
      <c r="N734" s="259"/>
      <c r="O734" s="259"/>
      <c r="P734" s="259"/>
      <c r="Q734" s="259"/>
      <c r="R734" s="259"/>
      <c r="S734" s="259"/>
      <c r="T734" s="259"/>
      <c r="U734" s="259"/>
      <c r="V734" s="259"/>
      <c r="W734" s="259"/>
      <c r="X734" s="259"/>
      <c r="Y734" s="259"/>
      <c r="Z734" s="259"/>
    </row>
    <row r="735" customFormat="false" ht="12" hidden="false" customHeight="true" outlineLevel="0" collapsed="false">
      <c r="A735" s="259"/>
      <c r="B735" s="259"/>
      <c r="C735" s="259"/>
      <c r="D735" s="259"/>
      <c r="E735" s="259"/>
      <c r="F735" s="261"/>
      <c r="G735" s="259"/>
      <c r="H735" s="259"/>
      <c r="I735" s="259"/>
      <c r="J735" s="262"/>
      <c r="K735" s="259"/>
      <c r="L735" s="259"/>
      <c r="M735" s="259"/>
      <c r="N735" s="259"/>
      <c r="O735" s="259"/>
      <c r="P735" s="259"/>
      <c r="Q735" s="259"/>
      <c r="R735" s="259"/>
      <c r="S735" s="259"/>
      <c r="T735" s="259"/>
      <c r="U735" s="259"/>
      <c r="V735" s="259"/>
      <c r="W735" s="259"/>
      <c r="X735" s="259"/>
      <c r="Y735" s="259"/>
      <c r="Z735" s="259"/>
    </row>
    <row r="736" customFormat="false" ht="12" hidden="false" customHeight="true" outlineLevel="0" collapsed="false">
      <c r="A736" s="259"/>
      <c r="B736" s="259"/>
      <c r="C736" s="259"/>
      <c r="D736" s="259"/>
      <c r="E736" s="259"/>
      <c r="F736" s="261"/>
      <c r="G736" s="259"/>
      <c r="H736" s="259"/>
      <c r="I736" s="259"/>
      <c r="J736" s="262"/>
      <c r="K736" s="259"/>
      <c r="L736" s="259"/>
      <c r="M736" s="259"/>
      <c r="N736" s="259"/>
      <c r="O736" s="259"/>
      <c r="P736" s="259"/>
      <c r="Q736" s="259"/>
      <c r="R736" s="259"/>
      <c r="S736" s="259"/>
      <c r="T736" s="259"/>
      <c r="U736" s="259"/>
      <c r="V736" s="259"/>
      <c r="W736" s="259"/>
      <c r="X736" s="259"/>
      <c r="Y736" s="259"/>
      <c r="Z736" s="259"/>
    </row>
    <row r="737" customFormat="false" ht="12" hidden="false" customHeight="true" outlineLevel="0" collapsed="false">
      <c r="A737" s="259"/>
      <c r="B737" s="259"/>
      <c r="C737" s="259"/>
      <c r="D737" s="259"/>
      <c r="E737" s="259"/>
      <c r="F737" s="261"/>
      <c r="G737" s="259"/>
      <c r="H737" s="259"/>
      <c r="I737" s="259"/>
      <c r="J737" s="262"/>
      <c r="K737" s="259"/>
      <c r="L737" s="259"/>
      <c r="M737" s="259"/>
      <c r="N737" s="259"/>
      <c r="O737" s="259"/>
      <c r="P737" s="259"/>
      <c r="Q737" s="259"/>
      <c r="R737" s="259"/>
      <c r="S737" s="259"/>
      <c r="T737" s="259"/>
      <c r="U737" s="259"/>
      <c r="V737" s="259"/>
      <c r="W737" s="259"/>
      <c r="X737" s="259"/>
      <c r="Y737" s="259"/>
      <c r="Z737" s="259"/>
    </row>
    <row r="738" customFormat="false" ht="12" hidden="false" customHeight="true" outlineLevel="0" collapsed="false">
      <c r="A738" s="259"/>
      <c r="B738" s="259"/>
      <c r="C738" s="259"/>
      <c r="D738" s="259"/>
      <c r="E738" s="259"/>
      <c r="F738" s="261"/>
      <c r="G738" s="259"/>
      <c r="H738" s="259"/>
      <c r="I738" s="259"/>
      <c r="J738" s="262"/>
      <c r="K738" s="259"/>
      <c r="L738" s="259"/>
      <c r="M738" s="259"/>
      <c r="N738" s="259"/>
      <c r="O738" s="259"/>
      <c r="P738" s="259"/>
      <c r="Q738" s="259"/>
      <c r="R738" s="259"/>
      <c r="S738" s="259"/>
      <c r="T738" s="259"/>
      <c r="U738" s="259"/>
      <c r="V738" s="259"/>
      <c r="W738" s="259"/>
      <c r="X738" s="259"/>
      <c r="Y738" s="259"/>
      <c r="Z738" s="259"/>
    </row>
    <row r="739" customFormat="false" ht="12" hidden="false" customHeight="true" outlineLevel="0" collapsed="false">
      <c r="A739" s="259"/>
      <c r="B739" s="259"/>
      <c r="C739" s="259"/>
      <c r="D739" s="259"/>
      <c r="E739" s="259"/>
      <c r="F739" s="261"/>
      <c r="G739" s="259"/>
      <c r="H739" s="259"/>
      <c r="I739" s="259"/>
      <c r="J739" s="262"/>
      <c r="K739" s="259"/>
      <c r="L739" s="259"/>
      <c r="M739" s="259"/>
      <c r="N739" s="259"/>
      <c r="O739" s="259"/>
      <c r="P739" s="259"/>
      <c r="Q739" s="259"/>
      <c r="R739" s="259"/>
      <c r="S739" s="259"/>
      <c r="T739" s="259"/>
      <c r="U739" s="259"/>
      <c r="V739" s="259"/>
      <c r="W739" s="259"/>
      <c r="X739" s="259"/>
      <c r="Y739" s="259"/>
      <c r="Z739" s="259"/>
    </row>
    <row r="740" customFormat="false" ht="12" hidden="false" customHeight="true" outlineLevel="0" collapsed="false">
      <c r="A740" s="259"/>
      <c r="B740" s="259"/>
      <c r="C740" s="259"/>
      <c r="D740" s="259"/>
      <c r="E740" s="259"/>
      <c r="F740" s="261"/>
      <c r="G740" s="259"/>
      <c r="H740" s="259"/>
      <c r="I740" s="259"/>
      <c r="J740" s="262"/>
      <c r="K740" s="259"/>
      <c r="L740" s="259"/>
      <c r="M740" s="259"/>
      <c r="N740" s="259"/>
      <c r="O740" s="259"/>
      <c r="P740" s="259"/>
      <c r="Q740" s="259"/>
      <c r="R740" s="259"/>
      <c r="S740" s="259"/>
      <c r="T740" s="259"/>
      <c r="U740" s="259"/>
      <c r="V740" s="259"/>
      <c r="W740" s="259"/>
      <c r="X740" s="259"/>
      <c r="Y740" s="259"/>
      <c r="Z740" s="259"/>
    </row>
    <row r="741" customFormat="false" ht="12" hidden="false" customHeight="true" outlineLevel="0" collapsed="false">
      <c r="A741" s="259"/>
      <c r="B741" s="259"/>
      <c r="C741" s="259"/>
      <c r="D741" s="259"/>
      <c r="E741" s="259"/>
      <c r="F741" s="261"/>
      <c r="G741" s="259"/>
      <c r="H741" s="259"/>
      <c r="I741" s="259"/>
      <c r="J741" s="262"/>
      <c r="K741" s="259"/>
      <c r="L741" s="259"/>
      <c r="M741" s="259"/>
      <c r="N741" s="259"/>
      <c r="O741" s="259"/>
      <c r="P741" s="259"/>
      <c r="Q741" s="259"/>
      <c r="R741" s="259"/>
      <c r="S741" s="259"/>
      <c r="T741" s="259"/>
      <c r="U741" s="259"/>
      <c r="V741" s="259"/>
      <c r="W741" s="259"/>
      <c r="X741" s="259"/>
      <c r="Y741" s="259"/>
      <c r="Z741" s="259"/>
    </row>
    <row r="742" customFormat="false" ht="12" hidden="false" customHeight="true" outlineLevel="0" collapsed="false">
      <c r="A742" s="259"/>
      <c r="B742" s="259"/>
      <c r="C742" s="259"/>
      <c r="D742" s="259"/>
      <c r="E742" s="259"/>
      <c r="F742" s="261"/>
      <c r="G742" s="259"/>
      <c r="H742" s="259"/>
      <c r="I742" s="259"/>
      <c r="J742" s="262"/>
      <c r="K742" s="259"/>
      <c r="L742" s="259"/>
      <c r="M742" s="259"/>
      <c r="N742" s="259"/>
      <c r="O742" s="259"/>
      <c r="P742" s="259"/>
      <c r="Q742" s="259"/>
      <c r="R742" s="259"/>
      <c r="S742" s="259"/>
      <c r="T742" s="259"/>
      <c r="U742" s="259"/>
      <c r="V742" s="259"/>
      <c r="W742" s="259"/>
      <c r="X742" s="259"/>
      <c r="Y742" s="259"/>
      <c r="Z742" s="259"/>
    </row>
    <row r="743" customFormat="false" ht="12" hidden="false" customHeight="true" outlineLevel="0" collapsed="false">
      <c r="A743" s="259"/>
      <c r="B743" s="259"/>
      <c r="C743" s="259"/>
      <c r="D743" s="259"/>
      <c r="E743" s="259"/>
      <c r="F743" s="261"/>
      <c r="G743" s="259"/>
      <c r="H743" s="259"/>
      <c r="I743" s="259"/>
      <c r="J743" s="262"/>
      <c r="K743" s="259"/>
      <c r="L743" s="259"/>
      <c r="M743" s="259"/>
      <c r="N743" s="259"/>
      <c r="O743" s="259"/>
      <c r="P743" s="259"/>
      <c r="Q743" s="259"/>
      <c r="R743" s="259"/>
      <c r="S743" s="259"/>
      <c r="T743" s="259"/>
      <c r="U743" s="259"/>
      <c r="V743" s="259"/>
      <c r="W743" s="259"/>
      <c r="X743" s="259"/>
      <c r="Y743" s="259"/>
      <c r="Z743" s="259"/>
    </row>
    <row r="744" customFormat="false" ht="12" hidden="false" customHeight="true" outlineLevel="0" collapsed="false">
      <c r="A744" s="259"/>
      <c r="B744" s="259"/>
      <c r="C744" s="259"/>
      <c r="D744" s="259"/>
      <c r="E744" s="259"/>
      <c r="F744" s="261"/>
      <c r="G744" s="259"/>
      <c r="H744" s="259"/>
      <c r="I744" s="259"/>
      <c r="J744" s="262"/>
      <c r="K744" s="259"/>
      <c r="L744" s="259"/>
      <c r="M744" s="259"/>
      <c r="N744" s="259"/>
      <c r="O744" s="259"/>
      <c r="P744" s="259"/>
      <c r="Q744" s="259"/>
      <c r="R744" s="259"/>
      <c r="S744" s="259"/>
      <c r="T744" s="259"/>
      <c r="U744" s="259"/>
      <c r="V744" s="259"/>
      <c r="W744" s="259"/>
      <c r="X744" s="259"/>
      <c r="Y744" s="259"/>
      <c r="Z744" s="259"/>
    </row>
    <row r="745" customFormat="false" ht="12" hidden="false" customHeight="true" outlineLevel="0" collapsed="false">
      <c r="A745" s="259"/>
      <c r="B745" s="259"/>
      <c r="C745" s="259"/>
      <c r="D745" s="259"/>
      <c r="E745" s="259"/>
      <c r="F745" s="261"/>
      <c r="G745" s="259"/>
      <c r="H745" s="259"/>
      <c r="I745" s="259"/>
      <c r="J745" s="262"/>
      <c r="K745" s="259"/>
      <c r="L745" s="259"/>
      <c r="M745" s="259"/>
      <c r="N745" s="259"/>
      <c r="O745" s="259"/>
      <c r="P745" s="259"/>
      <c r="Q745" s="259"/>
      <c r="R745" s="259"/>
      <c r="S745" s="259"/>
      <c r="T745" s="259"/>
      <c r="U745" s="259"/>
      <c r="V745" s="259"/>
      <c r="W745" s="259"/>
      <c r="X745" s="259"/>
      <c r="Y745" s="259"/>
      <c r="Z745" s="259"/>
    </row>
    <row r="746" customFormat="false" ht="12" hidden="false" customHeight="true" outlineLevel="0" collapsed="false">
      <c r="A746" s="259"/>
      <c r="B746" s="259"/>
      <c r="C746" s="259"/>
      <c r="D746" s="259"/>
      <c r="E746" s="259"/>
      <c r="F746" s="261"/>
      <c r="G746" s="259"/>
      <c r="H746" s="259"/>
      <c r="I746" s="259"/>
      <c r="J746" s="262"/>
      <c r="K746" s="259"/>
      <c r="L746" s="259"/>
      <c r="M746" s="259"/>
      <c r="N746" s="259"/>
      <c r="O746" s="259"/>
      <c r="P746" s="259"/>
      <c r="Q746" s="259"/>
      <c r="R746" s="259"/>
      <c r="S746" s="259"/>
      <c r="T746" s="259"/>
      <c r="U746" s="259"/>
      <c r="V746" s="259"/>
      <c r="W746" s="259"/>
      <c r="X746" s="259"/>
      <c r="Y746" s="259"/>
      <c r="Z746" s="259"/>
    </row>
    <row r="747" customFormat="false" ht="12" hidden="false" customHeight="true" outlineLevel="0" collapsed="false">
      <c r="A747" s="259"/>
      <c r="B747" s="259"/>
      <c r="C747" s="259"/>
      <c r="D747" s="259"/>
      <c r="E747" s="259"/>
      <c r="F747" s="261"/>
      <c r="G747" s="259"/>
      <c r="H747" s="259"/>
      <c r="I747" s="259"/>
      <c r="J747" s="262"/>
      <c r="K747" s="259"/>
      <c r="L747" s="259"/>
      <c r="M747" s="259"/>
      <c r="N747" s="259"/>
      <c r="O747" s="259"/>
      <c r="P747" s="259"/>
      <c r="Q747" s="259"/>
      <c r="R747" s="259"/>
      <c r="S747" s="259"/>
      <c r="T747" s="259"/>
      <c r="U747" s="259"/>
      <c r="V747" s="259"/>
      <c r="W747" s="259"/>
      <c r="X747" s="259"/>
      <c r="Y747" s="259"/>
      <c r="Z747" s="259"/>
    </row>
    <row r="748" customFormat="false" ht="12" hidden="false" customHeight="true" outlineLevel="0" collapsed="false">
      <c r="A748" s="259"/>
      <c r="B748" s="259"/>
      <c r="C748" s="259"/>
      <c r="D748" s="259"/>
      <c r="E748" s="259"/>
      <c r="F748" s="261"/>
      <c r="G748" s="259"/>
      <c r="H748" s="259"/>
      <c r="I748" s="259"/>
      <c r="J748" s="262"/>
      <c r="K748" s="259"/>
      <c r="L748" s="259"/>
      <c r="M748" s="259"/>
      <c r="N748" s="259"/>
      <c r="O748" s="259"/>
      <c r="P748" s="259"/>
      <c r="Q748" s="259"/>
      <c r="R748" s="259"/>
      <c r="S748" s="259"/>
      <c r="T748" s="259"/>
      <c r="U748" s="259"/>
      <c r="V748" s="259"/>
      <c r="W748" s="259"/>
      <c r="X748" s="259"/>
      <c r="Y748" s="259"/>
      <c r="Z748" s="259"/>
    </row>
    <row r="749" customFormat="false" ht="12" hidden="false" customHeight="true" outlineLevel="0" collapsed="false">
      <c r="A749" s="259"/>
      <c r="B749" s="259"/>
      <c r="C749" s="259"/>
      <c r="D749" s="259"/>
      <c r="E749" s="259"/>
      <c r="F749" s="261"/>
      <c r="G749" s="259"/>
      <c r="H749" s="259"/>
      <c r="I749" s="259"/>
      <c r="J749" s="262"/>
      <c r="K749" s="259"/>
      <c r="L749" s="259"/>
      <c r="M749" s="259"/>
      <c r="N749" s="259"/>
      <c r="O749" s="259"/>
      <c r="P749" s="259"/>
      <c r="Q749" s="259"/>
      <c r="R749" s="259"/>
      <c r="S749" s="259"/>
      <c r="T749" s="259"/>
      <c r="U749" s="259"/>
      <c r="V749" s="259"/>
      <c r="W749" s="259"/>
      <c r="X749" s="259"/>
      <c r="Y749" s="259"/>
      <c r="Z749" s="259"/>
    </row>
    <row r="750" customFormat="false" ht="12" hidden="false" customHeight="true" outlineLevel="0" collapsed="false">
      <c r="A750" s="259"/>
      <c r="B750" s="259"/>
      <c r="C750" s="259"/>
      <c r="D750" s="259"/>
      <c r="E750" s="259"/>
      <c r="F750" s="261"/>
      <c r="G750" s="259"/>
      <c r="H750" s="259"/>
      <c r="I750" s="259"/>
      <c r="J750" s="262"/>
      <c r="K750" s="259"/>
      <c r="L750" s="259"/>
      <c r="M750" s="259"/>
      <c r="N750" s="259"/>
      <c r="O750" s="259"/>
      <c r="P750" s="259"/>
      <c r="Q750" s="259"/>
      <c r="R750" s="259"/>
      <c r="S750" s="259"/>
      <c r="T750" s="259"/>
      <c r="U750" s="259"/>
      <c r="V750" s="259"/>
      <c r="W750" s="259"/>
      <c r="X750" s="259"/>
      <c r="Y750" s="259"/>
      <c r="Z750" s="259"/>
    </row>
    <row r="751" customFormat="false" ht="12" hidden="false" customHeight="true" outlineLevel="0" collapsed="false">
      <c r="A751" s="259"/>
      <c r="B751" s="259"/>
      <c r="C751" s="259"/>
      <c r="D751" s="259"/>
      <c r="E751" s="259"/>
      <c r="F751" s="261"/>
      <c r="G751" s="259"/>
      <c r="H751" s="259"/>
      <c r="I751" s="259"/>
      <c r="J751" s="262"/>
      <c r="K751" s="259"/>
      <c r="L751" s="259"/>
      <c r="M751" s="259"/>
      <c r="N751" s="259"/>
      <c r="O751" s="259"/>
      <c r="P751" s="259"/>
      <c r="Q751" s="259"/>
      <c r="R751" s="259"/>
      <c r="S751" s="259"/>
      <c r="T751" s="259"/>
      <c r="U751" s="259"/>
      <c r="V751" s="259"/>
      <c r="W751" s="259"/>
      <c r="X751" s="259"/>
      <c r="Y751" s="259"/>
      <c r="Z751" s="259"/>
    </row>
    <row r="752" customFormat="false" ht="12" hidden="false" customHeight="true" outlineLevel="0" collapsed="false">
      <c r="A752" s="259"/>
      <c r="B752" s="259"/>
      <c r="C752" s="259"/>
      <c r="D752" s="259"/>
      <c r="E752" s="259"/>
      <c r="F752" s="261"/>
      <c r="G752" s="259"/>
      <c r="H752" s="259"/>
      <c r="I752" s="259"/>
      <c r="J752" s="262"/>
      <c r="K752" s="259"/>
      <c r="L752" s="259"/>
      <c r="M752" s="259"/>
      <c r="N752" s="259"/>
      <c r="O752" s="259"/>
      <c r="P752" s="259"/>
      <c r="Q752" s="259"/>
      <c r="R752" s="259"/>
      <c r="S752" s="259"/>
      <c r="T752" s="259"/>
      <c r="U752" s="259"/>
      <c r="V752" s="259"/>
      <c r="W752" s="259"/>
      <c r="X752" s="259"/>
      <c r="Y752" s="259"/>
      <c r="Z752" s="259"/>
    </row>
    <row r="753" customFormat="false" ht="12" hidden="false" customHeight="true" outlineLevel="0" collapsed="false">
      <c r="A753" s="259"/>
      <c r="B753" s="259"/>
      <c r="C753" s="259"/>
      <c r="D753" s="259"/>
      <c r="E753" s="259"/>
      <c r="F753" s="261"/>
      <c r="G753" s="259"/>
      <c r="H753" s="259"/>
      <c r="I753" s="259"/>
      <c r="J753" s="262"/>
      <c r="K753" s="259"/>
      <c r="L753" s="259"/>
      <c r="M753" s="259"/>
      <c r="N753" s="259"/>
      <c r="O753" s="259"/>
      <c r="P753" s="259"/>
      <c r="Q753" s="259"/>
      <c r="R753" s="259"/>
      <c r="S753" s="259"/>
      <c r="T753" s="259"/>
      <c r="U753" s="259"/>
      <c r="V753" s="259"/>
      <c r="W753" s="259"/>
      <c r="X753" s="259"/>
      <c r="Y753" s="259"/>
      <c r="Z753" s="259"/>
    </row>
    <row r="754" customFormat="false" ht="12" hidden="false" customHeight="true" outlineLevel="0" collapsed="false">
      <c r="A754" s="259"/>
      <c r="B754" s="259"/>
      <c r="C754" s="259"/>
      <c r="D754" s="259"/>
      <c r="E754" s="259"/>
      <c r="F754" s="261"/>
      <c r="G754" s="259"/>
      <c r="H754" s="259"/>
      <c r="I754" s="259"/>
      <c r="J754" s="262"/>
      <c r="K754" s="259"/>
      <c r="L754" s="259"/>
      <c r="M754" s="259"/>
      <c r="N754" s="259"/>
      <c r="O754" s="259"/>
      <c r="P754" s="259"/>
      <c r="Q754" s="259"/>
      <c r="R754" s="259"/>
      <c r="S754" s="259"/>
      <c r="T754" s="259"/>
      <c r="U754" s="259"/>
      <c r="V754" s="259"/>
      <c r="W754" s="259"/>
      <c r="X754" s="259"/>
      <c r="Y754" s="259"/>
      <c r="Z754" s="259"/>
    </row>
    <row r="755" customFormat="false" ht="12" hidden="false" customHeight="true" outlineLevel="0" collapsed="false">
      <c r="A755" s="259"/>
      <c r="B755" s="259"/>
      <c r="C755" s="259"/>
      <c r="D755" s="259"/>
      <c r="E755" s="259"/>
      <c r="F755" s="261"/>
      <c r="G755" s="259"/>
      <c r="H755" s="259"/>
      <c r="I755" s="259"/>
      <c r="J755" s="262"/>
      <c r="K755" s="259"/>
      <c r="L755" s="259"/>
      <c r="M755" s="259"/>
      <c r="N755" s="259"/>
      <c r="O755" s="259"/>
      <c r="P755" s="259"/>
      <c r="Q755" s="259"/>
      <c r="R755" s="259"/>
      <c r="S755" s="259"/>
      <c r="T755" s="259"/>
      <c r="U755" s="259"/>
      <c r="V755" s="259"/>
      <c r="W755" s="259"/>
      <c r="X755" s="259"/>
      <c r="Y755" s="259"/>
      <c r="Z755" s="259"/>
    </row>
    <row r="756" customFormat="false" ht="12" hidden="false" customHeight="true" outlineLevel="0" collapsed="false">
      <c r="A756" s="259"/>
      <c r="B756" s="259"/>
      <c r="C756" s="259"/>
      <c r="D756" s="259"/>
      <c r="E756" s="259"/>
      <c r="F756" s="261"/>
      <c r="G756" s="259"/>
      <c r="H756" s="259"/>
      <c r="I756" s="259"/>
      <c r="J756" s="262"/>
      <c r="K756" s="259"/>
      <c r="L756" s="259"/>
      <c r="M756" s="259"/>
      <c r="N756" s="259"/>
      <c r="O756" s="259"/>
      <c r="P756" s="259"/>
      <c r="Q756" s="259"/>
      <c r="R756" s="259"/>
      <c r="S756" s="259"/>
      <c r="T756" s="259"/>
      <c r="U756" s="259"/>
      <c r="V756" s="259"/>
      <c r="W756" s="259"/>
      <c r="X756" s="259"/>
      <c r="Y756" s="259"/>
      <c r="Z756" s="259"/>
    </row>
    <row r="757" customFormat="false" ht="12" hidden="false" customHeight="true" outlineLevel="0" collapsed="false">
      <c r="A757" s="259"/>
      <c r="B757" s="259"/>
      <c r="C757" s="259"/>
      <c r="D757" s="259"/>
      <c r="E757" s="259"/>
      <c r="F757" s="261"/>
      <c r="G757" s="259"/>
      <c r="H757" s="259"/>
      <c r="I757" s="259"/>
      <c r="J757" s="262"/>
      <c r="K757" s="259"/>
      <c r="L757" s="259"/>
      <c r="M757" s="259"/>
      <c r="N757" s="259"/>
      <c r="O757" s="259"/>
      <c r="P757" s="259"/>
      <c r="Q757" s="259"/>
      <c r="R757" s="259"/>
      <c r="S757" s="259"/>
      <c r="T757" s="259"/>
      <c r="U757" s="259"/>
      <c r="V757" s="259"/>
      <c r="W757" s="259"/>
      <c r="X757" s="259"/>
      <c r="Y757" s="259"/>
      <c r="Z757" s="259"/>
    </row>
    <row r="758" customFormat="false" ht="12" hidden="false" customHeight="true" outlineLevel="0" collapsed="false">
      <c r="A758" s="259"/>
      <c r="B758" s="259"/>
      <c r="C758" s="259"/>
      <c r="D758" s="259"/>
      <c r="E758" s="259"/>
      <c r="F758" s="261"/>
      <c r="G758" s="259"/>
      <c r="H758" s="259"/>
      <c r="I758" s="259"/>
      <c r="J758" s="262"/>
      <c r="K758" s="259"/>
      <c r="L758" s="259"/>
      <c r="M758" s="259"/>
      <c r="N758" s="259"/>
      <c r="O758" s="259"/>
      <c r="P758" s="259"/>
      <c r="Q758" s="259"/>
      <c r="R758" s="259"/>
      <c r="S758" s="259"/>
      <c r="T758" s="259"/>
      <c r="U758" s="259"/>
      <c r="V758" s="259"/>
      <c r="W758" s="259"/>
      <c r="X758" s="259"/>
      <c r="Y758" s="259"/>
      <c r="Z758" s="259"/>
    </row>
    <row r="759" customFormat="false" ht="12" hidden="false" customHeight="true" outlineLevel="0" collapsed="false">
      <c r="A759" s="259"/>
      <c r="B759" s="259"/>
      <c r="C759" s="259"/>
      <c r="D759" s="259"/>
      <c r="E759" s="259"/>
      <c r="F759" s="261"/>
      <c r="G759" s="259"/>
      <c r="H759" s="259"/>
      <c r="I759" s="259"/>
      <c r="J759" s="262"/>
      <c r="K759" s="259"/>
      <c r="L759" s="259"/>
      <c r="M759" s="259"/>
      <c r="N759" s="259"/>
      <c r="O759" s="259"/>
      <c r="P759" s="259"/>
      <c r="Q759" s="259"/>
      <c r="R759" s="259"/>
      <c r="S759" s="259"/>
      <c r="T759" s="259"/>
      <c r="U759" s="259"/>
      <c r="V759" s="259"/>
      <c r="W759" s="259"/>
      <c r="X759" s="259"/>
      <c r="Y759" s="259"/>
      <c r="Z759" s="259"/>
    </row>
    <row r="760" customFormat="false" ht="12" hidden="false" customHeight="true" outlineLevel="0" collapsed="false">
      <c r="A760" s="259"/>
      <c r="B760" s="259"/>
      <c r="C760" s="259"/>
      <c r="D760" s="259"/>
      <c r="E760" s="259"/>
      <c r="F760" s="261"/>
      <c r="G760" s="259"/>
      <c r="H760" s="259"/>
      <c r="I760" s="259"/>
      <c r="J760" s="262"/>
      <c r="K760" s="259"/>
      <c r="L760" s="259"/>
      <c r="M760" s="259"/>
      <c r="N760" s="259"/>
      <c r="O760" s="259"/>
      <c r="P760" s="259"/>
      <c r="Q760" s="259"/>
      <c r="R760" s="259"/>
      <c r="S760" s="259"/>
      <c r="T760" s="259"/>
      <c r="U760" s="259"/>
      <c r="V760" s="259"/>
      <c r="W760" s="259"/>
      <c r="X760" s="259"/>
      <c r="Y760" s="259"/>
      <c r="Z760" s="259"/>
    </row>
    <row r="761" customFormat="false" ht="12" hidden="false" customHeight="true" outlineLevel="0" collapsed="false">
      <c r="A761" s="259"/>
      <c r="B761" s="259"/>
      <c r="C761" s="259"/>
      <c r="D761" s="259"/>
      <c r="E761" s="259"/>
      <c r="F761" s="261"/>
      <c r="G761" s="259"/>
      <c r="H761" s="259"/>
      <c r="I761" s="259"/>
      <c r="J761" s="262"/>
      <c r="K761" s="259"/>
      <c r="L761" s="259"/>
      <c r="M761" s="259"/>
      <c r="N761" s="259"/>
      <c r="O761" s="259"/>
      <c r="P761" s="259"/>
      <c r="Q761" s="259"/>
      <c r="R761" s="259"/>
      <c r="S761" s="259"/>
      <c r="T761" s="259"/>
      <c r="U761" s="259"/>
      <c r="V761" s="259"/>
      <c r="W761" s="259"/>
      <c r="X761" s="259"/>
      <c r="Y761" s="259"/>
      <c r="Z761" s="259"/>
    </row>
    <row r="762" customFormat="false" ht="12" hidden="false" customHeight="true" outlineLevel="0" collapsed="false">
      <c r="A762" s="259"/>
      <c r="B762" s="259"/>
      <c r="C762" s="259"/>
      <c r="D762" s="259"/>
      <c r="E762" s="259"/>
      <c r="F762" s="261"/>
      <c r="G762" s="259"/>
      <c r="H762" s="259"/>
      <c r="I762" s="259"/>
      <c r="J762" s="262"/>
      <c r="K762" s="259"/>
      <c r="L762" s="259"/>
      <c r="M762" s="259"/>
      <c r="N762" s="259"/>
      <c r="O762" s="259"/>
      <c r="P762" s="259"/>
      <c r="Q762" s="259"/>
      <c r="R762" s="259"/>
      <c r="S762" s="259"/>
      <c r="T762" s="259"/>
      <c r="U762" s="259"/>
      <c r="V762" s="259"/>
      <c r="W762" s="259"/>
      <c r="X762" s="259"/>
      <c r="Y762" s="259"/>
      <c r="Z762" s="259"/>
    </row>
    <row r="763" customFormat="false" ht="12" hidden="false" customHeight="true" outlineLevel="0" collapsed="false">
      <c r="A763" s="259"/>
      <c r="B763" s="259"/>
      <c r="C763" s="259"/>
      <c r="D763" s="259"/>
      <c r="E763" s="259"/>
      <c r="F763" s="261"/>
      <c r="G763" s="259"/>
      <c r="H763" s="259"/>
      <c r="I763" s="259"/>
      <c r="J763" s="262"/>
      <c r="K763" s="259"/>
      <c r="L763" s="259"/>
      <c r="M763" s="259"/>
      <c r="N763" s="259"/>
      <c r="O763" s="259"/>
      <c r="P763" s="259"/>
      <c r="Q763" s="259"/>
      <c r="R763" s="259"/>
      <c r="S763" s="259"/>
      <c r="T763" s="259"/>
      <c r="U763" s="259"/>
      <c r="V763" s="259"/>
      <c r="W763" s="259"/>
      <c r="X763" s="259"/>
      <c r="Y763" s="259"/>
      <c r="Z763" s="259"/>
    </row>
    <row r="764" customFormat="false" ht="12" hidden="false" customHeight="true" outlineLevel="0" collapsed="false">
      <c r="A764" s="259"/>
      <c r="B764" s="259"/>
      <c r="C764" s="259"/>
      <c r="D764" s="259"/>
      <c r="E764" s="259"/>
      <c r="F764" s="261"/>
      <c r="G764" s="259"/>
      <c r="H764" s="259"/>
      <c r="I764" s="259"/>
      <c r="J764" s="262"/>
      <c r="K764" s="259"/>
      <c r="L764" s="259"/>
      <c r="M764" s="259"/>
      <c r="N764" s="259"/>
      <c r="O764" s="259"/>
      <c r="P764" s="259"/>
      <c r="Q764" s="259"/>
      <c r="R764" s="259"/>
      <c r="S764" s="259"/>
      <c r="T764" s="259"/>
      <c r="U764" s="259"/>
      <c r="V764" s="259"/>
      <c r="W764" s="259"/>
      <c r="X764" s="259"/>
      <c r="Y764" s="259"/>
      <c r="Z764" s="259"/>
    </row>
    <row r="765" customFormat="false" ht="12" hidden="false" customHeight="true" outlineLevel="0" collapsed="false">
      <c r="A765" s="259"/>
      <c r="B765" s="259"/>
      <c r="C765" s="259"/>
      <c r="D765" s="259"/>
      <c r="E765" s="259"/>
      <c r="F765" s="261"/>
      <c r="G765" s="259"/>
      <c r="H765" s="259"/>
      <c r="I765" s="259"/>
      <c r="J765" s="262"/>
      <c r="K765" s="259"/>
      <c r="L765" s="259"/>
      <c r="M765" s="259"/>
      <c r="N765" s="259"/>
      <c r="O765" s="259"/>
      <c r="P765" s="259"/>
      <c r="Q765" s="259"/>
      <c r="R765" s="259"/>
      <c r="S765" s="259"/>
      <c r="T765" s="259"/>
      <c r="U765" s="259"/>
      <c r="V765" s="259"/>
      <c r="W765" s="259"/>
      <c r="X765" s="259"/>
      <c r="Y765" s="259"/>
      <c r="Z765" s="259"/>
    </row>
    <row r="766" customFormat="false" ht="12" hidden="false" customHeight="true" outlineLevel="0" collapsed="false">
      <c r="A766" s="259"/>
      <c r="B766" s="259"/>
      <c r="C766" s="259"/>
      <c r="D766" s="259"/>
      <c r="E766" s="259"/>
      <c r="F766" s="261"/>
      <c r="G766" s="259"/>
      <c r="H766" s="259"/>
      <c r="I766" s="259"/>
      <c r="J766" s="262"/>
      <c r="K766" s="259"/>
      <c r="L766" s="259"/>
      <c r="M766" s="259"/>
      <c r="N766" s="259"/>
      <c r="O766" s="259"/>
      <c r="P766" s="259"/>
      <c r="Q766" s="259"/>
      <c r="R766" s="259"/>
      <c r="S766" s="259"/>
      <c r="T766" s="259"/>
      <c r="U766" s="259"/>
      <c r="V766" s="259"/>
      <c r="W766" s="259"/>
      <c r="X766" s="259"/>
      <c r="Y766" s="259"/>
      <c r="Z766" s="259"/>
    </row>
    <row r="767" customFormat="false" ht="12" hidden="false" customHeight="true" outlineLevel="0" collapsed="false">
      <c r="A767" s="259"/>
      <c r="B767" s="259"/>
      <c r="C767" s="259"/>
      <c r="D767" s="259"/>
      <c r="E767" s="259"/>
      <c r="F767" s="261"/>
      <c r="G767" s="259"/>
      <c r="H767" s="259"/>
      <c r="I767" s="259"/>
      <c r="J767" s="262"/>
      <c r="K767" s="259"/>
      <c r="L767" s="259"/>
      <c r="M767" s="259"/>
      <c r="N767" s="259"/>
      <c r="O767" s="259"/>
      <c r="P767" s="259"/>
      <c r="Q767" s="259"/>
      <c r="R767" s="259"/>
      <c r="S767" s="259"/>
      <c r="T767" s="259"/>
      <c r="U767" s="259"/>
      <c r="V767" s="259"/>
      <c r="W767" s="259"/>
      <c r="X767" s="259"/>
      <c r="Y767" s="259"/>
      <c r="Z767" s="259"/>
    </row>
    <row r="768" customFormat="false" ht="12" hidden="false" customHeight="true" outlineLevel="0" collapsed="false">
      <c r="A768" s="259"/>
      <c r="B768" s="259"/>
      <c r="C768" s="259"/>
      <c r="D768" s="259"/>
      <c r="E768" s="259"/>
      <c r="F768" s="261"/>
      <c r="G768" s="259"/>
      <c r="H768" s="259"/>
      <c r="I768" s="259"/>
      <c r="J768" s="262"/>
      <c r="K768" s="259"/>
      <c r="L768" s="259"/>
      <c r="M768" s="259"/>
      <c r="N768" s="259"/>
      <c r="O768" s="259"/>
      <c r="P768" s="259"/>
      <c r="Q768" s="259"/>
      <c r="R768" s="259"/>
      <c r="S768" s="259"/>
      <c r="T768" s="259"/>
      <c r="U768" s="259"/>
      <c r="V768" s="259"/>
      <c r="W768" s="259"/>
      <c r="X768" s="259"/>
      <c r="Y768" s="259"/>
      <c r="Z768" s="259"/>
    </row>
    <row r="769" customFormat="false" ht="12" hidden="false" customHeight="true" outlineLevel="0" collapsed="false">
      <c r="A769" s="259"/>
      <c r="B769" s="259"/>
      <c r="C769" s="259"/>
      <c r="D769" s="259"/>
      <c r="E769" s="259"/>
      <c r="F769" s="261"/>
      <c r="G769" s="259"/>
      <c r="H769" s="259"/>
      <c r="I769" s="259"/>
      <c r="J769" s="262"/>
      <c r="K769" s="259"/>
      <c r="L769" s="259"/>
      <c r="M769" s="259"/>
      <c r="N769" s="259"/>
      <c r="O769" s="259"/>
      <c r="P769" s="259"/>
      <c r="Q769" s="259"/>
      <c r="R769" s="259"/>
      <c r="S769" s="259"/>
      <c r="T769" s="259"/>
      <c r="U769" s="259"/>
      <c r="V769" s="259"/>
      <c r="W769" s="259"/>
      <c r="X769" s="259"/>
      <c r="Y769" s="259"/>
      <c r="Z769" s="259"/>
    </row>
    <row r="770" customFormat="false" ht="12" hidden="false" customHeight="true" outlineLevel="0" collapsed="false">
      <c r="A770" s="259"/>
      <c r="B770" s="259"/>
      <c r="C770" s="259"/>
      <c r="D770" s="259"/>
      <c r="E770" s="259"/>
      <c r="F770" s="261"/>
      <c r="G770" s="259"/>
      <c r="H770" s="259"/>
      <c r="I770" s="259"/>
      <c r="J770" s="262"/>
      <c r="K770" s="259"/>
      <c r="L770" s="259"/>
      <c r="M770" s="259"/>
      <c r="N770" s="259"/>
      <c r="O770" s="259"/>
      <c r="P770" s="259"/>
      <c r="Q770" s="259"/>
      <c r="R770" s="259"/>
      <c r="S770" s="259"/>
      <c r="T770" s="259"/>
      <c r="U770" s="259"/>
      <c r="V770" s="259"/>
      <c r="W770" s="259"/>
      <c r="X770" s="259"/>
      <c r="Y770" s="259"/>
      <c r="Z770" s="259"/>
    </row>
    <row r="771" customFormat="false" ht="12" hidden="false" customHeight="true" outlineLevel="0" collapsed="false">
      <c r="A771" s="259"/>
      <c r="B771" s="259"/>
      <c r="C771" s="259"/>
      <c r="D771" s="259"/>
      <c r="E771" s="259"/>
      <c r="F771" s="261"/>
      <c r="G771" s="259"/>
      <c r="H771" s="259"/>
      <c r="I771" s="259"/>
      <c r="J771" s="262"/>
      <c r="K771" s="259"/>
      <c r="L771" s="259"/>
      <c r="M771" s="259"/>
      <c r="N771" s="259"/>
      <c r="O771" s="259"/>
      <c r="P771" s="259"/>
      <c r="Q771" s="259"/>
      <c r="R771" s="259"/>
      <c r="S771" s="259"/>
      <c r="T771" s="259"/>
      <c r="U771" s="259"/>
      <c r="V771" s="259"/>
      <c r="W771" s="259"/>
      <c r="X771" s="259"/>
      <c r="Y771" s="259"/>
      <c r="Z771" s="259"/>
    </row>
    <row r="772" customFormat="false" ht="12" hidden="false" customHeight="true" outlineLevel="0" collapsed="false">
      <c r="A772" s="259"/>
      <c r="B772" s="259"/>
      <c r="C772" s="259"/>
      <c r="D772" s="259"/>
      <c r="E772" s="259"/>
      <c r="F772" s="261"/>
      <c r="G772" s="259"/>
      <c r="H772" s="259"/>
      <c r="I772" s="259"/>
      <c r="J772" s="262"/>
      <c r="K772" s="259"/>
      <c r="L772" s="259"/>
      <c r="M772" s="259"/>
      <c r="N772" s="259"/>
      <c r="O772" s="259"/>
      <c r="P772" s="259"/>
      <c r="Q772" s="259"/>
      <c r="R772" s="259"/>
      <c r="S772" s="259"/>
      <c r="T772" s="259"/>
      <c r="U772" s="259"/>
      <c r="V772" s="259"/>
      <c r="W772" s="259"/>
      <c r="X772" s="259"/>
      <c r="Y772" s="259"/>
      <c r="Z772" s="259"/>
    </row>
    <row r="773" customFormat="false" ht="12" hidden="false" customHeight="true" outlineLevel="0" collapsed="false">
      <c r="A773" s="259"/>
      <c r="B773" s="259"/>
      <c r="C773" s="259"/>
      <c r="D773" s="259"/>
      <c r="E773" s="259"/>
      <c r="F773" s="261"/>
      <c r="G773" s="259"/>
      <c r="H773" s="259"/>
      <c r="I773" s="259"/>
      <c r="J773" s="262"/>
      <c r="K773" s="259"/>
      <c r="L773" s="259"/>
      <c r="M773" s="259"/>
      <c r="N773" s="259"/>
      <c r="O773" s="259"/>
      <c r="P773" s="259"/>
      <c r="Q773" s="259"/>
      <c r="R773" s="259"/>
      <c r="S773" s="259"/>
      <c r="T773" s="259"/>
      <c r="U773" s="259"/>
      <c r="V773" s="259"/>
      <c r="W773" s="259"/>
      <c r="X773" s="259"/>
      <c r="Y773" s="259"/>
      <c r="Z773" s="259"/>
    </row>
    <row r="774" customFormat="false" ht="12" hidden="false" customHeight="true" outlineLevel="0" collapsed="false">
      <c r="A774" s="259"/>
      <c r="B774" s="259"/>
      <c r="C774" s="259"/>
      <c r="D774" s="259"/>
      <c r="E774" s="259"/>
      <c r="F774" s="261"/>
      <c r="G774" s="259"/>
      <c r="H774" s="259"/>
      <c r="I774" s="259"/>
      <c r="J774" s="262"/>
      <c r="K774" s="259"/>
      <c r="L774" s="259"/>
      <c r="M774" s="259"/>
      <c r="N774" s="259"/>
      <c r="O774" s="259"/>
      <c r="P774" s="259"/>
      <c r="Q774" s="259"/>
      <c r="R774" s="259"/>
      <c r="S774" s="259"/>
      <c r="T774" s="259"/>
      <c r="U774" s="259"/>
      <c r="V774" s="259"/>
      <c r="W774" s="259"/>
      <c r="X774" s="259"/>
      <c r="Y774" s="259"/>
      <c r="Z774" s="259"/>
    </row>
    <row r="775" customFormat="false" ht="12" hidden="false" customHeight="true" outlineLevel="0" collapsed="false">
      <c r="A775" s="259"/>
      <c r="B775" s="259"/>
      <c r="C775" s="259"/>
      <c r="D775" s="259"/>
      <c r="E775" s="259"/>
      <c r="F775" s="261"/>
      <c r="G775" s="259"/>
      <c r="H775" s="259"/>
      <c r="I775" s="259"/>
      <c r="J775" s="262"/>
      <c r="K775" s="259"/>
      <c r="L775" s="259"/>
      <c r="M775" s="259"/>
      <c r="N775" s="259"/>
      <c r="O775" s="259"/>
      <c r="P775" s="259"/>
      <c r="Q775" s="259"/>
      <c r="R775" s="259"/>
      <c r="S775" s="259"/>
      <c r="T775" s="259"/>
      <c r="U775" s="259"/>
      <c r="V775" s="259"/>
      <c r="W775" s="259"/>
      <c r="X775" s="259"/>
      <c r="Y775" s="259"/>
      <c r="Z775" s="259"/>
    </row>
    <row r="776" customFormat="false" ht="12" hidden="false" customHeight="true" outlineLevel="0" collapsed="false">
      <c r="A776" s="259"/>
      <c r="B776" s="259"/>
      <c r="C776" s="259"/>
      <c r="D776" s="259"/>
      <c r="E776" s="259"/>
      <c r="F776" s="261"/>
      <c r="G776" s="259"/>
      <c r="H776" s="259"/>
      <c r="I776" s="259"/>
      <c r="J776" s="262"/>
      <c r="K776" s="259"/>
      <c r="L776" s="259"/>
      <c r="M776" s="259"/>
      <c r="N776" s="259"/>
      <c r="O776" s="259"/>
      <c r="P776" s="259"/>
      <c r="Q776" s="259"/>
      <c r="R776" s="259"/>
      <c r="S776" s="259"/>
      <c r="T776" s="259"/>
      <c r="U776" s="259"/>
      <c r="V776" s="259"/>
      <c r="W776" s="259"/>
      <c r="X776" s="259"/>
      <c r="Y776" s="259"/>
      <c r="Z776" s="259"/>
    </row>
    <row r="777" customFormat="false" ht="12" hidden="false" customHeight="true" outlineLevel="0" collapsed="false">
      <c r="A777" s="259"/>
      <c r="B777" s="259"/>
      <c r="C777" s="259"/>
      <c r="D777" s="259"/>
      <c r="E777" s="259"/>
      <c r="F777" s="261"/>
      <c r="G777" s="259"/>
      <c r="H777" s="259"/>
      <c r="I777" s="259"/>
      <c r="J777" s="262"/>
      <c r="K777" s="259"/>
      <c r="L777" s="259"/>
      <c r="M777" s="259"/>
      <c r="N777" s="259"/>
      <c r="O777" s="259"/>
      <c r="P777" s="259"/>
      <c r="Q777" s="259"/>
      <c r="R777" s="259"/>
      <c r="S777" s="259"/>
      <c r="T777" s="259"/>
      <c r="U777" s="259"/>
      <c r="V777" s="259"/>
      <c r="W777" s="259"/>
      <c r="X777" s="259"/>
      <c r="Y777" s="259"/>
      <c r="Z777" s="259"/>
    </row>
    <row r="778" customFormat="false" ht="12" hidden="false" customHeight="true" outlineLevel="0" collapsed="false">
      <c r="A778" s="259"/>
      <c r="B778" s="259"/>
      <c r="C778" s="259"/>
      <c r="D778" s="259"/>
      <c r="E778" s="259"/>
      <c r="F778" s="261"/>
      <c r="G778" s="259"/>
      <c r="H778" s="259"/>
      <c r="I778" s="259"/>
      <c r="J778" s="262"/>
      <c r="K778" s="259"/>
      <c r="L778" s="259"/>
      <c r="M778" s="259"/>
      <c r="N778" s="259"/>
      <c r="O778" s="259"/>
      <c r="P778" s="259"/>
      <c r="Q778" s="259"/>
      <c r="R778" s="259"/>
      <c r="S778" s="259"/>
      <c r="T778" s="259"/>
      <c r="U778" s="259"/>
      <c r="V778" s="259"/>
      <c r="W778" s="259"/>
      <c r="X778" s="259"/>
      <c r="Y778" s="259"/>
      <c r="Z778" s="259"/>
    </row>
    <row r="779" customFormat="false" ht="12" hidden="false" customHeight="true" outlineLevel="0" collapsed="false">
      <c r="A779" s="259"/>
      <c r="B779" s="259"/>
      <c r="C779" s="259"/>
      <c r="D779" s="259"/>
      <c r="E779" s="259"/>
      <c r="F779" s="261"/>
      <c r="G779" s="259"/>
      <c r="H779" s="259"/>
      <c r="I779" s="259"/>
      <c r="J779" s="262"/>
      <c r="K779" s="259"/>
      <c r="L779" s="259"/>
      <c r="M779" s="259"/>
      <c r="N779" s="259"/>
      <c r="O779" s="259"/>
      <c r="P779" s="259"/>
      <c r="Q779" s="259"/>
      <c r="R779" s="259"/>
      <c r="S779" s="259"/>
      <c r="T779" s="259"/>
      <c r="U779" s="259"/>
      <c r="V779" s="259"/>
      <c r="W779" s="259"/>
      <c r="X779" s="259"/>
      <c r="Y779" s="259"/>
      <c r="Z779" s="259"/>
    </row>
    <row r="780" customFormat="false" ht="12" hidden="false" customHeight="true" outlineLevel="0" collapsed="false">
      <c r="A780" s="259"/>
      <c r="B780" s="259"/>
      <c r="C780" s="259"/>
      <c r="D780" s="259"/>
      <c r="E780" s="259"/>
      <c r="F780" s="261"/>
      <c r="G780" s="259"/>
      <c r="H780" s="259"/>
      <c r="I780" s="259"/>
      <c r="J780" s="262"/>
      <c r="K780" s="259"/>
      <c r="L780" s="259"/>
      <c r="M780" s="259"/>
      <c r="N780" s="259"/>
      <c r="O780" s="259"/>
      <c r="P780" s="259"/>
      <c r="Q780" s="259"/>
      <c r="R780" s="259"/>
      <c r="S780" s="259"/>
      <c r="T780" s="259"/>
      <c r="U780" s="259"/>
      <c r="V780" s="259"/>
      <c r="W780" s="259"/>
      <c r="X780" s="259"/>
      <c r="Y780" s="259"/>
      <c r="Z780" s="259"/>
    </row>
    <row r="781" customFormat="false" ht="12" hidden="false" customHeight="true" outlineLevel="0" collapsed="false">
      <c r="A781" s="259"/>
      <c r="B781" s="259"/>
      <c r="C781" s="259"/>
      <c r="D781" s="259"/>
      <c r="E781" s="259"/>
      <c r="F781" s="261"/>
      <c r="G781" s="259"/>
      <c r="H781" s="259"/>
      <c r="I781" s="259"/>
      <c r="J781" s="262"/>
      <c r="K781" s="259"/>
      <c r="L781" s="259"/>
      <c r="M781" s="259"/>
      <c r="N781" s="259"/>
      <c r="O781" s="259"/>
      <c r="P781" s="259"/>
      <c r="Q781" s="259"/>
      <c r="R781" s="259"/>
      <c r="S781" s="259"/>
      <c r="T781" s="259"/>
      <c r="U781" s="259"/>
      <c r="V781" s="259"/>
      <c r="W781" s="259"/>
      <c r="X781" s="259"/>
      <c r="Y781" s="259"/>
      <c r="Z781" s="259"/>
    </row>
    <row r="782" customFormat="false" ht="12" hidden="false" customHeight="true" outlineLevel="0" collapsed="false">
      <c r="A782" s="259"/>
      <c r="B782" s="259"/>
      <c r="C782" s="259"/>
      <c r="D782" s="259"/>
      <c r="E782" s="259"/>
      <c r="F782" s="261"/>
      <c r="G782" s="259"/>
      <c r="H782" s="259"/>
      <c r="I782" s="259"/>
      <c r="J782" s="262"/>
      <c r="K782" s="259"/>
      <c r="L782" s="259"/>
      <c r="M782" s="259"/>
      <c r="N782" s="259"/>
      <c r="O782" s="259"/>
      <c r="P782" s="259"/>
      <c r="Q782" s="259"/>
      <c r="R782" s="259"/>
      <c r="S782" s="259"/>
      <c r="T782" s="259"/>
      <c r="U782" s="259"/>
      <c r="V782" s="259"/>
      <c r="W782" s="259"/>
      <c r="X782" s="259"/>
      <c r="Y782" s="259"/>
      <c r="Z782" s="259"/>
    </row>
    <row r="783" customFormat="false" ht="12" hidden="false" customHeight="true" outlineLevel="0" collapsed="false">
      <c r="A783" s="259"/>
      <c r="B783" s="259"/>
      <c r="C783" s="259"/>
      <c r="D783" s="259"/>
      <c r="E783" s="259"/>
      <c r="F783" s="261"/>
      <c r="G783" s="259"/>
      <c r="H783" s="259"/>
      <c r="I783" s="259"/>
      <c r="J783" s="262"/>
      <c r="K783" s="259"/>
      <c r="L783" s="259"/>
      <c r="M783" s="259"/>
      <c r="N783" s="259"/>
      <c r="O783" s="259"/>
      <c r="P783" s="259"/>
      <c r="Q783" s="259"/>
      <c r="R783" s="259"/>
      <c r="S783" s="259"/>
      <c r="T783" s="259"/>
      <c r="U783" s="259"/>
      <c r="V783" s="259"/>
      <c r="W783" s="259"/>
      <c r="X783" s="259"/>
      <c r="Y783" s="259"/>
      <c r="Z783" s="259"/>
    </row>
    <row r="784" customFormat="false" ht="12" hidden="false" customHeight="true" outlineLevel="0" collapsed="false">
      <c r="A784" s="259"/>
      <c r="B784" s="259"/>
      <c r="C784" s="259"/>
      <c r="D784" s="259"/>
      <c r="E784" s="259"/>
      <c r="F784" s="261"/>
      <c r="G784" s="259"/>
      <c r="H784" s="259"/>
      <c r="I784" s="259"/>
      <c r="J784" s="262"/>
      <c r="K784" s="259"/>
      <c r="L784" s="259"/>
      <c r="M784" s="259"/>
      <c r="N784" s="259"/>
      <c r="O784" s="259"/>
      <c r="P784" s="259"/>
      <c r="Q784" s="259"/>
      <c r="R784" s="259"/>
      <c r="S784" s="259"/>
      <c r="T784" s="259"/>
      <c r="U784" s="259"/>
      <c r="V784" s="259"/>
      <c r="W784" s="259"/>
      <c r="X784" s="259"/>
      <c r="Y784" s="259"/>
      <c r="Z784" s="259"/>
    </row>
    <row r="785" customFormat="false" ht="12" hidden="false" customHeight="true" outlineLevel="0" collapsed="false">
      <c r="A785" s="259"/>
      <c r="B785" s="259"/>
      <c r="C785" s="259"/>
      <c r="D785" s="259"/>
      <c r="E785" s="259"/>
      <c r="F785" s="261"/>
      <c r="G785" s="259"/>
      <c r="H785" s="259"/>
      <c r="I785" s="259"/>
      <c r="J785" s="262"/>
      <c r="K785" s="259"/>
      <c r="L785" s="259"/>
      <c r="M785" s="259"/>
      <c r="N785" s="259"/>
      <c r="O785" s="259"/>
      <c r="P785" s="259"/>
      <c r="Q785" s="259"/>
      <c r="R785" s="259"/>
      <c r="S785" s="259"/>
      <c r="T785" s="259"/>
      <c r="U785" s="259"/>
      <c r="V785" s="259"/>
      <c r="W785" s="259"/>
      <c r="X785" s="259"/>
      <c r="Y785" s="259"/>
      <c r="Z785" s="259"/>
    </row>
    <row r="786" customFormat="false" ht="12" hidden="false" customHeight="true" outlineLevel="0" collapsed="false">
      <c r="A786" s="259"/>
      <c r="B786" s="259"/>
      <c r="C786" s="259"/>
      <c r="D786" s="259"/>
      <c r="E786" s="259"/>
      <c r="F786" s="261"/>
      <c r="G786" s="259"/>
      <c r="H786" s="259"/>
      <c r="I786" s="259"/>
      <c r="J786" s="262"/>
      <c r="K786" s="259"/>
      <c r="L786" s="259"/>
      <c r="M786" s="259"/>
      <c r="N786" s="259"/>
      <c r="O786" s="259"/>
      <c r="P786" s="259"/>
      <c r="Q786" s="259"/>
      <c r="R786" s="259"/>
      <c r="S786" s="259"/>
      <c r="T786" s="259"/>
      <c r="U786" s="259"/>
      <c r="V786" s="259"/>
      <c r="W786" s="259"/>
      <c r="X786" s="259"/>
      <c r="Y786" s="259"/>
      <c r="Z786" s="259"/>
    </row>
    <row r="787" customFormat="false" ht="12" hidden="false" customHeight="true" outlineLevel="0" collapsed="false">
      <c r="A787" s="259"/>
      <c r="B787" s="259"/>
      <c r="C787" s="259"/>
      <c r="D787" s="259"/>
      <c r="E787" s="259"/>
      <c r="F787" s="261"/>
      <c r="G787" s="259"/>
      <c r="H787" s="259"/>
      <c r="I787" s="259"/>
      <c r="J787" s="262"/>
      <c r="K787" s="259"/>
      <c r="L787" s="259"/>
      <c r="M787" s="259"/>
      <c r="N787" s="259"/>
      <c r="O787" s="259"/>
      <c r="P787" s="259"/>
      <c r="Q787" s="259"/>
      <c r="R787" s="259"/>
      <c r="S787" s="259"/>
      <c r="T787" s="259"/>
      <c r="U787" s="259"/>
      <c r="V787" s="259"/>
      <c r="W787" s="259"/>
      <c r="X787" s="259"/>
      <c r="Y787" s="259"/>
      <c r="Z787" s="259"/>
    </row>
    <row r="788" customFormat="false" ht="12" hidden="false" customHeight="true" outlineLevel="0" collapsed="false">
      <c r="A788" s="259"/>
      <c r="B788" s="259"/>
      <c r="C788" s="259"/>
      <c r="D788" s="259"/>
      <c r="E788" s="259"/>
      <c r="F788" s="261"/>
      <c r="G788" s="259"/>
      <c r="H788" s="259"/>
      <c r="I788" s="259"/>
      <c r="J788" s="262"/>
      <c r="K788" s="259"/>
      <c r="L788" s="259"/>
      <c r="M788" s="259"/>
      <c r="N788" s="259"/>
      <c r="O788" s="259"/>
      <c r="P788" s="259"/>
      <c r="Q788" s="259"/>
      <c r="R788" s="259"/>
      <c r="S788" s="259"/>
      <c r="T788" s="259"/>
      <c r="U788" s="259"/>
      <c r="V788" s="259"/>
      <c r="W788" s="259"/>
      <c r="X788" s="259"/>
      <c r="Y788" s="259"/>
      <c r="Z788" s="259"/>
    </row>
    <row r="789" customFormat="false" ht="12" hidden="false" customHeight="true" outlineLevel="0" collapsed="false">
      <c r="A789" s="259"/>
      <c r="B789" s="259"/>
      <c r="C789" s="259"/>
      <c r="D789" s="259"/>
      <c r="E789" s="259"/>
      <c r="F789" s="261"/>
      <c r="G789" s="259"/>
      <c r="H789" s="259"/>
      <c r="I789" s="259"/>
      <c r="J789" s="262"/>
      <c r="K789" s="259"/>
      <c r="L789" s="259"/>
      <c r="M789" s="259"/>
      <c r="N789" s="259"/>
      <c r="O789" s="259"/>
      <c r="P789" s="259"/>
      <c r="Q789" s="259"/>
      <c r="R789" s="259"/>
      <c r="S789" s="259"/>
      <c r="T789" s="259"/>
      <c r="U789" s="259"/>
      <c r="V789" s="259"/>
      <c r="W789" s="259"/>
      <c r="X789" s="259"/>
      <c r="Y789" s="259"/>
      <c r="Z789" s="259"/>
    </row>
    <row r="790" customFormat="false" ht="12" hidden="false" customHeight="true" outlineLevel="0" collapsed="false">
      <c r="A790" s="259"/>
      <c r="B790" s="259"/>
      <c r="C790" s="259"/>
      <c r="D790" s="259"/>
      <c r="E790" s="259"/>
      <c r="F790" s="261"/>
      <c r="G790" s="259"/>
      <c r="H790" s="259"/>
      <c r="I790" s="259"/>
      <c r="J790" s="262"/>
      <c r="K790" s="259"/>
      <c r="L790" s="259"/>
      <c r="M790" s="259"/>
      <c r="N790" s="259"/>
      <c r="O790" s="259"/>
      <c r="P790" s="259"/>
      <c r="Q790" s="259"/>
      <c r="R790" s="259"/>
      <c r="S790" s="259"/>
      <c r="T790" s="259"/>
      <c r="U790" s="259"/>
      <c r="V790" s="259"/>
      <c r="W790" s="259"/>
      <c r="X790" s="259"/>
      <c r="Y790" s="259"/>
      <c r="Z790" s="259"/>
    </row>
    <row r="791" customFormat="false" ht="12" hidden="false" customHeight="true" outlineLevel="0" collapsed="false">
      <c r="A791" s="259"/>
      <c r="B791" s="259"/>
      <c r="C791" s="259"/>
      <c r="D791" s="259"/>
      <c r="E791" s="259"/>
      <c r="F791" s="261"/>
      <c r="G791" s="259"/>
      <c r="H791" s="259"/>
      <c r="I791" s="259"/>
      <c r="J791" s="262"/>
      <c r="K791" s="259"/>
      <c r="L791" s="259"/>
      <c r="M791" s="259"/>
      <c r="N791" s="259"/>
      <c r="O791" s="259"/>
      <c r="P791" s="259"/>
      <c r="Q791" s="259"/>
      <c r="R791" s="259"/>
      <c r="S791" s="259"/>
      <c r="T791" s="259"/>
      <c r="U791" s="259"/>
      <c r="V791" s="259"/>
      <c r="W791" s="259"/>
      <c r="X791" s="259"/>
      <c r="Y791" s="259"/>
      <c r="Z791" s="259"/>
    </row>
    <row r="792" customFormat="false" ht="12" hidden="false" customHeight="true" outlineLevel="0" collapsed="false">
      <c r="A792" s="259"/>
      <c r="B792" s="259"/>
      <c r="C792" s="259"/>
      <c r="D792" s="259"/>
      <c r="E792" s="259"/>
      <c r="F792" s="261"/>
      <c r="G792" s="259"/>
      <c r="H792" s="259"/>
      <c r="I792" s="259"/>
      <c r="J792" s="262"/>
      <c r="K792" s="259"/>
      <c r="L792" s="259"/>
      <c r="M792" s="259"/>
      <c r="N792" s="259"/>
      <c r="O792" s="259"/>
      <c r="P792" s="259"/>
      <c r="Q792" s="259"/>
      <c r="R792" s="259"/>
      <c r="S792" s="259"/>
      <c r="T792" s="259"/>
      <c r="U792" s="259"/>
      <c r="V792" s="259"/>
      <c r="W792" s="259"/>
      <c r="X792" s="259"/>
      <c r="Y792" s="259"/>
      <c r="Z792" s="259"/>
    </row>
    <row r="793" customFormat="false" ht="12" hidden="false" customHeight="true" outlineLevel="0" collapsed="false">
      <c r="A793" s="259"/>
      <c r="B793" s="259"/>
      <c r="C793" s="259"/>
      <c r="D793" s="259"/>
      <c r="E793" s="259"/>
      <c r="F793" s="261"/>
      <c r="G793" s="259"/>
      <c r="H793" s="259"/>
      <c r="I793" s="259"/>
      <c r="J793" s="262"/>
      <c r="K793" s="259"/>
      <c r="L793" s="259"/>
      <c r="M793" s="259"/>
      <c r="N793" s="259"/>
      <c r="O793" s="259"/>
      <c r="P793" s="259"/>
      <c r="Q793" s="259"/>
      <c r="R793" s="259"/>
      <c r="S793" s="259"/>
      <c r="T793" s="259"/>
      <c r="U793" s="259"/>
      <c r="V793" s="259"/>
      <c r="W793" s="259"/>
      <c r="X793" s="259"/>
      <c r="Y793" s="259"/>
      <c r="Z793" s="259"/>
    </row>
    <row r="794" customFormat="false" ht="12" hidden="false" customHeight="true" outlineLevel="0" collapsed="false">
      <c r="A794" s="259"/>
      <c r="B794" s="259"/>
      <c r="C794" s="259"/>
      <c r="D794" s="259"/>
      <c r="E794" s="259"/>
      <c r="F794" s="261"/>
      <c r="G794" s="259"/>
      <c r="H794" s="259"/>
      <c r="I794" s="259"/>
      <c r="J794" s="262"/>
      <c r="K794" s="259"/>
      <c r="L794" s="259"/>
      <c r="M794" s="259"/>
      <c r="N794" s="259"/>
      <c r="O794" s="259"/>
      <c r="P794" s="259"/>
      <c r="Q794" s="259"/>
      <c r="R794" s="259"/>
      <c r="S794" s="259"/>
      <c r="T794" s="259"/>
      <c r="U794" s="259"/>
      <c r="V794" s="259"/>
      <c r="W794" s="259"/>
      <c r="X794" s="259"/>
      <c r="Y794" s="259"/>
      <c r="Z794" s="259"/>
    </row>
    <row r="795" customFormat="false" ht="12" hidden="false" customHeight="true" outlineLevel="0" collapsed="false">
      <c r="A795" s="259"/>
      <c r="B795" s="259"/>
      <c r="C795" s="259"/>
      <c r="D795" s="259"/>
      <c r="E795" s="259"/>
      <c r="F795" s="261"/>
      <c r="G795" s="259"/>
      <c r="H795" s="259"/>
      <c r="I795" s="259"/>
      <c r="J795" s="262"/>
      <c r="K795" s="259"/>
      <c r="L795" s="259"/>
      <c r="M795" s="259"/>
      <c r="N795" s="259"/>
      <c r="O795" s="259"/>
      <c r="P795" s="259"/>
      <c r="Q795" s="259"/>
      <c r="R795" s="259"/>
      <c r="S795" s="259"/>
      <c r="T795" s="259"/>
      <c r="U795" s="259"/>
      <c r="V795" s="259"/>
      <c r="W795" s="259"/>
      <c r="X795" s="259"/>
      <c r="Y795" s="259"/>
      <c r="Z795" s="259"/>
    </row>
    <row r="796" customFormat="false" ht="12" hidden="false" customHeight="true" outlineLevel="0" collapsed="false">
      <c r="A796" s="259"/>
      <c r="B796" s="259"/>
      <c r="C796" s="259"/>
      <c r="D796" s="259"/>
      <c r="E796" s="259"/>
      <c r="F796" s="261"/>
      <c r="G796" s="259"/>
      <c r="H796" s="259"/>
      <c r="I796" s="259"/>
      <c r="J796" s="262"/>
      <c r="K796" s="259"/>
      <c r="L796" s="259"/>
      <c r="M796" s="259"/>
      <c r="N796" s="259"/>
      <c r="O796" s="259"/>
      <c r="P796" s="259"/>
      <c r="Q796" s="259"/>
      <c r="R796" s="259"/>
      <c r="S796" s="259"/>
      <c r="T796" s="259"/>
      <c r="U796" s="259"/>
      <c r="V796" s="259"/>
      <c r="W796" s="259"/>
      <c r="X796" s="259"/>
      <c r="Y796" s="259"/>
      <c r="Z796" s="259"/>
    </row>
    <row r="797" customFormat="false" ht="12" hidden="false" customHeight="true" outlineLevel="0" collapsed="false">
      <c r="A797" s="259"/>
      <c r="B797" s="259"/>
      <c r="C797" s="259"/>
      <c r="D797" s="259"/>
      <c r="E797" s="259"/>
      <c r="F797" s="261"/>
      <c r="G797" s="259"/>
      <c r="H797" s="259"/>
      <c r="I797" s="259"/>
      <c r="J797" s="262"/>
      <c r="K797" s="259"/>
      <c r="L797" s="259"/>
      <c r="M797" s="259"/>
      <c r="N797" s="259"/>
      <c r="O797" s="259"/>
      <c r="P797" s="259"/>
      <c r="Q797" s="259"/>
      <c r="R797" s="259"/>
      <c r="S797" s="259"/>
      <c r="T797" s="259"/>
      <c r="U797" s="259"/>
      <c r="V797" s="259"/>
      <c r="W797" s="259"/>
      <c r="X797" s="259"/>
      <c r="Y797" s="259"/>
      <c r="Z797" s="259"/>
    </row>
    <row r="798" customFormat="false" ht="12" hidden="false" customHeight="true" outlineLevel="0" collapsed="false">
      <c r="A798" s="259"/>
      <c r="B798" s="259"/>
      <c r="C798" s="259"/>
      <c r="D798" s="259"/>
      <c r="E798" s="259"/>
      <c r="F798" s="261"/>
      <c r="G798" s="259"/>
      <c r="H798" s="259"/>
      <c r="I798" s="259"/>
      <c r="J798" s="262"/>
      <c r="K798" s="259"/>
      <c r="L798" s="259"/>
      <c r="M798" s="259"/>
      <c r="N798" s="259"/>
      <c r="O798" s="259"/>
      <c r="P798" s="259"/>
      <c r="Q798" s="259"/>
      <c r="R798" s="259"/>
      <c r="S798" s="259"/>
      <c r="T798" s="259"/>
      <c r="U798" s="259"/>
      <c r="V798" s="259"/>
      <c r="W798" s="259"/>
      <c r="X798" s="259"/>
      <c r="Y798" s="259"/>
      <c r="Z798" s="259"/>
    </row>
    <row r="799" customFormat="false" ht="12" hidden="false" customHeight="true" outlineLevel="0" collapsed="false">
      <c r="A799" s="259"/>
      <c r="B799" s="259"/>
      <c r="C799" s="259"/>
      <c r="D799" s="259"/>
      <c r="E799" s="259"/>
      <c r="F799" s="261"/>
      <c r="G799" s="259"/>
      <c r="H799" s="259"/>
      <c r="I799" s="259"/>
      <c r="J799" s="262"/>
      <c r="K799" s="259"/>
      <c r="L799" s="259"/>
      <c r="M799" s="259"/>
      <c r="N799" s="259"/>
      <c r="O799" s="259"/>
      <c r="P799" s="259"/>
      <c r="Q799" s="259"/>
      <c r="R799" s="259"/>
      <c r="S799" s="259"/>
      <c r="T799" s="259"/>
      <c r="U799" s="259"/>
      <c r="V799" s="259"/>
      <c r="W799" s="259"/>
      <c r="X799" s="259"/>
      <c r="Y799" s="259"/>
      <c r="Z799" s="259"/>
    </row>
    <row r="800" customFormat="false" ht="12" hidden="false" customHeight="true" outlineLevel="0" collapsed="false">
      <c r="A800" s="259"/>
      <c r="B800" s="259"/>
      <c r="C800" s="259"/>
      <c r="D800" s="259"/>
      <c r="E800" s="259"/>
      <c r="F800" s="261"/>
      <c r="G800" s="259"/>
      <c r="H800" s="259"/>
      <c r="I800" s="259"/>
      <c r="J800" s="262"/>
      <c r="K800" s="259"/>
      <c r="L800" s="259"/>
      <c r="M800" s="259"/>
      <c r="N800" s="259"/>
      <c r="O800" s="259"/>
      <c r="P800" s="259"/>
      <c r="Q800" s="259"/>
      <c r="R800" s="259"/>
      <c r="S800" s="259"/>
      <c r="T800" s="259"/>
      <c r="U800" s="259"/>
      <c r="V800" s="259"/>
      <c r="W800" s="259"/>
      <c r="X800" s="259"/>
      <c r="Y800" s="259"/>
      <c r="Z800" s="259"/>
    </row>
    <row r="801" customFormat="false" ht="12" hidden="false" customHeight="true" outlineLevel="0" collapsed="false">
      <c r="A801" s="259"/>
      <c r="B801" s="259"/>
      <c r="C801" s="259"/>
      <c r="D801" s="259"/>
      <c r="E801" s="259"/>
      <c r="F801" s="261"/>
      <c r="G801" s="259"/>
      <c r="H801" s="259"/>
      <c r="I801" s="259"/>
      <c r="J801" s="262"/>
      <c r="K801" s="259"/>
      <c r="L801" s="259"/>
      <c r="M801" s="259"/>
      <c r="N801" s="259"/>
      <c r="O801" s="259"/>
      <c r="P801" s="259"/>
      <c r="Q801" s="259"/>
      <c r="R801" s="259"/>
      <c r="S801" s="259"/>
      <c r="T801" s="259"/>
      <c r="U801" s="259"/>
      <c r="V801" s="259"/>
      <c r="W801" s="259"/>
      <c r="X801" s="259"/>
      <c r="Y801" s="259"/>
      <c r="Z801" s="259"/>
    </row>
    <row r="802" customFormat="false" ht="12" hidden="false" customHeight="true" outlineLevel="0" collapsed="false">
      <c r="A802" s="259"/>
      <c r="B802" s="259"/>
      <c r="C802" s="259"/>
      <c r="D802" s="259"/>
      <c r="E802" s="259"/>
      <c r="F802" s="261"/>
      <c r="G802" s="259"/>
      <c r="H802" s="259"/>
      <c r="I802" s="259"/>
      <c r="J802" s="262"/>
      <c r="K802" s="259"/>
      <c r="L802" s="259"/>
      <c r="M802" s="259"/>
      <c r="N802" s="259"/>
      <c r="O802" s="259"/>
      <c r="P802" s="259"/>
      <c r="Q802" s="259"/>
      <c r="R802" s="259"/>
      <c r="S802" s="259"/>
      <c r="T802" s="259"/>
      <c r="U802" s="259"/>
      <c r="V802" s="259"/>
      <c r="W802" s="259"/>
      <c r="X802" s="259"/>
      <c r="Y802" s="259"/>
      <c r="Z802" s="259"/>
    </row>
    <row r="803" customFormat="false" ht="12" hidden="false" customHeight="true" outlineLevel="0" collapsed="false">
      <c r="A803" s="259"/>
      <c r="B803" s="259"/>
      <c r="C803" s="259"/>
      <c r="D803" s="259"/>
      <c r="E803" s="259"/>
      <c r="F803" s="261"/>
      <c r="G803" s="259"/>
      <c r="H803" s="259"/>
      <c r="I803" s="259"/>
      <c r="J803" s="262"/>
      <c r="K803" s="259"/>
      <c r="L803" s="259"/>
      <c r="M803" s="259"/>
      <c r="N803" s="259"/>
      <c r="O803" s="259"/>
      <c r="P803" s="259"/>
      <c r="Q803" s="259"/>
      <c r="R803" s="259"/>
      <c r="S803" s="259"/>
      <c r="T803" s="259"/>
      <c r="U803" s="259"/>
      <c r="V803" s="259"/>
      <c r="W803" s="259"/>
      <c r="X803" s="259"/>
      <c r="Y803" s="259"/>
      <c r="Z803" s="259"/>
    </row>
    <row r="804" customFormat="false" ht="12" hidden="false" customHeight="true" outlineLevel="0" collapsed="false">
      <c r="A804" s="259"/>
      <c r="B804" s="259"/>
      <c r="C804" s="259"/>
      <c r="D804" s="259"/>
      <c r="E804" s="259"/>
      <c r="F804" s="261"/>
      <c r="G804" s="259"/>
      <c r="H804" s="259"/>
      <c r="I804" s="259"/>
      <c r="J804" s="262"/>
      <c r="K804" s="259"/>
      <c r="L804" s="259"/>
      <c r="M804" s="259"/>
      <c r="N804" s="259"/>
      <c r="O804" s="259"/>
      <c r="P804" s="259"/>
      <c r="Q804" s="259"/>
      <c r="R804" s="259"/>
      <c r="S804" s="259"/>
      <c r="T804" s="259"/>
      <c r="U804" s="259"/>
      <c r="V804" s="259"/>
      <c r="W804" s="259"/>
      <c r="X804" s="259"/>
      <c r="Y804" s="259"/>
      <c r="Z804" s="259"/>
    </row>
    <row r="805" customFormat="false" ht="12" hidden="false" customHeight="true" outlineLevel="0" collapsed="false">
      <c r="A805" s="259"/>
      <c r="B805" s="259"/>
      <c r="C805" s="259"/>
      <c r="D805" s="259"/>
      <c r="E805" s="259"/>
      <c r="F805" s="261"/>
      <c r="G805" s="259"/>
      <c r="H805" s="259"/>
      <c r="I805" s="259"/>
      <c r="J805" s="262"/>
      <c r="K805" s="259"/>
      <c r="L805" s="259"/>
      <c r="M805" s="259"/>
      <c r="N805" s="259"/>
      <c r="O805" s="259"/>
      <c r="P805" s="259"/>
      <c r="Q805" s="259"/>
      <c r="R805" s="259"/>
      <c r="S805" s="259"/>
      <c r="T805" s="259"/>
      <c r="U805" s="259"/>
      <c r="V805" s="259"/>
      <c r="W805" s="259"/>
      <c r="X805" s="259"/>
      <c r="Y805" s="259"/>
      <c r="Z805" s="259"/>
    </row>
    <row r="806" customFormat="false" ht="12" hidden="false" customHeight="true" outlineLevel="0" collapsed="false">
      <c r="A806" s="259"/>
      <c r="B806" s="259"/>
      <c r="C806" s="259"/>
      <c r="D806" s="259"/>
      <c r="E806" s="259"/>
      <c r="F806" s="261"/>
      <c r="G806" s="259"/>
      <c r="H806" s="259"/>
      <c r="I806" s="259"/>
      <c r="J806" s="262"/>
      <c r="K806" s="259"/>
      <c r="L806" s="259"/>
      <c r="M806" s="259"/>
      <c r="N806" s="259"/>
      <c r="O806" s="259"/>
      <c r="P806" s="259"/>
      <c r="Q806" s="259"/>
      <c r="R806" s="259"/>
      <c r="S806" s="259"/>
      <c r="T806" s="259"/>
      <c r="U806" s="259"/>
      <c r="V806" s="259"/>
      <c r="W806" s="259"/>
      <c r="X806" s="259"/>
      <c r="Y806" s="259"/>
      <c r="Z806" s="259"/>
    </row>
    <row r="807" customFormat="false" ht="12" hidden="false" customHeight="true" outlineLevel="0" collapsed="false">
      <c r="A807" s="259"/>
      <c r="B807" s="259"/>
      <c r="C807" s="259"/>
      <c r="D807" s="259"/>
      <c r="E807" s="259"/>
      <c r="F807" s="261"/>
      <c r="G807" s="259"/>
      <c r="H807" s="259"/>
      <c r="I807" s="259"/>
      <c r="J807" s="262"/>
      <c r="K807" s="259"/>
      <c r="L807" s="259"/>
      <c r="M807" s="259"/>
      <c r="N807" s="259"/>
      <c r="O807" s="259"/>
      <c r="P807" s="259"/>
      <c r="Q807" s="259"/>
      <c r="R807" s="259"/>
      <c r="S807" s="259"/>
      <c r="T807" s="259"/>
      <c r="U807" s="259"/>
      <c r="V807" s="259"/>
      <c r="W807" s="259"/>
      <c r="X807" s="259"/>
      <c r="Y807" s="259"/>
      <c r="Z807" s="259"/>
    </row>
    <row r="808" customFormat="false" ht="12" hidden="false" customHeight="true" outlineLevel="0" collapsed="false">
      <c r="A808" s="259"/>
      <c r="B808" s="259"/>
      <c r="C808" s="259"/>
      <c r="D808" s="259"/>
      <c r="E808" s="259"/>
      <c r="F808" s="261"/>
      <c r="G808" s="259"/>
      <c r="H808" s="259"/>
      <c r="I808" s="259"/>
      <c r="J808" s="262"/>
      <c r="K808" s="259"/>
      <c r="L808" s="259"/>
      <c r="M808" s="259"/>
      <c r="N808" s="259"/>
      <c r="O808" s="259"/>
      <c r="P808" s="259"/>
      <c r="Q808" s="259"/>
      <c r="R808" s="259"/>
      <c r="S808" s="259"/>
      <c r="T808" s="259"/>
      <c r="U808" s="259"/>
      <c r="V808" s="259"/>
      <c r="W808" s="259"/>
      <c r="X808" s="259"/>
      <c r="Y808" s="259"/>
      <c r="Z808" s="259"/>
    </row>
    <row r="809" customFormat="false" ht="12" hidden="false" customHeight="true" outlineLevel="0" collapsed="false">
      <c r="A809" s="259"/>
      <c r="B809" s="259"/>
      <c r="C809" s="259"/>
      <c r="D809" s="259"/>
      <c r="E809" s="259"/>
      <c r="F809" s="261"/>
      <c r="G809" s="259"/>
      <c r="H809" s="259"/>
      <c r="I809" s="259"/>
      <c r="J809" s="262"/>
      <c r="K809" s="259"/>
      <c r="L809" s="259"/>
      <c r="M809" s="259"/>
      <c r="N809" s="259"/>
      <c r="O809" s="259"/>
      <c r="P809" s="259"/>
      <c r="Q809" s="259"/>
      <c r="R809" s="259"/>
      <c r="S809" s="259"/>
      <c r="T809" s="259"/>
      <c r="U809" s="259"/>
      <c r="V809" s="259"/>
      <c r="W809" s="259"/>
      <c r="X809" s="259"/>
      <c r="Y809" s="259"/>
      <c r="Z809" s="259"/>
    </row>
    <row r="810" customFormat="false" ht="12" hidden="false" customHeight="true" outlineLevel="0" collapsed="false">
      <c r="A810" s="259"/>
      <c r="B810" s="259"/>
      <c r="C810" s="259"/>
      <c r="D810" s="259"/>
      <c r="E810" s="259"/>
      <c r="F810" s="261"/>
      <c r="G810" s="259"/>
      <c r="H810" s="259"/>
      <c r="I810" s="259"/>
      <c r="J810" s="262"/>
      <c r="K810" s="259"/>
      <c r="L810" s="259"/>
      <c r="M810" s="259"/>
      <c r="N810" s="259"/>
      <c r="O810" s="259"/>
      <c r="P810" s="259"/>
      <c r="Q810" s="259"/>
      <c r="R810" s="259"/>
      <c r="S810" s="259"/>
      <c r="T810" s="259"/>
      <c r="U810" s="259"/>
      <c r="V810" s="259"/>
      <c r="W810" s="259"/>
      <c r="X810" s="259"/>
      <c r="Y810" s="259"/>
      <c r="Z810" s="259"/>
    </row>
    <row r="811" customFormat="false" ht="12" hidden="false" customHeight="true" outlineLevel="0" collapsed="false">
      <c r="A811" s="259"/>
      <c r="B811" s="259"/>
      <c r="C811" s="259"/>
      <c r="D811" s="259"/>
      <c r="E811" s="259"/>
      <c r="F811" s="261"/>
      <c r="G811" s="259"/>
      <c r="H811" s="259"/>
      <c r="I811" s="259"/>
      <c r="J811" s="262"/>
      <c r="K811" s="259"/>
      <c r="L811" s="259"/>
      <c r="M811" s="259"/>
      <c r="N811" s="259"/>
      <c r="O811" s="259"/>
      <c r="P811" s="259"/>
      <c r="Q811" s="259"/>
      <c r="R811" s="259"/>
      <c r="S811" s="259"/>
      <c r="T811" s="259"/>
      <c r="U811" s="259"/>
      <c r="V811" s="259"/>
      <c r="W811" s="259"/>
      <c r="X811" s="259"/>
      <c r="Y811" s="259"/>
      <c r="Z811" s="259"/>
    </row>
    <row r="812" customFormat="false" ht="12" hidden="false" customHeight="true" outlineLevel="0" collapsed="false">
      <c r="A812" s="259"/>
      <c r="B812" s="259"/>
      <c r="C812" s="259"/>
      <c r="D812" s="259"/>
      <c r="E812" s="259"/>
      <c r="F812" s="261"/>
      <c r="G812" s="259"/>
      <c r="H812" s="259"/>
      <c r="I812" s="259"/>
      <c r="J812" s="262"/>
      <c r="K812" s="259"/>
      <c r="L812" s="259"/>
      <c r="M812" s="259"/>
      <c r="N812" s="259"/>
      <c r="O812" s="259"/>
      <c r="P812" s="259"/>
      <c r="Q812" s="259"/>
      <c r="R812" s="259"/>
      <c r="S812" s="259"/>
      <c r="T812" s="259"/>
      <c r="U812" s="259"/>
      <c r="V812" s="259"/>
      <c r="W812" s="259"/>
      <c r="X812" s="259"/>
      <c r="Y812" s="259"/>
      <c r="Z812" s="259"/>
    </row>
    <row r="813" customFormat="false" ht="12" hidden="false" customHeight="true" outlineLevel="0" collapsed="false">
      <c r="A813" s="259"/>
      <c r="B813" s="259"/>
      <c r="C813" s="259"/>
      <c r="D813" s="259"/>
      <c r="E813" s="259"/>
      <c r="F813" s="261"/>
      <c r="G813" s="259"/>
      <c r="H813" s="259"/>
      <c r="I813" s="259"/>
      <c r="J813" s="262"/>
      <c r="K813" s="259"/>
      <c r="L813" s="259"/>
      <c r="M813" s="259"/>
      <c r="N813" s="259"/>
      <c r="O813" s="259"/>
      <c r="P813" s="259"/>
      <c r="Q813" s="259"/>
      <c r="R813" s="259"/>
      <c r="S813" s="259"/>
      <c r="T813" s="259"/>
      <c r="U813" s="259"/>
      <c r="V813" s="259"/>
      <c r="W813" s="259"/>
      <c r="X813" s="259"/>
      <c r="Y813" s="259"/>
      <c r="Z813" s="259"/>
    </row>
    <row r="814" customFormat="false" ht="12" hidden="false" customHeight="true" outlineLevel="0" collapsed="false">
      <c r="A814" s="259"/>
      <c r="B814" s="259"/>
      <c r="C814" s="259"/>
      <c r="D814" s="259"/>
      <c r="E814" s="259"/>
      <c r="F814" s="261"/>
      <c r="G814" s="259"/>
      <c r="H814" s="259"/>
      <c r="I814" s="259"/>
      <c r="J814" s="262"/>
      <c r="K814" s="259"/>
      <c r="L814" s="259"/>
      <c r="M814" s="259"/>
      <c r="N814" s="259"/>
      <c r="O814" s="259"/>
      <c r="P814" s="259"/>
      <c r="Q814" s="259"/>
      <c r="R814" s="259"/>
      <c r="S814" s="259"/>
      <c r="T814" s="259"/>
      <c r="U814" s="259"/>
      <c r="V814" s="259"/>
      <c r="W814" s="259"/>
      <c r="X814" s="259"/>
      <c r="Y814" s="259"/>
      <c r="Z814" s="259"/>
    </row>
    <row r="815" customFormat="false" ht="12" hidden="false" customHeight="true" outlineLevel="0" collapsed="false">
      <c r="A815" s="259"/>
      <c r="B815" s="259"/>
      <c r="C815" s="259"/>
      <c r="D815" s="259"/>
      <c r="E815" s="259"/>
      <c r="F815" s="261"/>
      <c r="G815" s="259"/>
      <c r="H815" s="259"/>
      <c r="I815" s="259"/>
      <c r="J815" s="262"/>
      <c r="K815" s="259"/>
      <c r="L815" s="259"/>
      <c r="M815" s="259"/>
      <c r="N815" s="259"/>
      <c r="O815" s="259"/>
      <c r="P815" s="259"/>
      <c r="Q815" s="259"/>
      <c r="R815" s="259"/>
      <c r="S815" s="259"/>
      <c r="T815" s="259"/>
      <c r="U815" s="259"/>
      <c r="V815" s="259"/>
      <c r="W815" s="259"/>
      <c r="X815" s="259"/>
      <c r="Y815" s="259"/>
      <c r="Z815" s="259"/>
    </row>
    <row r="816" customFormat="false" ht="12" hidden="false" customHeight="true" outlineLevel="0" collapsed="false">
      <c r="A816" s="259"/>
      <c r="B816" s="259"/>
      <c r="C816" s="259"/>
      <c r="D816" s="259"/>
      <c r="E816" s="259"/>
      <c r="F816" s="261"/>
      <c r="G816" s="259"/>
      <c r="H816" s="259"/>
      <c r="I816" s="259"/>
      <c r="J816" s="262"/>
      <c r="K816" s="259"/>
      <c r="L816" s="259"/>
      <c r="M816" s="259"/>
      <c r="N816" s="259"/>
      <c r="O816" s="259"/>
      <c r="P816" s="259"/>
      <c r="Q816" s="259"/>
      <c r="R816" s="259"/>
      <c r="S816" s="259"/>
      <c r="T816" s="259"/>
      <c r="U816" s="259"/>
      <c r="V816" s="259"/>
      <c r="W816" s="259"/>
      <c r="X816" s="259"/>
      <c r="Y816" s="259"/>
      <c r="Z816" s="259"/>
    </row>
    <row r="817" customFormat="false" ht="12" hidden="false" customHeight="true" outlineLevel="0" collapsed="false">
      <c r="A817" s="259"/>
      <c r="B817" s="259"/>
      <c r="C817" s="259"/>
      <c r="D817" s="259"/>
      <c r="E817" s="259"/>
      <c r="F817" s="261"/>
      <c r="G817" s="259"/>
      <c r="H817" s="259"/>
      <c r="I817" s="259"/>
      <c r="J817" s="262"/>
      <c r="K817" s="259"/>
      <c r="L817" s="259"/>
      <c r="M817" s="259"/>
      <c r="N817" s="259"/>
      <c r="O817" s="259"/>
      <c r="P817" s="259"/>
      <c r="Q817" s="259"/>
      <c r="R817" s="259"/>
      <c r="S817" s="259"/>
      <c r="T817" s="259"/>
      <c r="U817" s="259"/>
      <c r="V817" s="259"/>
      <c r="W817" s="259"/>
      <c r="X817" s="259"/>
      <c r="Y817" s="259"/>
      <c r="Z817" s="259"/>
    </row>
    <row r="818" customFormat="false" ht="12" hidden="false" customHeight="true" outlineLevel="0" collapsed="false">
      <c r="A818" s="259"/>
      <c r="B818" s="259"/>
      <c r="C818" s="259"/>
      <c r="D818" s="259"/>
      <c r="E818" s="259"/>
      <c r="F818" s="261"/>
      <c r="G818" s="259"/>
      <c r="H818" s="259"/>
      <c r="I818" s="259"/>
      <c r="J818" s="262"/>
      <c r="K818" s="259"/>
      <c r="L818" s="259"/>
      <c r="M818" s="259"/>
      <c r="N818" s="259"/>
      <c r="O818" s="259"/>
      <c r="P818" s="259"/>
      <c r="Q818" s="259"/>
      <c r="R818" s="259"/>
      <c r="S818" s="259"/>
      <c r="T818" s="259"/>
      <c r="U818" s="259"/>
      <c r="V818" s="259"/>
      <c r="W818" s="259"/>
      <c r="X818" s="259"/>
      <c r="Y818" s="259"/>
      <c r="Z818" s="259"/>
    </row>
    <row r="819" customFormat="false" ht="12" hidden="false" customHeight="true" outlineLevel="0" collapsed="false">
      <c r="A819" s="259"/>
      <c r="B819" s="259"/>
      <c r="C819" s="259"/>
      <c r="D819" s="259"/>
      <c r="E819" s="259"/>
      <c r="F819" s="261"/>
      <c r="G819" s="259"/>
      <c r="H819" s="259"/>
      <c r="I819" s="259"/>
      <c r="J819" s="262"/>
      <c r="K819" s="259"/>
      <c r="L819" s="259"/>
      <c r="M819" s="259"/>
      <c r="N819" s="259"/>
      <c r="O819" s="259"/>
      <c r="P819" s="259"/>
      <c r="Q819" s="259"/>
      <c r="R819" s="259"/>
      <c r="S819" s="259"/>
      <c r="T819" s="259"/>
      <c r="U819" s="259"/>
      <c r="V819" s="259"/>
      <c r="W819" s="259"/>
      <c r="X819" s="259"/>
      <c r="Y819" s="259"/>
      <c r="Z819" s="259"/>
    </row>
    <row r="820" customFormat="false" ht="12" hidden="false" customHeight="true" outlineLevel="0" collapsed="false">
      <c r="A820" s="259"/>
      <c r="B820" s="259"/>
      <c r="C820" s="259"/>
      <c r="D820" s="259"/>
      <c r="E820" s="259"/>
      <c r="F820" s="261"/>
      <c r="G820" s="259"/>
      <c r="H820" s="259"/>
      <c r="I820" s="259"/>
      <c r="J820" s="262"/>
      <c r="K820" s="259"/>
      <c r="L820" s="259"/>
      <c r="M820" s="259"/>
      <c r="N820" s="259"/>
      <c r="O820" s="259"/>
      <c r="P820" s="259"/>
      <c r="Q820" s="259"/>
      <c r="R820" s="259"/>
      <c r="S820" s="259"/>
      <c r="T820" s="259"/>
      <c r="U820" s="259"/>
      <c r="V820" s="259"/>
      <c r="W820" s="259"/>
      <c r="X820" s="259"/>
      <c r="Y820" s="259"/>
      <c r="Z820" s="259"/>
    </row>
    <row r="821" customFormat="false" ht="12" hidden="false" customHeight="true" outlineLevel="0" collapsed="false">
      <c r="A821" s="259"/>
      <c r="B821" s="259"/>
      <c r="C821" s="259"/>
      <c r="D821" s="259"/>
      <c r="E821" s="259"/>
      <c r="F821" s="261"/>
      <c r="G821" s="259"/>
      <c r="H821" s="259"/>
      <c r="I821" s="259"/>
      <c r="J821" s="262"/>
      <c r="K821" s="259"/>
      <c r="L821" s="259"/>
      <c r="M821" s="259"/>
      <c r="N821" s="259"/>
      <c r="O821" s="259"/>
      <c r="P821" s="259"/>
      <c r="Q821" s="259"/>
      <c r="R821" s="259"/>
      <c r="S821" s="259"/>
      <c r="T821" s="259"/>
      <c r="U821" s="259"/>
      <c r="V821" s="259"/>
      <c r="W821" s="259"/>
      <c r="X821" s="259"/>
      <c r="Y821" s="259"/>
      <c r="Z821" s="259"/>
    </row>
    <row r="822" customFormat="false" ht="12" hidden="false" customHeight="true" outlineLevel="0" collapsed="false">
      <c r="A822" s="259"/>
      <c r="B822" s="259"/>
      <c r="C822" s="259"/>
      <c r="D822" s="259"/>
      <c r="E822" s="259"/>
      <c r="F822" s="261"/>
      <c r="G822" s="259"/>
      <c r="H822" s="259"/>
      <c r="I822" s="259"/>
      <c r="J822" s="262"/>
      <c r="K822" s="259"/>
      <c r="L822" s="259"/>
      <c r="M822" s="259"/>
      <c r="N822" s="259"/>
      <c r="O822" s="259"/>
      <c r="P822" s="259"/>
      <c r="Q822" s="259"/>
      <c r="R822" s="259"/>
      <c r="S822" s="259"/>
      <c r="T822" s="259"/>
      <c r="U822" s="259"/>
      <c r="V822" s="259"/>
      <c r="W822" s="259"/>
      <c r="X822" s="259"/>
      <c r="Y822" s="259"/>
      <c r="Z822" s="259"/>
    </row>
    <row r="823" customFormat="false" ht="12" hidden="false" customHeight="true" outlineLevel="0" collapsed="false">
      <c r="A823" s="259"/>
      <c r="B823" s="259"/>
      <c r="C823" s="259"/>
      <c r="D823" s="259"/>
      <c r="E823" s="259"/>
      <c r="F823" s="261"/>
      <c r="G823" s="259"/>
      <c r="H823" s="259"/>
      <c r="I823" s="259"/>
      <c r="J823" s="262"/>
      <c r="K823" s="259"/>
      <c r="L823" s="259"/>
      <c r="M823" s="259"/>
      <c r="N823" s="259"/>
      <c r="O823" s="259"/>
      <c r="P823" s="259"/>
      <c r="Q823" s="259"/>
      <c r="R823" s="259"/>
      <c r="S823" s="259"/>
      <c r="T823" s="259"/>
      <c r="U823" s="259"/>
      <c r="V823" s="259"/>
      <c r="W823" s="259"/>
      <c r="X823" s="259"/>
      <c r="Y823" s="259"/>
      <c r="Z823" s="259"/>
    </row>
    <row r="824" customFormat="false" ht="12" hidden="false" customHeight="true" outlineLevel="0" collapsed="false">
      <c r="A824" s="259"/>
      <c r="B824" s="259"/>
      <c r="C824" s="259"/>
      <c r="D824" s="259"/>
      <c r="E824" s="259"/>
      <c r="F824" s="261"/>
      <c r="G824" s="259"/>
      <c r="H824" s="259"/>
      <c r="I824" s="259"/>
      <c r="J824" s="262"/>
      <c r="K824" s="259"/>
      <c r="L824" s="259"/>
      <c r="M824" s="259"/>
      <c r="N824" s="259"/>
      <c r="O824" s="259"/>
      <c r="P824" s="259"/>
      <c r="Q824" s="259"/>
      <c r="R824" s="259"/>
      <c r="S824" s="259"/>
      <c r="T824" s="259"/>
      <c r="U824" s="259"/>
      <c r="V824" s="259"/>
      <c r="W824" s="259"/>
      <c r="X824" s="259"/>
      <c r="Y824" s="259"/>
      <c r="Z824" s="259"/>
    </row>
    <row r="825" customFormat="false" ht="12" hidden="false" customHeight="true" outlineLevel="0" collapsed="false">
      <c r="A825" s="259"/>
      <c r="B825" s="259"/>
      <c r="C825" s="259"/>
      <c r="D825" s="259"/>
      <c r="E825" s="259"/>
      <c r="F825" s="261"/>
      <c r="G825" s="259"/>
      <c r="H825" s="259"/>
      <c r="I825" s="259"/>
      <c r="J825" s="262"/>
      <c r="K825" s="259"/>
      <c r="L825" s="259"/>
      <c r="M825" s="259"/>
      <c r="N825" s="259"/>
      <c r="O825" s="259"/>
      <c r="P825" s="259"/>
      <c r="Q825" s="259"/>
      <c r="R825" s="259"/>
      <c r="S825" s="259"/>
      <c r="T825" s="259"/>
      <c r="U825" s="259"/>
      <c r="V825" s="259"/>
      <c r="W825" s="259"/>
      <c r="X825" s="259"/>
      <c r="Y825" s="259"/>
      <c r="Z825" s="259"/>
    </row>
    <row r="826" customFormat="false" ht="12" hidden="false" customHeight="true" outlineLevel="0" collapsed="false">
      <c r="A826" s="259"/>
      <c r="B826" s="259"/>
      <c r="C826" s="259"/>
      <c r="D826" s="259"/>
      <c r="E826" s="259"/>
      <c r="F826" s="261"/>
      <c r="G826" s="259"/>
      <c r="H826" s="259"/>
      <c r="I826" s="259"/>
      <c r="J826" s="262"/>
      <c r="K826" s="259"/>
      <c r="L826" s="259"/>
      <c r="M826" s="259"/>
      <c r="N826" s="259"/>
      <c r="O826" s="259"/>
      <c r="P826" s="259"/>
      <c r="Q826" s="259"/>
      <c r="R826" s="259"/>
      <c r="S826" s="259"/>
      <c r="T826" s="259"/>
      <c r="U826" s="259"/>
      <c r="V826" s="259"/>
      <c r="W826" s="259"/>
      <c r="X826" s="259"/>
      <c r="Y826" s="259"/>
      <c r="Z826" s="259"/>
    </row>
    <row r="827" customFormat="false" ht="12" hidden="false" customHeight="true" outlineLevel="0" collapsed="false">
      <c r="A827" s="259"/>
      <c r="B827" s="259"/>
      <c r="C827" s="259"/>
      <c r="D827" s="259"/>
      <c r="E827" s="259"/>
      <c r="F827" s="261"/>
      <c r="G827" s="259"/>
      <c r="H827" s="259"/>
      <c r="I827" s="259"/>
      <c r="J827" s="262"/>
      <c r="K827" s="259"/>
      <c r="L827" s="259"/>
      <c r="M827" s="259"/>
      <c r="N827" s="259"/>
      <c r="O827" s="259"/>
      <c r="P827" s="259"/>
      <c r="Q827" s="259"/>
      <c r="R827" s="259"/>
      <c r="S827" s="259"/>
      <c r="T827" s="259"/>
      <c r="U827" s="259"/>
      <c r="V827" s="259"/>
      <c r="W827" s="259"/>
      <c r="X827" s="259"/>
      <c r="Y827" s="259"/>
      <c r="Z827" s="259"/>
    </row>
    <row r="828" customFormat="false" ht="12" hidden="false" customHeight="true" outlineLevel="0" collapsed="false">
      <c r="A828" s="259"/>
      <c r="B828" s="259"/>
      <c r="C828" s="259"/>
      <c r="D828" s="259"/>
      <c r="E828" s="259"/>
      <c r="F828" s="261"/>
      <c r="G828" s="259"/>
      <c r="H828" s="259"/>
      <c r="I828" s="259"/>
      <c r="J828" s="262"/>
      <c r="K828" s="259"/>
      <c r="L828" s="259"/>
      <c r="M828" s="259"/>
      <c r="N828" s="259"/>
      <c r="O828" s="259"/>
      <c r="P828" s="259"/>
      <c r="Q828" s="259"/>
      <c r="R828" s="259"/>
      <c r="S828" s="259"/>
      <c r="T828" s="259"/>
      <c r="U828" s="259"/>
      <c r="V828" s="259"/>
      <c r="W828" s="259"/>
      <c r="X828" s="259"/>
      <c r="Y828" s="259"/>
      <c r="Z828" s="259"/>
    </row>
    <row r="829" customFormat="false" ht="12" hidden="false" customHeight="true" outlineLevel="0" collapsed="false">
      <c r="A829" s="259"/>
      <c r="B829" s="259"/>
      <c r="C829" s="259"/>
      <c r="D829" s="259"/>
      <c r="E829" s="259"/>
      <c r="F829" s="261"/>
      <c r="G829" s="259"/>
      <c r="H829" s="259"/>
      <c r="I829" s="259"/>
      <c r="J829" s="262"/>
      <c r="K829" s="259"/>
      <c r="L829" s="259"/>
      <c r="M829" s="259"/>
      <c r="N829" s="259"/>
      <c r="O829" s="259"/>
      <c r="P829" s="259"/>
      <c r="Q829" s="259"/>
      <c r="R829" s="259"/>
      <c r="S829" s="259"/>
      <c r="T829" s="259"/>
      <c r="U829" s="259"/>
      <c r="V829" s="259"/>
      <c r="W829" s="259"/>
      <c r="X829" s="259"/>
      <c r="Y829" s="259"/>
      <c r="Z829" s="259"/>
    </row>
    <row r="830" customFormat="false" ht="12" hidden="false" customHeight="true" outlineLevel="0" collapsed="false">
      <c r="A830" s="259"/>
      <c r="B830" s="259"/>
      <c r="C830" s="259"/>
      <c r="D830" s="259"/>
      <c r="E830" s="259"/>
      <c r="F830" s="261"/>
      <c r="G830" s="259"/>
      <c r="H830" s="259"/>
      <c r="I830" s="259"/>
      <c r="J830" s="262"/>
      <c r="K830" s="259"/>
      <c r="L830" s="259"/>
      <c r="M830" s="259"/>
      <c r="N830" s="259"/>
      <c r="O830" s="259"/>
      <c r="P830" s="259"/>
      <c r="Q830" s="259"/>
      <c r="R830" s="259"/>
      <c r="S830" s="259"/>
      <c r="T830" s="259"/>
      <c r="U830" s="259"/>
      <c r="V830" s="259"/>
      <c r="W830" s="259"/>
      <c r="X830" s="259"/>
      <c r="Y830" s="259"/>
      <c r="Z830" s="259"/>
    </row>
    <row r="831" customFormat="false" ht="12" hidden="false" customHeight="true" outlineLevel="0" collapsed="false">
      <c r="A831" s="259"/>
      <c r="B831" s="259"/>
      <c r="C831" s="259"/>
      <c r="D831" s="259"/>
      <c r="E831" s="259"/>
      <c r="F831" s="261"/>
      <c r="G831" s="259"/>
      <c r="H831" s="259"/>
      <c r="I831" s="259"/>
      <c r="J831" s="262"/>
      <c r="K831" s="259"/>
      <c r="L831" s="259"/>
      <c r="M831" s="259"/>
      <c r="N831" s="259"/>
      <c r="O831" s="259"/>
      <c r="P831" s="259"/>
      <c r="Q831" s="259"/>
      <c r="R831" s="259"/>
      <c r="S831" s="259"/>
      <c r="T831" s="259"/>
      <c r="U831" s="259"/>
      <c r="V831" s="259"/>
      <c r="W831" s="259"/>
      <c r="X831" s="259"/>
      <c r="Y831" s="259"/>
      <c r="Z831" s="259"/>
    </row>
    <row r="832" customFormat="false" ht="12" hidden="false" customHeight="true" outlineLevel="0" collapsed="false">
      <c r="A832" s="259"/>
      <c r="B832" s="259"/>
      <c r="C832" s="259"/>
      <c r="D832" s="259"/>
      <c r="E832" s="259"/>
      <c r="F832" s="261"/>
      <c r="G832" s="259"/>
      <c r="H832" s="259"/>
      <c r="I832" s="259"/>
      <c r="J832" s="262"/>
      <c r="K832" s="259"/>
      <c r="L832" s="259"/>
      <c r="M832" s="259"/>
      <c r="N832" s="259"/>
      <c r="O832" s="259"/>
      <c r="P832" s="259"/>
      <c r="Q832" s="259"/>
      <c r="R832" s="259"/>
      <c r="S832" s="259"/>
      <c r="T832" s="259"/>
      <c r="U832" s="259"/>
      <c r="V832" s="259"/>
      <c r="W832" s="259"/>
      <c r="X832" s="259"/>
      <c r="Y832" s="259"/>
      <c r="Z832" s="259"/>
    </row>
    <row r="833" customFormat="false" ht="12" hidden="false" customHeight="true" outlineLevel="0" collapsed="false">
      <c r="A833" s="259"/>
      <c r="B833" s="259"/>
      <c r="C833" s="259"/>
      <c r="D833" s="259"/>
      <c r="E833" s="259"/>
      <c r="F833" s="261"/>
      <c r="G833" s="259"/>
      <c r="H833" s="259"/>
      <c r="I833" s="259"/>
      <c r="J833" s="262"/>
      <c r="K833" s="259"/>
      <c r="L833" s="259"/>
      <c r="M833" s="259"/>
      <c r="N833" s="259"/>
      <c r="O833" s="259"/>
      <c r="P833" s="259"/>
      <c r="Q833" s="259"/>
      <c r="R833" s="259"/>
      <c r="S833" s="259"/>
      <c r="T833" s="259"/>
      <c r="U833" s="259"/>
      <c r="V833" s="259"/>
      <c r="W833" s="259"/>
      <c r="X833" s="259"/>
      <c r="Y833" s="259"/>
      <c r="Z833" s="259"/>
    </row>
    <row r="834" customFormat="false" ht="12" hidden="false" customHeight="true" outlineLevel="0" collapsed="false">
      <c r="A834" s="259"/>
      <c r="B834" s="259"/>
      <c r="C834" s="259"/>
      <c r="D834" s="259"/>
      <c r="E834" s="259"/>
      <c r="F834" s="261"/>
      <c r="G834" s="259"/>
      <c r="H834" s="259"/>
      <c r="I834" s="259"/>
      <c r="J834" s="262"/>
      <c r="K834" s="259"/>
      <c r="L834" s="259"/>
      <c r="M834" s="259"/>
      <c r="N834" s="259"/>
      <c r="O834" s="259"/>
      <c r="P834" s="259"/>
      <c r="Q834" s="259"/>
      <c r="R834" s="259"/>
      <c r="S834" s="259"/>
      <c r="T834" s="259"/>
      <c r="U834" s="259"/>
      <c r="V834" s="259"/>
      <c r="W834" s="259"/>
      <c r="X834" s="259"/>
      <c r="Y834" s="259"/>
      <c r="Z834" s="259"/>
    </row>
    <row r="835" customFormat="false" ht="12" hidden="false" customHeight="true" outlineLevel="0" collapsed="false">
      <c r="A835" s="259"/>
      <c r="B835" s="259"/>
      <c r="C835" s="259"/>
      <c r="D835" s="259"/>
      <c r="E835" s="259"/>
      <c r="F835" s="261"/>
      <c r="G835" s="259"/>
      <c r="H835" s="259"/>
      <c r="I835" s="259"/>
      <c r="J835" s="262"/>
      <c r="K835" s="259"/>
      <c r="L835" s="259"/>
      <c r="M835" s="259"/>
      <c r="N835" s="259"/>
      <c r="O835" s="259"/>
      <c r="P835" s="259"/>
      <c r="Q835" s="259"/>
      <c r="R835" s="259"/>
      <c r="S835" s="259"/>
      <c r="T835" s="259"/>
      <c r="U835" s="259"/>
      <c r="V835" s="259"/>
      <c r="W835" s="259"/>
      <c r="X835" s="259"/>
      <c r="Y835" s="259"/>
      <c r="Z835" s="259"/>
    </row>
    <row r="836" customFormat="false" ht="12" hidden="false" customHeight="true" outlineLevel="0" collapsed="false">
      <c r="A836" s="259"/>
      <c r="B836" s="259"/>
      <c r="C836" s="259"/>
      <c r="D836" s="259"/>
      <c r="E836" s="259"/>
      <c r="F836" s="261"/>
      <c r="G836" s="259"/>
      <c r="H836" s="259"/>
      <c r="I836" s="259"/>
      <c r="J836" s="262"/>
      <c r="K836" s="259"/>
      <c r="L836" s="259"/>
      <c r="M836" s="259"/>
      <c r="N836" s="259"/>
      <c r="O836" s="259"/>
      <c r="P836" s="259"/>
      <c r="Q836" s="259"/>
      <c r="R836" s="259"/>
      <c r="S836" s="259"/>
      <c r="T836" s="259"/>
      <c r="U836" s="259"/>
      <c r="V836" s="259"/>
      <c r="W836" s="259"/>
      <c r="X836" s="259"/>
      <c r="Y836" s="259"/>
      <c r="Z836" s="259"/>
    </row>
    <row r="837" customFormat="false" ht="12" hidden="false" customHeight="true" outlineLevel="0" collapsed="false">
      <c r="A837" s="259"/>
      <c r="B837" s="259"/>
      <c r="C837" s="259"/>
      <c r="D837" s="259"/>
      <c r="E837" s="259"/>
      <c r="F837" s="261"/>
      <c r="G837" s="259"/>
      <c r="H837" s="259"/>
      <c r="I837" s="259"/>
      <c r="J837" s="262"/>
      <c r="K837" s="259"/>
      <c r="L837" s="259"/>
      <c r="M837" s="259"/>
      <c r="N837" s="259"/>
      <c r="O837" s="259"/>
      <c r="P837" s="259"/>
      <c r="Q837" s="259"/>
      <c r="R837" s="259"/>
      <c r="S837" s="259"/>
      <c r="T837" s="259"/>
      <c r="U837" s="259"/>
      <c r="V837" s="259"/>
      <c r="W837" s="259"/>
      <c r="X837" s="259"/>
      <c r="Y837" s="259"/>
      <c r="Z837" s="259"/>
    </row>
    <row r="838" customFormat="false" ht="12" hidden="false" customHeight="true" outlineLevel="0" collapsed="false">
      <c r="A838" s="259"/>
      <c r="B838" s="259"/>
      <c r="C838" s="259"/>
      <c r="D838" s="259"/>
      <c r="E838" s="259"/>
      <c r="F838" s="261"/>
      <c r="G838" s="259"/>
      <c r="H838" s="259"/>
      <c r="I838" s="259"/>
      <c r="J838" s="262"/>
      <c r="K838" s="259"/>
      <c r="L838" s="259"/>
      <c r="M838" s="259"/>
      <c r="N838" s="259"/>
      <c r="O838" s="259"/>
      <c r="P838" s="259"/>
      <c r="Q838" s="259"/>
      <c r="R838" s="259"/>
      <c r="S838" s="259"/>
      <c r="T838" s="259"/>
      <c r="U838" s="259"/>
      <c r="V838" s="259"/>
      <c r="W838" s="259"/>
      <c r="X838" s="259"/>
      <c r="Y838" s="259"/>
      <c r="Z838" s="259"/>
    </row>
    <row r="839" customFormat="false" ht="12" hidden="false" customHeight="true" outlineLevel="0" collapsed="false">
      <c r="A839" s="259"/>
      <c r="B839" s="259"/>
      <c r="C839" s="259"/>
      <c r="D839" s="259"/>
      <c r="E839" s="259"/>
      <c r="F839" s="261"/>
      <c r="G839" s="259"/>
      <c r="H839" s="259"/>
      <c r="I839" s="259"/>
      <c r="J839" s="262"/>
      <c r="K839" s="259"/>
      <c r="L839" s="259"/>
      <c r="M839" s="259"/>
      <c r="N839" s="259"/>
      <c r="O839" s="259"/>
      <c r="P839" s="259"/>
      <c r="Q839" s="259"/>
      <c r="R839" s="259"/>
      <c r="S839" s="259"/>
      <c r="T839" s="259"/>
      <c r="U839" s="259"/>
      <c r="V839" s="259"/>
      <c r="W839" s="259"/>
      <c r="X839" s="259"/>
      <c r="Y839" s="259"/>
      <c r="Z839" s="259"/>
    </row>
    <row r="840" customFormat="false" ht="12" hidden="false" customHeight="true" outlineLevel="0" collapsed="false">
      <c r="A840" s="259"/>
      <c r="B840" s="259"/>
      <c r="C840" s="259"/>
      <c r="D840" s="259"/>
      <c r="E840" s="259"/>
      <c r="F840" s="261"/>
      <c r="G840" s="259"/>
      <c r="H840" s="259"/>
      <c r="I840" s="259"/>
      <c r="J840" s="262"/>
      <c r="K840" s="259"/>
      <c r="L840" s="259"/>
      <c r="M840" s="259"/>
      <c r="N840" s="259"/>
      <c r="O840" s="259"/>
      <c r="P840" s="259"/>
      <c r="Q840" s="259"/>
      <c r="R840" s="259"/>
      <c r="S840" s="259"/>
      <c r="T840" s="259"/>
      <c r="U840" s="259"/>
      <c r="V840" s="259"/>
      <c r="W840" s="259"/>
      <c r="X840" s="259"/>
      <c r="Y840" s="259"/>
      <c r="Z840" s="259"/>
    </row>
    <row r="841" customFormat="false" ht="12" hidden="false" customHeight="true" outlineLevel="0" collapsed="false">
      <c r="A841" s="259"/>
      <c r="B841" s="259"/>
      <c r="C841" s="259"/>
      <c r="D841" s="259"/>
      <c r="E841" s="259"/>
      <c r="F841" s="261"/>
      <c r="G841" s="259"/>
      <c r="H841" s="259"/>
      <c r="I841" s="259"/>
      <c r="J841" s="262"/>
      <c r="K841" s="259"/>
      <c r="L841" s="259"/>
      <c r="M841" s="259"/>
      <c r="N841" s="259"/>
      <c r="O841" s="259"/>
      <c r="P841" s="259"/>
      <c r="Q841" s="259"/>
      <c r="R841" s="259"/>
      <c r="S841" s="259"/>
      <c r="T841" s="259"/>
      <c r="U841" s="259"/>
      <c r="V841" s="259"/>
      <c r="W841" s="259"/>
      <c r="X841" s="259"/>
      <c r="Y841" s="259"/>
      <c r="Z841" s="259"/>
    </row>
    <row r="842" customFormat="false" ht="12" hidden="false" customHeight="true" outlineLevel="0" collapsed="false">
      <c r="A842" s="259"/>
      <c r="B842" s="259"/>
      <c r="C842" s="259"/>
      <c r="D842" s="259"/>
      <c r="E842" s="259"/>
      <c r="F842" s="261"/>
      <c r="G842" s="259"/>
      <c r="H842" s="259"/>
      <c r="I842" s="259"/>
      <c r="J842" s="262"/>
      <c r="K842" s="259"/>
      <c r="L842" s="259"/>
      <c r="M842" s="259"/>
      <c r="N842" s="259"/>
      <c r="O842" s="259"/>
      <c r="P842" s="259"/>
      <c r="Q842" s="259"/>
      <c r="R842" s="259"/>
      <c r="S842" s="259"/>
      <c r="T842" s="259"/>
      <c r="U842" s="259"/>
      <c r="V842" s="259"/>
      <c r="W842" s="259"/>
      <c r="X842" s="259"/>
      <c r="Y842" s="259"/>
      <c r="Z842" s="259"/>
    </row>
    <row r="843" customFormat="false" ht="12" hidden="false" customHeight="true" outlineLevel="0" collapsed="false">
      <c r="A843" s="259"/>
      <c r="B843" s="259"/>
      <c r="C843" s="259"/>
      <c r="D843" s="259"/>
      <c r="E843" s="259"/>
      <c r="F843" s="261"/>
      <c r="G843" s="259"/>
      <c r="H843" s="259"/>
      <c r="I843" s="259"/>
      <c r="J843" s="262"/>
      <c r="K843" s="259"/>
      <c r="L843" s="259"/>
      <c r="M843" s="259"/>
      <c r="N843" s="259"/>
      <c r="O843" s="259"/>
      <c r="P843" s="259"/>
      <c r="Q843" s="259"/>
      <c r="R843" s="259"/>
      <c r="S843" s="259"/>
      <c r="T843" s="259"/>
      <c r="U843" s="259"/>
      <c r="V843" s="259"/>
      <c r="W843" s="259"/>
      <c r="X843" s="259"/>
      <c r="Y843" s="259"/>
      <c r="Z843" s="259"/>
    </row>
    <row r="844" customFormat="false" ht="12" hidden="false" customHeight="true" outlineLevel="0" collapsed="false">
      <c r="A844" s="259"/>
      <c r="B844" s="259"/>
      <c r="C844" s="259"/>
      <c r="D844" s="259"/>
      <c r="E844" s="259"/>
      <c r="F844" s="261"/>
      <c r="G844" s="259"/>
      <c r="H844" s="259"/>
      <c r="I844" s="259"/>
      <c r="J844" s="262"/>
      <c r="K844" s="259"/>
      <c r="L844" s="259"/>
      <c r="M844" s="259"/>
      <c r="N844" s="259"/>
      <c r="O844" s="259"/>
      <c r="P844" s="259"/>
      <c r="Q844" s="259"/>
      <c r="R844" s="259"/>
      <c r="S844" s="259"/>
      <c r="T844" s="259"/>
      <c r="U844" s="259"/>
      <c r="V844" s="259"/>
      <c r="W844" s="259"/>
      <c r="X844" s="259"/>
      <c r="Y844" s="259"/>
      <c r="Z844" s="259"/>
    </row>
    <row r="845" customFormat="false" ht="12" hidden="false" customHeight="true" outlineLevel="0" collapsed="false">
      <c r="A845" s="259"/>
      <c r="B845" s="259"/>
      <c r="C845" s="259"/>
      <c r="D845" s="259"/>
      <c r="E845" s="259"/>
      <c r="F845" s="261"/>
      <c r="G845" s="259"/>
      <c r="H845" s="259"/>
      <c r="I845" s="259"/>
      <c r="J845" s="262"/>
      <c r="K845" s="259"/>
      <c r="L845" s="259"/>
      <c r="M845" s="259"/>
      <c r="N845" s="259"/>
      <c r="O845" s="259"/>
      <c r="P845" s="259"/>
      <c r="Q845" s="259"/>
      <c r="R845" s="259"/>
      <c r="S845" s="259"/>
      <c r="T845" s="259"/>
      <c r="U845" s="259"/>
      <c r="V845" s="259"/>
      <c r="W845" s="259"/>
      <c r="X845" s="259"/>
      <c r="Y845" s="259"/>
      <c r="Z845" s="259"/>
    </row>
    <row r="846" customFormat="false" ht="12" hidden="false" customHeight="true" outlineLevel="0" collapsed="false">
      <c r="A846" s="259"/>
      <c r="B846" s="259"/>
      <c r="C846" s="259"/>
      <c r="D846" s="259"/>
      <c r="E846" s="259"/>
      <c r="F846" s="261"/>
      <c r="G846" s="259"/>
      <c r="H846" s="259"/>
      <c r="I846" s="259"/>
      <c r="J846" s="262"/>
      <c r="K846" s="259"/>
      <c r="L846" s="259"/>
      <c r="M846" s="259"/>
      <c r="N846" s="259"/>
      <c r="O846" s="259"/>
      <c r="P846" s="259"/>
      <c r="Q846" s="259"/>
      <c r="R846" s="259"/>
      <c r="S846" s="259"/>
      <c r="T846" s="259"/>
      <c r="U846" s="259"/>
      <c r="V846" s="259"/>
      <c r="W846" s="259"/>
      <c r="X846" s="259"/>
      <c r="Y846" s="259"/>
      <c r="Z846" s="259"/>
    </row>
    <row r="847" customFormat="false" ht="12" hidden="false" customHeight="true" outlineLevel="0" collapsed="false">
      <c r="A847" s="259"/>
      <c r="B847" s="259"/>
      <c r="C847" s="259"/>
      <c r="D847" s="259"/>
      <c r="E847" s="259"/>
      <c r="F847" s="261"/>
      <c r="G847" s="259"/>
      <c r="H847" s="259"/>
      <c r="I847" s="259"/>
      <c r="J847" s="262"/>
      <c r="K847" s="259"/>
      <c r="L847" s="259"/>
      <c r="M847" s="259"/>
      <c r="N847" s="259"/>
      <c r="O847" s="259"/>
      <c r="P847" s="259"/>
      <c r="Q847" s="259"/>
      <c r="R847" s="259"/>
      <c r="S847" s="259"/>
      <c r="T847" s="259"/>
      <c r="U847" s="259"/>
      <c r="V847" s="259"/>
      <c r="W847" s="259"/>
      <c r="X847" s="259"/>
      <c r="Y847" s="259"/>
      <c r="Z847" s="259"/>
    </row>
    <row r="848" customFormat="false" ht="12" hidden="false" customHeight="true" outlineLevel="0" collapsed="false">
      <c r="A848" s="259"/>
      <c r="B848" s="259"/>
      <c r="C848" s="259"/>
      <c r="D848" s="259"/>
      <c r="E848" s="259"/>
      <c r="F848" s="261"/>
      <c r="G848" s="259"/>
      <c r="H848" s="259"/>
      <c r="I848" s="259"/>
      <c r="J848" s="262"/>
      <c r="K848" s="259"/>
      <c r="L848" s="259"/>
      <c r="M848" s="259"/>
      <c r="N848" s="259"/>
      <c r="O848" s="259"/>
      <c r="P848" s="259"/>
      <c r="Q848" s="259"/>
      <c r="R848" s="259"/>
      <c r="S848" s="259"/>
      <c r="T848" s="259"/>
      <c r="U848" s="259"/>
      <c r="V848" s="259"/>
      <c r="W848" s="259"/>
      <c r="X848" s="259"/>
      <c r="Y848" s="259"/>
      <c r="Z848" s="259"/>
    </row>
    <row r="849" customFormat="false" ht="12" hidden="false" customHeight="true" outlineLevel="0" collapsed="false">
      <c r="A849" s="259"/>
      <c r="B849" s="259"/>
      <c r="C849" s="259"/>
      <c r="D849" s="259"/>
      <c r="E849" s="259"/>
      <c r="F849" s="261"/>
      <c r="G849" s="259"/>
      <c r="H849" s="259"/>
      <c r="I849" s="259"/>
      <c r="J849" s="262"/>
      <c r="K849" s="259"/>
      <c r="L849" s="259"/>
      <c r="M849" s="259"/>
      <c r="N849" s="259"/>
      <c r="O849" s="259"/>
      <c r="P849" s="259"/>
      <c r="Q849" s="259"/>
      <c r="R849" s="259"/>
      <c r="S849" s="259"/>
      <c r="T849" s="259"/>
      <c r="U849" s="259"/>
      <c r="V849" s="259"/>
      <c r="W849" s="259"/>
      <c r="X849" s="259"/>
      <c r="Y849" s="259"/>
      <c r="Z849" s="259"/>
    </row>
    <row r="850" customFormat="false" ht="12" hidden="false" customHeight="true" outlineLevel="0" collapsed="false">
      <c r="A850" s="259"/>
      <c r="B850" s="259"/>
      <c r="C850" s="259"/>
      <c r="D850" s="259"/>
      <c r="E850" s="259"/>
      <c r="F850" s="261"/>
      <c r="G850" s="259"/>
      <c r="H850" s="259"/>
      <c r="I850" s="259"/>
      <c r="J850" s="262"/>
      <c r="K850" s="259"/>
      <c r="L850" s="259"/>
      <c r="M850" s="259"/>
      <c r="N850" s="259"/>
      <c r="O850" s="259"/>
      <c r="P850" s="259"/>
      <c r="Q850" s="259"/>
      <c r="R850" s="259"/>
      <c r="S850" s="259"/>
      <c r="T850" s="259"/>
      <c r="U850" s="259"/>
      <c r="V850" s="259"/>
      <c r="W850" s="259"/>
      <c r="X850" s="259"/>
      <c r="Y850" s="259"/>
      <c r="Z850" s="259"/>
    </row>
    <row r="851" customFormat="false" ht="12" hidden="false" customHeight="true" outlineLevel="0" collapsed="false">
      <c r="A851" s="259"/>
      <c r="B851" s="259"/>
      <c r="C851" s="259"/>
      <c r="D851" s="259"/>
      <c r="E851" s="259"/>
      <c r="F851" s="261"/>
      <c r="G851" s="259"/>
      <c r="H851" s="259"/>
      <c r="I851" s="259"/>
      <c r="J851" s="262"/>
      <c r="K851" s="259"/>
      <c r="L851" s="259"/>
      <c r="M851" s="259"/>
      <c r="N851" s="259"/>
      <c r="O851" s="259"/>
      <c r="P851" s="259"/>
      <c r="Q851" s="259"/>
      <c r="R851" s="259"/>
      <c r="S851" s="259"/>
      <c r="T851" s="259"/>
      <c r="U851" s="259"/>
      <c r="V851" s="259"/>
      <c r="W851" s="259"/>
      <c r="X851" s="259"/>
      <c r="Y851" s="259"/>
      <c r="Z851" s="259"/>
    </row>
    <row r="852" customFormat="false" ht="12" hidden="false" customHeight="true" outlineLevel="0" collapsed="false">
      <c r="A852" s="259"/>
      <c r="B852" s="259"/>
      <c r="C852" s="259"/>
      <c r="D852" s="259"/>
      <c r="E852" s="259"/>
      <c r="F852" s="261"/>
      <c r="G852" s="259"/>
      <c r="H852" s="259"/>
      <c r="I852" s="259"/>
      <c r="J852" s="262"/>
      <c r="K852" s="259"/>
      <c r="L852" s="259"/>
      <c r="M852" s="259"/>
      <c r="N852" s="259"/>
      <c r="O852" s="259"/>
      <c r="P852" s="259"/>
      <c r="Q852" s="259"/>
      <c r="R852" s="259"/>
      <c r="S852" s="259"/>
      <c r="T852" s="259"/>
      <c r="U852" s="259"/>
      <c r="V852" s="259"/>
      <c r="W852" s="259"/>
      <c r="X852" s="259"/>
      <c r="Y852" s="259"/>
      <c r="Z852" s="259"/>
    </row>
    <row r="853" customFormat="false" ht="12" hidden="false" customHeight="true" outlineLevel="0" collapsed="false">
      <c r="A853" s="259"/>
      <c r="B853" s="259"/>
      <c r="C853" s="259"/>
      <c r="D853" s="259"/>
      <c r="E853" s="259"/>
      <c r="F853" s="261"/>
      <c r="G853" s="259"/>
      <c r="H853" s="259"/>
      <c r="I853" s="259"/>
      <c r="J853" s="262"/>
      <c r="K853" s="259"/>
      <c r="L853" s="259"/>
      <c r="M853" s="259"/>
      <c r="N853" s="259"/>
      <c r="O853" s="259"/>
      <c r="P853" s="259"/>
      <c r="Q853" s="259"/>
      <c r="R853" s="259"/>
      <c r="S853" s="259"/>
      <c r="T853" s="259"/>
      <c r="U853" s="259"/>
      <c r="V853" s="259"/>
      <c r="W853" s="259"/>
      <c r="X853" s="259"/>
      <c r="Y853" s="259"/>
      <c r="Z853" s="259"/>
    </row>
    <row r="854" customFormat="false" ht="12" hidden="false" customHeight="true" outlineLevel="0" collapsed="false">
      <c r="A854" s="259"/>
      <c r="B854" s="259"/>
      <c r="C854" s="259"/>
      <c r="D854" s="259"/>
      <c r="E854" s="259"/>
      <c r="F854" s="261"/>
      <c r="G854" s="259"/>
      <c r="H854" s="259"/>
      <c r="I854" s="259"/>
      <c r="J854" s="262"/>
      <c r="K854" s="259"/>
      <c r="L854" s="259"/>
      <c r="M854" s="259"/>
      <c r="N854" s="259"/>
      <c r="O854" s="259"/>
      <c r="P854" s="259"/>
      <c r="Q854" s="259"/>
      <c r="R854" s="259"/>
      <c r="S854" s="259"/>
      <c r="T854" s="259"/>
      <c r="U854" s="259"/>
      <c r="V854" s="259"/>
      <c r="W854" s="259"/>
      <c r="X854" s="259"/>
      <c r="Y854" s="259"/>
      <c r="Z854" s="259"/>
    </row>
    <row r="855" customFormat="false" ht="12" hidden="false" customHeight="true" outlineLevel="0" collapsed="false">
      <c r="A855" s="259"/>
      <c r="B855" s="259"/>
      <c r="C855" s="259"/>
      <c r="D855" s="259"/>
      <c r="E855" s="259"/>
      <c r="F855" s="261"/>
      <c r="G855" s="259"/>
      <c r="H855" s="259"/>
      <c r="I855" s="259"/>
      <c r="J855" s="262"/>
      <c r="K855" s="259"/>
      <c r="L855" s="259"/>
      <c r="M855" s="259"/>
      <c r="N855" s="259"/>
      <c r="O855" s="259"/>
      <c r="P855" s="259"/>
      <c r="Q855" s="259"/>
      <c r="R855" s="259"/>
      <c r="S855" s="259"/>
      <c r="T855" s="259"/>
      <c r="U855" s="259"/>
      <c r="V855" s="259"/>
      <c r="W855" s="259"/>
      <c r="X855" s="259"/>
      <c r="Y855" s="259"/>
      <c r="Z855" s="259"/>
    </row>
    <row r="856" customFormat="false" ht="12" hidden="false" customHeight="true" outlineLevel="0" collapsed="false">
      <c r="A856" s="259"/>
      <c r="B856" s="259"/>
      <c r="C856" s="259"/>
      <c r="D856" s="259"/>
      <c r="E856" s="259"/>
      <c r="F856" s="261"/>
      <c r="G856" s="259"/>
      <c r="H856" s="259"/>
      <c r="I856" s="259"/>
      <c r="J856" s="262"/>
      <c r="K856" s="259"/>
      <c r="L856" s="259"/>
      <c r="M856" s="259"/>
      <c r="N856" s="259"/>
      <c r="O856" s="259"/>
      <c r="P856" s="259"/>
      <c r="Q856" s="259"/>
      <c r="R856" s="259"/>
      <c r="S856" s="259"/>
      <c r="T856" s="259"/>
      <c r="U856" s="259"/>
      <c r="V856" s="259"/>
      <c r="W856" s="259"/>
      <c r="X856" s="259"/>
      <c r="Y856" s="259"/>
      <c r="Z856" s="259"/>
    </row>
    <row r="857" customFormat="false" ht="12" hidden="false" customHeight="true" outlineLevel="0" collapsed="false">
      <c r="A857" s="259"/>
      <c r="B857" s="259"/>
      <c r="C857" s="259"/>
      <c r="D857" s="259"/>
      <c r="E857" s="259"/>
      <c r="F857" s="261"/>
      <c r="G857" s="259"/>
      <c r="H857" s="259"/>
      <c r="I857" s="259"/>
      <c r="J857" s="262"/>
      <c r="K857" s="259"/>
      <c r="L857" s="259"/>
      <c r="M857" s="259"/>
      <c r="N857" s="259"/>
      <c r="O857" s="259"/>
      <c r="P857" s="259"/>
      <c r="Q857" s="259"/>
      <c r="R857" s="259"/>
      <c r="S857" s="259"/>
      <c r="T857" s="259"/>
      <c r="U857" s="259"/>
      <c r="V857" s="259"/>
      <c r="W857" s="259"/>
      <c r="X857" s="259"/>
      <c r="Y857" s="259"/>
      <c r="Z857" s="259"/>
    </row>
    <row r="858" customFormat="false" ht="12" hidden="false" customHeight="true" outlineLevel="0" collapsed="false">
      <c r="A858" s="259"/>
      <c r="B858" s="259"/>
      <c r="C858" s="259"/>
      <c r="D858" s="259"/>
      <c r="E858" s="259"/>
      <c r="F858" s="261"/>
      <c r="G858" s="259"/>
      <c r="H858" s="259"/>
      <c r="I858" s="259"/>
      <c r="J858" s="262"/>
      <c r="K858" s="259"/>
      <c r="L858" s="259"/>
      <c r="M858" s="259"/>
      <c r="N858" s="259"/>
      <c r="O858" s="259"/>
      <c r="P858" s="259"/>
      <c r="Q858" s="259"/>
      <c r="R858" s="259"/>
      <c r="S858" s="259"/>
      <c r="T858" s="259"/>
      <c r="U858" s="259"/>
      <c r="V858" s="259"/>
      <c r="W858" s="259"/>
      <c r="X858" s="259"/>
      <c r="Y858" s="259"/>
      <c r="Z858" s="259"/>
    </row>
    <row r="859" customFormat="false" ht="12" hidden="false" customHeight="true" outlineLevel="0" collapsed="false">
      <c r="A859" s="259"/>
      <c r="B859" s="259"/>
      <c r="C859" s="259"/>
      <c r="D859" s="259"/>
      <c r="E859" s="259"/>
      <c r="F859" s="261"/>
      <c r="G859" s="259"/>
      <c r="H859" s="259"/>
      <c r="I859" s="259"/>
      <c r="J859" s="262"/>
      <c r="K859" s="259"/>
      <c r="L859" s="259"/>
      <c r="M859" s="259"/>
      <c r="N859" s="259"/>
      <c r="O859" s="259"/>
      <c r="P859" s="259"/>
      <c r="Q859" s="259"/>
      <c r="R859" s="259"/>
      <c r="S859" s="259"/>
      <c r="T859" s="259"/>
      <c r="U859" s="259"/>
      <c r="V859" s="259"/>
      <c r="W859" s="259"/>
      <c r="X859" s="259"/>
      <c r="Y859" s="259"/>
      <c r="Z859" s="259"/>
    </row>
    <row r="860" customFormat="false" ht="12" hidden="false" customHeight="true" outlineLevel="0" collapsed="false">
      <c r="A860" s="259"/>
      <c r="B860" s="259"/>
      <c r="C860" s="259"/>
      <c r="D860" s="259"/>
      <c r="E860" s="259"/>
      <c r="F860" s="261"/>
      <c r="G860" s="259"/>
      <c r="H860" s="259"/>
      <c r="I860" s="259"/>
      <c r="J860" s="262"/>
      <c r="K860" s="259"/>
      <c r="L860" s="259"/>
      <c r="M860" s="259"/>
      <c r="N860" s="259"/>
      <c r="O860" s="259"/>
      <c r="P860" s="259"/>
      <c r="Q860" s="259"/>
      <c r="R860" s="259"/>
      <c r="S860" s="259"/>
      <c r="T860" s="259"/>
      <c r="U860" s="259"/>
      <c r="V860" s="259"/>
      <c r="W860" s="259"/>
      <c r="X860" s="259"/>
      <c r="Y860" s="259"/>
      <c r="Z860" s="259"/>
    </row>
    <row r="861" customFormat="false" ht="12" hidden="false" customHeight="true" outlineLevel="0" collapsed="false">
      <c r="A861" s="259"/>
      <c r="B861" s="259"/>
      <c r="C861" s="259"/>
      <c r="D861" s="259"/>
      <c r="E861" s="259"/>
      <c r="F861" s="261"/>
      <c r="G861" s="259"/>
      <c r="H861" s="259"/>
      <c r="I861" s="259"/>
      <c r="J861" s="262"/>
      <c r="K861" s="259"/>
      <c r="L861" s="259"/>
      <c r="M861" s="259"/>
      <c r="N861" s="259"/>
      <c r="O861" s="259"/>
      <c r="P861" s="259"/>
      <c r="Q861" s="259"/>
      <c r="R861" s="259"/>
      <c r="S861" s="259"/>
      <c r="T861" s="259"/>
      <c r="U861" s="259"/>
      <c r="V861" s="259"/>
      <c r="W861" s="259"/>
      <c r="X861" s="259"/>
      <c r="Y861" s="259"/>
      <c r="Z861" s="259"/>
    </row>
    <row r="862" customFormat="false" ht="12" hidden="false" customHeight="true" outlineLevel="0" collapsed="false">
      <c r="A862" s="259"/>
      <c r="B862" s="259"/>
      <c r="C862" s="259"/>
      <c r="D862" s="259"/>
      <c r="E862" s="259"/>
      <c r="F862" s="261"/>
      <c r="G862" s="259"/>
      <c r="H862" s="259"/>
      <c r="I862" s="259"/>
      <c r="J862" s="262"/>
      <c r="K862" s="259"/>
      <c r="L862" s="259"/>
      <c r="M862" s="259"/>
      <c r="N862" s="259"/>
      <c r="O862" s="259"/>
      <c r="P862" s="259"/>
      <c r="Q862" s="259"/>
      <c r="R862" s="259"/>
      <c r="S862" s="259"/>
      <c r="T862" s="259"/>
      <c r="U862" s="259"/>
      <c r="V862" s="259"/>
      <c r="W862" s="259"/>
      <c r="X862" s="259"/>
      <c r="Y862" s="259"/>
      <c r="Z862" s="259"/>
    </row>
    <row r="863" customFormat="false" ht="12" hidden="false" customHeight="true" outlineLevel="0" collapsed="false">
      <c r="A863" s="259"/>
      <c r="B863" s="259"/>
      <c r="C863" s="259"/>
      <c r="D863" s="259"/>
      <c r="E863" s="259"/>
      <c r="F863" s="261"/>
      <c r="G863" s="259"/>
      <c r="H863" s="259"/>
      <c r="I863" s="259"/>
      <c r="J863" s="262"/>
      <c r="K863" s="259"/>
      <c r="L863" s="259"/>
      <c r="M863" s="259"/>
      <c r="N863" s="259"/>
      <c r="O863" s="259"/>
      <c r="P863" s="259"/>
      <c r="Q863" s="259"/>
      <c r="R863" s="259"/>
      <c r="S863" s="259"/>
      <c r="T863" s="259"/>
      <c r="U863" s="259"/>
      <c r="V863" s="259"/>
      <c r="W863" s="259"/>
      <c r="X863" s="259"/>
      <c r="Y863" s="259"/>
      <c r="Z863" s="259"/>
    </row>
    <row r="864" customFormat="false" ht="12" hidden="false" customHeight="true" outlineLevel="0" collapsed="false">
      <c r="A864" s="259"/>
      <c r="B864" s="259"/>
      <c r="C864" s="259"/>
      <c r="D864" s="259"/>
      <c r="E864" s="259"/>
      <c r="F864" s="261"/>
      <c r="G864" s="259"/>
      <c r="H864" s="259"/>
      <c r="I864" s="259"/>
      <c r="J864" s="262"/>
      <c r="K864" s="259"/>
      <c r="L864" s="259"/>
      <c r="M864" s="259"/>
      <c r="N864" s="259"/>
      <c r="O864" s="259"/>
      <c r="P864" s="259"/>
      <c r="Q864" s="259"/>
      <c r="R864" s="259"/>
      <c r="S864" s="259"/>
      <c r="T864" s="259"/>
      <c r="U864" s="259"/>
      <c r="V864" s="259"/>
      <c r="W864" s="259"/>
      <c r="X864" s="259"/>
      <c r="Y864" s="259"/>
      <c r="Z864" s="259"/>
    </row>
    <row r="865" customFormat="false" ht="12" hidden="false" customHeight="true" outlineLevel="0" collapsed="false">
      <c r="A865" s="259"/>
      <c r="B865" s="259"/>
      <c r="C865" s="259"/>
      <c r="D865" s="259"/>
      <c r="E865" s="259"/>
      <c r="F865" s="261"/>
      <c r="G865" s="259"/>
      <c r="H865" s="259"/>
      <c r="I865" s="259"/>
      <c r="J865" s="262"/>
      <c r="K865" s="259"/>
      <c r="L865" s="259"/>
      <c r="M865" s="259"/>
      <c r="N865" s="259"/>
      <c r="O865" s="259"/>
      <c r="P865" s="259"/>
      <c r="Q865" s="259"/>
      <c r="R865" s="259"/>
      <c r="S865" s="259"/>
      <c r="T865" s="259"/>
      <c r="U865" s="259"/>
      <c r="V865" s="259"/>
      <c r="W865" s="259"/>
      <c r="X865" s="259"/>
      <c r="Y865" s="259"/>
      <c r="Z865" s="259"/>
    </row>
    <row r="866" customFormat="false" ht="12" hidden="false" customHeight="true" outlineLevel="0" collapsed="false">
      <c r="A866" s="259"/>
      <c r="B866" s="259"/>
      <c r="C866" s="259"/>
      <c r="D866" s="259"/>
      <c r="E866" s="259"/>
      <c r="F866" s="261"/>
      <c r="G866" s="259"/>
      <c r="H866" s="259"/>
      <c r="I866" s="259"/>
      <c r="J866" s="262"/>
      <c r="K866" s="259"/>
      <c r="L866" s="259"/>
      <c r="M866" s="259"/>
      <c r="N866" s="259"/>
      <c r="O866" s="259"/>
      <c r="P866" s="259"/>
      <c r="Q866" s="259"/>
      <c r="R866" s="259"/>
      <c r="S866" s="259"/>
      <c r="T866" s="259"/>
      <c r="U866" s="259"/>
      <c r="V866" s="259"/>
      <c r="W866" s="259"/>
      <c r="X866" s="259"/>
      <c r="Y866" s="259"/>
      <c r="Z866" s="259"/>
    </row>
    <row r="867" customFormat="false" ht="12" hidden="false" customHeight="true" outlineLevel="0" collapsed="false">
      <c r="A867" s="259"/>
      <c r="B867" s="259"/>
      <c r="C867" s="259"/>
      <c r="D867" s="259"/>
      <c r="E867" s="259"/>
      <c r="F867" s="261"/>
      <c r="G867" s="259"/>
      <c r="H867" s="259"/>
      <c r="I867" s="259"/>
      <c r="J867" s="262"/>
      <c r="K867" s="259"/>
      <c r="L867" s="259"/>
      <c r="M867" s="259"/>
      <c r="N867" s="259"/>
      <c r="O867" s="259"/>
      <c r="P867" s="259"/>
      <c r="Q867" s="259"/>
      <c r="R867" s="259"/>
      <c r="S867" s="259"/>
      <c r="T867" s="259"/>
      <c r="U867" s="259"/>
      <c r="V867" s="259"/>
      <c r="W867" s="259"/>
      <c r="X867" s="259"/>
      <c r="Y867" s="259"/>
      <c r="Z867" s="259"/>
    </row>
    <row r="868" customFormat="false" ht="12" hidden="false" customHeight="true" outlineLevel="0" collapsed="false">
      <c r="A868" s="259"/>
      <c r="B868" s="259"/>
      <c r="C868" s="259"/>
      <c r="D868" s="259"/>
      <c r="E868" s="259"/>
      <c r="F868" s="261"/>
      <c r="G868" s="259"/>
      <c r="H868" s="259"/>
      <c r="I868" s="259"/>
      <c r="J868" s="262"/>
      <c r="K868" s="259"/>
      <c r="L868" s="259"/>
      <c r="M868" s="259"/>
      <c r="N868" s="259"/>
      <c r="O868" s="259"/>
      <c r="P868" s="259"/>
      <c r="Q868" s="259"/>
      <c r="R868" s="259"/>
      <c r="S868" s="259"/>
      <c r="T868" s="259"/>
      <c r="U868" s="259"/>
      <c r="V868" s="259"/>
      <c r="W868" s="259"/>
      <c r="X868" s="259"/>
      <c r="Y868" s="259"/>
      <c r="Z868" s="259"/>
    </row>
    <row r="869" customFormat="false" ht="12" hidden="false" customHeight="true" outlineLevel="0" collapsed="false">
      <c r="A869" s="259"/>
      <c r="B869" s="259"/>
      <c r="C869" s="259"/>
      <c r="D869" s="259"/>
      <c r="E869" s="259"/>
      <c r="F869" s="261"/>
      <c r="G869" s="259"/>
      <c r="H869" s="259"/>
      <c r="I869" s="259"/>
      <c r="J869" s="262"/>
      <c r="K869" s="259"/>
      <c r="L869" s="259"/>
      <c r="M869" s="259"/>
      <c r="N869" s="259"/>
      <c r="O869" s="259"/>
      <c r="P869" s="259"/>
      <c r="Q869" s="259"/>
      <c r="R869" s="259"/>
      <c r="S869" s="259"/>
      <c r="T869" s="259"/>
      <c r="U869" s="259"/>
      <c r="V869" s="259"/>
      <c r="W869" s="259"/>
      <c r="X869" s="259"/>
      <c r="Y869" s="259"/>
      <c r="Z869" s="259"/>
    </row>
    <row r="870" customFormat="false" ht="12" hidden="false" customHeight="true" outlineLevel="0" collapsed="false">
      <c r="A870" s="259"/>
      <c r="B870" s="259"/>
      <c r="C870" s="259"/>
      <c r="D870" s="259"/>
      <c r="E870" s="259"/>
      <c r="F870" s="261"/>
      <c r="G870" s="259"/>
      <c r="H870" s="259"/>
      <c r="I870" s="259"/>
      <c r="J870" s="262"/>
      <c r="K870" s="259"/>
      <c r="L870" s="259"/>
      <c r="M870" s="259"/>
      <c r="N870" s="259"/>
      <c r="O870" s="259"/>
      <c r="P870" s="259"/>
      <c r="Q870" s="259"/>
      <c r="R870" s="259"/>
      <c r="S870" s="259"/>
      <c r="T870" s="259"/>
      <c r="U870" s="259"/>
      <c r="V870" s="259"/>
      <c r="W870" s="259"/>
      <c r="X870" s="259"/>
      <c r="Y870" s="259"/>
      <c r="Z870" s="259"/>
    </row>
    <row r="871" customFormat="false" ht="12" hidden="false" customHeight="true" outlineLevel="0" collapsed="false">
      <c r="A871" s="259"/>
      <c r="B871" s="259"/>
      <c r="C871" s="259"/>
      <c r="D871" s="259"/>
      <c r="E871" s="259"/>
      <c r="F871" s="261"/>
      <c r="G871" s="259"/>
      <c r="H871" s="259"/>
      <c r="I871" s="259"/>
      <c r="J871" s="262"/>
      <c r="K871" s="259"/>
      <c r="L871" s="259"/>
      <c r="M871" s="259"/>
      <c r="N871" s="259"/>
      <c r="O871" s="259"/>
      <c r="P871" s="259"/>
      <c r="Q871" s="259"/>
      <c r="R871" s="259"/>
      <c r="S871" s="259"/>
      <c r="T871" s="259"/>
      <c r="U871" s="259"/>
      <c r="V871" s="259"/>
      <c r="W871" s="259"/>
      <c r="X871" s="259"/>
      <c r="Y871" s="259"/>
      <c r="Z871" s="259"/>
    </row>
    <row r="872" customFormat="false" ht="12" hidden="false" customHeight="true" outlineLevel="0" collapsed="false">
      <c r="A872" s="259"/>
      <c r="B872" s="259"/>
      <c r="C872" s="259"/>
      <c r="D872" s="259"/>
      <c r="E872" s="259"/>
      <c r="F872" s="261"/>
      <c r="G872" s="259"/>
      <c r="H872" s="259"/>
      <c r="I872" s="259"/>
      <c r="J872" s="262"/>
      <c r="K872" s="259"/>
      <c r="L872" s="259"/>
      <c r="M872" s="259"/>
      <c r="N872" s="259"/>
      <c r="O872" s="259"/>
      <c r="P872" s="259"/>
      <c r="Q872" s="259"/>
      <c r="R872" s="259"/>
      <c r="S872" s="259"/>
      <c r="T872" s="259"/>
      <c r="U872" s="259"/>
      <c r="V872" s="259"/>
      <c r="W872" s="259"/>
      <c r="X872" s="259"/>
      <c r="Y872" s="259"/>
      <c r="Z872" s="259"/>
    </row>
    <row r="873" customFormat="false" ht="12" hidden="false" customHeight="true" outlineLevel="0" collapsed="false">
      <c r="A873" s="259"/>
      <c r="B873" s="259"/>
      <c r="C873" s="259"/>
      <c r="D873" s="259"/>
      <c r="E873" s="259"/>
      <c r="F873" s="261"/>
      <c r="G873" s="259"/>
      <c r="H873" s="259"/>
      <c r="I873" s="259"/>
      <c r="J873" s="262"/>
      <c r="K873" s="259"/>
      <c r="L873" s="259"/>
      <c r="M873" s="259"/>
      <c r="N873" s="259"/>
      <c r="O873" s="259"/>
      <c r="P873" s="259"/>
      <c r="Q873" s="259"/>
      <c r="R873" s="259"/>
      <c r="S873" s="259"/>
      <c r="T873" s="259"/>
      <c r="U873" s="259"/>
      <c r="V873" s="259"/>
      <c r="W873" s="259"/>
      <c r="X873" s="259"/>
      <c r="Y873" s="259"/>
      <c r="Z873" s="259"/>
    </row>
    <row r="874" customFormat="false" ht="12" hidden="false" customHeight="true" outlineLevel="0" collapsed="false">
      <c r="A874" s="259"/>
      <c r="B874" s="259"/>
      <c r="C874" s="259"/>
      <c r="D874" s="259"/>
      <c r="E874" s="259"/>
      <c r="F874" s="261"/>
      <c r="G874" s="259"/>
      <c r="H874" s="259"/>
      <c r="I874" s="259"/>
      <c r="J874" s="262"/>
      <c r="K874" s="259"/>
      <c r="L874" s="259"/>
      <c r="M874" s="259"/>
      <c r="N874" s="259"/>
      <c r="O874" s="259"/>
      <c r="P874" s="259"/>
      <c r="Q874" s="259"/>
      <c r="R874" s="259"/>
      <c r="S874" s="259"/>
      <c r="T874" s="259"/>
      <c r="U874" s="259"/>
      <c r="V874" s="259"/>
      <c r="W874" s="259"/>
      <c r="X874" s="259"/>
      <c r="Y874" s="259"/>
      <c r="Z874" s="259"/>
    </row>
    <row r="875" customFormat="false" ht="12" hidden="false" customHeight="true" outlineLevel="0" collapsed="false">
      <c r="A875" s="259"/>
      <c r="B875" s="259"/>
      <c r="C875" s="259"/>
      <c r="D875" s="259"/>
      <c r="E875" s="259"/>
      <c r="F875" s="261"/>
      <c r="G875" s="259"/>
      <c r="H875" s="259"/>
      <c r="I875" s="259"/>
      <c r="J875" s="262"/>
      <c r="K875" s="259"/>
      <c r="L875" s="259"/>
      <c r="M875" s="259"/>
      <c r="N875" s="259"/>
      <c r="O875" s="259"/>
      <c r="P875" s="259"/>
      <c r="Q875" s="259"/>
      <c r="R875" s="259"/>
      <c r="S875" s="259"/>
      <c r="T875" s="259"/>
      <c r="U875" s="259"/>
      <c r="V875" s="259"/>
      <c r="W875" s="259"/>
      <c r="X875" s="259"/>
      <c r="Y875" s="259"/>
      <c r="Z875" s="259"/>
    </row>
    <row r="876" customFormat="false" ht="12" hidden="false" customHeight="true" outlineLevel="0" collapsed="false">
      <c r="A876" s="259"/>
      <c r="B876" s="259"/>
      <c r="C876" s="259"/>
      <c r="D876" s="259"/>
      <c r="E876" s="259"/>
      <c r="F876" s="261"/>
      <c r="G876" s="259"/>
      <c r="H876" s="259"/>
      <c r="I876" s="259"/>
      <c r="J876" s="262"/>
      <c r="K876" s="259"/>
      <c r="L876" s="259"/>
      <c r="M876" s="259"/>
      <c r="N876" s="259"/>
      <c r="O876" s="259"/>
      <c r="P876" s="259"/>
      <c r="Q876" s="259"/>
      <c r="R876" s="259"/>
      <c r="S876" s="259"/>
      <c r="T876" s="259"/>
      <c r="U876" s="259"/>
      <c r="V876" s="259"/>
      <c r="W876" s="259"/>
      <c r="X876" s="259"/>
      <c r="Y876" s="259"/>
      <c r="Z876" s="259"/>
    </row>
    <row r="877" customFormat="false" ht="12" hidden="false" customHeight="true" outlineLevel="0" collapsed="false">
      <c r="A877" s="259"/>
      <c r="B877" s="259"/>
      <c r="C877" s="259"/>
      <c r="D877" s="259"/>
      <c r="E877" s="259"/>
      <c r="F877" s="261"/>
      <c r="G877" s="259"/>
      <c r="H877" s="259"/>
      <c r="I877" s="259"/>
      <c r="J877" s="262"/>
      <c r="K877" s="259"/>
      <c r="L877" s="259"/>
      <c r="M877" s="259"/>
      <c r="N877" s="259"/>
      <c r="O877" s="259"/>
      <c r="P877" s="259"/>
      <c r="Q877" s="259"/>
      <c r="R877" s="259"/>
      <c r="S877" s="259"/>
      <c r="T877" s="259"/>
      <c r="U877" s="259"/>
      <c r="V877" s="259"/>
      <c r="W877" s="259"/>
      <c r="X877" s="259"/>
      <c r="Y877" s="259"/>
      <c r="Z877" s="259"/>
    </row>
    <row r="878" customFormat="false" ht="12" hidden="false" customHeight="true" outlineLevel="0" collapsed="false">
      <c r="A878" s="259"/>
      <c r="B878" s="259"/>
      <c r="C878" s="259"/>
      <c r="D878" s="259"/>
      <c r="E878" s="259"/>
      <c r="F878" s="261"/>
      <c r="G878" s="259"/>
      <c r="H878" s="259"/>
      <c r="I878" s="259"/>
      <c r="J878" s="262"/>
      <c r="K878" s="259"/>
      <c r="L878" s="259"/>
      <c r="M878" s="259"/>
      <c r="N878" s="259"/>
      <c r="O878" s="259"/>
      <c r="P878" s="259"/>
      <c r="Q878" s="259"/>
      <c r="R878" s="259"/>
      <c r="S878" s="259"/>
      <c r="T878" s="259"/>
      <c r="U878" s="259"/>
      <c r="V878" s="259"/>
      <c r="W878" s="259"/>
      <c r="X878" s="259"/>
      <c r="Y878" s="259"/>
      <c r="Z878" s="259"/>
    </row>
    <row r="879" customFormat="false" ht="12" hidden="false" customHeight="true" outlineLevel="0" collapsed="false">
      <c r="A879" s="259"/>
      <c r="B879" s="259"/>
      <c r="C879" s="259"/>
      <c r="D879" s="259"/>
      <c r="E879" s="259"/>
      <c r="F879" s="261"/>
      <c r="G879" s="259"/>
      <c r="H879" s="259"/>
      <c r="I879" s="259"/>
      <c r="J879" s="262"/>
      <c r="K879" s="259"/>
      <c r="L879" s="259"/>
      <c r="M879" s="259"/>
      <c r="N879" s="259"/>
      <c r="O879" s="259"/>
      <c r="P879" s="259"/>
      <c r="Q879" s="259"/>
      <c r="R879" s="259"/>
      <c r="S879" s="259"/>
      <c r="T879" s="259"/>
      <c r="U879" s="259"/>
      <c r="V879" s="259"/>
      <c r="W879" s="259"/>
      <c r="X879" s="259"/>
      <c r="Y879" s="259"/>
      <c r="Z879" s="259"/>
    </row>
    <row r="880" customFormat="false" ht="12" hidden="false" customHeight="true" outlineLevel="0" collapsed="false">
      <c r="A880" s="259"/>
      <c r="B880" s="259"/>
      <c r="C880" s="259"/>
      <c r="D880" s="259"/>
      <c r="E880" s="259"/>
      <c r="F880" s="261"/>
      <c r="G880" s="259"/>
      <c r="H880" s="259"/>
      <c r="I880" s="259"/>
      <c r="J880" s="262"/>
      <c r="K880" s="259"/>
      <c r="L880" s="259"/>
      <c r="M880" s="259"/>
      <c r="N880" s="259"/>
      <c r="O880" s="259"/>
      <c r="P880" s="259"/>
      <c r="Q880" s="259"/>
      <c r="R880" s="259"/>
      <c r="S880" s="259"/>
      <c r="T880" s="259"/>
      <c r="U880" s="259"/>
      <c r="V880" s="259"/>
      <c r="W880" s="259"/>
      <c r="X880" s="259"/>
      <c r="Y880" s="259"/>
      <c r="Z880" s="259"/>
    </row>
    <row r="881" customFormat="false" ht="12" hidden="false" customHeight="true" outlineLevel="0" collapsed="false">
      <c r="A881" s="259"/>
      <c r="B881" s="259"/>
      <c r="C881" s="259"/>
      <c r="D881" s="259"/>
      <c r="E881" s="259"/>
      <c r="F881" s="261"/>
      <c r="G881" s="259"/>
      <c r="H881" s="259"/>
      <c r="I881" s="259"/>
      <c r="J881" s="262"/>
      <c r="K881" s="259"/>
      <c r="L881" s="259"/>
      <c r="M881" s="259"/>
      <c r="N881" s="259"/>
      <c r="O881" s="259"/>
      <c r="P881" s="259"/>
      <c r="Q881" s="259"/>
      <c r="R881" s="259"/>
      <c r="S881" s="259"/>
      <c r="T881" s="259"/>
      <c r="U881" s="259"/>
      <c r="V881" s="259"/>
      <c r="W881" s="259"/>
      <c r="X881" s="259"/>
      <c r="Y881" s="259"/>
      <c r="Z881" s="259"/>
    </row>
    <row r="882" customFormat="false" ht="12" hidden="false" customHeight="true" outlineLevel="0" collapsed="false">
      <c r="A882" s="259"/>
      <c r="B882" s="259"/>
      <c r="C882" s="259"/>
      <c r="D882" s="259"/>
      <c r="E882" s="259"/>
      <c r="F882" s="261"/>
      <c r="G882" s="259"/>
      <c r="H882" s="259"/>
      <c r="I882" s="259"/>
      <c r="J882" s="262"/>
      <c r="K882" s="259"/>
      <c r="L882" s="259"/>
      <c r="M882" s="259"/>
      <c r="N882" s="259"/>
      <c r="O882" s="259"/>
      <c r="P882" s="259"/>
      <c r="Q882" s="259"/>
      <c r="R882" s="259"/>
      <c r="S882" s="259"/>
      <c r="T882" s="259"/>
      <c r="U882" s="259"/>
      <c r="V882" s="259"/>
      <c r="W882" s="259"/>
      <c r="X882" s="259"/>
      <c r="Y882" s="259"/>
      <c r="Z882" s="259"/>
    </row>
    <row r="883" customFormat="false" ht="12" hidden="false" customHeight="true" outlineLevel="0" collapsed="false">
      <c r="A883" s="259"/>
      <c r="B883" s="259"/>
      <c r="C883" s="259"/>
      <c r="D883" s="259"/>
      <c r="E883" s="259"/>
      <c r="F883" s="261"/>
      <c r="G883" s="259"/>
      <c r="H883" s="259"/>
      <c r="I883" s="259"/>
      <c r="J883" s="262"/>
      <c r="K883" s="259"/>
      <c r="L883" s="259"/>
      <c r="M883" s="259"/>
      <c r="N883" s="259"/>
      <c r="O883" s="259"/>
      <c r="P883" s="259"/>
      <c r="Q883" s="259"/>
      <c r="R883" s="259"/>
      <c r="S883" s="259"/>
      <c r="T883" s="259"/>
      <c r="U883" s="259"/>
      <c r="V883" s="259"/>
      <c r="W883" s="259"/>
      <c r="X883" s="259"/>
      <c r="Y883" s="259"/>
      <c r="Z883" s="259"/>
    </row>
    <row r="884" customFormat="false" ht="12" hidden="false" customHeight="true" outlineLevel="0" collapsed="false">
      <c r="A884" s="259"/>
      <c r="B884" s="259"/>
      <c r="C884" s="259"/>
      <c r="D884" s="259"/>
      <c r="E884" s="259"/>
      <c r="F884" s="261"/>
      <c r="G884" s="259"/>
      <c r="H884" s="259"/>
      <c r="I884" s="259"/>
      <c r="J884" s="262"/>
      <c r="K884" s="259"/>
      <c r="L884" s="259"/>
      <c r="M884" s="259"/>
      <c r="N884" s="259"/>
      <c r="O884" s="259"/>
      <c r="P884" s="259"/>
      <c r="Q884" s="259"/>
      <c r="R884" s="259"/>
      <c r="S884" s="259"/>
      <c r="T884" s="259"/>
      <c r="U884" s="259"/>
      <c r="V884" s="259"/>
      <c r="W884" s="259"/>
      <c r="X884" s="259"/>
      <c r="Y884" s="259"/>
      <c r="Z884" s="259"/>
    </row>
    <row r="885" customFormat="false" ht="12" hidden="false" customHeight="true" outlineLevel="0" collapsed="false">
      <c r="A885" s="259"/>
      <c r="B885" s="259"/>
      <c r="C885" s="259"/>
      <c r="D885" s="259"/>
      <c r="E885" s="259"/>
      <c r="F885" s="261"/>
      <c r="G885" s="259"/>
      <c r="H885" s="259"/>
      <c r="I885" s="259"/>
      <c r="J885" s="262"/>
      <c r="K885" s="259"/>
      <c r="L885" s="259"/>
      <c r="M885" s="259"/>
      <c r="N885" s="259"/>
      <c r="O885" s="259"/>
      <c r="P885" s="259"/>
      <c r="Q885" s="259"/>
      <c r="R885" s="259"/>
      <c r="S885" s="259"/>
      <c r="T885" s="259"/>
      <c r="U885" s="259"/>
      <c r="V885" s="259"/>
      <c r="W885" s="259"/>
      <c r="X885" s="259"/>
      <c r="Y885" s="259"/>
      <c r="Z885" s="259"/>
    </row>
    <row r="886" customFormat="false" ht="12" hidden="false" customHeight="true" outlineLevel="0" collapsed="false">
      <c r="A886" s="259"/>
      <c r="B886" s="259"/>
      <c r="C886" s="259"/>
      <c r="D886" s="259"/>
      <c r="E886" s="259"/>
      <c r="F886" s="261"/>
      <c r="G886" s="259"/>
      <c r="H886" s="259"/>
      <c r="I886" s="259"/>
      <c r="J886" s="262"/>
      <c r="K886" s="259"/>
      <c r="L886" s="259"/>
      <c r="M886" s="259"/>
      <c r="N886" s="259"/>
      <c r="O886" s="259"/>
      <c r="P886" s="259"/>
      <c r="Q886" s="259"/>
      <c r="R886" s="259"/>
      <c r="S886" s="259"/>
      <c r="T886" s="259"/>
      <c r="U886" s="259"/>
      <c r="V886" s="259"/>
      <c r="W886" s="259"/>
      <c r="X886" s="259"/>
      <c r="Y886" s="259"/>
      <c r="Z886" s="259"/>
    </row>
    <row r="887" customFormat="false" ht="12" hidden="false" customHeight="true" outlineLevel="0" collapsed="false">
      <c r="A887" s="259"/>
      <c r="B887" s="259"/>
      <c r="C887" s="259"/>
      <c r="D887" s="259"/>
      <c r="E887" s="259"/>
      <c r="F887" s="261"/>
      <c r="G887" s="259"/>
      <c r="H887" s="259"/>
      <c r="I887" s="259"/>
      <c r="J887" s="262"/>
      <c r="K887" s="259"/>
      <c r="L887" s="259"/>
      <c r="M887" s="259"/>
      <c r="N887" s="259"/>
      <c r="O887" s="259"/>
      <c r="P887" s="259"/>
      <c r="Q887" s="259"/>
      <c r="R887" s="259"/>
      <c r="S887" s="259"/>
      <c r="T887" s="259"/>
      <c r="U887" s="259"/>
      <c r="V887" s="259"/>
      <c r="W887" s="259"/>
      <c r="X887" s="259"/>
      <c r="Y887" s="259"/>
      <c r="Z887" s="259"/>
    </row>
    <row r="888" customFormat="false" ht="12" hidden="false" customHeight="true" outlineLevel="0" collapsed="false">
      <c r="A888" s="259"/>
      <c r="B888" s="259"/>
      <c r="C888" s="259"/>
      <c r="D888" s="259"/>
      <c r="E888" s="259"/>
      <c r="F888" s="261"/>
      <c r="G888" s="259"/>
      <c r="H888" s="259"/>
      <c r="I888" s="259"/>
      <c r="J888" s="262"/>
      <c r="K888" s="259"/>
      <c r="L888" s="259"/>
      <c r="M888" s="259"/>
      <c r="N888" s="259"/>
      <c r="O888" s="259"/>
      <c r="P888" s="259"/>
      <c r="Q888" s="259"/>
      <c r="R888" s="259"/>
      <c r="S888" s="259"/>
      <c r="T888" s="259"/>
      <c r="U888" s="259"/>
      <c r="V888" s="259"/>
      <c r="W888" s="259"/>
      <c r="X888" s="259"/>
      <c r="Y888" s="259"/>
      <c r="Z888" s="259"/>
    </row>
    <row r="889" customFormat="false" ht="12" hidden="false" customHeight="true" outlineLevel="0" collapsed="false">
      <c r="A889" s="259"/>
      <c r="B889" s="259"/>
      <c r="C889" s="259"/>
      <c r="D889" s="259"/>
      <c r="E889" s="259"/>
      <c r="F889" s="261"/>
      <c r="G889" s="259"/>
      <c r="H889" s="259"/>
      <c r="I889" s="259"/>
      <c r="J889" s="262"/>
      <c r="K889" s="259"/>
      <c r="L889" s="259"/>
      <c r="M889" s="259"/>
      <c r="N889" s="259"/>
      <c r="O889" s="259"/>
      <c r="P889" s="259"/>
      <c r="Q889" s="259"/>
      <c r="R889" s="259"/>
      <c r="S889" s="259"/>
      <c r="T889" s="259"/>
      <c r="U889" s="259"/>
      <c r="V889" s="259"/>
      <c r="W889" s="259"/>
      <c r="X889" s="259"/>
      <c r="Y889" s="259"/>
      <c r="Z889" s="259"/>
    </row>
    <row r="890" customFormat="false" ht="12" hidden="false" customHeight="true" outlineLevel="0" collapsed="false">
      <c r="A890" s="259"/>
      <c r="B890" s="259"/>
      <c r="C890" s="259"/>
      <c r="D890" s="259"/>
      <c r="E890" s="259"/>
      <c r="F890" s="261"/>
      <c r="G890" s="259"/>
      <c r="H890" s="259"/>
      <c r="I890" s="259"/>
      <c r="J890" s="262"/>
      <c r="K890" s="259"/>
      <c r="L890" s="259"/>
      <c r="M890" s="259"/>
      <c r="N890" s="259"/>
      <c r="O890" s="259"/>
      <c r="P890" s="259"/>
      <c r="Q890" s="259"/>
      <c r="R890" s="259"/>
      <c r="S890" s="259"/>
      <c r="T890" s="259"/>
      <c r="U890" s="259"/>
      <c r="V890" s="259"/>
      <c r="W890" s="259"/>
      <c r="X890" s="259"/>
      <c r="Y890" s="259"/>
      <c r="Z890" s="259"/>
    </row>
    <row r="891" customFormat="false" ht="12" hidden="false" customHeight="true" outlineLevel="0" collapsed="false">
      <c r="A891" s="259"/>
      <c r="B891" s="259"/>
      <c r="C891" s="259"/>
      <c r="D891" s="259"/>
      <c r="E891" s="259"/>
      <c r="F891" s="261"/>
      <c r="G891" s="259"/>
      <c r="H891" s="259"/>
      <c r="I891" s="259"/>
      <c r="J891" s="262"/>
      <c r="K891" s="259"/>
      <c r="L891" s="259"/>
      <c r="M891" s="259"/>
      <c r="N891" s="259"/>
      <c r="O891" s="259"/>
      <c r="P891" s="259"/>
      <c r="Q891" s="259"/>
      <c r="R891" s="259"/>
      <c r="S891" s="259"/>
      <c r="T891" s="259"/>
      <c r="U891" s="259"/>
      <c r="V891" s="259"/>
      <c r="W891" s="259"/>
      <c r="X891" s="259"/>
      <c r="Y891" s="259"/>
      <c r="Z891" s="259"/>
    </row>
    <row r="892" customFormat="false" ht="12" hidden="false" customHeight="true" outlineLevel="0" collapsed="false">
      <c r="A892" s="259"/>
      <c r="B892" s="259"/>
      <c r="C892" s="259"/>
      <c r="D892" s="259"/>
      <c r="E892" s="259"/>
      <c r="F892" s="261"/>
      <c r="G892" s="259"/>
      <c r="H892" s="259"/>
      <c r="I892" s="259"/>
      <c r="J892" s="262"/>
      <c r="K892" s="259"/>
      <c r="L892" s="259"/>
      <c r="M892" s="259"/>
      <c r="N892" s="259"/>
      <c r="O892" s="259"/>
      <c r="P892" s="259"/>
      <c r="Q892" s="259"/>
      <c r="R892" s="259"/>
      <c r="S892" s="259"/>
      <c r="T892" s="259"/>
      <c r="U892" s="259"/>
      <c r="V892" s="259"/>
      <c r="W892" s="259"/>
      <c r="X892" s="259"/>
      <c r="Y892" s="259"/>
      <c r="Z892" s="259"/>
    </row>
    <row r="893" customFormat="false" ht="12" hidden="false" customHeight="true" outlineLevel="0" collapsed="false">
      <c r="A893" s="259"/>
      <c r="B893" s="259"/>
      <c r="C893" s="259"/>
      <c r="D893" s="259"/>
      <c r="E893" s="259"/>
      <c r="F893" s="261"/>
      <c r="G893" s="259"/>
      <c r="H893" s="259"/>
      <c r="I893" s="259"/>
      <c r="J893" s="262"/>
      <c r="K893" s="259"/>
      <c r="L893" s="259"/>
      <c r="M893" s="259"/>
      <c r="N893" s="259"/>
      <c r="O893" s="259"/>
      <c r="P893" s="259"/>
      <c r="Q893" s="259"/>
      <c r="R893" s="259"/>
      <c r="S893" s="259"/>
      <c r="T893" s="259"/>
      <c r="U893" s="259"/>
      <c r="V893" s="259"/>
      <c r="W893" s="259"/>
      <c r="X893" s="259"/>
      <c r="Y893" s="259"/>
      <c r="Z893" s="259"/>
    </row>
    <row r="894" customFormat="false" ht="12" hidden="false" customHeight="true" outlineLevel="0" collapsed="false">
      <c r="A894" s="259"/>
      <c r="B894" s="259"/>
      <c r="C894" s="259"/>
      <c r="D894" s="259"/>
      <c r="E894" s="259"/>
      <c r="F894" s="261"/>
      <c r="G894" s="259"/>
      <c r="H894" s="259"/>
      <c r="I894" s="259"/>
      <c r="J894" s="262"/>
      <c r="K894" s="259"/>
      <c r="L894" s="259"/>
      <c r="M894" s="259"/>
      <c r="N894" s="259"/>
      <c r="O894" s="259"/>
      <c r="P894" s="259"/>
      <c r="Q894" s="259"/>
      <c r="R894" s="259"/>
      <c r="S894" s="259"/>
      <c r="T894" s="259"/>
      <c r="U894" s="259"/>
      <c r="V894" s="259"/>
      <c r="W894" s="259"/>
      <c r="X894" s="259"/>
      <c r="Y894" s="259"/>
      <c r="Z894" s="259"/>
    </row>
    <row r="895" customFormat="false" ht="12" hidden="false" customHeight="true" outlineLevel="0" collapsed="false">
      <c r="A895" s="259"/>
      <c r="B895" s="259"/>
      <c r="C895" s="259"/>
      <c r="D895" s="259"/>
      <c r="E895" s="259"/>
      <c r="F895" s="261"/>
      <c r="G895" s="259"/>
      <c r="H895" s="259"/>
      <c r="I895" s="259"/>
      <c r="J895" s="262"/>
      <c r="K895" s="259"/>
      <c r="L895" s="259"/>
      <c r="M895" s="259"/>
      <c r="N895" s="259"/>
      <c r="O895" s="259"/>
      <c r="P895" s="259"/>
      <c r="Q895" s="259"/>
      <c r="R895" s="259"/>
      <c r="S895" s="259"/>
      <c r="T895" s="259"/>
      <c r="U895" s="259"/>
      <c r="V895" s="259"/>
      <c r="W895" s="259"/>
      <c r="X895" s="259"/>
      <c r="Y895" s="259"/>
      <c r="Z895" s="259"/>
    </row>
    <row r="896" customFormat="false" ht="12" hidden="false" customHeight="true" outlineLevel="0" collapsed="false">
      <c r="A896" s="259"/>
      <c r="B896" s="259"/>
      <c r="C896" s="259"/>
      <c r="D896" s="259"/>
      <c r="E896" s="259"/>
      <c r="F896" s="261"/>
      <c r="G896" s="259"/>
      <c r="H896" s="259"/>
      <c r="I896" s="259"/>
      <c r="J896" s="262"/>
      <c r="K896" s="259"/>
      <c r="L896" s="259"/>
      <c r="M896" s="259"/>
      <c r="N896" s="259"/>
      <c r="O896" s="259"/>
      <c r="P896" s="259"/>
      <c r="Q896" s="259"/>
      <c r="R896" s="259"/>
      <c r="S896" s="259"/>
      <c r="T896" s="259"/>
      <c r="U896" s="259"/>
      <c r="V896" s="259"/>
      <c r="W896" s="259"/>
      <c r="X896" s="259"/>
      <c r="Y896" s="259"/>
      <c r="Z896" s="259"/>
    </row>
    <row r="897" customFormat="false" ht="12" hidden="false" customHeight="true" outlineLevel="0" collapsed="false">
      <c r="A897" s="259"/>
      <c r="B897" s="259"/>
      <c r="C897" s="259"/>
      <c r="D897" s="259"/>
      <c r="E897" s="259"/>
      <c r="F897" s="261"/>
      <c r="G897" s="259"/>
      <c r="H897" s="259"/>
      <c r="I897" s="259"/>
      <c r="J897" s="262"/>
      <c r="K897" s="259"/>
      <c r="L897" s="259"/>
      <c r="M897" s="259"/>
      <c r="N897" s="259"/>
      <c r="O897" s="259"/>
      <c r="P897" s="259"/>
      <c r="Q897" s="259"/>
      <c r="R897" s="259"/>
      <c r="S897" s="259"/>
      <c r="T897" s="259"/>
      <c r="U897" s="259"/>
      <c r="V897" s="259"/>
      <c r="W897" s="259"/>
      <c r="X897" s="259"/>
      <c r="Y897" s="259"/>
      <c r="Z897" s="259"/>
    </row>
    <row r="898" customFormat="false" ht="12" hidden="false" customHeight="true" outlineLevel="0" collapsed="false">
      <c r="A898" s="259"/>
      <c r="B898" s="259"/>
      <c r="C898" s="259"/>
      <c r="D898" s="259"/>
      <c r="E898" s="259"/>
      <c r="F898" s="261"/>
      <c r="G898" s="259"/>
      <c r="H898" s="259"/>
      <c r="I898" s="259"/>
      <c r="J898" s="262"/>
      <c r="K898" s="259"/>
      <c r="L898" s="259"/>
      <c r="M898" s="259"/>
      <c r="N898" s="259"/>
      <c r="O898" s="259"/>
      <c r="P898" s="259"/>
      <c r="Q898" s="259"/>
      <c r="R898" s="259"/>
      <c r="S898" s="259"/>
      <c r="T898" s="259"/>
      <c r="U898" s="259"/>
      <c r="V898" s="259"/>
      <c r="W898" s="259"/>
      <c r="X898" s="259"/>
      <c r="Y898" s="259"/>
      <c r="Z898" s="259"/>
    </row>
    <row r="899" customFormat="false" ht="12" hidden="false" customHeight="true" outlineLevel="0" collapsed="false">
      <c r="A899" s="259"/>
      <c r="B899" s="259"/>
      <c r="C899" s="259"/>
      <c r="D899" s="259"/>
      <c r="E899" s="259"/>
      <c r="F899" s="261"/>
      <c r="G899" s="259"/>
      <c r="H899" s="259"/>
      <c r="I899" s="259"/>
      <c r="J899" s="262"/>
      <c r="K899" s="259"/>
      <c r="L899" s="259"/>
      <c r="M899" s="259"/>
      <c r="N899" s="259"/>
      <c r="O899" s="259"/>
      <c r="P899" s="259"/>
      <c r="Q899" s="259"/>
      <c r="R899" s="259"/>
      <c r="S899" s="259"/>
      <c r="T899" s="259"/>
      <c r="U899" s="259"/>
      <c r="V899" s="259"/>
      <c r="W899" s="259"/>
      <c r="X899" s="259"/>
      <c r="Y899" s="259"/>
      <c r="Z899" s="259"/>
    </row>
    <row r="900" customFormat="false" ht="12" hidden="false" customHeight="true" outlineLevel="0" collapsed="false">
      <c r="A900" s="259"/>
      <c r="B900" s="259"/>
      <c r="C900" s="259"/>
      <c r="D900" s="259"/>
      <c r="E900" s="259"/>
      <c r="F900" s="261"/>
      <c r="G900" s="259"/>
      <c r="H900" s="259"/>
      <c r="I900" s="259"/>
      <c r="J900" s="262"/>
      <c r="K900" s="259"/>
      <c r="L900" s="259"/>
      <c r="M900" s="259"/>
      <c r="N900" s="259"/>
      <c r="O900" s="259"/>
      <c r="P900" s="259"/>
      <c r="Q900" s="259"/>
      <c r="R900" s="259"/>
      <c r="S900" s="259"/>
      <c r="T900" s="259"/>
      <c r="U900" s="259"/>
      <c r="V900" s="259"/>
      <c r="W900" s="259"/>
      <c r="X900" s="259"/>
      <c r="Y900" s="259"/>
      <c r="Z900" s="259"/>
    </row>
    <row r="901" customFormat="false" ht="12" hidden="false" customHeight="true" outlineLevel="0" collapsed="false">
      <c r="A901" s="259"/>
      <c r="B901" s="259"/>
      <c r="C901" s="259"/>
      <c r="D901" s="259"/>
      <c r="E901" s="259"/>
      <c r="F901" s="261"/>
      <c r="G901" s="259"/>
      <c r="H901" s="259"/>
      <c r="I901" s="259"/>
      <c r="J901" s="262"/>
      <c r="K901" s="259"/>
      <c r="L901" s="259"/>
      <c r="M901" s="259"/>
      <c r="N901" s="259"/>
      <c r="O901" s="259"/>
      <c r="P901" s="259"/>
      <c r="Q901" s="259"/>
      <c r="R901" s="259"/>
      <c r="S901" s="259"/>
      <c r="T901" s="259"/>
      <c r="U901" s="259"/>
      <c r="V901" s="259"/>
      <c r="W901" s="259"/>
      <c r="X901" s="259"/>
      <c r="Y901" s="259"/>
      <c r="Z901" s="259"/>
    </row>
    <row r="902" customFormat="false" ht="12" hidden="false" customHeight="true" outlineLevel="0" collapsed="false">
      <c r="A902" s="259"/>
      <c r="B902" s="259"/>
      <c r="C902" s="259"/>
      <c r="D902" s="259"/>
      <c r="E902" s="259"/>
      <c r="F902" s="261"/>
      <c r="G902" s="259"/>
      <c r="H902" s="259"/>
      <c r="I902" s="259"/>
      <c r="J902" s="262"/>
      <c r="K902" s="259"/>
      <c r="L902" s="259"/>
      <c r="M902" s="259"/>
      <c r="N902" s="259"/>
      <c r="O902" s="259"/>
      <c r="P902" s="259"/>
      <c r="Q902" s="259"/>
      <c r="R902" s="259"/>
      <c r="S902" s="259"/>
      <c r="T902" s="259"/>
      <c r="U902" s="259"/>
      <c r="V902" s="259"/>
      <c r="W902" s="259"/>
      <c r="X902" s="259"/>
      <c r="Y902" s="259"/>
      <c r="Z902" s="259"/>
    </row>
    <row r="903" customFormat="false" ht="12" hidden="false" customHeight="true" outlineLevel="0" collapsed="false">
      <c r="A903" s="259"/>
      <c r="B903" s="259"/>
      <c r="C903" s="259"/>
      <c r="D903" s="259"/>
      <c r="E903" s="259"/>
      <c r="F903" s="261"/>
      <c r="G903" s="259"/>
      <c r="H903" s="259"/>
      <c r="I903" s="259"/>
      <c r="J903" s="262"/>
      <c r="K903" s="259"/>
      <c r="L903" s="259"/>
      <c r="M903" s="259"/>
      <c r="N903" s="259"/>
      <c r="O903" s="259"/>
      <c r="P903" s="259"/>
      <c r="Q903" s="259"/>
      <c r="R903" s="259"/>
      <c r="S903" s="259"/>
      <c r="T903" s="259"/>
      <c r="U903" s="259"/>
      <c r="V903" s="259"/>
      <c r="W903" s="259"/>
      <c r="X903" s="259"/>
      <c r="Y903" s="259"/>
      <c r="Z903" s="259"/>
    </row>
    <row r="904" customFormat="false" ht="12" hidden="false" customHeight="true" outlineLevel="0" collapsed="false">
      <c r="A904" s="259"/>
      <c r="B904" s="259"/>
      <c r="C904" s="259"/>
      <c r="D904" s="259"/>
      <c r="E904" s="259"/>
      <c r="F904" s="261"/>
      <c r="G904" s="259"/>
      <c r="H904" s="259"/>
      <c r="I904" s="259"/>
      <c r="J904" s="262"/>
      <c r="K904" s="259"/>
      <c r="L904" s="259"/>
      <c r="M904" s="259"/>
      <c r="N904" s="259"/>
      <c r="O904" s="259"/>
      <c r="P904" s="259"/>
      <c r="Q904" s="259"/>
      <c r="R904" s="259"/>
      <c r="S904" s="259"/>
      <c r="T904" s="259"/>
      <c r="U904" s="259"/>
      <c r="V904" s="259"/>
      <c r="W904" s="259"/>
      <c r="X904" s="259"/>
      <c r="Y904" s="259"/>
      <c r="Z904" s="259"/>
    </row>
    <row r="905" customFormat="false" ht="12" hidden="false" customHeight="true" outlineLevel="0" collapsed="false">
      <c r="A905" s="259"/>
      <c r="B905" s="259"/>
      <c r="C905" s="259"/>
      <c r="D905" s="259"/>
      <c r="E905" s="259"/>
      <c r="F905" s="261"/>
      <c r="G905" s="259"/>
      <c r="H905" s="259"/>
      <c r="I905" s="259"/>
      <c r="J905" s="262"/>
      <c r="K905" s="259"/>
      <c r="L905" s="259"/>
      <c r="M905" s="259"/>
      <c r="N905" s="259"/>
      <c r="O905" s="259"/>
      <c r="P905" s="259"/>
      <c r="Q905" s="259"/>
      <c r="R905" s="259"/>
      <c r="S905" s="259"/>
      <c r="T905" s="259"/>
      <c r="U905" s="259"/>
      <c r="V905" s="259"/>
      <c r="W905" s="259"/>
      <c r="X905" s="259"/>
      <c r="Y905" s="259"/>
      <c r="Z905" s="259"/>
    </row>
    <row r="906" customFormat="false" ht="12" hidden="false" customHeight="true" outlineLevel="0" collapsed="false">
      <c r="A906" s="259"/>
      <c r="B906" s="259"/>
      <c r="C906" s="259"/>
      <c r="D906" s="259"/>
      <c r="E906" s="259"/>
      <c r="F906" s="261"/>
      <c r="G906" s="259"/>
      <c r="H906" s="259"/>
      <c r="I906" s="259"/>
      <c r="J906" s="262"/>
      <c r="K906" s="259"/>
      <c r="L906" s="259"/>
      <c r="M906" s="259"/>
      <c r="N906" s="259"/>
      <c r="O906" s="259"/>
      <c r="P906" s="259"/>
      <c r="Q906" s="259"/>
      <c r="R906" s="259"/>
      <c r="S906" s="259"/>
      <c r="T906" s="259"/>
      <c r="U906" s="259"/>
      <c r="V906" s="259"/>
      <c r="W906" s="259"/>
      <c r="X906" s="259"/>
      <c r="Y906" s="259"/>
      <c r="Z906" s="259"/>
    </row>
    <row r="907" customFormat="false" ht="12" hidden="false" customHeight="true" outlineLevel="0" collapsed="false">
      <c r="A907" s="259"/>
      <c r="B907" s="259"/>
      <c r="C907" s="259"/>
      <c r="D907" s="259"/>
      <c r="E907" s="259"/>
      <c r="F907" s="261"/>
      <c r="G907" s="259"/>
      <c r="H907" s="259"/>
      <c r="I907" s="259"/>
      <c r="J907" s="262"/>
      <c r="K907" s="259"/>
      <c r="L907" s="259"/>
      <c r="M907" s="259"/>
      <c r="N907" s="259"/>
      <c r="O907" s="259"/>
      <c r="P907" s="259"/>
      <c r="Q907" s="259"/>
      <c r="R907" s="259"/>
      <c r="S907" s="259"/>
      <c r="T907" s="259"/>
      <c r="U907" s="259"/>
      <c r="V907" s="259"/>
      <c r="W907" s="259"/>
      <c r="X907" s="259"/>
      <c r="Y907" s="259"/>
      <c r="Z907" s="259"/>
    </row>
    <row r="908" customFormat="false" ht="12" hidden="false" customHeight="true" outlineLevel="0" collapsed="false">
      <c r="A908" s="259"/>
      <c r="B908" s="259"/>
      <c r="C908" s="259"/>
      <c r="D908" s="259"/>
      <c r="E908" s="259"/>
      <c r="F908" s="261"/>
      <c r="G908" s="259"/>
      <c r="H908" s="259"/>
      <c r="I908" s="259"/>
      <c r="J908" s="262"/>
      <c r="K908" s="259"/>
      <c r="L908" s="259"/>
      <c r="M908" s="259"/>
      <c r="N908" s="259"/>
      <c r="O908" s="259"/>
      <c r="P908" s="259"/>
      <c r="Q908" s="259"/>
      <c r="R908" s="259"/>
      <c r="S908" s="259"/>
      <c r="T908" s="259"/>
      <c r="U908" s="259"/>
      <c r="V908" s="259"/>
      <c r="W908" s="259"/>
      <c r="X908" s="259"/>
      <c r="Y908" s="259"/>
      <c r="Z908" s="259"/>
    </row>
    <row r="909" customFormat="false" ht="12" hidden="false" customHeight="true" outlineLevel="0" collapsed="false">
      <c r="A909" s="259"/>
      <c r="B909" s="259"/>
      <c r="C909" s="259"/>
      <c r="D909" s="259"/>
      <c r="E909" s="259"/>
      <c r="F909" s="261"/>
      <c r="G909" s="259"/>
      <c r="H909" s="259"/>
      <c r="I909" s="259"/>
      <c r="J909" s="262"/>
      <c r="K909" s="259"/>
      <c r="L909" s="259"/>
      <c r="M909" s="259"/>
      <c r="N909" s="259"/>
      <c r="O909" s="259"/>
      <c r="P909" s="259"/>
      <c r="Q909" s="259"/>
      <c r="R909" s="259"/>
      <c r="S909" s="259"/>
      <c r="T909" s="259"/>
      <c r="U909" s="259"/>
      <c r="V909" s="259"/>
      <c r="W909" s="259"/>
      <c r="X909" s="259"/>
      <c r="Y909" s="259"/>
      <c r="Z909" s="259"/>
    </row>
    <row r="910" customFormat="false" ht="12" hidden="false" customHeight="true" outlineLevel="0" collapsed="false">
      <c r="A910" s="259"/>
      <c r="B910" s="259"/>
      <c r="C910" s="259"/>
      <c r="D910" s="259"/>
      <c r="E910" s="259"/>
      <c r="F910" s="261"/>
      <c r="G910" s="259"/>
      <c r="H910" s="259"/>
      <c r="I910" s="259"/>
      <c r="J910" s="262"/>
      <c r="K910" s="259"/>
      <c r="L910" s="259"/>
      <c r="M910" s="259"/>
      <c r="N910" s="259"/>
      <c r="O910" s="259"/>
      <c r="P910" s="259"/>
      <c r="Q910" s="259"/>
      <c r="R910" s="259"/>
      <c r="S910" s="259"/>
      <c r="T910" s="259"/>
      <c r="U910" s="259"/>
      <c r="V910" s="259"/>
      <c r="W910" s="259"/>
      <c r="X910" s="259"/>
      <c r="Y910" s="259"/>
      <c r="Z910" s="259"/>
    </row>
    <row r="911" customFormat="false" ht="12" hidden="false" customHeight="true" outlineLevel="0" collapsed="false">
      <c r="A911" s="259"/>
      <c r="B911" s="259"/>
      <c r="C911" s="259"/>
      <c r="D911" s="259"/>
      <c r="E911" s="259"/>
      <c r="F911" s="261"/>
      <c r="G911" s="259"/>
      <c r="H911" s="259"/>
      <c r="I911" s="259"/>
      <c r="J911" s="262"/>
      <c r="K911" s="259"/>
      <c r="L911" s="259"/>
      <c r="M911" s="259"/>
      <c r="N911" s="259"/>
      <c r="O911" s="259"/>
      <c r="P911" s="259"/>
      <c r="Q911" s="259"/>
      <c r="R911" s="259"/>
      <c r="S911" s="259"/>
      <c r="T911" s="259"/>
      <c r="U911" s="259"/>
      <c r="V911" s="259"/>
      <c r="W911" s="259"/>
      <c r="X911" s="259"/>
      <c r="Y911" s="259"/>
      <c r="Z911" s="259"/>
    </row>
    <row r="912" customFormat="false" ht="12" hidden="false" customHeight="true" outlineLevel="0" collapsed="false">
      <c r="A912" s="259"/>
      <c r="B912" s="259"/>
      <c r="C912" s="259"/>
      <c r="D912" s="259"/>
      <c r="E912" s="259"/>
      <c r="F912" s="261"/>
      <c r="G912" s="259"/>
      <c r="H912" s="259"/>
      <c r="I912" s="259"/>
      <c r="J912" s="262"/>
      <c r="K912" s="259"/>
      <c r="L912" s="259"/>
      <c r="M912" s="259"/>
      <c r="N912" s="259"/>
      <c r="O912" s="259"/>
      <c r="P912" s="259"/>
      <c r="Q912" s="259"/>
      <c r="R912" s="259"/>
      <c r="S912" s="259"/>
      <c r="T912" s="259"/>
      <c r="U912" s="259"/>
      <c r="V912" s="259"/>
      <c r="W912" s="259"/>
      <c r="X912" s="259"/>
      <c r="Y912" s="259"/>
      <c r="Z912" s="259"/>
    </row>
    <row r="913" customFormat="false" ht="12" hidden="false" customHeight="true" outlineLevel="0" collapsed="false">
      <c r="A913" s="259"/>
      <c r="B913" s="259"/>
      <c r="C913" s="259"/>
      <c r="D913" s="259"/>
      <c r="E913" s="259"/>
      <c r="F913" s="261"/>
      <c r="G913" s="259"/>
      <c r="H913" s="259"/>
      <c r="I913" s="259"/>
      <c r="J913" s="262"/>
      <c r="K913" s="259"/>
      <c r="L913" s="259"/>
      <c r="M913" s="259"/>
      <c r="N913" s="259"/>
      <c r="O913" s="259"/>
      <c r="P913" s="259"/>
      <c r="Q913" s="259"/>
      <c r="R913" s="259"/>
      <c r="S913" s="259"/>
      <c r="T913" s="259"/>
      <c r="U913" s="259"/>
      <c r="V913" s="259"/>
      <c r="W913" s="259"/>
      <c r="X913" s="259"/>
      <c r="Y913" s="259"/>
      <c r="Z913" s="259"/>
    </row>
    <row r="914" customFormat="false" ht="12" hidden="false" customHeight="true" outlineLevel="0" collapsed="false">
      <c r="A914" s="259"/>
      <c r="B914" s="259"/>
      <c r="C914" s="259"/>
      <c r="D914" s="259"/>
      <c r="E914" s="259"/>
      <c r="F914" s="261"/>
      <c r="G914" s="259"/>
      <c r="H914" s="259"/>
      <c r="I914" s="259"/>
      <c r="J914" s="262"/>
      <c r="K914" s="259"/>
      <c r="L914" s="259"/>
      <c r="M914" s="259"/>
      <c r="N914" s="259"/>
      <c r="O914" s="259"/>
      <c r="P914" s="259"/>
      <c r="Q914" s="259"/>
      <c r="R914" s="259"/>
      <c r="S914" s="259"/>
      <c r="T914" s="259"/>
      <c r="U914" s="259"/>
      <c r="V914" s="259"/>
      <c r="W914" s="259"/>
      <c r="X914" s="259"/>
      <c r="Y914" s="259"/>
      <c r="Z914" s="259"/>
    </row>
    <row r="915" customFormat="false" ht="12" hidden="false" customHeight="true" outlineLevel="0" collapsed="false">
      <c r="A915" s="259"/>
      <c r="B915" s="259"/>
      <c r="C915" s="259"/>
      <c r="D915" s="259"/>
      <c r="E915" s="259"/>
      <c r="F915" s="261"/>
      <c r="G915" s="259"/>
      <c r="H915" s="259"/>
      <c r="I915" s="259"/>
      <c r="J915" s="262"/>
      <c r="K915" s="259"/>
      <c r="L915" s="259"/>
      <c r="M915" s="259"/>
      <c r="N915" s="259"/>
      <c r="O915" s="259"/>
      <c r="P915" s="259"/>
      <c r="Q915" s="259"/>
      <c r="R915" s="259"/>
      <c r="S915" s="259"/>
      <c r="T915" s="259"/>
      <c r="U915" s="259"/>
      <c r="V915" s="259"/>
      <c r="W915" s="259"/>
      <c r="X915" s="259"/>
      <c r="Y915" s="259"/>
      <c r="Z915" s="259"/>
    </row>
    <row r="916" customFormat="false" ht="12" hidden="false" customHeight="true" outlineLevel="0" collapsed="false">
      <c r="A916" s="259"/>
      <c r="B916" s="259"/>
      <c r="C916" s="259"/>
      <c r="D916" s="259"/>
      <c r="E916" s="259"/>
      <c r="F916" s="261"/>
      <c r="G916" s="259"/>
      <c r="H916" s="259"/>
      <c r="I916" s="259"/>
      <c r="J916" s="262"/>
      <c r="K916" s="259"/>
      <c r="L916" s="259"/>
      <c r="M916" s="259"/>
      <c r="N916" s="259"/>
      <c r="O916" s="259"/>
      <c r="P916" s="259"/>
      <c r="Q916" s="259"/>
      <c r="R916" s="259"/>
      <c r="S916" s="259"/>
      <c r="T916" s="259"/>
      <c r="U916" s="259"/>
      <c r="V916" s="259"/>
      <c r="W916" s="259"/>
      <c r="X916" s="259"/>
      <c r="Y916" s="259"/>
      <c r="Z916" s="259"/>
    </row>
    <row r="917" customFormat="false" ht="12" hidden="false" customHeight="true" outlineLevel="0" collapsed="false">
      <c r="A917" s="259"/>
      <c r="B917" s="259"/>
      <c r="C917" s="259"/>
      <c r="D917" s="259"/>
      <c r="E917" s="259"/>
      <c r="F917" s="261"/>
      <c r="G917" s="259"/>
      <c r="H917" s="259"/>
      <c r="I917" s="259"/>
      <c r="J917" s="262"/>
      <c r="K917" s="259"/>
      <c r="L917" s="259"/>
      <c r="M917" s="259"/>
      <c r="N917" s="259"/>
      <c r="O917" s="259"/>
      <c r="P917" s="259"/>
      <c r="Q917" s="259"/>
      <c r="R917" s="259"/>
      <c r="S917" s="259"/>
      <c r="T917" s="259"/>
      <c r="U917" s="259"/>
      <c r="V917" s="259"/>
      <c r="W917" s="259"/>
      <c r="X917" s="259"/>
      <c r="Y917" s="259"/>
      <c r="Z917" s="259"/>
    </row>
    <row r="918" customFormat="false" ht="12" hidden="false" customHeight="true" outlineLevel="0" collapsed="false">
      <c r="A918" s="259"/>
      <c r="B918" s="259"/>
      <c r="C918" s="259"/>
      <c r="D918" s="259"/>
      <c r="E918" s="259"/>
      <c r="F918" s="261"/>
      <c r="G918" s="259"/>
      <c r="H918" s="259"/>
      <c r="I918" s="259"/>
      <c r="J918" s="262"/>
      <c r="K918" s="259"/>
      <c r="L918" s="259"/>
      <c r="M918" s="259"/>
      <c r="N918" s="259"/>
      <c r="O918" s="259"/>
      <c r="P918" s="259"/>
      <c r="Q918" s="259"/>
      <c r="R918" s="259"/>
      <c r="S918" s="259"/>
      <c r="T918" s="259"/>
      <c r="U918" s="259"/>
      <c r="V918" s="259"/>
      <c r="W918" s="259"/>
      <c r="X918" s="259"/>
      <c r="Y918" s="259"/>
      <c r="Z918" s="259"/>
    </row>
    <row r="919" customFormat="false" ht="12" hidden="false" customHeight="true" outlineLevel="0" collapsed="false">
      <c r="A919" s="259"/>
      <c r="B919" s="259"/>
      <c r="C919" s="259"/>
      <c r="D919" s="259"/>
      <c r="E919" s="259"/>
      <c r="F919" s="261"/>
      <c r="G919" s="259"/>
      <c r="H919" s="259"/>
      <c r="I919" s="259"/>
      <c r="J919" s="262"/>
      <c r="K919" s="259"/>
      <c r="L919" s="259"/>
      <c r="M919" s="259"/>
      <c r="N919" s="259"/>
      <c r="O919" s="259"/>
      <c r="P919" s="259"/>
      <c r="Q919" s="259"/>
      <c r="R919" s="259"/>
      <c r="S919" s="259"/>
      <c r="T919" s="259"/>
      <c r="U919" s="259"/>
      <c r="V919" s="259"/>
      <c r="W919" s="259"/>
      <c r="X919" s="259"/>
      <c r="Y919" s="259"/>
      <c r="Z919" s="259"/>
    </row>
    <row r="920" customFormat="false" ht="12" hidden="false" customHeight="true" outlineLevel="0" collapsed="false">
      <c r="A920" s="259"/>
      <c r="B920" s="259"/>
      <c r="C920" s="259"/>
      <c r="D920" s="259"/>
      <c r="E920" s="259"/>
      <c r="F920" s="261"/>
      <c r="G920" s="259"/>
      <c r="H920" s="259"/>
      <c r="I920" s="259"/>
      <c r="J920" s="262"/>
      <c r="K920" s="259"/>
      <c r="L920" s="259"/>
      <c r="M920" s="259"/>
      <c r="N920" s="259"/>
      <c r="O920" s="259"/>
      <c r="P920" s="259"/>
      <c r="Q920" s="259"/>
      <c r="R920" s="259"/>
      <c r="S920" s="259"/>
      <c r="T920" s="259"/>
      <c r="U920" s="259"/>
      <c r="V920" s="259"/>
      <c r="W920" s="259"/>
      <c r="X920" s="259"/>
      <c r="Y920" s="259"/>
      <c r="Z920" s="259"/>
    </row>
    <row r="921" customFormat="false" ht="12" hidden="false" customHeight="true" outlineLevel="0" collapsed="false">
      <c r="A921" s="259"/>
      <c r="B921" s="259"/>
      <c r="C921" s="259"/>
      <c r="D921" s="259"/>
      <c r="E921" s="259"/>
      <c r="F921" s="261"/>
      <c r="G921" s="259"/>
      <c r="H921" s="259"/>
      <c r="I921" s="259"/>
      <c r="J921" s="262"/>
      <c r="K921" s="259"/>
      <c r="L921" s="259"/>
      <c r="M921" s="259"/>
      <c r="N921" s="259"/>
      <c r="O921" s="259"/>
      <c r="P921" s="259"/>
      <c r="Q921" s="259"/>
      <c r="R921" s="259"/>
      <c r="S921" s="259"/>
      <c r="T921" s="259"/>
      <c r="U921" s="259"/>
      <c r="V921" s="259"/>
      <c r="W921" s="259"/>
      <c r="X921" s="259"/>
      <c r="Y921" s="259"/>
      <c r="Z921" s="259"/>
    </row>
    <row r="922" customFormat="false" ht="12" hidden="false" customHeight="true" outlineLevel="0" collapsed="false">
      <c r="A922" s="259"/>
      <c r="B922" s="259"/>
      <c r="C922" s="259"/>
      <c r="D922" s="259"/>
      <c r="E922" s="259"/>
      <c r="F922" s="261"/>
      <c r="G922" s="259"/>
      <c r="H922" s="259"/>
      <c r="I922" s="259"/>
      <c r="J922" s="262"/>
      <c r="K922" s="259"/>
      <c r="L922" s="259"/>
      <c r="M922" s="259"/>
      <c r="N922" s="259"/>
      <c r="O922" s="259"/>
      <c r="P922" s="259"/>
      <c r="Q922" s="259"/>
      <c r="R922" s="259"/>
      <c r="S922" s="259"/>
      <c r="T922" s="259"/>
      <c r="U922" s="259"/>
      <c r="V922" s="259"/>
      <c r="W922" s="259"/>
      <c r="X922" s="259"/>
      <c r="Y922" s="259"/>
      <c r="Z922" s="259"/>
    </row>
    <row r="923" customFormat="false" ht="12" hidden="false" customHeight="true" outlineLevel="0" collapsed="false">
      <c r="A923" s="259"/>
      <c r="B923" s="259"/>
      <c r="C923" s="259"/>
      <c r="D923" s="259"/>
      <c r="E923" s="259"/>
      <c r="F923" s="261"/>
      <c r="G923" s="259"/>
      <c r="H923" s="259"/>
      <c r="I923" s="259"/>
      <c r="J923" s="262"/>
      <c r="K923" s="259"/>
      <c r="L923" s="259"/>
      <c r="M923" s="259"/>
      <c r="N923" s="259"/>
      <c r="O923" s="259"/>
      <c r="P923" s="259"/>
      <c r="Q923" s="259"/>
      <c r="R923" s="259"/>
      <c r="S923" s="259"/>
      <c r="T923" s="259"/>
      <c r="U923" s="259"/>
      <c r="V923" s="259"/>
      <c r="W923" s="259"/>
      <c r="X923" s="259"/>
      <c r="Y923" s="259"/>
      <c r="Z923" s="259"/>
    </row>
    <row r="924" customFormat="false" ht="12" hidden="false" customHeight="true" outlineLevel="0" collapsed="false">
      <c r="A924" s="259"/>
      <c r="B924" s="259"/>
      <c r="C924" s="259"/>
      <c r="D924" s="259"/>
      <c r="E924" s="259"/>
      <c r="F924" s="261"/>
      <c r="G924" s="259"/>
      <c r="H924" s="259"/>
      <c r="I924" s="259"/>
      <c r="J924" s="262"/>
      <c r="K924" s="259"/>
      <c r="L924" s="259"/>
      <c r="M924" s="259"/>
      <c r="N924" s="259"/>
      <c r="O924" s="259"/>
      <c r="P924" s="259"/>
      <c r="Q924" s="259"/>
      <c r="R924" s="259"/>
      <c r="S924" s="259"/>
      <c r="T924" s="259"/>
      <c r="U924" s="259"/>
      <c r="V924" s="259"/>
      <c r="W924" s="259"/>
      <c r="X924" s="259"/>
      <c r="Y924" s="259"/>
      <c r="Z924" s="259"/>
    </row>
    <row r="925" customFormat="false" ht="12" hidden="false" customHeight="true" outlineLevel="0" collapsed="false">
      <c r="A925" s="259"/>
      <c r="B925" s="259"/>
      <c r="C925" s="259"/>
      <c r="D925" s="259"/>
      <c r="E925" s="259"/>
      <c r="F925" s="261"/>
      <c r="G925" s="259"/>
      <c r="H925" s="259"/>
      <c r="I925" s="259"/>
      <c r="J925" s="262"/>
      <c r="K925" s="259"/>
      <c r="L925" s="259"/>
      <c r="M925" s="259"/>
      <c r="N925" s="259"/>
      <c r="O925" s="259"/>
      <c r="P925" s="259"/>
      <c r="Q925" s="259"/>
      <c r="R925" s="259"/>
      <c r="S925" s="259"/>
      <c r="T925" s="259"/>
      <c r="U925" s="259"/>
      <c r="V925" s="259"/>
      <c r="W925" s="259"/>
      <c r="X925" s="259"/>
      <c r="Y925" s="259"/>
      <c r="Z925" s="259"/>
    </row>
    <row r="926" customFormat="false" ht="12" hidden="false" customHeight="true" outlineLevel="0" collapsed="false">
      <c r="A926" s="259"/>
      <c r="B926" s="259"/>
      <c r="C926" s="259"/>
      <c r="D926" s="259"/>
      <c r="E926" s="259"/>
      <c r="F926" s="261"/>
      <c r="G926" s="259"/>
      <c r="H926" s="259"/>
      <c r="I926" s="259"/>
      <c r="J926" s="262"/>
      <c r="K926" s="259"/>
      <c r="L926" s="259"/>
      <c r="M926" s="259"/>
      <c r="N926" s="259"/>
      <c r="O926" s="259"/>
      <c r="P926" s="259"/>
      <c r="Q926" s="259"/>
      <c r="R926" s="259"/>
      <c r="S926" s="259"/>
      <c r="T926" s="259"/>
      <c r="U926" s="259"/>
      <c r="V926" s="259"/>
      <c r="W926" s="259"/>
      <c r="X926" s="259"/>
      <c r="Y926" s="259"/>
      <c r="Z926" s="259"/>
    </row>
    <row r="927" customFormat="false" ht="12" hidden="false" customHeight="true" outlineLevel="0" collapsed="false">
      <c r="A927" s="259"/>
      <c r="B927" s="259"/>
      <c r="C927" s="259"/>
      <c r="D927" s="259"/>
      <c r="E927" s="259"/>
      <c r="F927" s="261"/>
      <c r="G927" s="259"/>
      <c r="H927" s="259"/>
      <c r="I927" s="259"/>
      <c r="J927" s="262"/>
      <c r="K927" s="259"/>
      <c r="L927" s="259"/>
      <c r="M927" s="259"/>
      <c r="N927" s="259"/>
      <c r="O927" s="259"/>
      <c r="P927" s="259"/>
      <c r="Q927" s="259"/>
      <c r="R927" s="259"/>
      <c r="S927" s="259"/>
      <c r="T927" s="259"/>
      <c r="U927" s="259"/>
      <c r="V927" s="259"/>
      <c r="W927" s="259"/>
      <c r="X927" s="259"/>
      <c r="Y927" s="259"/>
      <c r="Z927" s="259"/>
    </row>
    <row r="928" customFormat="false" ht="12" hidden="false" customHeight="true" outlineLevel="0" collapsed="false">
      <c r="A928" s="259"/>
      <c r="B928" s="259"/>
      <c r="C928" s="259"/>
      <c r="D928" s="259"/>
      <c r="E928" s="259"/>
      <c r="F928" s="261"/>
      <c r="G928" s="259"/>
      <c r="H928" s="259"/>
      <c r="I928" s="259"/>
      <c r="J928" s="262"/>
      <c r="K928" s="259"/>
      <c r="L928" s="259"/>
      <c r="M928" s="259"/>
      <c r="N928" s="259"/>
      <c r="O928" s="259"/>
      <c r="P928" s="259"/>
      <c r="Q928" s="259"/>
      <c r="R928" s="259"/>
      <c r="S928" s="259"/>
      <c r="T928" s="259"/>
      <c r="U928" s="259"/>
      <c r="V928" s="259"/>
      <c r="W928" s="259"/>
      <c r="X928" s="259"/>
      <c r="Y928" s="259"/>
      <c r="Z928" s="259"/>
    </row>
    <row r="929" customFormat="false" ht="12" hidden="false" customHeight="true" outlineLevel="0" collapsed="false">
      <c r="A929" s="259"/>
      <c r="B929" s="259"/>
      <c r="C929" s="259"/>
      <c r="D929" s="259"/>
      <c r="E929" s="259"/>
      <c r="F929" s="261"/>
      <c r="G929" s="259"/>
      <c r="H929" s="259"/>
      <c r="I929" s="259"/>
      <c r="J929" s="262"/>
      <c r="K929" s="259"/>
      <c r="L929" s="259"/>
      <c r="M929" s="259"/>
      <c r="N929" s="259"/>
      <c r="O929" s="259"/>
      <c r="P929" s="259"/>
      <c r="Q929" s="259"/>
      <c r="R929" s="259"/>
      <c r="S929" s="259"/>
      <c r="T929" s="259"/>
      <c r="U929" s="259"/>
      <c r="V929" s="259"/>
      <c r="W929" s="259"/>
      <c r="X929" s="259"/>
      <c r="Y929" s="259"/>
      <c r="Z929" s="259"/>
    </row>
    <row r="930" customFormat="false" ht="12" hidden="false" customHeight="true" outlineLevel="0" collapsed="false">
      <c r="A930" s="259"/>
      <c r="B930" s="259"/>
      <c r="C930" s="259"/>
      <c r="D930" s="259"/>
      <c r="E930" s="259"/>
      <c r="F930" s="261"/>
      <c r="G930" s="259"/>
      <c r="H930" s="259"/>
      <c r="I930" s="259"/>
      <c r="J930" s="262"/>
      <c r="K930" s="259"/>
      <c r="L930" s="259"/>
      <c r="M930" s="259"/>
      <c r="N930" s="259"/>
      <c r="O930" s="259"/>
      <c r="P930" s="259"/>
      <c r="Q930" s="259"/>
      <c r="R930" s="259"/>
      <c r="S930" s="259"/>
      <c r="T930" s="259"/>
      <c r="U930" s="259"/>
      <c r="V930" s="259"/>
      <c r="W930" s="259"/>
      <c r="X930" s="259"/>
      <c r="Y930" s="259"/>
      <c r="Z930" s="259"/>
    </row>
    <row r="931" customFormat="false" ht="12" hidden="false" customHeight="true" outlineLevel="0" collapsed="false">
      <c r="A931" s="259"/>
      <c r="B931" s="259"/>
      <c r="C931" s="259"/>
      <c r="D931" s="259"/>
      <c r="E931" s="259"/>
      <c r="F931" s="261"/>
      <c r="G931" s="259"/>
      <c r="H931" s="259"/>
      <c r="I931" s="259"/>
      <c r="J931" s="262"/>
      <c r="K931" s="259"/>
      <c r="L931" s="259"/>
      <c r="M931" s="259"/>
      <c r="N931" s="259"/>
      <c r="O931" s="259"/>
      <c r="P931" s="259"/>
      <c r="Q931" s="259"/>
      <c r="R931" s="259"/>
      <c r="S931" s="259"/>
      <c r="T931" s="259"/>
      <c r="U931" s="259"/>
      <c r="V931" s="259"/>
      <c r="W931" s="259"/>
      <c r="X931" s="259"/>
      <c r="Y931" s="259"/>
      <c r="Z931" s="259"/>
    </row>
    <row r="932" customFormat="false" ht="12" hidden="false" customHeight="true" outlineLevel="0" collapsed="false">
      <c r="A932" s="259"/>
      <c r="B932" s="259"/>
      <c r="C932" s="259"/>
      <c r="D932" s="259"/>
      <c r="E932" s="259"/>
      <c r="F932" s="261"/>
      <c r="G932" s="259"/>
      <c r="H932" s="259"/>
      <c r="I932" s="259"/>
      <c r="J932" s="262"/>
      <c r="K932" s="259"/>
      <c r="L932" s="259"/>
      <c r="M932" s="259"/>
      <c r="N932" s="259"/>
      <c r="O932" s="259"/>
      <c r="P932" s="259"/>
      <c r="Q932" s="259"/>
      <c r="R932" s="259"/>
      <c r="S932" s="259"/>
      <c r="T932" s="259"/>
      <c r="U932" s="259"/>
      <c r="V932" s="259"/>
      <c r="W932" s="259"/>
      <c r="X932" s="259"/>
      <c r="Y932" s="259"/>
      <c r="Z932" s="259"/>
    </row>
    <row r="933" customFormat="false" ht="12" hidden="false" customHeight="true" outlineLevel="0" collapsed="false">
      <c r="A933" s="259"/>
      <c r="B933" s="259"/>
      <c r="C933" s="259"/>
      <c r="D933" s="259"/>
      <c r="E933" s="259"/>
      <c r="F933" s="261"/>
      <c r="G933" s="259"/>
      <c r="H933" s="259"/>
      <c r="I933" s="259"/>
      <c r="J933" s="262"/>
      <c r="K933" s="259"/>
      <c r="L933" s="259"/>
      <c r="M933" s="259"/>
      <c r="N933" s="259"/>
      <c r="O933" s="259"/>
      <c r="P933" s="259"/>
      <c r="Q933" s="259"/>
      <c r="R933" s="259"/>
      <c r="S933" s="259"/>
      <c r="T933" s="259"/>
      <c r="U933" s="259"/>
      <c r="V933" s="259"/>
      <c r="W933" s="259"/>
      <c r="X933" s="259"/>
      <c r="Y933" s="259"/>
      <c r="Z933" s="259"/>
    </row>
    <row r="934" customFormat="false" ht="12" hidden="false" customHeight="true" outlineLevel="0" collapsed="false">
      <c r="A934" s="259"/>
      <c r="B934" s="259"/>
      <c r="C934" s="259"/>
      <c r="D934" s="259"/>
      <c r="E934" s="259"/>
      <c r="F934" s="261"/>
      <c r="G934" s="259"/>
      <c r="H934" s="259"/>
      <c r="I934" s="259"/>
      <c r="J934" s="262"/>
      <c r="K934" s="259"/>
      <c r="L934" s="259"/>
      <c r="M934" s="259"/>
      <c r="N934" s="259"/>
      <c r="O934" s="259"/>
      <c r="P934" s="259"/>
      <c r="Q934" s="259"/>
      <c r="R934" s="259"/>
      <c r="S934" s="259"/>
      <c r="T934" s="259"/>
      <c r="U934" s="259"/>
      <c r="V934" s="259"/>
      <c r="W934" s="259"/>
      <c r="X934" s="259"/>
      <c r="Y934" s="259"/>
      <c r="Z934" s="259"/>
    </row>
    <row r="935" customFormat="false" ht="12" hidden="false" customHeight="true" outlineLevel="0" collapsed="false">
      <c r="A935" s="259"/>
      <c r="B935" s="259"/>
      <c r="C935" s="259"/>
      <c r="D935" s="259"/>
      <c r="E935" s="259"/>
      <c r="F935" s="261"/>
      <c r="G935" s="259"/>
      <c r="H935" s="259"/>
      <c r="I935" s="259"/>
      <c r="J935" s="262"/>
      <c r="K935" s="259"/>
      <c r="L935" s="259"/>
      <c r="M935" s="259"/>
      <c r="N935" s="259"/>
      <c r="O935" s="259"/>
      <c r="P935" s="259"/>
      <c r="Q935" s="259"/>
      <c r="R935" s="259"/>
      <c r="S935" s="259"/>
      <c r="T935" s="259"/>
      <c r="U935" s="259"/>
      <c r="V935" s="259"/>
      <c r="W935" s="259"/>
      <c r="X935" s="259"/>
      <c r="Y935" s="259"/>
      <c r="Z935" s="259"/>
    </row>
    <row r="936" customFormat="false" ht="12" hidden="false" customHeight="true" outlineLevel="0" collapsed="false">
      <c r="A936" s="259"/>
      <c r="B936" s="259"/>
      <c r="C936" s="259"/>
      <c r="D936" s="259"/>
      <c r="E936" s="259"/>
      <c r="F936" s="261"/>
      <c r="G936" s="259"/>
      <c r="H936" s="259"/>
      <c r="I936" s="259"/>
      <c r="J936" s="262"/>
      <c r="K936" s="259"/>
      <c r="L936" s="259"/>
      <c r="M936" s="259"/>
      <c r="N936" s="259"/>
      <c r="O936" s="259"/>
      <c r="P936" s="259"/>
      <c r="Q936" s="259"/>
      <c r="R936" s="259"/>
      <c r="S936" s="259"/>
      <c r="T936" s="259"/>
      <c r="U936" s="259"/>
      <c r="V936" s="259"/>
      <c r="W936" s="259"/>
      <c r="X936" s="259"/>
      <c r="Y936" s="259"/>
      <c r="Z936" s="259"/>
    </row>
    <row r="937" customFormat="false" ht="12" hidden="false" customHeight="true" outlineLevel="0" collapsed="false">
      <c r="A937" s="259"/>
      <c r="B937" s="259"/>
      <c r="C937" s="259"/>
      <c r="D937" s="259"/>
      <c r="E937" s="259"/>
      <c r="F937" s="261"/>
      <c r="G937" s="259"/>
      <c r="H937" s="259"/>
      <c r="I937" s="259"/>
      <c r="J937" s="262"/>
      <c r="K937" s="259"/>
      <c r="L937" s="259"/>
      <c r="M937" s="259"/>
      <c r="N937" s="259"/>
      <c r="O937" s="259"/>
      <c r="P937" s="259"/>
      <c r="Q937" s="259"/>
      <c r="R937" s="259"/>
      <c r="S937" s="259"/>
      <c r="T937" s="259"/>
      <c r="U937" s="259"/>
      <c r="V937" s="259"/>
      <c r="W937" s="259"/>
      <c r="X937" s="259"/>
      <c r="Y937" s="259"/>
      <c r="Z937" s="259"/>
    </row>
    <row r="938" customFormat="false" ht="12" hidden="false" customHeight="true" outlineLevel="0" collapsed="false">
      <c r="A938" s="259"/>
      <c r="B938" s="259"/>
      <c r="C938" s="259"/>
      <c r="D938" s="259"/>
      <c r="E938" s="259"/>
      <c r="F938" s="261"/>
      <c r="G938" s="259"/>
      <c r="H938" s="259"/>
      <c r="I938" s="259"/>
      <c r="J938" s="262"/>
      <c r="K938" s="259"/>
      <c r="L938" s="259"/>
      <c r="M938" s="259"/>
      <c r="N938" s="259"/>
      <c r="O938" s="259"/>
      <c r="P938" s="259"/>
      <c r="Q938" s="259"/>
      <c r="R938" s="259"/>
      <c r="S938" s="259"/>
      <c r="T938" s="259"/>
      <c r="U938" s="259"/>
      <c r="V938" s="259"/>
      <c r="W938" s="259"/>
      <c r="X938" s="259"/>
      <c r="Y938" s="259"/>
      <c r="Z938" s="259"/>
    </row>
    <row r="939" customFormat="false" ht="12" hidden="false" customHeight="true" outlineLevel="0" collapsed="false">
      <c r="A939" s="259"/>
      <c r="B939" s="259"/>
      <c r="C939" s="259"/>
      <c r="D939" s="259"/>
      <c r="E939" s="259"/>
      <c r="F939" s="261"/>
      <c r="G939" s="259"/>
      <c r="H939" s="259"/>
      <c r="I939" s="259"/>
      <c r="J939" s="262"/>
      <c r="K939" s="259"/>
      <c r="L939" s="259"/>
      <c r="M939" s="259"/>
      <c r="N939" s="259"/>
      <c r="O939" s="259"/>
      <c r="P939" s="259"/>
      <c r="Q939" s="259"/>
      <c r="R939" s="259"/>
      <c r="S939" s="259"/>
      <c r="T939" s="259"/>
      <c r="U939" s="259"/>
      <c r="V939" s="259"/>
      <c r="W939" s="259"/>
      <c r="X939" s="259"/>
      <c r="Y939" s="259"/>
      <c r="Z939" s="259"/>
    </row>
    <row r="940" customFormat="false" ht="12" hidden="false" customHeight="true" outlineLevel="0" collapsed="false">
      <c r="A940" s="259"/>
      <c r="B940" s="259"/>
      <c r="C940" s="259"/>
      <c r="D940" s="259"/>
      <c r="E940" s="259"/>
      <c r="F940" s="261"/>
      <c r="G940" s="259"/>
      <c r="H940" s="259"/>
      <c r="I940" s="259"/>
      <c r="J940" s="262"/>
      <c r="K940" s="259"/>
      <c r="L940" s="259"/>
      <c r="M940" s="259"/>
      <c r="N940" s="259"/>
      <c r="O940" s="259"/>
      <c r="P940" s="259"/>
      <c r="Q940" s="259"/>
      <c r="R940" s="259"/>
      <c r="S940" s="259"/>
      <c r="T940" s="259"/>
      <c r="U940" s="259"/>
      <c r="V940" s="259"/>
      <c r="W940" s="259"/>
      <c r="X940" s="259"/>
      <c r="Y940" s="259"/>
      <c r="Z940" s="259"/>
    </row>
    <row r="941" customFormat="false" ht="12" hidden="false" customHeight="true" outlineLevel="0" collapsed="false">
      <c r="A941" s="259"/>
      <c r="B941" s="259"/>
      <c r="C941" s="259"/>
      <c r="D941" s="259"/>
      <c r="E941" s="259"/>
      <c r="F941" s="261"/>
      <c r="G941" s="259"/>
      <c r="H941" s="259"/>
      <c r="I941" s="259"/>
      <c r="J941" s="262"/>
      <c r="K941" s="259"/>
      <c r="L941" s="259"/>
      <c r="M941" s="259"/>
      <c r="N941" s="259"/>
      <c r="O941" s="259"/>
      <c r="P941" s="259"/>
      <c r="Q941" s="259"/>
      <c r="R941" s="259"/>
      <c r="S941" s="259"/>
      <c r="T941" s="259"/>
      <c r="U941" s="259"/>
      <c r="V941" s="259"/>
      <c r="W941" s="259"/>
      <c r="X941" s="259"/>
      <c r="Y941" s="259"/>
      <c r="Z941" s="259"/>
    </row>
    <row r="942" customFormat="false" ht="12" hidden="false" customHeight="true" outlineLevel="0" collapsed="false">
      <c r="A942" s="259"/>
      <c r="B942" s="259"/>
      <c r="C942" s="259"/>
      <c r="D942" s="259"/>
      <c r="E942" s="259"/>
      <c r="F942" s="261"/>
      <c r="G942" s="259"/>
      <c r="H942" s="259"/>
      <c r="I942" s="259"/>
      <c r="J942" s="262"/>
      <c r="K942" s="259"/>
      <c r="L942" s="259"/>
      <c r="M942" s="259"/>
      <c r="N942" s="259"/>
      <c r="O942" s="259"/>
      <c r="P942" s="259"/>
      <c r="Q942" s="259"/>
      <c r="R942" s="259"/>
      <c r="S942" s="259"/>
      <c r="T942" s="259"/>
      <c r="U942" s="259"/>
      <c r="V942" s="259"/>
      <c r="W942" s="259"/>
      <c r="X942" s="259"/>
      <c r="Y942" s="259"/>
      <c r="Z942" s="259"/>
    </row>
    <row r="943" customFormat="false" ht="12" hidden="false" customHeight="true" outlineLevel="0" collapsed="false">
      <c r="A943" s="259"/>
      <c r="B943" s="259"/>
      <c r="C943" s="259"/>
      <c r="D943" s="259"/>
      <c r="E943" s="259"/>
      <c r="F943" s="261"/>
      <c r="G943" s="259"/>
      <c r="H943" s="259"/>
      <c r="I943" s="259"/>
      <c r="J943" s="262"/>
      <c r="K943" s="259"/>
      <c r="L943" s="259"/>
      <c r="M943" s="259"/>
      <c r="N943" s="259"/>
      <c r="O943" s="259"/>
      <c r="P943" s="259"/>
      <c r="Q943" s="259"/>
      <c r="R943" s="259"/>
      <c r="S943" s="259"/>
      <c r="T943" s="259"/>
      <c r="U943" s="259"/>
      <c r="V943" s="259"/>
      <c r="W943" s="259"/>
      <c r="X943" s="259"/>
      <c r="Y943" s="259"/>
      <c r="Z943" s="259"/>
    </row>
    <row r="944" customFormat="false" ht="12" hidden="false" customHeight="true" outlineLevel="0" collapsed="false">
      <c r="A944" s="259"/>
      <c r="B944" s="259"/>
      <c r="C944" s="259"/>
      <c r="D944" s="259"/>
      <c r="E944" s="259"/>
      <c r="F944" s="261"/>
      <c r="G944" s="259"/>
      <c r="H944" s="259"/>
      <c r="I944" s="259"/>
      <c r="J944" s="262"/>
      <c r="K944" s="259"/>
      <c r="L944" s="259"/>
      <c r="M944" s="259"/>
      <c r="N944" s="259"/>
      <c r="O944" s="259"/>
      <c r="P944" s="259"/>
      <c r="Q944" s="259"/>
      <c r="R944" s="259"/>
      <c r="S944" s="259"/>
      <c r="T944" s="259"/>
      <c r="U944" s="259"/>
      <c r="V944" s="259"/>
      <c r="W944" s="259"/>
      <c r="X944" s="259"/>
      <c r="Y944" s="259"/>
      <c r="Z944" s="259"/>
    </row>
    <row r="945" customFormat="false" ht="12" hidden="false" customHeight="true" outlineLevel="0" collapsed="false">
      <c r="A945" s="259"/>
      <c r="B945" s="259"/>
      <c r="C945" s="259"/>
      <c r="D945" s="259"/>
      <c r="E945" s="259"/>
      <c r="F945" s="261"/>
      <c r="G945" s="259"/>
      <c r="H945" s="259"/>
      <c r="I945" s="259"/>
      <c r="J945" s="262"/>
      <c r="K945" s="259"/>
      <c r="L945" s="259"/>
      <c r="M945" s="259"/>
      <c r="N945" s="259"/>
      <c r="O945" s="259"/>
      <c r="P945" s="259"/>
      <c r="Q945" s="259"/>
      <c r="R945" s="259"/>
      <c r="S945" s="259"/>
      <c r="T945" s="259"/>
      <c r="U945" s="259"/>
      <c r="V945" s="259"/>
      <c r="W945" s="259"/>
      <c r="X945" s="259"/>
      <c r="Y945" s="259"/>
      <c r="Z945" s="259"/>
    </row>
    <row r="946" customFormat="false" ht="12" hidden="false" customHeight="true" outlineLevel="0" collapsed="false">
      <c r="A946" s="259"/>
      <c r="B946" s="259"/>
      <c r="C946" s="259"/>
      <c r="D946" s="259"/>
      <c r="E946" s="259"/>
      <c r="F946" s="261"/>
      <c r="G946" s="259"/>
      <c r="H946" s="259"/>
      <c r="I946" s="259"/>
      <c r="J946" s="262"/>
      <c r="K946" s="259"/>
      <c r="L946" s="259"/>
      <c r="M946" s="259"/>
      <c r="N946" s="259"/>
      <c r="O946" s="259"/>
      <c r="P946" s="259"/>
      <c r="Q946" s="259"/>
      <c r="R946" s="259"/>
      <c r="S946" s="259"/>
      <c r="T946" s="259"/>
      <c r="U946" s="259"/>
      <c r="V946" s="259"/>
      <c r="W946" s="259"/>
      <c r="X946" s="259"/>
      <c r="Y946" s="259"/>
      <c r="Z946" s="259"/>
    </row>
    <row r="947" customFormat="false" ht="12" hidden="false" customHeight="true" outlineLevel="0" collapsed="false">
      <c r="A947" s="259"/>
      <c r="B947" s="259"/>
      <c r="C947" s="259"/>
      <c r="D947" s="259"/>
      <c r="E947" s="259"/>
      <c r="F947" s="261"/>
      <c r="G947" s="259"/>
      <c r="H947" s="259"/>
      <c r="I947" s="259"/>
      <c r="J947" s="262"/>
      <c r="K947" s="259"/>
      <c r="L947" s="259"/>
      <c r="M947" s="259"/>
      <c r="N947" s="259"/>
      <c r="O947" s="259"/>
      <c r="P947" s="259"/>
      <c r="Q947" s="259"/>
      <c r="R947" s="259"/>
      <c r="S947" s="259"/>
      <c r="T947" s="259"/>
      <c r="U947" s="259"/>
      <c r="V947" s="259"/>
      <c r="W947" s="259"/>
      <c r="X947" s="259"/>
      <c r="Y947" s="259"/>
      <c r="Z947" s="259"/>
    </row>
    <row r="948" customFormat="false" ht="12" hidden="false" customHeight="true" outlineLevel="0" collapsed="false">
      <c r="A948" s="259"/>
      <c r="B948" s="259"/>
      <c r="C948" s="259"/>
      <c r="D948" s="259"/>
      <c r="E948" s="259"/>
      <c r="F948" s="261"/>
      <c r="G948" s="259"/>
      <c r="H948" s="259"/>
      <c r="I948" s="259"/>
      <c r="J948" s="262"/>
      <c r="K948" s="259"/>
      <c r="L948" s="259"/>
      <c r="M948" s="259"/>
      <c r="N948" s="259"/>
      <c r="O948" s="259"/>
      <c r="P948" s="259"/>
      <c r="Q948" s="259"/>
      <c r="R948" s="259"/>
      <c r="S948" s="259"/>
      <c r="T948" s="259"/>
      <c r="U948" s="259"/>
      <c r="V948" s="259"/>
      <c r="W948" s="259"/>
      <c r="X948" s="259"/>
      <c r="Y948" s="259"/>
      <c r="Z948" s="259"/>
    </row>
    <row r="949" customFormat="false" ht="12" hidden="false" customHeight="true" outlineLevel="0" collapsed="false">
      <c r="A949" s="259"/>
      <c r="B949" s="259"/>
      <c r="C949" s="259"/>
      <c r="D949" s="259"/>
      <c r="E949" s="259"/>
      <c r="F949" s="261"/>
      <c r="G949" s="259"/>
      <c r="H949" s="259"/>
      <c r="I949" s="259"/>
      <c r="J949" s="262"/>
      <c r="K949" s="259"/>
      <c r="L949" s="259"/>
      <c r="M949" s="259"/>
      <c r="N949" s="259"/>
      <c r="O949" s="259"/>
      <c r="P949" s="259"/>
      <c r="Q949" s="259"/>
      <c r="R949" s="259"/>
      <c r="S949" s="259"/>
      <c r="T949" s="259"/>
      <c r="U949" s="259"/>
      <c r="V949" s="259"/>
      <c r="W949" s="259"/>
      <c r="X949" s="259"/>
      <c r="Y949" s="259"/>
      <c r="Z949" s="259"/>
    </row>
    <row r="950" customFormat="false" ht="12" hidden="false" customHeight="true" outlineLevel="0" collapsed="false">
      <c r="A950" s="259"/>
      <c r="B950" s="259"/>
      <c r="C950" s="259"/>
      <c r="D950" s="259"/>
      <c r="E950" s="259"/>
      <c r="F950" s="261"/>
      <c r="G950" s="259"/>
      <c r="H950" s="259"/>
      <c r="I950" s="259"/>
      <c r="J950" s="262"/>
      <c r="K950" s="259"/>
      <c r="L950" s="259"/>
      <c r="M950" s="259"/>
      <c r="N950" s="259"/>
      <c r="O950" s="259"/>
      <c r="P950" s="259"/>
      <c r="Q950" s="259"/>
      <c r="R950" s="259"/>
      <c r="S950" s="259"/>
      <c r="T950" s="259"/>
      <c r="U950" s="259"/>
      <c r="V950" s="259"/>
      <c r="W950" s="259"/>
      <c r="X950" s="259"/>
      <c r="Y950" s="259"/>
      <c r="Z950" s="259"/>
    </row>
    <row r="951" customFormat="false" ht="12" hidden="false" customHeight="true" outlineLevel="0" collapsed="false">
      <c r="A951" s="259"/>
      <c r="B951" s="259"/>
      <c r="C951" s="259"/>
      <c r="D951" s="259"/>
      <c r="E951" s="259"/>
      <c r="F951" s="261"/>
      <c r="G951" s="259"/>
      <c r="H951" s="259"/>
      <c r="I951" s="259"/>
      <c r="J951" s="262"/>
      <c r="K951" s="259"/>
      <c r="L951" s="259"/>
      <c r="M951" s="259"/>
      <c r="N951" s="259"/>
      <c r="O951" s="259"/>
      <c r="P951" s="259"/>
      <c r="Q951" s="259"/>
      <c r="R951" s="259"/>
      <c r="S951" s="259"/>
      <c r="T951" s="259"/>
      <c r="U951" s="259"/>
      <c r="V951" s="259"/>
      <c r="W951" s="259"/>
      <c r="X951" s="259"/>
      <c r="Y951" s="259"/>
      <c r="Z951" s="259"/>
    </row>
    <row r="952" customFormat="false" ht="12" hidden="false" customHeight="true" outlineLevel="0" collapsed="false">
      <c r="A952" s="259"/>
      <c r="B952" s="259"/>
      <c r="C952" s="259"/>
      <c r="D952" s="259"/>
      <c r="E952" s="259"/>
      <c r="F952" s="261"/>
      <c r="G952" s="259"/>
      <c r="H952" s="259"/>
      <c r="I952" s="259"/>
      <c r="J952" s="262"/>
      <c r="K952" s="259"/>
      <c r="L952" s="259"/>
      <c r="M952" s="259"/>
      <c r="N952" s="259"/>
      <c r="O952" s="259"/>
      <c r="P952" s="259"/>
      <c r="Q952" s="259"/>
      <c r="R952" s="259"/>
      <c r="S952" s="259"/>
      <c r="T952" s="259"/>
      <c r="U952" s="259"/>
      <c r="V952" s="259"/>
      <c r="W952" s="259"/>
      <c r="X952" s="259"/>
      <c r="Y952" s="259"/>
      <c r="Z952" s="259"/>
    </row>
    <row r="953" customFormat="false" ht="12" hidden="false" customHeight="true" outlineLevel="0" collapsed="false">
      <c r="A953" s="259"/>
      <c r="B953" s="259"/>
      <c r="C953" s="259"/>
      <c r="D953" s="259"/>
      <c r="E953" s="259"/>
      <c r="F953" s="261"/>
      <c r="G953" s="259"/>
      <c r="H953" s="259"/>
      <c r="I953" s="259"/>
      <c r="J953" s="262"/>
      <c r="K953" s="259"/>
      <c r="L953" s="259"/>
      <c r="M953" s="259"/>
      <c r="N953" s="259"/>
      <c r="O953" s="259"/>
      <c r="P953" s="259"/>
      <c r="Q953" s="259"/>
      <c r="R953" s="259"/>
      <c r="S953" s="259"/>
      <c r="T953" s="259"/>
      <c r="U953" s="259"/>
      <c r="V953" s="259"/>
      <c r="W953" s="259"/>
      <c r="X953" s="259"/>
      <c r="Y953" s="259"/>
      <c r="Z953" s="259"/>
    </row>
    <row r="954" customFormat="false" ht="12" hidden="false" customHeight="true" outlineLevel="0" collapsed="false">
      <c r="A954" s="259"/>
      <c r="B954" s="259"/>
      <c r="C954" s="259"/>
      <c r="D954" s="259"/>
      <c r="E954" s="259"/>
      <c r="F954" s="261"/>
      <c r="G954" s="259"/>
      <c r="H954" s="259"/>
      <c r="I954" s="259"/>
      <c r="J954" s="262"/>
      <c r="K954" s="259"/>
      <c r="L954" s="259"/>
      <c r="M954" s="259"/>
      <c r="N954" s="259"/>
      <c r="O954" s="259"/>
      <c r="P954" s="259"/>
      <c r="Q954" s="259"/>
      <c r="R954" s="259"/>
      <c r="S954" s="259"/>
      <c r="T954" s="259"/>
      <c r="U954" s="259"/>
      <c r="V954" s="259"/>
      <c r="W954" s="259"/>
      <c r="X954" s="259"/>
      <c r="Y954" s="259"/>
      <c r="Z954" s="259"/>
    </row>
    <row r="955" customFormat="false" ht="12" hidden="false" customHeight="true" outlineLevel="0" collapsed="false">
      <c r="A955" s="259"/>
      <c r="B955" s="259"/>
      <c r="C955" s="259"/>
      <c r="D955" s="259"/>
      <c r="E955" s="259"/>
      <c r="F955" s="261"/>
      <c r="G955" s="259"/>
      <c r="H955" s="259"/>
      <c r="I955" s="259"/>
      <c r="J955" s="262"/>
      <c r="K955" s="259"/>
      <c r="L955" s="259"/>
      <c r="M955" s="259"/>
      <c r="N955" s="259"/>
      <c r="O955" s="259"/>
      <c r="P955" s="259"/>
      <c r="Q955" s="259"/>
      <c r="R955" s="259"/>
      <c r="S955" s="259"/>
      <c r="T955" s="259"/>
      <c r="U955" s="259"/>
      <c r="V955" s="259"/>
      <c r="W955" s="259"/>
      <c r="X955" s="259"/>
      <c r="Y955" s="259"/>
      <c r="Z955" s="259"/>
    </row>
    <row r="956" customFormat="false" ht="12" hidden="false" customHeight="true" outlineLevel="0" collapsed="false">
      <c r="A956" s="259"/>
      <c r="B956" s="259"/>
      <c r="C956" s="259"/>
      <c r="D956" s="259"/>
      <c r="E956" s="259"/>
      <c r="F956" s="261"/>
      <c r="G956" s="259"/>
      <c r="H956" s="259"/>
      <c r="I956" s="259"/>
      <c r="J956" s="262"/>
      <c r="K956" s="259"/>
      <c r="L956" s="259"/>
      <c r="M956" s="259"/>
      <c r="N956" s="259"/>
      <c r="O956" s="259"/>
      <c r="P956" s="259"/>
      <c r="Q956" s="259"/>
      <c r="R956" s="259"/>
      <c r="S956" s="259"/>
      <c r="T956" s="259"/>
      <c r="U956" s="259"/>
      <c r="V956" s="259"/>
      <c r="W956" s="259"/>
      <c r="X956" s="259"/>
      <c r="Y956" s="259"/>
      <c r="Z956" s="259"/>
    </row>
    <row r="957" customFormat="false" ht="12" hidden="false" customHeight="true" outlineLevel="0" collapsed="false">
      <c r="A957" s="259"/>
      <c r="B957" s="259"/>
      <c r="C957" s="259"/>
      <c r="D957" s="259"/>
      <c r="E957" s="259"/>
      <c r="F957" s="261"/>
      <c r="G957" s="259"/>
      <c r="H957" s="259"/>
      <c r="I957" s="259"/>
      <c r="J957" s="262"/>
      <c r="K957" s="259"/>
      <c r="L957" s="259"/>
      <c r="M957" s="259"/>
      <c r="N957" s="259"/>
      <c r="O957" s="259"/>
      <c r="P957" s="259"/>
      <c r="Q957" s="259"/>
      <c r="R957" s="259"/>
      <c r="S957" s="259"/>
      <c r="T957" s="259"/>
      <c r="U957" s="259"/>
      <c r="V957" s="259"/>
      <c r="W957" s="259"/>
      <c r="X957" s="259"/>
      <c r="Y957" s="259"/>
      <c r="Z957" s="259"/>
    </row>
    <row r="958" customFormat="false" ht="12" hidden="false" customHeight="true" outlineLevel="0" collapsed="false">
      <c r="A958" s="259"/>
      <c r="B958" s="259"/>
      <c r="C958" s="259"/>
      <c r="D958" s="259"/>
      <c r="E958" s="259"/>
      <c r="F958" s="261"/>
      <c r="G958" s="259"/>
      <c r="H958" s="259"/>
      <c r="I958" s="259"/>
      <c r="J958" s="262"/>
      <c r="K958" s="259"/>
      <c r="L958" s="259"/>
      <c r="M958" s="259"/>
      <c r="N958" s="259"/>
      <c r="O958" s="259"/>
      <c r="P958" s="259"/>
      <c r="Q958" s="259"/>
      <c r="R958" s="259"/>
      <c r="S958" s="259"/>
      <c r="T958" s="259"/>
      <c r="U958" s="259"/>
      <c r="V958" s="259"/>
      <c r="W958" s="259"/>
      <c r="X958" s="259"/>
      <c r="Y958" s="259"/>
      <c r="Z958" s="259"/>
    </row>
    <row r="959" customFormat="false" ht="12" hidden="false" customHeight="true" outlineLevel="0" collapsed="false">
      <c r="A959" s="259"/>
      <c r="B959" s="259"/>
      <c r="C959" s="259"/>
      <c r="D959" s="259"/>
      <c r="E959" s="259"/>
      <c r="F959" s="261"/>
      <c r="G959" s="259"/>
      <c r="H959" s="259"/>
      <c r="I959" s="259"/>
      <c r="J959" s="262"/>
      <c r="K959" s="259"/>
      <c r="L959" s="259"/>
      <c r="M959" s="259"/>
      <c r="N959" s="259"/>
      <c r="O959" s="259"/>
      <c r="P959" s="259"/>
      <c r="Q959" s="259"/>
      <c r="R959" s="259"/>
      <c r="S959" s="259"/>
      <c r="T959" s="259"/>
      <c r="U959" s="259"/>
      <c r="V959" s="259"/>
      <c r="W959" s="259"/>
      <c r="X959" s="259"/>
      <c r="Y959" s="259"/>
      <c r="Z959" s="259"/>
    </row>
    <row r="960" customFormat="false" ht="12" hidden="false" customHeight="true" outlineLevel="0" collapsed="false">
      <c r="A960" s="259"/>
      <c r="B960" s="259"/>
      <c r="C960" s="259"/>
      <c r="D960" s="259"/>
      <c r="E960" s="259"/>
      <c r="F960" s="261"/>
      <c r="G960" s="259"/>
      <c r="H960" s="259"/>
      <c r="I960" s="259"/>
      <c r="J960" s="262"/>
      <c r="K960" s="259"/>
      <c r="L960" s="259"/>
      <c r="M960" s="259"/>
      <c r="N960" s="259"/>
      <c r="O960" s="259"/>
      <c r="P960" s="259"/>
      <c r="Q960" s="259"/>
      <c r="R960" s="259"/>
      <c r="S960" s="259"/>
      <c r="T960" s="259"/>
      <c r="U960" s="259"/>
      <c r="V960" s="259"/>
      <c r="W960" s="259"/>
      <c r="X960" s="259"/>
      <c r="Y960" s="259"/>
      <c r="Z960" s="259"/>
    </row>
    <row r="961" customFormat="false" ht="12" hidden="false" customHeight="true" outlineLevel="0" collapsed="false">
      <c r="A961" s="259"/>
      <c r="B961" s="259"/>
      <c r="C961" s="259"/>
      <c r="D961" s="259"/>
      <c r="E961" s="259"/>
      <c r="F961" s="261"/>
      <c r="G961" s="259"/>
      <c r="H961" s="259"/>
      <c r="I961" s="259"/>
      <c r="J961" s="262"/>
      <c r="K961" s="259"/>
      <c r="L961" s="259"/>
      <c r="M961" s="259"/>
      <c r="N961" s="259"/>
      <c r="O961" s="259"/>
      <c r="P961" s="259"/>
      <c r="Q961" s="259"/>
      <c r="R961" s="259"/>
      <c r="S961" s="259"/>
      <c r="T961" s="259"/>
      <c r="U961" s="259"/>
      <c r="V961" s="259"/>
      <c r="W961" s="259"/>
      <c r="X961" s="259"/>
      <c r="Y961" s="259"/>
      <c r="Z961" s="259"/>
    </row>
    <row r="962" customFormat="false" ht="12" hidden="false" customHeight="true" outlineLevel="0" collapsed="false">
      <c r="A962" s="259"/>
      <c r="B962" s="259"/>
      <c r="C962" s="259"/>
      <c r="D962" s="259"/>
      <c r="E962" s="259"/>
      <c r="F962" s="261"/>
      <c r="G962" s="259"/>
      <c r="H962" s="259"/>
      <c r="I962" s="259"/>
      <c r="J962" s="262"/>
      <c r="K962" s="259"/>
      <c r="L962" s="259"/>
      <c r="M962" s="259"/>
      <c r="N962" s="259"/>
      <c r="O962" s="259"/>
      <c r="P962" s="259"/>
      <c r="Q962" s="259"/>
      <c r="R962" s="259"/>
      <c r="S962" s="259"/>
      <c r="T962" s="259"/>
      <c r="U962" s="259"/>
      <c r="V962" s="259"/>
      <c r="W962" s="259"/>
      <c r="X962" s="259"/>
      <c r="Y962" s="259"/>
      <c r="Z962" s="259"/>
    </row>
    <row r="963" customFormat="false" ht="12" hidden="false" customHeight="true" outlineLevel="0" collapsed="false">
      <c r="A963" s="259"/>
      <c r="B963" s="259"/>
      <c r="C963" s="259"/>
      <c r="D963" s="259"/>
      <c r="E963" s="259"/>
      <c r="F963" s="261"/>
      <c r="G963" s="259"/>
      <c r="H963" s="259"/>
      <c r="I963" s="259"/>
      <c r="J963" s="262"/>
      <c r="K963" s="259"/>
      <c r="L963" s="259"/>
      <c r="M963" s="259"/>
      <c r="N963" s="259"/>
      <c r="O963" s="259"/>
      <c r="P963" s="259"/>
      <c r="Q963" s="259"/>
      <c r="R963" s="259"/>
      <c r="S963" s="259"/>
      <c r="T963" s="259"/>
      <c r="U963" s="259"/>
      <c r="V963" s="259"/>
      <c r="W963" s="259"/>
      <c r="X963" s="259"/>
      <c r="Y963" s="259"/>
      <c r="Z963" s="259"/>
    </row>
    <row r="964" customFormat="false" ht="12" hidden="false" customHeight="true" outlineLevel="0" collapsed="false">
      <c r="A964" s="259"/>
      <c r="B964" s="259"/>
      <c r="C964" s="259"/>
      <c r="D964" s="259"/>
      <c r="E964" s="259"/>
      <c r="F964" s="261"/>
      <c r="G964" s="259"/>
      <c r="H964" s="259"/>
      <c r="I964" s="259"/>
      <c r="J964" s="262"/>
      <c r="K964" s="259"/>
      <c r="L964" s="259"/>
      <c r="M964" s="259"/>
      <c r="N964" s="259"/>
      <c r="O964" s="259"/>
      <c r="P964" s="259"/>
      <c r="Q964" s="259"/>
      <c r="R964" s="259"/>
      <c r="S964" s="259"/>
      <c r="T964" s="259"/>
      <c r="U964" s="259"/>
      <c r="V964" s="259"/>
      <c r="W964" s="259"/>
      <c r="X964" s="259"/>
      <c r="Y964" s="259"/>
      <c r="Z964" s="259"/>
    </row>
    <row r="965" customFormat="false" ht="12" hidden="false" customHeight="true" outlineLevel="0" collapsed="false">
      <c r="A965" s="259"/>
      <c r="B965" s="259"/>
      <c r="C965" s="259"/>
      <c r="D965" s="259"/>
      <c r="E965" s="259"/>
      <c r="F965" s="261"/>
      <c r="G965" s="259"/>
      <c r="H965" s="259"/>
      <c r="I965" s="259"/>
      <c r="J965" s="262"/>
      <c r="K965" s="259"/>
      <c r="L965" s="259"/>
      <c r="M965" s="259"/>
      <c r="N965" s="259"/>
      <c r="O965" s="259"/>
      <c r="P965" s="259"/>
      <c r="Q965" s="259"/>
      <c r="R965" s="259"/>
      <c r="S965" s="259"/>
      <c r="T965" s="259"/>
      <c r="U965" s="259"/>
      <c r="V965" s="259"/>
      <c r="W965" s="259"/>
      <c r="X965" s="259"/>
      <c r="Y965" s="259"/>
      <c r="Z965" s="259"/>
    </row>
    <row r="966" customFormat="false" ht="12" hidden="false" customHeight="true" outlineLevel="0" collapsed="false">
      <c r="A966" s="259"/>
      <c r="B966" s="259"/>
      <c r="C966" s="259"/>
      <c r="D966" s="259"/>
      <c r="E966" s="259"/>
      <c r="F966" s="261"/>
      <c r="G966" s="259"/>
      <c r="H966" s="259"/>
      <c r="I966" s="259"/>
      <c r="J966" s="262"/>
      <c r="K966" s="259"/>
      <c r="L966" s="259"/>
      <c r="M966" s="259"/>
      <c r="N966" s="259"/>
      <c r="O966" s="259"/>
      <c r="P966" s="259"/>
      <c r="Q966" s="259"/>
      <c r="R966" s="259"/>
      <c r="S966" s="259"/>
      <c r="T966" s="259"/>
      <c r="U966" s="259"/>
      <c r="V966" s="259"/>
      <c r="W966" s="259"/>
      <c r="X966" s="259"/>
      <c r="Y966" s="259"/>
      <c r="Z966" s="259"/>
    </row>
    <row r="967" customFormat="false" ht="12" hidden="false" customHeight="true" outlineLevel="0" collapsed="false">
      <c r="A967" s="259"/>
      <c r="B967" s="259"/>
      <c r="C967" s="259"/>
      <c r="D967" s="259"/>
      <c r="E967" s="259"/>
      <c r="F967" s="261"/>
      <c r="G967" s="259"/>
      <c r="H967" s="259"/>
      <c r="I967" s="259"/>
      <c r="J967" s="262"/>
      <c r="K967" s="259"/>
      <c r="L967" s="259"/>
      <c r="M967" s="259"/>
      <c r="N967" s="259"/>
      <c r="O967" s="259"/>
      <c r="P967" s="259"/>
      <c r="Q967" s="259"/>
      <c r="R967" s="259"/>
      <c r="S967" s="259"/>
      <c r="T967" s="259"/>
      <c r="U967" s="259"/>
      <c r="V967" s="259"/>
      <c r="W967" s="259"/>
      <c r="X967" s="259"/>
      <c r="Y967" s="259"/>
      <c r="Z967" s="259"/>
    </row>
    <row r="968" customFormat="false" ht="12" hidden="false" customHeight="true" outlineLevel="0" collapsed="false">
      <c r="A968" s="259"/>
      <c r="B968" s="259"/>
      <c r="C968" s="259"/>
      <c r="D968" s="259"/>
      <c r="E968" s="259"/>
      <c r="F968" s="261"/>
      <c r="G968" s="259"/>
      <c r="H968" s="259"/>
      <c r="I968" s="259"/>
      <c r="J968" s="262"/>
      <c r="K968" s="259"/>
      <c r="L968" s="259"/>
      <c r="M968" s="259"/>
      <c r="N968" s="259"/>
      <c r="O968" s="259"/>
      <c r="P968" s="259"/>
      <c r="Q968" s="259"/>
      <c r="R968" s="259"/>
      <c r="S968" s="259"/>
      <c r="T968" s="259"/>
      <c r="U968" s="259"/>
      <c r="V968" s="259"/>
      <c r="W968" s="259"/>
      <c r="X968" s="259"/>
      <c r="Y968" s="259"/>
      <c r="Z968" s="259"/>
    </row>
    <row r="969" customFormat="false" ht="12" hidden="false" customHeight="true" outlineLevel="0" collapsed="false">
      <c r="A969" s="259"/>
      <c r="B969" s="259"/>
      <c r="C969" s="259"/>
      <c r="D969" s="259"/>
      <c r="E969" s="259"/>
      <c r="F969" s="261"/>
      <c r="G969" s="259"/>
      <c r="H969" s="259"/>
      <c r="I969" s="259"/>
      <c r="J969" s="262"/>
      <c r="K969" s="259"/>
      <c r="L969" s="259"/>
      <c r="M969" s="259"/>
      <c r="N969" s="259"/>
      <c r="O969" s="259"/>
      <c r="P969" s="259"/>
      <c r="Q969" s="259"/>
      <c r="R969" s="259"/>
      <c r="S969" s="259"/>
      <c r="T969" s="259"/>
      <c r="U969" s="259"/>
      <c r="V969" s="259"/>
      <c r="W969" s="259"/>
      <c r="X969" s="259"/>
      <c r="Y969" s="259"/>
      <c r="Z969" s="259"/>
    </row>
    <row r="970" customFormat="false" ht="12" hidden="false" customHeight="true" outlineLevel="0" collapsed="false">
      <c r="A970" s="259"/>
      <c r="B970" s="259"/>
      <c r="C970" s="259"/>
      <c r="D970" s="259"/>
      <c r="E970" s="259"/>
      <c r="F970" s="261"/>
      <c r="G970" s="259"/>
      <c r="H970" s="259"/>
      <c r="I970" s="259"/>
      <c r="J970" s="262"/>
      <c r="K970" s="259"/>
      <c r="L970" s="259"/>
      <c r="M970" s="259"/>
      <c r="N970" s="259"/>
      <c r="O970" s="259"/>
      <c r="P970" s="259"/>
      <c r="Q970" s="259"/>
      <c r="R970" s="259"/>
      <c r="S970" s="259"/>
      <c r="T970" s="259"/>
      <c r="U970" s="259"/>
      <c r="V970" s="259"/>
      <c r="W970" s="259"/>
      <c r="X970" s="259"/>
      <c r="Y970" s="259"/>
      <c r="Z970" s="259"/>
    </row>
    <row r="971" customFormat="false" ht="12" hidden="false" customHeight="true" outlineLevel="0" collapsed="false">
      <c r="A971" s="259"/>
      <c r="B971" s="259"/>
      <c r="C971" s="259"/>
      <c r="D971" s="259"/>
      <c r="E971" s="259"/>
      <c r="F971" s="261"/>
      <c r="G971" s="259"/>
      <c r="H971" s="259"/>
      <c r="I971" s="259"/>
      <c r="J971" s="262"/>
      <c r="K971" s="259"/>
      <c r="L971" s="259"/>
      <c r="M971" s="259"/>
      <c r="N971" s="259"/>
      <c r="O971" s="259"/>
      <c r="P971" s="259"/>
      <c r="Q971" s="259"/>
      <c r="R971" s="259"/>
      <c r="S971" s="259"/>
      <c r="T971" s="259"/>
      <c r="U971" s="259"/>
      <c r="V971" s="259"/>
      <c r="W971" s="259"/>
      <c r="X971" s="259"/>
      <c r="Y971" s="259"/>
      <c r="Z971" s="259"/>
    </row>
    <row r="972" customFormat="false" ht="12" hidden="false" customHeight="true" outlineLevel="0" collapsed="false">
      <c r="A972" s="259"/>
      <c r="B972" s="259"/>
      <c r="C972" s="259"/>
      <c r="D972" s="259"/>
      <c r="E972" s="259"/>
      <c r="F972" s="261"/>
      <c r="G972" s="259"/>
      <c r="H972" s="259"/>
      <c r="I972" s="259"/>
      <c r="J972" s="262"/>
      <c r="K972" s="259"/>
      <c r="L972" s="259"/>
      <c r="M972" s="259"/>
      <c r="N972" s="259"/>
      <c r="O972" s="259"/>
      <c r="P972" s="259"/>
      <c r="Q972" s="259"/>
      <c r="R972" s="259"/>
      <c r="S972" s="259"/>
      <c r="T972" s="259"/>
      <c r="U972" s="259"/>
      <c r="V972" s="259"/>
      <c r="W972" s="259"/>
      <c r="X972" s="259"/>
      <c r="Y972" s="259"/>
      <c r="Z972" s="259"/>
    </row>
    <row r="973" customFormat="false" ht="12" hidden="false" customHeight="true" outlineLevel="0" collapsed="false">
      <c r="A973" s="259"/>
      <c r="B973" s="259"/>
      <c r="C973" s="259"/>
      <c r="D973" s="259"/>
      <c r="E973" s="259"/>
      <c r="F973" s="261"/>
      <c r="G973" s="259"/>
      <c r="H973" s="259"/>
      <c r="I973" s="259"/>
      <c r="J973" s="262"/>
      <c r="K973" s="259"/>
      <c r="L973" s="259"/>
      <c r="M973" s="259"/>
      <c r="N973" s="259"/>
      <c r="O973" s="259"/>
      <c r="P973" s="259"/>
      <c r="Q973" s="259"/>
      <c r="R973" s="259"/>
      <c r="S973" s="259"/>
      <c r="T973" s="259"/>
      <c r="U973" s="259"/>
      <c r="V973" s="259"/>
      <c r="W973" s="259"/>
      <c r="X973" s="259"/>
      <c r="Y973" s="259"/>
      <c r="Z973" s="259"/>
    </row>
    <row r="974" customFormat="false" ht="12" hidden="false" customHeight="true" outlineLevel="0" collapsed="false">
      <c r="A974" s="259"/>
      <c r="B974" s="259"/>
      <c r="C974" s="259"/>
      <c r="D974" s="259"/>
      <c r="E974" s="259"/>
      <c r="F974" s="261"/>
      <c r="G974" s="259"/>
      <c r="H974" s="259"/>
      <c r="I974" s="259"/>
      <c r="J974" s="262"/>
      <c r="K974" s="259"/>
      <c r="L974" s="259"/>
      <c r="M974" s="259"/>
      <c r="N974" s="259"/>
      <c r="O974" s="259"/>
      <c r="P974" s="259"/>
      <c r="Q974" s="259"/>
      <c r="R974" s="259"/>
      <c r="S974" s="259"/>
      <c r="T974" s="259"/>
      <c r="U974" s="259"/>
      <c r="V974" s="259"/>
      <c r="W974" s="259"/>
      <c r="X974" s="259"/>
      <c r="Y974" s="259"/>
      <c r="Z974" s="259"/>
    </row>
    <row r="975" customFormat="false" ht="12" hidden="false" customHeight="true" outlineLevel="0" collapsed="false">
      <c r="A975" s="259"/>
      <c r="B975" s="259"/>
      <c r="C975" s="259"/>
      <c r="D975" s="259"/>
      <c r="E975" s="259"/>
      <c r="F975" s="261"/>
      <c r="G975" s="259"/>
      <c r="H975" s="259"/>
      <c r="I975" s="259"/>
      <c r="J975" s="262"/>
      <c r="K975" s="259"/>
      <c r="L975" s="259"/>
      <c r="M975" s="259"/>
      <c r="N975" s="259"/>
      <c r="O975" s="259"/>
      <c r="P975" s="259"/>
      <c r="Q975" s="259"/>
      <c r="R975" s="259"/>
      <c r="S975" s="259"/>
      <c r="T975" s="259"/>
      <c r="U975" s="259"/>
      <c r="V975" s="259"/>
      <c r="W975" s="259"/>
      <c r="X975" s="259"/>
      <c r="Y975" s="259"/>
      <c r="Z975" s="259"/>
    </row>
    <row r="976" customFormat="false" ht="12" hidden="false" customHeight="true" outlineLevel="0" collapsed="false">
      <c r="A976" s="259"/>
      <c r="B976" s="259"/>
      <c r="C976" s="259"/>
      <c r="D976" s="259"/>
      <c r="E976" s="259"/>
      <c r="F976" s="261"/>
      <c r="G976" s="259"/>
      <c r="H976" s="259"/>
      <c r="I976" s="259"/>
      <c r="J976" s="262"/>
      <c r="K976" s="259"/>
      <c r="L976" s="259"/>
      <c r="M976" s="259"/>
      <c r="N976" s="259"/>
      <c r="O976" s="259"/>
      <c r="P976" s="259"/>
      <c r="Q976" s="259"/>
      <c r="R976" s="259"/>
      <c r="S976" s="259"/>
      <c r="T976" s="259"/>
      <c r="U976" s="259"/>
      <c r="V976" s="259"/>
      <c r="W976" s="259"/>
      <c r="X976" s="259"/>
      <c r="Y976" s="259"/>
      <c r="Z976" s="259"/>
    </row>
    <row r="977" customFormat="false" ht="12" hidden="false" customHeight="true" outlineLevel="0" collapsed="false">
      <c r="A977" s="259"/>
      <c r="B977" s="259"/>
      <c r="C977" s="259"/>
      <c r="D977" s="259"/>
      <c r="E977" s="259"/>
      <c r="F977" s="261"/>
      <c r="G977" s="259"/>
      <c r="H977" s="259"/>
      <c r="I977" s="259"/>
      <c r="J977" s="262"/>
      <c r="K977" s="259"/>
      <c r="L977" s="259"/>
      <c r="M977" s="259"/>
      <c r="N977" s="259"/>
      <c r="O977" s="259"/>
      <c r="P977" s="259"/>
      <c r="Q977" s="259"/>
      <c r="R977" s="259"/>
      <c r="S977" s="259"/>
      <c r="T977" s="259"/>
      <c r="U977" s="259"/>
      <c r="V977" s="259"/>
      <c r="W977" s="259"/>
      <c r="X977" s="259"/>
      <c r="Y977" s="259"/>
      <c r="Z977" s="259"/>
    </row>
    <row r="978" customFormat="false" ht="12" hidden="false" customHeight="true" outlineLevel="0" collapsed="false">
      <c r="A978" s="259"/>
      <c r="B978" s="259"/>
      <c r="C978" s="259"/>
      <c r="D978" s="259"/>
      <c r="E978" s="259"/>
      <c r="F978" s="261"/>
      <c r="G978" s="259"/>
      <c r="H978" s="259"/>
      <c r="I978" s="259"/>
      <c r="J978" s="262"/>
      <c r="K978" s="259"/>
      <c r="L978" s="259"/>
      <c r="M978" s="259"/>
      <c r="N978" s="259"/>
      <c r="O978" s="259"/>
      <c r="P978" s="259"/>
      <c r="Q978" s="259"/>
      <c r="R978" s="259"/>
      <c r="S978" s="259"/>
      <c r="T978" s="259"/>
      <c r="U978" s="259"/>
      <c r="V978" s="259"/>
      <c r="W978" s="259"/>
      <c r="X978" s="259"/>
      <c r="Y978" s="259"/>
      <c r="Z978" s="259"/>
    </row>
    <row r="979" customFormat="false" ht="12" hidden="false" customHeight="true" outlineLevel="0" collapsed="false">
      <c r="A979" s="259"/>
      <c r="B979" s="259"/>
      <c r="C979" s="259"/>
      <c r="D979" s="259"/>
      <c r="E979" s="259"/>
      <c r="F979" s="261"/>
      <c r="G979" s="259"/>
      <c r="H979" s="259"/>
      <c r="I979" s="259"/>
      <c r="J979" s="262"/>
      <c r="K979" s="259"/>
      <c r="L979" s="259"/>
      <c r="M979" s="259"/>
      <c r="N979" s="259"/>
      <c r="O979" s="259"/>
      <c r="P979" s="259"/>
      <c r="Q979" s="259"/>
      <c r="R979" s="259"/>
      <c r="S979" s="259"/>
      <c r="T979" s="259"/>
      <c r="U979" s="259"/>
      <c r="V979" s="259"/>
      <c r="W979" s="259"/>
      <c r="X979" s="259"/>
      <c r="Y979" s="259"/>
      <c r="Z979" s="259"/>
    </row>
    <row r="980" customFormat="false" ht="12" hidden="false" customHeight="true" outlineLevel="0" collapsed="false">
      <c r="A980" s="259"/>
      <c r="B980" s="259"/>
      <c r="C980" s="259"/>
      <c r="D980" s="259"/>
      <c r="E980" s="259"/>
      <c r="F980" s="261"/>
      <c r="G980" s="259"/>
      <c r="H980" s="259"/>
      <c r="I980" s="259"/>
      <c r="J980" s="262"/>
      <c r="K980" s="259"/>
      <c r="L980" s="259"/>
      <c r="M980" s="259"/>
      <c r="N980" s="259"/>
      <c r="O980" s="259"/>
      <c r="P980" s="259"/>
      <c r="Q980" s="259"/>
      <c r="R980" s="259"/>
      <c r="S980" s="259"/>
      <c r="T980" s="259"/>
      <c r="U980" s="259"/>
      <c r="V980" s="259"/>
      <c r="W980" s="259"/>
      <c r="X980" s="259"/>
      <c r="Y980" s="259"/>
      <c r="Z980" s="259"/>
    </row>
    <row r="981" customFormat="false" ht="12" hidden="false" customHeight="true" outlineLevel="0" collapsed="false">
      <c r="A981" s="259"/>
      <c r="B981" s="259"/>
      <c r="C981" s="259"/>
      <c r="D981" s="259"/>
      <c r="E981" s="259"/>
      <c r="F981" s="261"/>
      <c r="G981" s="259"/>
      <c r="H981" s="259"/>
      <c r="I981" s="259"/>
      <c r="J981" s="262"/>
      <c r="K981" s="259"/>
      <c r="L981" s="259"/>
      <c r="M981" s="259"/>
      <c r="N981" s="259"/>
      <c r="O981" s="259"/>
      <c r="P981" s="259"/>
      <c r="Q981" s="259"/>
      <c r="R981" s="259"/>
      <c r="S981" s="259"/>
      <c r="T981" s="259"/>
      <c r="U981" s="259"/>
      <c r="V981" s="259"/>
      <c r="W981" s="259"/>
      <c r="X981" s="259"/>
      <c r="Y981" s="259"/>
      <c r="Z981" s="259"/>
    </row>
    <row r="982" customFormat="false" ht="12" hidden="false" customHeight="true" outlineLevel="0" collapsed="false">
      <c r="A982" s="259"/>
      <c r="B982" s="259"/>
      <c r="C982" s="259"/>
      <c r="D982" s="259"/>
      <c r="E982" s="259"/>
      <c r="F982" s="261"/>
      <c r="G982" s="259"/>
      <c r="H982" s="259"/>
      <c r="I982" s="259"/>
      <c r="J982" s="262"/>
      <c r="K982" s="259"/>
      <c r="L982" s="259"/>
      <c r="M982" s="259"/>
      <c r="N982" s="259"/>
      <c r="O982" s="259"/>
      <c r="P982" s="259"/>
      <c r="Q982" s="259"/>
      <c r="R982" s="259"/>
      <c r="S982" s="259"/>
      <c r="T982" s="259"/>
      <c r="U982" s="259"/>
      <c r="V982" s="259"/>
      <c r="W982" s="259"/>
      <c r="X982" s="259"/>
      <c r="Y982" s="259"/>
      <c r="Z982" s="259"/>
    </row>
    <row r="983" customFormat="false" ht="12" hidden="false" customHeight="true" outlineLevel="0" collapsed="false">
      <c r="A983" s="259"/>
      <c r="B983" s="259"/>
      <c r="C983" s="259"/>
      <c r="D983" s="259"/>
      <c r="E983" s="259"/>
      <c r="F983" s="261"/>
      <c r="G983" s="259"/>
      <c r="H983" s="259"/>
      <c r="I983" s="259"/>
      <c r="J983" s="262"/>
      <c r="K983" s="259"/>
      <c r="L983" s="259"/>
      <c r="M983" s="259"/>
      <c r="N983" s="259"/>
      <c r="O983" s="259"/>
      <c r="P983" s="259"/>
      <c r="Q983" s="259"/>
      <c r="R983" s="259"/>
      <c r="S983" s="259"/>
      <c r="T983" s="259"/>
      <c r="U983" s="259"/>
      <c r="V983" s="259"/>
      <c r="W983" s="259"/>
      <c r="X983" s="259"/>
      <c r="Y983" s="259"/>
      <c r="Z983" s="259"/>
    </row>
    <row r="984" customFormat="false" ht="12" hidden="false" customHeight="true" outlineLevel="0" collapsed="false">
      <c r="A984" s="259"/>
      <c r="B984" s="259"/>
      <c r="C984" s="259"/>
      <c r="D984" s="259"/>
      <c r="E984" s="259"/>
      <c r="F984" s="261"/>
      <c r="G984" s="259"/>
      <c r="H984" s="259"/>
      <c r="I984" s="259"/>
      <c r="J984" s="262"/>
      <c r="K984" s="259"/>
      <c r="L984" s="259"/>
      <c r="M984" s="259"/>
      <c r="N984" s="259"/>
      <c r="O984" s="259"/>
      <c r="P984" s="259"/>
      <c r="Q984" s="259"/>
      <c r="R984" s="259"/>
      <c r="S984" s="259"/>
      <c r="T984" s="259"/>
      <c r="U984" s="259"/>
      <c r="V984" s="259"/>
      <c r="W984" s="259"/>
      <c r="X984" s="259"/>
      <c r="Y984" s="259"/>
      <c r="Z984" s="259"/>
    </row>
    <row r="985" customFormat="false" ht="12" hidden="false" customHeight="true" outlineLevel="0" collapsed="false">
      <c r="A985" s="259"/>
      <c r="B985" s="259"/>
      <c r="C985" s="259"/>
      <c r="D985" s="259"/>
      <c r="E985" s="259"/>
      <c r="F985" s="261"/>
      <c r="G985" s="259"/>
      <c r="H985" s="259"/>
      <c r="I985" s="259"/>
      <c r="J985" s="262"/>
      <c r="K985" s="259"/>
      <c r="L985" s="259"/>
      <c r="M985" s="259"/>
      <c r="N985" s="259"/>
      <c r="O985" s="259"/>
      <c r="P985" s="259"/>
      <c r="Q985" s="259"/>
      <c r="R985" s="259"/>
      <c r="S985" s="259"/>
      <c r="T985" s="259"/>
      <c r="U985" s="259"/>
      <c r="V985" s="259"/>
      <c r="W985" s="259"/>
      <c r="X985" s="259"/>
      <c r="Y985" s="259"/>
      <c r="Z985" s="259"/>
    </row>
    <row r="986" customFormat="false" ht="12" hidden="false" customHeight="true" outlineLevel="0" collapsed="false">
      <c r="A986" s="259"/>
      <c r="B986" s="259"/>
      <c r="C986" s="259"/>
      <c r="D986" s="259"/>
      <c r="E986" s="259"/>
      <c r="F986" s="261"/>
      <c r="G986" s="259"/>
      <c r="H986" s="259"/>
      <c r="I986" s="259"/>
      <c r="J986" s="262"/>
      <c r="K986" s="259"/>
      <c r="L986" s="259"/>
      <c r="M986" s="259"/>
      <c r="N986" s="259"/>
      <c r="O986" s="259"/>
      <c r="P986" s="259"/>
      <c r="Q986" s="259"/>
      <c r="R986" s="259"/>
      <c r="S986" s="259"/>
      <c r="T986" s="259"/>
      <c r="U986" s="259"/>
      <c r="V986" s="259"/>
      <c r="W986" s="259"/>
      <c r="X986" s="259"/>
      <c r="Y986" s="259"/>
      <c r="Z986" s="259"/>
    </row>
    <row r="987" customFormat="false" ht="12" hidden="false" customHeight="true" outlineLevel="0" collapsed="false">
      <c r="A987" s="259"/>
      <c r="B987" s="259"/>
      <c r="C987" s="259"/>
      <c r="D987" s="259"/>
      <c r="E987" s="259"/>
      <c r="F987" s="261"/>
      <c r="G987" s="259"/>
      <c r="H987" s="259"/>
      <c r="I987" s="259"/>
      <c r="J987" s="262"/>
      <c r="K987" s="259"/>
      <c r="L987" s="259"/>
      <c r="M987" s="259"/>
      <c r="N987" s="259"/>
      <c r="O987" s="259"/>
      <c r="P987" s="259"/>
      <c r="Q987" s="259"/>
      <c r="R987" s="259"/>
      <c r="S987" s="259"/>
      <c r="T987" s="259"/>
      <c r="U987" s="259"/>
      <c r="V987" s="259"/>
      <c r="W987" s="259"/>
      <c r="X987" s="259"/>
      <c r="Y987" s="259"/>
      <c r="Z987" s="259"/>
    </row>
    <row r="988" customFormat="false" ht="12" hidden="false" customHeight="true" outlineLevel="0" collapsed="false">
      <c r="A988" s="259"/>
      <c r="B988" s="259"/>
      <c r="C988" s="259"/>
      <c r="D988" s="259"/>
      <c r="E988" s="259"/>
      <c r="F988" s="261"/>
      <c r="G988" s="259"/>
      <c r="H988" s="259"/>
      <c r="I988" s="259"/>
      <c r="J988" s="262"/>
      <c r="K988" s="259"/>
      <c r="L988" s="259"/>
      <c r="M988" s="259"/>
      <c r="N988" s="259"/>
      <c r="O988" s="259"/>
      <c r="P988" s="259"/>
      <c r="Q988" s="259"/>
      <c r="R988" s="259"/>
      <c r="S988" s="259"/>
      <c r="T988" s="259"/>
      <c r="U988" s="259"/>
      <c r="V988" s="259"/>
      <c r="W988" s="259"/>
      <c r="X988" s="259"/>
      <c r="Y988" s="259"/>
      <c r="Z988" s="259"/>
    </row>
    <row r="989" customFormat="false" ht="12" hidden="false" customHeight="true" outlineLevel="0" collapsed="false">
      <c r="A989" s="259"/>
      <c r="B989" s="259"/>
      <c r="C989" s="259"/>
      <c r="D989" s="259"/>
      <c r="E989" s="259"/>
      <c r="F989" s="261"/>
      <c r="G989" s="259"/>
      <c r="H989" s="259"/>
      <c r="I989" s="259"/>
      <c r="J989" s="262"/>
      <c r="K989" s="259"/>
      <c r="L989" s="259"/>
      <c r="M989" s="259"/>
      <c r="N989" s="259"/>
      <c r="O989" s="259"/>
      <c r="P989" s="259"/>
      <c r="Q989" s="259"/>
      <c r="R989" s="259"/>
      <c r="S989" s="259"/>
      <c r="T989" s="259"/>
      <c r="U989" s="259"/>
      <c r="V989" s="259"/>
      <c r="W989" s="259"/>
      <c r="X989" s="259"/>
      <c r="Y989" s="259"/>
      <c r="Z989" s="259"/>
    </row>
    <row r="990" customFormat="false" ht="12" hidden="false" customHeight="true" outlineLevel="0" collapsed="false">
      <c r="A990" s="259"/>
      <c r="B990" s="259"/>
      <c r="C990" s="259"/>
      <c r="D990" s="259"/>
      <c r="E990" s="259"/>
      <c r="F990" s="261"/>
      <c r="G990" s="259"/>
      <c r="H990" s="259"/>
      <c r="I990" s="259"/>
      <c r="J990" s="262"/>
      <c r="K990" s="259"/>
      <c r="L990" s="259"/>
      <c r="M990" s="259"/>
      <c r="N990" s="259"/>
      <c r="O990" s="259"/>
      <c r="P990" s="259"/>
      <c r="Q990" s="259"/>
      <c r="R990" s="259"/>
      <c r="S990" s="259"/>
      <c r="T990" s="259"/>
      <c r="U990" s="259"/>
      <c r="V990" s="259"/>
      <c r="W990" s="259"/>
      <c r="X990" s="259"/>
      <c r="Y990" s="259"/>
      <c r="Z990" s="259"/>
    </row>
    <row r="991" customFormat="false" ht="12" hidden="false" customHeight="true" outlineLevel="0" collapsed="false">
      <c r="A991" s="259"/>
      <c r="B991" s="259"/>
      <c r="C991" s="259"/>
      <c r="D991" s="259"/>
      <c r="E991" s="259"/>
      <c r="F991" s="261"/>
      <c r="G991" s="259"/>
      <c r="H991" s="259"/>
      <c r="I991" s="259"/>
      <c r="J991" s="262"/>
      <c r="K991" s="259"/>
      <c r="L991" s="259"/>
      <c r="M991" s="259"/>
      <c r="N991" s="259"/>
      <c r="O991" s="259"/>
      <c r="P991" s="259"/>
      <c r="Q991" s="259"/>
      <c r="R991" s="259"/>
      <c r="S991" s="259"/>
      <c r="T991" s="259"/>
      <c r="U991" s="259"/>
      <c r="V991" s="259"/>
      <c r="W991" s="259"/>
      <c r="X991" s="259"/>
      <c r="Y991" s="259"/>
      <c r="Z991" s="259"/>
    </row>
    <row r="992" customFormat="false" ht="12" hidden="false" customHeight="true" outlineLevel="0" collapsed="false">
      <c r="A992" s="259"/>
      <c r="B992" s="259"/>
      <c r="C992" s="259"/>
      <c r="D992" s="259"/>
      <c r="E992" s="259"/>
      <c r="F992" s="261"/>
      <c r="G992" s="259"/>
      <c r="H992" s="259"/>
      <c r="I992" s="259"/>
      <c r="J992" s="262"/>
      <c r="K992" s="259"/>
      <c r="L992" s="259"/>
      <c r="M992" s="259"/>
      <c r="N992" s="259"/>
      <c r="O992" s="259"/>
      <c r="P992" s="259"/>
      <c r="Q992" s="259"/>
      <c r="R992" s="259"/>
      <c r="S992" s="259"/>
      <c r="T992" s="259"/>
      <c r="U992" s="259"/>
      <c r="V992" s="259"/>
      <c r="W992" s="259"/>
      <c r="X992" s="259"/>
      <c r="Y992" s="259"/>
      <c r="Z992" s="259"/>
    </row>
    <row r="993" customFormat="false" ht="12" hidden="false" customHeight="true" outlineLevel="0" collapsed="false">
      <c r="A993" s="259"/>
      <c r="B993" s="259"/>
      <c r="C993" s="259"/>
      <c r="D993" s="259"/>
      <c r="E993" s="259"/>
      <c r="F993" s="261"/>
      <c r="G993" s="259"/>
      <c r="H993" s="259"/>
      <c r="I993" s="259"/>
      <c r="J993" s="262"/>
      <c r="K993" s="259"/>
      <c r="L993" s="259"/>
      <c r="M993" s="259"/>
      <c r="N993" s="259"/>
      <c r="O993" s="259"/>
      <c r="P993" s="259"/>
      <c r="Q993" s="259"/>
      <c r="R993" s="259"/>
      <c r="S993" s="259"/>
      <c r="T993" s="259"/>
      <c r="U993" s="259"/>
      <c r="V993" s="259"/>
      <c r="W993" s="259"/>
      <c r="X993" s="259"/>
      <c r="Y993" s="259"/>
      <c r="Z993" s="259"/>
    </row>
    <row r="994" customFormat="false" ht="12" hidden="false" customHeight="true" outlineLevel="0" collapsed="false">
      <c r="A994" s="259"/>
      <c r="B994" s="259"/>
      <c r="C994" s="259"/>
      <c r="D994" s="259"/>
      <c r="E994" s="259"/>
      <c r="F994" s="261"/>
      <c r="G994" s="259"/>
      <c r="H994" s="259"/>
      <c r="I994" s="259"/>
      <c r="J994" s="262"/>
      <c r="K994" s="259"/>
      <c r="L994" s="259"/>
      <c r="M994" s="259"/>
      <c r="N994" s="259"/>
      <c r="O994" s="259"/>
      <c r="P994" s="259"/>
      <c r="Q994" s="259"/>
      <c r="R994" s="259"/>
      <c r="S994" s="259"/>
      <c r="T994" s="259"/>
      <c r="U994" s="259"/>
      <c r="V994" s="259"/>
      <c r="W994" s="259"/>
      <c r="X994" s="259"/>
      <c r="Y994" s="259"/>
      <c r="Z994" s="259"/>
    </row>
    <row r="995" customFormat="false" ht="12" hidden="false" customHeight="true" outlineLevel="0" collapsed="false">
      <c r="A995" s="259"/>
      <c r="B995" s="259"/>
      <c r="C995" s="259"/>
      <c r="D995" s="259"/>
      <c r="E995" s="259"/>
      <c r="F995" s="261"/>
      <c r="G995" s="259"/>
      <c r="H995" s="259"/>
      <c r="I995" s="259"/>
      <c r="J995" s="262"/>
      <c r="K995" s="259"/>
      <c r="L995" s="259"/>
      <c r="M995" s="259"/>
      <c r="N995" s="259"/>
      <c r="O995" s="259"/>
      <c r="P995" s="259"/>
      <c r="Q995" s="259"/>
      <c r="R995" s="259"/>
      <c r="S995" s="259"/>
      <c r="T995" s="259"/>
      <c r="U995" s="259"/>
      <c r="V995" s="259"/>
      <c r="W995" s="259"/>
      <c r="X995" s="259"/>
      <c r="Y995" s="259"/>
      <c r="Z995" s="259"/>
    </row>
    <row r="996" customFormat="false" ht="12" hidden="false" customHeight="true" outlineLevel="0" collapsed="false">
      <c r="A996" s="259"/>
      <c r="B996" s="259"/>
      <c r="C996" s="259"/>
      <c r="D996" s="259"/>
      <c r="E996" s="259"/>
      <c r="F996" s="261"/>
      <c r="G996" s="259"/>
      <c r="H996" s="259"/>
      <c r="I996" s="259"/>
      <c r="J996" s="262"/>
      <c r="K996" s="259"/>
      <c r="L996" s="259"/>
      <c r="M996" s="259"/>
      <c r="N996" s="259"/>
      <c r="O996" s="259"/>
      <c r="P996" s="259"/>
      <c r="Q996" s="259"/>
      <c r="R996" s="259"/>
      <c r="S996" s="259"/>
      <c r="T996" s="259"/>
      <c r="U996" s="259"/>
      <c r="V996" s="259"/>
      <c r="W996" s="259"/>
      <c r="X996" s="259"/>
      <c r="Y996" s="259"/>
      <c r="Z996" s="259"/>
    </row>
    <row r="997" customFormat="false" ht="12" hidden="false" customHeight="true" outlineLevel="0" collapsed="false">
      <c r="A997" s="259"/>
      <c r="B997" s="259"/>
      <c r="C997" s="259"/>
      <c r="D997" s="259"/>
      <c r="E997" s="259"/>
      <c r="F997" s="261"/>
      <c r="G997" s="259"/>
      <c r="H997" s="259"/>
      <c r="I997" s="259"/>
      <c r="J997" s="262"/>
      <c r="K997" s="259"/>
      <c r="L997" s="259"/>
      <c r="M997" s="259"/>
      <c r="N997" s="259"/>
      <c r="O997" s="259"/>
      <c r="P997" s="259"/>
      <c r="Q997" s="259"/>
      <c r="R997" s="259"/>
      <c r="S997" s="259"/>
      <c r="T997" s="259"/>
      <c r="U997" s="259"/>
      <c r="V997" s="259"/>
      <c r="W997" s="259"/>
      <c r="X997" s="259"/>
      <c r="Y997" s="259"/>
      <c r="Z997" s="259"/>
    </row>
    <row r="998" customFormat="false" ht="12" hidden="false" customHeight="true" outlineLevel="0" collapsed="false">
      <c r="A998" s="259"/>
      <c r="B998" s="259"/>
      <c r="C998" s="259"/>
      <c r="D998" s="259"/>
      <c r="E998" s="259"/>
      <c r="F998" s="261"/>
      <c r="G998" s="259"/>
      <c r="H998" s="259"/>
      <c r="I998" s="259"/>
      <c r="J998" s="262"/>
      <c r="K998" s="259"/>
      <c r="L998" s="259"/>
      <c r="M998" s="259"/>
      <c r="N998" s="259"/>
      <c r="O998" s="259"/>
      <c r="P998" s="259"/>
      <c r="Q998" s="259"/>
      <c r="R998" s="259"/>
      <c r="S998" s="259"/>
      <c r="T998" s="259"/>
      <c r="U998" s="259"/>
      <c r="V998" s="259"/>
      <c r="W998" s="259"/>
      <c r="X998" s="259"/>
      <c r="Y998" s="259"/>
      <c r="Z998" s="259"/>
    </row>
    <row r="999" customFormat="false" ht="12" hidden="false" customHeight="true" outlineLevel="0" collapsed="false">
      <c r="A999" s="259"/>
      <c r="B999" s="259"/>
      <c r="C999" s="259"/>
      <c r="D999" s="259"/>
      <c r="E999" s="259"/>
      <c r="F999" s="261"/>
      <c r="G999" s="259"/>
      <c r="H999" s="259"/>
      <c r="I999" s="259"/>
      <c r="J999" s="262"/>
      <c r="K999" s="259"/>
      <c r="L999" s="259"/>
      <c r="M999" s="259"/>
      <c r="N999" s="259"/>
      <c r="O999" s="259"/>
      <c r="P999" s="259"/>
      <c r="Q999" s="259"/>
      <c r="R999" s="259"/>
      <c r="S999" s="259"/>
      <c r="T999" s="259"/>
      <c r="U999" s="259"/>
      <c r="V999" s="259"/>
      <c r="W999" s="259"/>
      <c r="X999" s="259"/>
      <c r="Y999" s="259"/>
      <c r="Z999" s="259"/>
    </row>
    <row r="1000" customFormat="false" ht="12" hidden="false" customHeight="true" outlineLevel="0" collapsed="false">
      <c r="A1000" s="259"/>
      <c r="B1000" s="259"/>
      <c r="C1000" s="259"/>
      <c r="D1000" s="259"/>
      <c r="E1000" s="259"/>
      <c r="F1000" s="261"/>
      <c r="G1000" s="259"/>
      <c r="H1000" s="259"/>
      <c r="I1000" s="259"/>
      <c r="J1000" s="262"/>
      <c r="K1000" s="259"/>
      <c r="L1000" s="259"/>
      <c r="M1000" s="259"/>
      <c r="N1000" s="259"/>
      <c r="O1000" s="259"/>
      <c r="P1000" s="259"/>
      <c r="Q1000" s="259"/>
      <c r="R1000" s="259"/>
      <c r="S1000" s="259"/>
      <c r="T1000" s="259"/>
      <c r="U1000" s="259"/>
      <c r="V1000" s="259"/>
      <c r="W1000" s="259"/>
      <c r="X1000" s="259"/>
      <c r="Y1000" s="259"/>
      <c r="Z1000" s="259"/>
    </row>
  </sheetData>
  <autoFilter ref="A4:Q4"/>
  <mergeCells count="1">
    <mergeCell ref="E3:G3"/>
  </mergeCells>
  <hyperlinks>
    <hyperlink ref="I5" r:id="rId1" display="https://www.finanznachrichten.de/nachrichten-2026-01/67412889-admiral-group-plc-chief-financial-officer-transition-399.htm&#10;&#10;https://www.londonstockexchange.com/news-article/ADM/admiral-group-plc-full-year-2025-results/17488674&#10;&#10;https://www.investegate.co.uk/announcement/gnw/admiral-group--adm/admiral-group-completes-acquisition-of-flock/9594345&#10;&#10;https://insurance-edge.net/2026/07/01/admiral-business-teams-up-with-anna-on-embedded/"/>
    <hyperlink ref="L5" display="https://eyindia.sharepoint.com/:b:/r/sites/InsuranceResearch/Shared%20Documents/Insurance%20Research/Top%2020%20UK/Admiral%202025%20Annual%20Report%20and%20Accounts.pdf?csf=1&amp;web=1&amp;e=tuKydq&#10;&#10;&#10;"/>
    <hyperlink ref="I6" r:id="rId2" location=":~:text=This%20is%20a%20key%20milestone%20in%20Ageas%20UK’s,strong%20presence%20in%20both%20motor%20and%20home%20insurance." display="https://www.ageas.co.uk/press-releases/2025/ageas-uk-completes-acquisition-of-esure/#:~:text=This%20is%20a%20key%20milestone%20in%20Ageas%20UK%E2%80%99s,strong%20presence%20in%20both%20motor%20and%20home%20insurance.&#10;&#10;https://www.ageas.co.uk/press-releases/2025/ageas-saga-launch-20-year-affinity-partnership-motor-live-home-to-follow/&#10;https://www.insurancebusinessmag.com/uk/news/mergers-acquisitions/ageas-finalises-1-3-billion-deal-for-esure-551389.aspx&#10;&#10;https://www.ageas.co.uk/press-releases/2026-press-releases/ageas-saga-partnership-milestone-home-insurance/&#10;&#10;https://www.ageas.co.uk/press-releases/2026-press-releases/ageas-uk-joins-forces-wrisk-embedded-motor-insurance/&#10;&#10;https://www.ageas.co.uk/press-releases/2026-press-releases/ageas-30-year-connells-partnership-digital-home-insurance-platform/&#10;&#10;https://www.ageas.co.uk/press-releases/2026-press-releases/ageas-strengthens-partnership-john-lewis-money-joining-motor-panel/"/>
    <hyperlink ref="L6" display="https://eyindia.sharepoint.com/:b:/r/sites/InsuranceResearch/Shared%20Documents/Insurance%20Research/Top%2020%20UK/Ageas%20Annual%20Report%202024.pdf?csf=1&amp;web=1&amp;e=aZR7jX"/>
    <hyperlink ref="I7" r:id="rId3" display="https://www.allianz.co.uk/news-and-insight/news/allianz-prevents-record-level-of-fraud.html&#10;&#10;https://www.allianz.co.uk/news-and-insight/news/allianz-accident-sickness-unemployment.html&#10;&#10;https://www.allianz.co.uk/news-and-insight/news/allianz-deliver-strong-full-year-2025-performance-in-the-uk.html&#10;&#10;https://www.allianz.co.uk/news-and-insight/news/allianz-and-lv-long-term-partnership.html&#10;&#10;https://www.allianz.co.uk/news-and-insight/news/allianz-and-asda-agree-insurance-partnership.html&#10;&#10;https://www.allianz.co.uk/news-and-insight/news/allianz-launches-slick-cover-car-insurance.html"/>
    <hyperlink ref="L7" display="https://eyindia.sharepoint.com/:b:/r/sites/InsuranceResearch/Shared%20Documents/Insurance%20Research/Top%2020%20UK/Allianz%20UK%20Annual%20Report%202025.pdf?csf=1&amp;web=1&amp;e=2qmzRa"/>
    <hyperlink ref="I8" r:id="rId4" display="McGill and Partners and AIG Launch Long-Term Strategic Collaboration in a Major Development for the Subscription Market | American International Group, Inc.&#10;&#10;https://aig.gcs-web.com/news-releases/news-release-details/aig-completes-acquisitions-strategic-minority-ownership-stakes?noback&#10;&#10;https://www.aig.co.uk/home/insight-page/aig-and-salford-city-fc"/>
    <hyperlink ref="L8" display="https://eyindia.sharepoint.com/:b:/r/sites/InsuranceResearch/Shared%20Documents/Insurance%20Research/Top%2020%20UK/AIG%20UK%202024%20Annual%20Report.pdf?csf=1&amp;web=1&amp;e=LTOpPb"/>
    <hyperlink ref="I9" r:id="rId5" display="https://www.directlinegroup.co.uk/en/index.html&#10;&#10;&#10;https://www.aviva.com/newsroom/news-releases/2026/04/aviva-completes-100m-full-scheme-buy-in-with-the-iveco-limited-pension-scheme/&#10;&#10;&#10;https://www.insurancebusinessmag.com/uk/news/breaking-news/aviva-confirms-new-leadership-team-after-direct-line-merger-541168.aspx&#10;&#10;https://infotechlead.com/cio/aviva-scales-ai-and-digital-transformation-to-reinvent-insurance-operations-and-customer-experience-94232&#10;&#10;https://www.marketscreener.com/news/aviva-agrees-to-purchase-remaining-26-stake-in-india-joint-venture-ce7f5ed9d189f025&#10;&#10;https://www.marketscreener.com/news/aviva-and-axis-launch-new-lloyda-s-consortium-to-power-uk-renewable-energy-growth-ce7f5ed8d181f022&#10;&#10;https://www.marketscreener.com/news/aviva-has-successfully-completed-its-350m-share-buyback-programme-ce7f5ed8d18bf122"/>
    <hyperlink ref="L9" display="https://eyindia.sharepoint.com/:b:/r/sites/InsuranceResearch/Shared%20Documents/Insurance%20Research/Top%2020%20UK/Aviva%20annual-report-and-accounts-2025.pdf?csf=1&amp;web=1&amp;e=3Y7s8q"/>
    <hyperlink ref="I10" r:id="rId6" display="https://insurance-edge.net/2026/03/25/axa-insurance-uk-will-unify-commercial-retail/&#10;&#10;&#10;https://www.axa.co.uk/newsroom/media-releases/2026/axa-insurance-uk-appoints-martin-milliner-as-chief-claims-transformation-officer/&#10;&#10;https://www.axa.co.uk/newsroom/media-releases/2026/free-sustainability-initiative-helps-smes-build-resilience-and-adapt-to-climate-change/"/>
    <hyperlink ref="L10" display="https://eyindia.sharepoint.com/:b:/r/sites/InsuranceResearch/Shared%20Documents/Insurance%20Research/Top%2020%20UK/AXA%20Annual%20Report%202025.pdf?csf=1&amp;web=1&amp;e=n88iIa"/>
    <hyperlink ref="I11" r:id="rId7" display="https://www.insurancebusinessmag.com/uk/news/life-insurance/bupa-seals-fouryear-spire-deal-as-pmi-demand-surges-571445.aspx&#10;&#10;https://www.bupa.com/news-and-press/press-releases/2026/bupa-group-full-year-financial-results-2025&#10;&#10;https://www.bupa.co.uk/business/news-and-information/sme-paperless&#10;&#10;https://www.prnewswire.co.uk/news-releases/bupa-and-yulife-launch-innovative-cash-plan-to-improve-workplace-health-302772167.html"/>
    <hyperlink ref="L11" display="https://eyindia.sharepoint.com/:b:/r/sites/InsuranceResearch/Shared%20Documents/Insurance%20Research/Top%2020%20UK/bupa-group-results-and-financial-statement-fy2025.pdf?csf=1&amp;web=1&amp;e=gNT1GQ"/>
    <hyperlink ref="I12" r:id="rId8" display="https://group.legalandgeneral.com/en/newsroom/press-releases/l-g-announces-collaboration-with-microsoft-to-drive-customer-focused-ai-transformation&#10;&#10;&#10;https://group.legalandgeneral.com/en/newsroom/press-releases/l-g-and-manulife-wealth-asset-management-announce-strategic-global-partnership&#10;&#10;https://group.legalandgeneral.com/en/newsroom/press-releases/l-g-liquidity-funds-now-live-on-ss-c-s-calastone-tokenised-distribution-network&#10;&#10;https://group.legalandgeneral.com/en/newsroom/press-releases/hyde-group-and-l-g-launch-partnership-to-deliver-more-affordable-homes&#10;&#10;https://group.legalandgeneral.com/newsroom/press-releases/2026/6/lg-expands-microsoft-collaboration-to-accelerate-ai-enablement-and-transform-customer-experience/&#10;&#10;https://group.legalandgeneral.com/newsroom/press-releases/2026/5/lg-paid-out-over-1.388bn-protection-claims-in-2025/"/>
    <hyperlink ref="L12" display="https://eyindia.sharepoint.com/:b:/r/sites/InsuranceResearch/Shared%20Documents/Insurance%20Research/Top%2020%20UK/Legal%20PLC%20annual-reports-and-accounts-2025.pdf?csf=1&amp;web=1&amp;e=lhamj4"/>
    <hyperlink ref="I13" r:id="rId9" display="https://www.lv.com/about-us/news/sharing-our-2025-financial-results?_gl=1*o2jo2n*_up*MQ..*_ga*MTM4MDcyOTQ5MS4xNzc2MTQzODE3*_ga_3MD00281LR*czE3NzYxNDM4MTckbzEkZzAkdDE3NzYxNDM4MTckajYwJGwwJGgw&#10;&#10;https://protectionreporter.co.uk/exclusive-lv-rebrand-for-personal-lines-business-classified-as-brand-risk-in-annual-report-and-financial-statements.html&#10;&#10;https://www.insurancebusinessmag.com/uk/news/breaking-news/lv-policyholders-to-move-to-allianz-insurance-plc-in-january-2027-579078.aspx"/>
    <hyperlink ref="L13" display="https://eyindia.sharepoint.com/:b:/r/sites/InsuranceResearch/Shared%20Documents/Insurance%20Research/Top%2020%20UK/Liver%20Annual%20Report%20-%202025.pdf?csf=1&amp;web=1&amp;e=pwKNvy"/>
    <hyperlink ref="I14" r:id="rId10" display="https://www.businesswire.com/news/home/20260126340964/en/NFU-Mutual-to-Further-Improve-Customer-Service-by-Moving-to-Guidewire-Cloud-Platform&#10;&#10;&#10;https://www.aviva.com/newsroom/news-releases/2025/11/aviva-signs-new-protection-distribution-agreement-with-nfu-mutual/&#10;&#10;https://www.nfumutual.co.uk/about-us/agm/&#10;&#10;https://soultonhall.co.uk/2026/transparency-and-timing-november-2026-trial-set-for-nfu-mutual-business-interruption-claims/"/>
    <hyperlink ref="L14" display="https://eyindia.sharepoint.com/:b:/r/sites/InsuranceResearch/Shared%20Documents/Insurance%20Research/Top%2020%20UK/NFU%20Mutual%20Fund%20Annual%20report%202024.pdf?csf=1&amp;web=1&amp;e=PztFjK"/>
    <hyperlink ref="I15" r:id="rId11" display="https://www.londonstockexchange.com/news-article/PHNX/change-of-company-name/17474860&#10;&#10;https://www.britbrief.co.uk/business/acquisitions/standard-life-buys-aegon-uk-in-2bn-pension-deal.html&#10;&#10;https://www.standardlifeplc.com/news-and-views/press-releases/article-page/buy-in-with-abbey-life"/>
    <hyperlink ref="L15" display="https://eyindia.sharepoint.com/:b:/r/sites/InsuranceResearch/Shared%20Documents/Insurance%20Research/Top%2020%20UK/Phieonox%20Annual%20Report%202024.pdf?csf=1&amp;web=1&amp;e=xj66AF"/>
    <hyperlink ref="I16" r:id="rId12" display="https://uk.advfn.com/stock-market/london/prudential-PRU/share-news/Prudential-PLC-Appointment-of-Chair-Designate/97610507&#10;&#10;https://www.prudentialplc.com/en/newsroom/company-news/2026/prudential-plc-2025-full-year-results/&#10;&#10;https://www.prudentialplc.com/en/newsroom/company-news/2026/Prudential-plc-repositions-its-India-operations-through--a-controlling-stake-in-Bharti-Life-Insurance/&#10;&#10;https://www.multibagg.ai/market-pulse/articles/prudential-bharti-life-icici-pru-cmr7myqw2poiuqs0j6arjaeqa&#10;&#10;https://www.directorstalkinterviews.com/prudential-expands-india-presence-with-bharti-life-acquisition/4121251722"/>
    <hyperlink ref="L16" display="https://eyindia.sharepoint.com/:b:/r/sites/InsuranceResearch/Shared%20Documents/Insurance%20Research/Top%2020%20UK/Prudential-plc-ar-2025.pdf?csf=1&amp;web=1&amp;e=yhMMFp"/>
    <hyperlink ref="I17" r:id="rId13" display="https://www.rsainsurance.co.uk/&#10;&#10;https://www.insuranceage.co.uk/people/7957330/c%C3%B4t%C3%A9-reunites-with-argentieri-as-rsa-recruits-cdo-from-allianz&#10;&#10;https://www.postonline.co.uk/news/7960053/intact-bringing-us-surety-play-to-uk-market&#10;&#10;https://www.insurancebusinessmag.com/uk/news/marine/geo-underwriting-intact-announce-marine-capacity-deal-571676.aspx&#10;&#10;https://www.intactinsurance.co.uk/news/press-releases/intact-insurance-launches-new-claims-charter&#10;&#10;https://www.intactinsurance.co.uk/news/press-releases/intact-insurance-extends-risk-consulting-service-for-commercial-lines-policyholders&#10;&#10;https://www.intactinsurance.co.uk/news/updates/six-etrade-products-rated-5-star-defaqto&#10;https://hrtoday.in/sameer-madan-joins-intact-india-as-chief-of-finance-technology-and-operations-for-india-gcc/"/>
    <hyperlink ref="L17" display="https://eyindia.sharepoint.com/:b:/r/sites/InsuranceResearch/Shared%20Documents/Insurance%20Research/Top%2020%20UK/RSA%20Insurance%20Annual%20Report%202025.pdf?csf=1&amp;web=1&amp;e=eOvlg3"/>
    <hyperlink ref="I18" r:id="rId14" display="https://healthcareandprotection.com/zurich-launches-cancer-assessment-tool-from-further-for-group-risk-schemes/&#10;&#10;https://www.insurancejournal.com/news/international/2026/03/02/860121.htm&#10;&#10;https://insurance-edge.net/2026/04/15/zurich-teams-up-with-empathy-on-bereavement-support/&#10;&#10;https://www.zurich.co.uk/media-centre/emergency-environmental-response-service-added-to-zurich-cover&#10;&#10;https://www.zurich.co.uk/media-centre/zurich-uk-enhances-sme-etrade-commercial-combined-offering&#10;&#10;https://www.zurich.co.uk/media-centre/zurich-retail-protection-claims-payments-up-2025&#10;&#10;https://www.insurancebusinessmag.com/us/news/breaking-news/european-commission-clears-zurichs-8-1-billion-acquisition-of-beazley-582095.aspx&#10;&#10;https://www.insurancejournal.com/news/international/2026/06/18/874150.htm&#10;"/>
    <hyperlink ref="L18" r:id="rId15" display="https://www.zurich.co.uk/media-centre/zurich-uk-reports-its-full-year-results-for-the-2024"/>
    <hyperlink ref="I19" r:id="rId16" display="https://www.hiscoxgroup.com/news/press-releases/2026/16-02-26&#10;&#10;https://www.londonstockexchange.com/news-article/HSX/full-year-results/17475217&#10;&#10;https://www.hiscoxgroup.com/news/press-releases&#10;&#10;https://www.tipranks.com/news/company-announcements/hiscox-continues-share-buyback-cancels-335000-plus-shares"/>
    <hyperlink ref="L19" display="https://eyindia.sharepoint.com/:b:/r/sites/InsuranceResearch/Shared%20Documents/Insurance%20Research/Top%2020%20UK/Hiscox_report_and_accounts_2025.pdf?csf=1&amp;web=1&amp;e=OJYNw3"/>
    <hyperlink ref="I20" r:id="rId17" display="https://www.rsmuk.com/insights/tax-voice/hmrc-loses-vat-battle-of-hastings-for-the-second-time&#10;&#10;https://www.hastingsgroup.uk/news-announcements/hastings-sustainability-report-2025"/>
    <hyperlink ref="L20" r:id="rId18" display="https://www.hastingsgroup.uk/news-announcements/hastings-group-reports-fourth-quarter-results-2025"/>
    <hyperlink ref="F21" r:id="rId19" display="Andy Blackmore"/>
    <hyperlink ref="I21" r:id="rId20" display="https://www.ecclesiastical.com/media-centre/crack-down-on-fraudsters/&#10;&#10;https://www.ecclesiastical.com/media-centre/ecclesiastical-tops-fairer-finance-home-insurance-table-for-22nd-time/&#10;&#10;https://www.insuranceage.co.uk/organisations/ecclesiastical&#10;&#10;https://www.tipranks.com/news/company-announcements/ecclesiastical-insurance-shareholders-back-articles-change-with-overwhelming-majority"/>
    <hyperlink ref="L21" display="https://eyindia.sharepoint.com/:b:/r/sites/InsuranceResearch/Shared%20Documents/Insurance%20Research/Top%2020%20UK/Ecclesiastical-annual-results-2025.pdf?csf=1&amp;web=1&amp;e=43TThX"/>
    <hyperlink ref="F22" r:id="rId21" display="Tim Piggott"/>
    <hyperlink ref="I22" r:id="rId22" display="https://convexin.com/wp-content/uploads/2026/02/Press-release-Convexs-new-ownership-structure-receives-regulatory-approval-060226.pdf&#10;&#10;https://www.spglobal.com/ratings/en/regulatory/article/-/view/sourceId/101654748&#10;&#10;https://www.artemis.bm/news/convex-targets-200m-of-retrocession-with-its-fourth-hypatia-catastrophe-bond/&#10;&#10;https://www.insurancejournal.com/news/international/2026/05/28/871600.htm&#10;&#10;https://convexin.com/wp-content/uploads/2026/06/Convex-MGA-release-030526.pdf"/>
    <hyperlink ref="L22" r:id="rId23" display="https://convexin.com/2026/02/20/record-profit-achieved-in-2025/"/>
    <hyperlink ref="I23" r:id="rId24" display="https://corporate.tescoinsurance.com/tesco-insurance-names-new-ceo-following-separation-from-tesco-bank/&#10;&#10;https://www.fstech.co.uk/fst/Tesco_Insurance_And_Money_Services_Turns_Attention_Towards_Digital_Transformation.php&#10;&#10;https://corporate.tescoinsurance.com/tesco-and-aviva-expand-protection-offering-with-launch-of-critical-illness-cover/&#10;&#10;https://corporate.tescoinsurance.com/tesco-insurance-introduces-free-parent-life-cover-in-partnership-with-aviva/"/>
    <hyperlink ref="L23" display="https://eyindia.sharepoint.com/:b:/r/sites/InsuranceResearch/Shared%20Documents/Insurance%20Research/Top%2020%20UK/Tesco-limited-annual-accounts-2024.pdf?csf=1&amp;web=1&amp;e=Jyh1DA"/>
    <hyperlink ref="I24" r:id="rId25" display="https://www.markerstudygroup.com/media/news/markerstudy-group/markerstudy-welcomes-glen-ward-as-group-chief-financial-officer/&#10;&#10;https://www.insurancebusinessmag.com/uk/news/breaking-news/markerstudy-hit-with-fca-restrictions-564021.aspx&#10;&#10;https://www.insurancebusinessmag.com/uk/news/breaking-news/markerstudy-launches-commercial-arm-targeting-200-million-gwp-574556.aspx&#10;&#10;https://www.insuranceage.co.uk/insurer/7958332/markerstudy-to-sell-mga-business-with-cuo-humphreys-poised-to-exit&#10;&#10;https://www.markerstudygroup.com/media/news/markerstudy-group/markerstudy-group-completes-sale-of-misl-to-saturn-to-support-strategic-focus-and-future-growth/"/>
    <hyperlink ref="L24" display="https://eyindia.sharepoint.com/:b:/r/sites/InsuranceResearch/Shared%20Documents/Insurance%20Research/Top%2020%20UK/Makerstudy%20-annual-report-2024.pdf?csf=1&amp;web=1&amp;e=ZoiU2k"/>
    <hyperlink ref="I28" r:id="rId26" display="https://www.scottishfinancialnews.com/articles/edinburgh-based-aegon-uk-at-risk-of-sale-amid-us-strategic-pivot&#10;&#10;https://financialpost.com/pmn/business-pmn/lloyds-phoenix-submit-initial-bids-for-aegons-uk-unit&#10;&#10;https://www.aegon.com/newsroom/news/press-releases/2026/aegon-to-sell-aegon-uk-to-standard-life"/>
    <hyperlink ref="L28" display="https://eyindia.sharepoint.com/sites/InsuranceResearch/Shared%20Documents/Forms/AllItems.aspx?id=%2Fsites%2FInsuranceResearch%2FShared%20Documents%2FInsurance%20Research%2FTop%2020%20UK%2FAegon%20UK%20PLC%20Group%20accounts%202024%2Epdf&amp;parent=%2Fsites%2FInsuranceResearch%2FShared%20Documents%2FInsurance%20Research%2FTop%2020%20UK"/>
    <hyperlink ref="I29" r:id="rId27" display="https://www.insurancejournal.com/news/international/2026/03/02/860121.htm&#10;&#10;https://www.insurancebusinessmag.com/us/news/cyber/beazley-adds-300m-cyber-cat-bond-as-ils-strategy-deepens-560096.aspx&#10;&#10;https://www.insurancebusinessmag.com/us/news/breaking-news/european-commission-clears-zurichs-8-1-billion-acquisition-of-beazley-582095.aspx"/>
    <hyperlink ref="L29" display="https://eyindia.sharepoint.com/:b:/r/sites/InsuranceResearch/Shared%20Documents/Insurance%20Research/Top%2020%20UK/Bezley%20PLC%20Annual%20Report%202025.pdf?csf=1&amp;web=1&amp;e=8FR6or"/>
    <hyperlink ref="I33" r:id="rId28" display="https://www.aon.com/unitedkingdom/media-room/articles/aon-carl-nordling-uk-nordics-director&#10;&#10;https://www.aon.com/unitedkingdom/media-room/articles/aon-health-risk-analyser-uk-workforce-risks&#10;&#10;https://www.prnewswire.com/in/news-releases/aon-expands-aon-claims-copilot-globally-strengthening-data-and-analytics-capabilities-across-commercial-risk-302770175.html&#10;&#10;https://www.prnewswire.com/in/news-releases/aon-to-modernize-how-brokers-access-capital-and-syndicate-risk-with-new-digital-placement-exchange-aon-dpx-trading-platform-302773754.html&#10;&#10;https://aon.mediaroom.com/news-releases?item=138603"/>
    <hyperlink ref="L33" display="https://eyindia.sharepoint.com/:b:/r/sites/InsuranceResearch/Shared%20Documents/Insurance%20Research/Top%2020%20UK/Aon-2024-10K-25635809.pdf?csf=1&amp;web=1&amp;e=eJD7pW"/>
    <hyperlink ref="I34" r:id="rId29" display="https://www.captiveinsurancetimes.com/captiveinsurancenews/industryarticle.php?article_id=9966&amp;navigationaction=industrynews&amp;newssection=industry&#10;&#10;https://www.wtwco.com/en-gb/news/2026/04/willis-launches-digital-infrastructure-protector&#10;&#10;https://www.wtwco.com/en-gb/news/2026/06/wtw-launches-ai-workforce-transformation-solution-to-turn-ai-potential-into-enhanced-workforce"/>
    <hyperlink ref="L34" display="https://eyindia.sharepoint.com/:b:/r/sites/InsuranceResearch/Shared%20Documents/Insurance%20Research/Top%2020%20UK/WTW%20Annual%20Report%202025.pdf?csf=1&amp;web=1&amp;e=qoSFDE"/>
    <hyperlink ref="I35" r:id="rId30" display="https://www.insuranceage.co.uk/insight/7958160/howden-diversifies-with-new-arm-on-back-of-acquisition&#10;&#10;https://www.insuranceage.co.uk/insight/7957930/howden-confirms-703m-bond-raise&#10;&#10;https://www.howdengroupholdings.com/news/howden-expands-its-financial-advisory-expertise-through-the-acquisition-of-opes-private-clients-limited"/>
    <hyperlink ref="L35" r:id="rId31" display="https://www.howdengroupholdings.com/news/howden-announces-2024-full-year-results"/>
    <hyperlink ref="I40" r:id="rId32" display="https://www.directlinegroup.co.uk/en/index.html&#10;&#10;&#10;"/>
    <hyperlink ref="L40" display="https://eyindia.sharepoint.com/:b:/r/sites/InsuranceResearch/Shared%20Documents/Insurance%20Research/Top%2020%20UK/Direct%20Line%20annual-report-and-accounts-2024.pdf?csf=1&amp;web=1&amp;e=lIHGcz"/>
    <hyperlink ref="I41" r:id="rId33" display="https://www.aviva.com/newsroom/news-releases/2025/07/aviva-completes-acquisition-of-direct-line/"/>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3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C9EB"/>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2890625" defaultRowHeight="15" zeroHeight="false" outlineLevelRow="0" outlineLevelCol="0"/>
  <cols>
    <col collapsed="false" customWidth="true" hidden="false" outlineLevel="0" max="1" min="1" style="0" width="7.5"/>
    <col collapsed="false" customWidth="true" hidden="false" outlineLevel="0" max="2" min="2" style="0" width="38.75"/>
    <col collapsed="false" customWidth="true" hidden="false" outlineLevel="0" max="3" min="3" style="0" width="219.25"/>
    <col collapsed="false" customWidth="true" hidden="false" outlineLevel="0" max="4" min="4" style="0" width="36.13"/>
    <col collapsed="false" customWidth="true" hidden="false" outlineLevel="0" max="5" min="5" style="0" width="46.88"/>
    <col collapsed="false" customWidth="true" hidden="false" outlineLevel="0" max="6" min="6" style="0" width="34.88"/>
    <col collapsed="false" customWidth="true" hidden="false" outlineLevel="0" max="7" min="7" style="0" width="30"/>
    <col collapsed="false" customWidth="true" hidden="false" outlineLevel="0" max="8" min="8" style="0" width="34.75"/>
    <col collapsed="false" customWidth="true" hidden="false" outlineLevel="0" max="9" min="9" style="0" width="38.75"/>
    <col collapsed="false" customWidth="true" hidden="false" outlineLevel="0" max="10" min="10" style="0" width="39.5"/>
    <col collapsed="false" customWidth="true" hidden="false" outlineLevel="0" max="26" min="11" style="0" width="8.63"/>
  </cols>
  <sheetData>
    <row r="1" customFormat="false" ht="14.25" hidden="false" customHeight="true" outlineLevel="0" collapsed="false">
      <c r="A1" s="286" t="s">
        <v>2344</v>
      </c>
      <c r="B1" s="286" t="s">
        <v>2345</v>
      </c>
      <c r="C1" s="286" t="s">
        <v>2346</v>
      </c>
      <c r="D1" s="287" t="s">
        <v>2347</v>
      </c>
      <c r="E1" s="287" t="s">
        <v>2348</v>
      </c>
      <c r="F1" s="287" t="s">
        <v>2349</v>
      </c>
      <c r="G1" s="287" t="s">
        <v>2350</v>
      </c>
      <c r="H1" s="287" t="s">
        <v>2351</v>
      </c>
      <c r="I1" s="287" t="s">
        <v>2352</v>
      </c>
      <c r="J1" s="287" t="s">
        <v>2353</v>
      </c>
    </row>
    <row r="2" customFormat="false" ht="14.25" hidden="false" customHeight="true" outlineLevel="0" collapsed="false">
      <c r="A2" s="288" t="s">
        <v>2354</v>
      </c>
      <c r="B2" s="288" t="s">
        <v>2355</v>
      </c>
      <c r="C2" s="289" t="s">
        <v>2356</v>
      </c>
      <c r="D2" s="288" t="s">
        <v>1561</v>
      </c>
      <c r="E2" s="288"/>
      <c r="F2" s="288" t="s">
        <v>1561</v>
      </c>
      <c r="G2" s="288" t="s">
        <v>1561</v>
      </c>
      <c r="H2" s="288" t="s">
        <v>1561</v>
      </c>
      <c r="I2" s="288" t="s">
        <v>1561</v>
      </c>
      <c r="J2" s="288" t="s">
        <v>1561</v>
      </c>
    </row>
    <row r="3" customFormat="false" ht="14.25" hidden="false" customHeight="true" outlineLevel="0" collapsed="false">
      <c r="A3" s="288" t="s">
        <v>2354</v>
      </c>
      <c r="B3" s="288" t="s">
        <v>2357</v>
      </c>
      <c r="C3" s="289" t="s">
        <v>2358</v>
      </c>
      <c r="D3" s="288" t="s">
        <v>1561</v>
      </c>
      <c r="E3" s="288" t="s">
        <v>1561</v>
      </c>
      <c r="F3" s="288" t="s">
        <v>1561</v>
      </c>
      <c r="G3" s="288"/>
      <c r="H3" s="288"/>
      <c r="I3" s="288"/>
      <c r="J3" s="288" t="s">
        <v>1561</v>
      </c>
    </row>
    <row r="4" customFormat="false" ht="14.25" hidden="false" customHeight="true" outlineLevel="0" collapsed="false">
      <c r="A4" s="288" t="s">
        <v>2354</v>
      </c>
      <c r="B4" s="288" t="s">
        <v>749</v>
      </c>
      <c r="C4" s="289" t="s">
        <v>2359</v>
      </c>
      <c r="D4" s="288" t="s">
        <v>1561</v>
      </c>
      <c r="E4" s="288"/>
      <c r="F4" s="288" t="s">
        <v>1561</v>
      </c>
      <c r="G4" s="288"/>
      <c r="H4" s="288" t="s">
        <v>1561</v>
      </c>
      <c r="I4" s="288"/>
      <c r="J4" s="288" t="s">
        <v>1561</v>
      </c>
    </row>
    <row r="5" customFormat="false" ht="14.25" hidden="false" customHeight="true" outlineLevel="0" collapsed="false">
      <c r="A5" s="288" t="s">
        <v>2354</v>
      </c>
      <c r="B5" s="288" t="s">
        <v>765</v>
      </c>
      <c r="C5" s="289" t="s">
        <v>2360</v>
      </c>
      <c r="D5" s="288" t="s">
        <v>1561</v>
      </c>
      <c r="E5" s="288" t="s">
        <v>1561</v>
      </c>
      <c r="F5" s="288" t="s">
        <v>1561</v>
      </c>
      <c r="G5" s="288"/>
      <c r="H5" s="288"/>
      <c r="I5" s="288"/>
      <c r="J5" s="288" t="s">
        <v>1561</v>
      </c>
    </row>
    <row r="6" customFormat="false" ht="14.25" hidden="false" customHeight="true" outlineLevel="0" collapsed="false">
      <c r="A6" s="288" t="s">
        <v>2354</v>
      </c>
      <c r="B6" s="288" t="s">
        <v>2361</v>
      </c>
      <c r="C6" s="289" t="s">
        <v>2362</v>
      </c>
      <c r="D6" s="288"/>
      <c r="E6" s="288"/>
      <c r="F6" s="288"/>
      <c r="G6" s="288"/>
      <c r="H6" s="288"/>
      <c r="I6" s="288"/>
      <c r="J6" s="288" t="s">
        <v>1561</v>
      </c>
    </row>
    <row r="7" customFormat="false" ht="14.25" hidden="false" customHeight="true" outlineLevel="0" collapsed="false">
      <c r="A7" s="288" t="s">
        <v>2354</v>
      </c>
      <c r="B7" s="289" t="s">
        <v>2363</v>
      </c>
      <c r="C7" s="289" t="s">
        <v>2364</v>
      </c>
      <c r="D7" s="288"/>
      <c r="E7" s="288" t="s">
        <v>1561</v>
      </c>
      <c r="F7" s="288"/>
      <c r="G7" s="288"/>
      <c r="H7" s="288" t="s">
        <v>1561</v>
      </c>
      <c r="I7" s="288"/>
      <c r="J7" s="288" t="s">
        <v>1561</v>
      </c>
    </row>
    <row r="8" customFormat="false" ht="14.25" hidden="false" customHeight="true" outlineLevel="0" collapsed="false">
      <c r="A8" s="288" t="s">
        <v>2354</v>
      </c>
      <c r="B8" s="288" t="s">
        <v>2365</v>
      </c>
      <c r="C8" s="289" t="s">
        <v>2366</v>
      </c>
      <c r="D8" s="288"/>
      <c r="E8" s="288" t="s">
        <v>1561</v>
      </c>
      <c r="F8" s="288" t="s">
        <v>1561</v>
      </c>
      <c r="G8" s="288"/>
      <c r="H8" s="288"/>
      <c r="I8" s="288"/>
      <c r="J8" s="288" t="s">
        <v>1561</v>
      </c>
    </row>
    <row r="9" customFormat="false" ht="14.25" hidden="false" customHeight="true" outlineLevel="0" collapsed="false">
      <c r="A9" s="288" t="s">
        <v>2354</v>
      </c>
      <c r="B9" s="289" t="s">
        <v>2367</v>
      </c>
      <c r="C9" s="289" t="s">
        <v>2368</v>
      </c>
      <c r="D9" s="288" t="s">
        <v>1561</v>
      </c>
      <c r="E9" s="288" t="s">
        <v>1561</v>
      </c>
      <c r="F9" s="288" t="s">
        <v>1561</v>
      </c>
      <c r="G9" s="288" t="s">
        <v>1561</v>
      </c>
      <c r="H9" s="288" t="s">
        <v>1561</v>
      </c>
      <c r="I9" s="288" t="s">
        <v>1561</v>
      </c>
      <c r="J9" s="288" t="s">
        <v>1561</v>
      </c>
    </row>
    <row r="10" customFormat="false" ht="14.25" hidden="false" customHeight="true" outlineLevel="0" collapsed="false">
      <c r="A10" s="288" t="s">
        <v>2354</v>
      </c>
      <c r="B10" s="289" t="s">
        <v>845</v>
      </c>
      <c r="C10" s="289" t="s">
        <v>2369</v>
      </c>
      <c r="D10" s="288" t="s">
        <v>1561</v>
      </c>
      <c r="E10" s="288" t="s">
        <v>1561</v>
      </c>
      <c r="F10" s="288"/>
      <c r="G10" s="288"/>
      <c r="H10" s="288"/>
      <c r="I10" s="288"/>
      <c r="J10" s="288" t="s">
        <v>1561</v>
      </c>
    </row>
    <row r="11" customFormat="false" ht="14.25" hidden="false" customHeight="true" outlineLevel="0" collapsed="false">
      <c r="A11" s="288" t="s">
        <v>2354</v>
      </c>
      <c r="B11" s="288" t="s">
        <v>863</v>
      </c>
      <c r="C11" s="289" t="s">
        <v>2370</v>
      </c>
      <c r="D11" s="288" t="s">
        <v>1561</v>
      </c>
      <c r="E11" s="288" t="s">
        <v>1561</v>
      </c>
      <c r="F11" s="288" t="s">
        <v>1561</v>
      </c>
      <c r="G11" s="288"/>
      <c r="H11" s="288"/>
      <c r="I11" s="288"/>
      <c r="J11" s="288" t="s">
        <v>1561</v>
      </c>
    </row>
    <row r="12" customFormat="false" ht="14.25" hidden="false" customHeight="true" outlineLevel="0" collapsed="false">
      <c r="A12" s="288" t="s">
        <v>2354</v>
      </c>
      <c r="B12" s="289" t="s">
        <v>2371</v>
      </c>
      <c r="C12" s="289" t="s">
        <v>2372</v>
      </c>
      <c r="D12" s="288" t="s">
        <v>1561</v>
      </c>
      <c r="E12" s="288" t="s">
        <v>1561</v>
      </c>
      <c r="F12" s="288"/>
      <c r="G12" s="288" t="s">
        <v>1561</v>
      </c>
      <c r="H12" s="288" t="s">
        <v>1561</v>
      </c>
      <c r="I12" s="288"/>
      <c r="J12" s="288" t="s">
        <v>1561</v>
      </c>
    </row>
    <row r="13" customFormat="false" ht="14.25" hidden="false" customHeight="true" outlineLevel="0" collapsed="false">
      <c r="A13" s="288" t="s">
        <v>2354</v>
      </c>
      <c r="B13" s="289" t="s">
        <v>2373</v>
      </c>
      <c r="C13" s="289" t="s">
        <v>2374</v>
      </c>
      <c r="D13" s="288" t="s">
        <v>1561</v>
      </c>
      <c r="E13" s="288" t="s">
        <v>1561</v>
      </c>
      <c r="F13" s="288" t="s">
        <v>1561</v>
      </c>
      <c r="G13" s="288" t="s">
        <v>1561</v>
      </c>
      <c r="H13" s="288" t="s">
        <v>1561</v>
      </c>
      <c r="I13" s="288" t="s">
        <v>1561</v>
      </c>
      <c r="J13" s="288" t="s">
        <v>1561</v>
      </c>
    </row>
    <row r="14" customFormat="false" ht="14.25" hidden="false" customHeight="true" outlineLevel="0" collapsed="false">
      <c r="A14" s="288" t="s">
        <v>2354</v>
      </c>
      <c r="B14" s="289" t="s">
        <v>2375</v>
      </c>
      <c r="C14" s="289" t="s">
        <v>2376</v>
      </c>
      <c r="D14" s="288"/>
      <c r="E14" s="288" t="s">
        <v>1561</v>
      </c>
      <c r="F14" s="288" t="s">
        <v>1561</v>
      </c>
      <c r="G14" s="288" t="s">
        <v>1561</v>
      </c>
      <c r="H14" s="288"/>
      <c r="I14" s="288"/>
      <c r="J14" s="288"/>
    </row>
    <row r="15" customFormat="false" ht="14.25" hidden="false" customHeight="true" outlineLevel="0" collapsed="false">
      <c r="A15" s="288" t="s">
        <v>2354</v>
      </c>
      <c r="B15" s="289" t="s">
        <v>2377</v>
      </c>
      <c r="C15" s="289" t="s">
        <v>2378</v>
      </c>
      <c r="D15" s="288" t="s">
        <v>1561</v>
      </c>
      <c r="E15" s="288" t="s">
        <v>1561</v>
      </c>
      <c r="F15" s="288" t="s">
        <v>1561</v>
      </c>
      <c r="G15" s="288"/>
      <c r="H15" s="288" t="s">
        <v>1561</v>
      </c>
      <c r="I15" s="288"/>
      <c r="J15" s="288" t="s">
        <v>1561</v>
      </c>
    </row>
    <row r="16" customFormat="false" ht="14.25" hidden="false" customHeight="true" outlineLevel="0" collapsed="false">
      <c r="A16" s="288" t="s">
        <v>2354</v>
      </c>
      <c r="B16" s="288" t="s">
        <v>130</v>
      </c>
      <c r="C16" s="289" t="s">
        <v>2379</v>
      </c>
      <c r="D16" s="288" t="s">
        <v>1561</v>
      </c>
      <c r="E16" s="288" t="s">
        <v>1561</v>
      </c>
      <c r="F16" s="288" t="s">
        <v>1561</v>
      </c>
      <c r="G16" s="288"/>
      <c r="H16" s="288" t="s">
        <v>1561</v>
      </c>
      <c r="I16" s="288"/>
      <c r="J16" s="288" t="s">
        <v>1561</v>
      </c>
    </row>
    <row r="17" customFormat="false" ht="14.25" hidden="false" customHeight="true" outlineLevel="0" collapsed="false">
      <c r="A17" s="288" t="s">
        <v>2354</v>
      </c>
      <c r="B17" s="288" t="s">
        <v>2380</v>
      </c>
      <c r="C17" s="289" t="s">
        <v>2381</v>
      </c>
      <c r="D17" s="288" t="s">
        <v>1561</v>
      </c>
      <c r="E17" s="288"/>
      <c r="F17" s="288" t="s">
        <v>1561</v>
      </c>
      <c r="G17" s="288"/>
      <c r="H17" s="288"/>
      <c r="I17" s="288"/>
      <c r="J17" s="288" t="s">
        <v>1561</v>
      </c>
    </row>
    <row r="18" customFormat="false" ht="14.25" hidden="false" customHeight="true" outlineLevel="0" collapsed="false">
      <c r="A18" s="288" t="s">
        <v>2354</v>
      </c>
      <c r="B18" s="289" t="s">
        <v>2382</v>
      </c>
      <c r="C18" s="289" t="s">
        <v>2383</v>
      </c>
      <c r="D18" s="288" t="s">
        <v>1561</v>
      </c>
      <c r="E18" s="288"/>
      <c r="F18" s="288"/>
      <c r="G18" s="288"/>
      <c r="H18" s="288"/>
      <c r="I18" s="288"/>
      <c r="J18" s="288" t="s">
        <v>1561</v>
      </c>
    </row>
    <row r="19" customFormat="false" ht="14.25" hidden="false" customHeight="true" outlineLevel="0" collapsed="false">
      <c r="A19" s="288" t="s">
        <v>2354</v>
      </c>
      <c r="B19" s="288" t="s">
        <v>2384</v>
      </c>
      <c r="C19" s="289" t="s">
        <v>2385</v>
      </c>
      <c r="D19" s="288" t="s">
        <v>1561</v>
      </c>
      <c r="E19" s="288" t="s">
        <v>1561</v>
      </c>
      <c r="F19" s="288"/>
      <c r="G19" s="288"/>
      <c r="H19" s="288" t="s">
        <v>1561</v>
      </c>
      <c r="I19" s="288"/>
      <c r="J19" s="288" t="s">
        <v>1561</v>
      </c>
    </row>
    <row r="20" customFormat="false" ht="14.25" hidden="false" customHeight="true" outlineLevel="0" collapsed="false">
      <c r="A20" s="288" t="s">
        <v>2354</v>
      </c>
      <c r="B20" s="288" t="s">
        <v>980</v>
      </c>
      <c r="C20" s="289" t="s">
        <v>2386</v>
      </c>
      <c r="D20" s="288" t="s">
        <v>1561</v>
      </c>
      <c r="E20" s="288" t="s">
        <v>1561</v>
      </c>
      <c r="F20" s="288" t="s">
        <v>1561</v>
      </c>
      <c r="G20" s="288"/>
      <c r="H20" s="288" t="s">
        <v>1561</v>
      </c>
      <c r="I20" s="288"/>
      <c r="J20" s="288" t="s">
        <v>1561</v>
      </c>
    </row>
    <row r="21" customFormat="false" ht="14.25" hidden="false" customHeight="true" outlineLevel="0" collapsed="false">
      <c r="A21" s="288" t="s">
        <v>2354</v>
      </c>
      <c r="B21" s="289" t="s">
        <v>2387</v>
      </c>
      <c r="C21" s="289" t="s">
        <v>2388</v>
      </c>
      <c r="D21" s="288" t="s">
        <v>1561</v>
      </c>
      <c r="E21" s="288" t="s">
        <v>1561</v>
      </c>
      <c r="F21" s="288" t="s">
        <v>1561</v>
      </c>
      <c r="G21" s="288" t="s">
        <v>1561</v>
      </c>
      <c r="H21" s="288"/>
      <c r="I21" s="288"/>
      <c r="J21" s="288" t="s">
        <v>1561</v>
      </c>
    </row>
    <row r="22" customFormat="false" ht="14.25" hidden="false" customHeight="true" outlineLevel="0" collapsed="false">
      <c r="A22" s="288" t="s">
        <v>2354</v>
      </c>
      <c r="B22" s="288" t="s">
        <v>1010</v>
      </c>
      <c r="C22" s="289" t="s">
        <v>2389</v>
      </c>
      <c r="D22" s="288" t="s">
        <v>1561</v>
      </c>
      <c r="E22" s="288" t="s">
        <v>1561</v>
      </c>
      <c r="F22" s="288" t="s">
        <v>1561</v>
      </c>
      <c r="G22" s="288"/>
      <c r="H22" s="288"/>
      <c r="I22" s="288"/>
      <c r="J22" s="288" t="s">
        <v>1561</v>
      </c>
    </row>
    <row r="23" customFormat="false" ht="14.25" hidden="false" customHeight="true" outlineLevel="0" collapsed="false">
      <c r="A23" s="288" t="s">
        <v>2354</v>
      </c>
      <c r="B23" s="288" t="s">
        <v>2390</v>
      </c>
      <c r="C23" s="289" t="s">
        <v>2391</v>
      </c>
      <c r="D23" s="288" t="s">
        <v>1561</v>
      </c>
      <c r="E23" s="288" t="s">
        <v>1561</v>
      </c>
      <c r="F23" s="288" t="s">
        <v>1561</v>
      </c>
      <c r="G23" s="288"/>
      <c r="H23" s="288"/>
      <c r="I23" s="288" t="s">
        <v>1561</v>
      </c>
      <c r="J23" s="288" t="s">
        <v>1561</v>
      </c>
    </row>
    <row r="24" customFormat="false" ht="14.25" hidden="false" customHeight="true" outlineLevel="0" collapsed="false">
      <c r="A24" s="288" t="s">
        <v>2354</v>
      </c>
      <c r="B24" s="289" t="s">
        <v>2392</v>
      </c>
      <c r="C24" s="289" t="s">
        <v>2393</v>
      </c>
      <c r="D24" s="288" t="s">
        <v>1561</v>
      </c>
      <c r="E24" s="288" t="s">
        <v>1561</v>
      </c>
      <c r="F24" s="288" t="s">
        <v>1561</v>
      </c>
      <c r="G24" s="288"/>
      <c r="H24" s="288"/>
      <c r="I24" s="288"/>
      <c r="J24" s="288" t="s">
        <v>1561</v>
      </c>
    </row>
    <row r="25" customFormat="false" ht="14.25" hidden="false" customHeight="true" outlineLevel="0" collapsed="false">
      <c r="A25" s="288" t="s">
        <v>2354</v>
      </c>
      <c r="B25" s="288" t="s">
        <v>2394</v>
      </c>
      <c r="C25" s="289" t="s">
        <v>2395</v>
      </c>
      <c r="D25" s="288" t="s">
        <v>1561</v>
      </c>
      <c r="E25" s="288" t="s">
        <v>1561</v>
      </c>
      <c r="F25" s="288" t="s">
        <v>1561</v>
      </c>
      <c r="G25" s="288"/>
      <c r="H25" s="288" t="s">
        <v>1561</v>
      </c>
      <c r="I25" s="288"/>
      <c r="J25" s="288" t="s">
        <v>1561</v>
      </c>
    </row>
    <row r="26" customFormat="false" ht="14.25" hidden="false" customHeight="true" outlineLevel="0" collapsed="false">
      <c r="A26" s="288" t="s">
        <v>2354</v>
      </c>
      <c r="B26" s="288" t="s">
        <v>2396</v>
      </c>
      <c r="C26" s="289" t="s">
        <v>2397</v>
      </c>
      <c r="D26" s="288" t="s">
        <v>1561</v>
      </c>
      <c r="E26" s="288"/>
      <c r="F26" s="288"/>
      <c r="G26" s="288"/>
      <c r="H26" s="288"/>
      <c r="I26" s="288"/>
      <c r="J26" s="288" t="s">
        <v>1561</v>
      </c>
    </row>
    <row r="27" customFormat="false" ht="14.25" hidden="false" customHeight="true" outlineLevel="0" collapsed="false">
      <c r="A27" s="288" t="s">
        <v>2354</v>
      </c>
      <c r="B27" s="289" t="s">
        <v>2398</v>
      </c>
      <c r="C27" s="289" t="s">
        <v>2399</v>
      </c>
      <c r="D27" s="288" t="s">
        <v>1561</v>
      </c>
      <c r="E27" s="288" t="s">
        <v>1561</v>
      </c>
      <c r="F27" s="288" t="s">
        <v>1561</v>
      </c>
      <c r="G27" s="288"/>
      <c r="H27" s="288"/>
      <c r="I27" s="288"/>
      <c r="J27" s="288" t="s">
        <v>1561</v>
      </c>
    </row>
    <row r="28" customFormat="false" ht="14.25" hidden="false" customHeight="true" outlineLevel="0" collapsed="false">
      <c r="A28" s="288" t="s">
        <v>2354</v>
      </c>
      <c r="B28" s="289" t="s">
        <v>2400</v>
      </c>
      <c r="C28" s="289" t="s">
        <v>2401</v>
      </c>
      <c r="D28" s="288" t="s">
        <v>1561</v>
      </c>
      <c r="E28" s="288" t="s">
        <v>1561</v>
      </c>
      <c r="F28" s="288"/>
      <c r="G28" s="288"/>
      <c r="H28" s="288" t="s">
        <v>1561</v>
      </c>
      <c r="I28" s="288"/>
      <c r="J28" s="288" t="s">
        <v>1561</v>
      </c>
    </row>
    <row r="29" customFormat="false" ht="14.25" hidden="false" customHeight="true" outlineLevel="0" collapsed="false">
      <c r="A29" s="288" t="s">
        <v>2354</v>
      </c>
      <c r="B29" s="289" t="s">
        <v>2402</v>
      </c>
      <c r="C29" s="289" t="s">
        <v>2403</v>
      </c>
      <c r="D29" s="288" t="s">
        <v>1561</v>
      </c>
      <c r="E29" s="288" t="s">
        <v>1561</v>
      </c>
      <c r="F29" s="288" t="s">
        <v>1561</v>
      </c>
      <c r="G29" s="288"/>
      <c r="H29" s="288"/>
      <c r="I29" s="288"/>
      <c r="J29" s="288" t="s">
        <v>1561</v>
      </c>
    </row>
    <row r="30" customFormat="false" ht="14.25" hidden="false" customHeight="true" outlineLevel="0" collapsed="false">
      <c r="A30" s="288" t="s">
        <v>2354</v>
      </c>
      <c r="B30" s="288" t="s">
        <v>2404</v>
      </c>
      <c r="C30" s="289" t="s">
        <v>2405</v>
      </c>
      <c r="D30" s="288"/>
      <c r="E30" s="288" t="s">
        <v>1561</v>
      </c>
      <c r="F30" s="288"/>
      <c r="G30" s="288"/>
      <c r="H30" s="288"/>
      <c r="I30" s="288" t="s">
        <v>1561</v>
      </c>
      <c r="J30" s="288" t="s">
        <v>1561</v>
      </c>
    </row>
    <row r="31" customFormat="false" ht="14.25" hidden="false" customHeight="true" outlineLevel="0" collapsed="false">
      <c r="A31" s="288" t="s">
        <v>2354</v>
      </c>
      <c r="B31" s="288" t="s">
        <v>2406</v>
      </c>
      <c r="C31" s="289" t="s">
        <v>2407</v>
      </c>
      <c r="D31" s="288" t="s">
        <v>1561</v>
      </c>
      <c r="E31" s="288" t="s">
        <v>1561</v>
      </c>
      <c r="F31" s="288" t="s">
        <v>1561</v>
      </c>
      <c r="G31" s="288"/>
      <c r="H31" s="288"/>
      <c r="I31" s="288"/>
      <c r="J31" s="288"/>
    </row>
    <row r="32" customFormat="false" ht="14.25" hidden="false" customHeight="true" outlineLevel="0" collapsed="false">
      <c r="A32" s="288" t="s">
        <v>2354</v>
      </c>
      <c r="B32" s="289" t="s">
        <v>2408</v>
      </c>
      <c r="C32" s="289" t="s">
        <v>2409</v>
      </c>
      <c r="D32" s="288" t="s">
        <v>1561</v>
      </c>
      <c r="E32" s="288" t="s">
        <v>1561</v>
      </c>
      <c r="F32" s="288"/>
      <c r="G32" s="288"/>
      <c r="H32" s="288"/>
      <c r="I32" s="288" t="s">
        <v>1561</v>
      </c>
      <c r="J32" s="288" t="s">
        <v>1561</v>
      </c>
    </row>
    <row r="33" customFormat="false" ht="14.25" hidden="false" customHeight="true" outlineLevel="0" collapsed="false">
      <c r="A33" s="288" t="s">
        <v>2354</v>
      </c>
      <c r="B33" s="288" t="s">
        <v>2410</v>
      </c>
      <c r="C33" s="288" t="s">
        <v>2411</v>
      </c>
      <c r="D33" s="288"/>
      <c r="E33" s="288"/>
      <c r="F33" s="288" t="s">
        <v>1561</v>
      </c>
      <c r="G33" s="288"/>
      <c r="H33" s="288"/>
      <c r="I33" s="288"/>
      <c r="J33" s="288" t="s">
        <v>1561</v>
      </c>
    </row>
    <row r="34" customFormat="false" ht="14.25" hidden="false" customHeight="true" outlineLevel="0" collapsed="false">
      <c r="A34" s="288" t="s">
        <v>2354</v>
      </c>
      <c r="B34" s="288" t="s">
        <v>2412</v>
      </c>
      <c r="C34" s="289" t="s">
        <v>2413</v>
      </c>
      <c r="D34" s="288" t="s">
        <v>1561</v>
      </c>
      <c r="E34" s="288" t="s">
        <v>1561</v>
      </c>
      <c r="F34" s="288" t="s">
        <v>1561</v>
      </c>
      <c r="G34" s="288"/>
      <c r="H34" s="288"/>
      <c r="I34" s="288"/>
      <c r="J34" s="288" t="s">
        <v>1561</v>
      </c>
    </row>
    <row r="35" customFormat="false" ht="14.25" hidden="false" customHeight="true" outlineLevel="0" collapsed="false">
      <c r="A35" s="288" t="s">
        <v>2354</v>
      </c>
      <c r="B35" s="288" t="s">
        <v>1310</v>
      </c>
      <c r="C35" s="289" t="s">
        <v>1318</v>
      </c>
      <c r="D35" s="288" t="s">
        <v>1561</v>
      </c>
      <c r="E35" s="288" t="s">
        <v>1561</v>
      </c>
      <c r="F35" s="288" t="s">
        <v>1561</v>
      </c>
      <c r="G35" s="288"/>
      <c r="H35" s="288" t="s">
        <v>1561</v>
      </c>
      <c r="I35" s="288"/>
      <c r="J35" s="288" t="s">
        <v>1561</v>
      </c>
    </row>
    <row r="36" customFormat="false" ht="14.25" hidden="false" customHeight="true" outlineLevel="0" collapsed="false">
      <c r="A36" s="288" t="s">
        <v>2354</v>
      </c>
      <c r="B36" s="288" t="s">
        <v>129</v>
      </c>
      <c r="C36" s="288" t="s">
        <v>2414</v>
      </c>
      <c r="D36" s="288" t="s">
        <v>1561</v>
      </c>
      <c r="E36" s="288"/>
      <c r="F36" s="288"/>
      <c r="G36" s="288"/>
      <c r="H36" s="288" t="s">
        <v>1561</v>
      </c>
      <c r="I36" s="288" t="s">
        <v>1561</v>
      </c>
      <c r="J36" s="288" t="s">
        <v>1561</v>
      </c>
    </row>
    <row r="37" customFormat="false" ht="14.25" hidden="false" customHeight="true" outlineLevel="0" collapsed="false">
      <c r="A37" s="288" t="s">
        <v>2354</v>
      </c>
      <c r="B37" s="288" t="s">
        <v>2415</v>
      </c>
      <c r="C37" s="289" t="s">
        <v>2416</v>
      </c>
      <c r="D37" s="288" t="s">
        <v>1561</v>
      </c>
      <c r="E37" s="288"/>
      <c r="F37" s="288"/>
      <c r="G37" s="288"/>
      <c r="H37" s="288" t="s">
        <v>1561</v>
      </c>
      <c r="I37" s="288" t="s">
        <v>1561</v>
      </c>
      <c r="J37" s="288" t="s">
        <v>1561</v>
      </c>
    </row>
    <row r="38" customFormat="false" ht="14.25" hidden="false" customHeight="true" outlineLevel="0" collapsed="false">
      <c r="A38" s="288" t="s">
        <v>2354</v>
      </c>
      <c r="B38" s="288" t="s">
        <v>2417</v>
      </c>
      <c r="C38" s="289" t="s">
        <v>2418</v>
      </c>
      <c r="D38" s="288" t="s">
        <v>1561</v>
      </c>
      <c r="E38" s="288"/>
      <c r="F38" s="288"/>
      <c r="G38" s="288"/>
      <c r="H38" s="288"/>
      <c r="I38" s="288"/>
      <c r="J38" s="288"/>
    </row>
    <row r="39" customFormat="false" ht="14.25" hidden="false" customHeight="true" outlineLevel="0" collapsed="false">
      <c r="A39" s="288" t="s">
        <v>2354</v>
      </c>
      <c r="B39" s="288" t="s">
        <v>122</v>
      </c>
      <c r="C39" s="289" t="s">
        <v>2419</v>
      </c>
      <c r="D39" s="288" t="s">
        <v>1561</v>
      </c>
      <c r="E39" s="288" t="s">
        <v>1561</v>
      </c>
      <c r="F39" s="288"/>
      <c r="G39" s="288"/>
      <c r="H39" s="288" t="s">
        <v>1561</v>
      </c>
      <c r="I39" s="288"/>
      <c r="J39" s="288"/>
    </row>
    <row r="40" customFormat="false" ht="14.25" hidden="false" customHeight="true" outlineLevel="0" collapsed="false">
      <c r="A40" s="288" t="s">
        <v>2354</v>
      </c>
      <c r="B40" s="288" t="s">
        <v>121</v>
      </c>
      <c r="C40" s="288" t="s">
        <v>2420</v>
      </c>
      <c r="D40" s="288" t="s">
        <v>1561</v>
      </c>
      <c r="E40" s="288"/>
      <c r="F40" s="288"/>
      <c r="G40" s="288"/>
      <c r="H40" s="288" t="s">
        <v>1561</v>
      </c>
      <c r="I40" s="288" t="s">
        <v>1561</v>
      </c>
      <c r="J40" s="288" t="s">
        <v>1561</v>
      </c>
    </row>
    <row r="41" customFormat="false" ht="14.25" hidden="false" customHeight="true" outlineLevel="0" collapsed="false">
      <c r="A41" s="288" t="s">
        <v>2354</v>
      </c>
      <c r="B41" s="288" t="s">
        <v>131</v>
      </c>
      <c r="C41" s="289" t="s">
        <v>1392</v>
      </c>
      <c r="D41" s="288" t="s">
        <v>1561</v>
      </c>
      <c r="E41" s="288"/>
      <c r="F41" s="288"/>
      <c r="G41" s="288"/>
      <c r="H41" s="288" t="s">
        <v>1561</v>
      </c>
      <c r="I41" s="288" t="s">
        <v>1561</v>
      </c>
      <c r="J41" s="288" t="s">
        <v>1561</v>
      </c>
    </row>
    <row r="42" customFormat="false" ht="14.25" hidden="false" customHeight="true" outlineLevel="0" collapsed="false">
      <c r="A42" s="288" t="s">
        <v>2354</v>
      </c>
      <c r="B42" s="288" t="s">
        <v>125</v>
      </c>
      <c r="C42" s="288" t="s">
        <v>1401</v>
      </c>
      <c r="D42" s="288"/>
      <c r="E42" s="288"/>
      <c r="F42" s="288"/>
      <c r="G42" s="288"/>
      <c r="H42" s="288" t="s">
        <v>1561</v>
      </c>
      <c r="I42" s="288"/>
      <c r="J42" s="288" t="s">
        <v>1561</v>
      </c>
    </row>
    <row r="43" customFormat="false" ht="14.25" hidden="false" customHeight="true" outlineLevel="0" collapsed="false">
      <c r="A43" s="288" t="s">
        <v>2354</v>
      </c>
      <c r="B43" s="289" t="s">
        <v>2421</v>
      </c>
      <c r="C43" s="288" t="s">
        <v>2422</v>
      </c>
      <c r="D43" s="288"/>
      <c r="E43" s="288" t="s">
        <v>1561</v>
      </c>
      <c r="F43" s="288"/>
      <c r="G43" s="288"/>
      <c r="H43" s="288"/>
      <c r="I43" s="288"/>
      <c r="J43" s="288" t="s">
        <v>1561</v>
      </c>
    </row>
    <row r="44" customFormat="false" ht="14.25" hidden="false" customHeight="true" outlineLevel="0" collapsed="false">
      <c r="A44" s="288" t="s">
        <v>2354</v>
      </c>
      <c r="B44" s="289" t="s">
        <v>330</v>
      </c>
      <c r="C44" s="289" t="s">
        <v>2423</v>
      </c>
      <c r="D44" s="288"/>
      <c r="E44" s="288"/>
      <c r="F44" s="288"/>
      <c r="G44" s="288"/>
      <c r="H44" s="288" t="s">
        <v>1561</v>
      </c>
      <c r="I44" s="288"/>
      <c r="J44" s="288" t="s">
        <v>1561</v>
      </c>
    </row>
    <row r="45" customFormat="false" ht="14.25" hidden="false" customHeight="true" outlineLevel="0" collapsed="false">
      <c r="A45" s="288" t="s">
        <v>2424</v>
      </c>
      <c r="B45" s="288" t="s">
        <v>1806</v>
      </c>
      <c r="C45" s="289" t="s">
        <v>1809</v>
      </c>
      <c r="D45" s="288" t="s">
        <v>1561</v>
      </c>
      <c r="E45" s="288" t="s">
        <v>1561</v>
      </c>
      <c r="F45" s="288" t="s">
        <v>1561</v>
      </c>
      <c r="G45" s="288" t="s">
        <v>1561</v>
      </c>
      <c r="H45" s="288"/>
      <c r="I45" s="288"/>
      <c r="J45" s="288"/>
    </row>
    <row r="46" customFormat="false" ht="14.25" hidden="false" customHeight="true" outlineLevel="0" collapsed="false">
      <c r="A46" s="288" t="s">
        <v>2424</v>
      </c>
      <c r="B46" s="288" t="s">
        <v>1815</v>
      </c>
      <c r="C46" s="289" t="s">
        <v>1819</v>
      </c>
      <c r="D46" s="288" t="s">
        <v>1561</v>
      </c>
      <c r="E46" s="288"/>
      <c r="F46" s="288" t="s">
        <v>1561</v>
      </c>
      <c r="G46" s="288"/>
      <c r="H46" s="288" t="s">
        <v>1561</v>
      </c>
      <c r="I46" s="288"/>
      <c r="J46" s="288"/>
    </row>
    <row r="47" customFormat="false" ht="14.25" hidden="false" customHeight="true" outlineLevel="0" collapsed="false">
      <c r="A47" s="288" t="s">
        <v>2424</v>
      </c>
      <c r="B47" s="288" t="s">
        <v>1825</v>
      </c>
      <c r="C47" s="289" t="s">
        <v>1829</v>
      </c>
      <c r="D47" s="288"/>
      <c r="E47" s="288"/>
      <c r="F47" s="288"/>
      <c r="G47" s="288" t="s">
        <v>1561</v>
      </c>
      <c r="H47" s="288"/>
      <c r="I47" s="288"/>
      <c r="J47" s="288"/>
    </row>
    <row r="48" customFormat="false" ht="14.25" hidden="false" customHeight="true" outlineLevel="0" collapsed="false">
      <c r="A48" s="288" t="s">
        <v>2424</v>
      </c>
      <c r="B48" s="288" t="s">
        <v>1834</v>
      </c>
      <c r="C48" s="289" t="s">
        <v>1837</v>
      </c>
      <c r="D48" s="288" t="s">
        <v>1561</v>
      </c>
      <c r="E48" s="288"/>
      <c r="F48" s="288"/>
      <c r="G48" s="288"/>
      <c r="H48" s="288"/>
      <c r="I48" s="288" t="s">
        <v>1561</v>
      </c>
      <c r="J48" s="288"/>
    </row>
    <row r="49" customFormat="false" ht="14.25" hidden="false" customHeight="true" outlineLevel="0" collapsed="false">
      <c r="A49" s="288" t="s">
        <v>2424</v>
      </c>
      <c r="B49" s="288" t="s">
        <v>1843</v>
      </c>
      <c r="C49" s="289" t="s">
        <v>1848</v>
      </c>
      <c r="D49" s="288" t="s">
        <v>1561</v>
      </c>
      <c r="E49" s="288"/>
      <c r="F49" s="288" t="s">
        <v>1561</v>
      </c>
      <c r="G49" s="288"/>
      <c r="H49" s="288" t="s">
        <v>1561</v>
      </c>
      <c r="I49" s="288"/>
      <c r="J49" s="288"/>
    </row>
    <row r="50" customFormat="false" ht="14.25" hidden="false" customHeight="true" outlineLevel="0" collapsed="false">
      <c r="A50" s="288" t="s">
        <v>2424</v>
      </c>
      <c r="B50" s="288" t="s">
        <v>1854</v>
      </c>
      <c r="C50" s="289" t="s">
        <v>1856</v>
      </c>
      <c r="D50" s="288"/>
      <c r="E50" s="288" t="s">
        <v>1561</v>
      </c>
      <c r="F50" s="288"/>
      <c r="G50" s="288" t="s">
        <v>1561</v>
      </c>
      <c r="H50" s="288" t="s">
        <v>1561</v>
      </c>
      <c r="I50" s="288"/>
      <c r="J50" s="288" t="s">
        <v>1561</v>
      </c>
    </row>
    <row r="51" customFormat="false" ht="14.25" hidden="false" customHeight="true" outlineLevel="0" collapsed="false">
      <c r="A51" s="288" t="s">
        <v>2424</v>
      </c>
      <c r="B51" s="289" t="s">
        <v>1862</v>
      </c>
      <c r="C51" s="289" t="s">
        <v>1866</v>
      </c>
      <c r="D51" s="288" t="s">
        <v>1561</v>
      </c>
      <c r="E51" s="288"/>
      <c r="F51" s="288"/>
      <c r="G51" s="288"/>
      <c r="H51" s="288"/>
      <c r="I51" s="288" t="s">
        <v>1561</v>
      </c>
      <c r="J51" s="288"/>
    </row>
    <row r="52" customFormat="false" ht="14.25" hidden="false" customHeight="true" outlineLevel="0" collapsed="false">
      <c r="A52" s="288" t="s">
        <v>2424</v>
      </c>
      <c r="B52" s="288" t="s">
        <v>1872</v>
      </c>
      <c r="C52" s="288" t="s">
        <v>1875</v>
      </c>
      <c r="D52" s="288"/>
      <c r="E52" s="288"/>
      <c r="F52" s="288"/>
      <c r="G52" s="288"/>
      <c r="H52" s="288"/>
      <c r="I52" s="288"/>
      <c r="J52" s="288"/>
    </row>
    <row r="53" customFormat="false" ht="14.25" hidden="false" customHeight="true" outlineLevel="0" collapsed="false">
      <c r="A53" s="288" t="s">
        <v>2424</v>
      </c>
      <c r="B53" s="288" t="s">
        <v>1881</v>
      </c>
      <c r="C53" s="289" t="s">
        <v>1886</v>
      </c>
      <c r="D53" s="288" t="s">
        <v>1561</v>
      </c>
      <c r="E53" s="288"/>
      <c r="F53" s="288" t="s">
        <v>1561</v>
      </c>
      <c r="G53" s="288"/>
      <c r="H53" s="288" t="s">
        <v>1561</v>
      </c>
      <c r="I53" s="288"/>
      <c r="J53" s="288"/>
    </row>
    <row r="54" customFormat="false" ht="14.25" hidden="false" customHeight="true" outlineLevel="0" collapsed="false">
      <c r="A54" s="288" t="s">
        <v>2424</v>
      </c>
      <c r="B54" s="289" t="s">
        <v>1893</v>
      </c>
      <c r="C54" s="289" t="s">
        <v>1897</v>
      </c>
      <c r="D54" s="288"/>
      <c r="E54" s="288"/>
      <c r="F54" s="288"/>
      <c r="G54" s="288"/>
      <c r="H54" s="288" t="s">
        <v>1561</v>
      </c>
      <c r="I54" s="288"/>
      <c r="J54" s="288"/>
    </row>
    <row r="55" customFormat="false" ht="14.25" hidden="false" customHeight="true" outlineLevel="0" collapsed="false">
      <c r="A55" s="288" t="s">
        <v>2424</v>
      </c>
      <c r="B55" s="288" t="s">
        <v>1905</v>
      </c>
      <c r="C55" s="289" t="s">
        <v>1909</v>
      </c>
      <c r="D55" s="288" t="s">
        <v>1561</v>
      </c>
      <c r="E55" s="288"/>
      <c r="F55" s="288"/>
      <c r="G55" s="288"/>
      <c r="H55" s="288" t="s">
        <v>1561</v>
      </c>
      <c r="I55" s="288" t="s">
        <v>1561</v>
      </c>
      <c r="J55" s="288"/>
    </row>
    <row r="56" customFormat="false" ht="14.25" hidden="false" customHeight="true" outlineLevel="0" collapsed="false">
      <c r="A56" s="288" t="s">
        <v>2424</v>
      </c>
      <c r="B56" s="288" t="s">
        <v>1916</v>
      </c>
      <c r="C56" s="289" t="s">
        <v>1919</v>
      </c>
      <c r="D56" s="288"/>
      <c r="E56" s="288"/>
      <c r="F56" s="288" t="s">
        <v>1561</v>
      </c>
      <c r="G56" s="288" t="s">
        <v>1561</v>
      </c>
      <c r="H56" s="288"/>
      <c r="I56" s="288"/>
      <c r="J56" s="288"/>
    </row>
    <row r="57" customFormat="false" ht="14.25" hidden="false" customHeight="true" outlineLevel="0" collapsed="false">
      <c r="A57" s="288" t="s">
        <v>2424</v>
      </c>
      <c r="B57" s="288" t="s">
        <v>1926</v>
      </c>
      <c r="C57" s="289" t="s">
        <v>1929</v>
      </c>
      <c r="D57" s="288" t="s">
        <v>1561</v>
      </c>
      <c r="E57" s="288" t="s">
        <v>1561</v>
      </c>
      <c r="F57" s="288"/>
      <c r="G57" s="288"/>
      <c r="H57" s="288"/>
      <c r="I57" s="288"/>
      <c r="J57" s="288"/>
    </row>
    <row r="58" customFormat="false" ht="14.25" hidden="false" customHeight="true" outlineLevel="0" collapsed="false">
      <c r="A58" s="288" t="s">
        <v>2424</v>
      </c>
      <c r="B58" s="288" t="s">
        <v>1935</v>
      </c>
      <c r="C58" s="289" t="s">
        <v>1939</v>
      </c>
      <c r="D58" s="288" t="s">
        <v>1561</v>
      </c>
      <c r="E58" s="288"/>
      <c r="F58" s="288"/>
      <c r="G58" s="288" t="s">
        <v>1561</v>
      </c>
      <c r="H58" s="288"/>
      <c r="I58" s="288" t="s">
        <v>1561</v>
      </c>
      <c r="J58" s="288"/>
    </row>
    <row r="59" customFormat="false" ht="14.25" hidden="false" customHeight="true" outlineLevel="0" collapsed="false">
      <c r="A59" s="288" t="s">
        <v>2424</v>
      </c>
      <c r="B59" s="288" t="s">
        <v>1945</v>
      </c>
      <c r="C59" s="289" t="s">
        <v>1949</v>
      </c>
      <c r="D59" s="288"/>
      <c r="E59" s="288"/>
      <c r="F59" s="288"/>
      <c r="G59" s="288"/>
      <c r="H59" s="288"/>
      <c r="I59" s="288"/>
      <c r="J59" s="288"/>
    </row>
    <row r="60" customFormat="false" ht="14.25" hidden="false" customHeight="true" outlineLevel="0" collapsed="false">
      <c r="A60" s="288" t="s">
        <v>2424</v>
      </c>
      <c r="B60" s="288" t="s">
        <v>1955</v>
      </c>
      <c r="C60" s="289" t="s">
        <v>1957</v>
      </c>
      <c r="D60" s="288"/>
      <c r="E60" s="288"/>
      <c r="F60" s="288"/>
      <c r="G60" s="288" t="s">
        <v>1561</v>
      </c>
      <c r="H60" s="288"/>
      <c r="I60" s="288"/>
      <c r="J60" s="288"/>
    </row>
    <row r="61" customFormat="false" ht="14.25" hidden="false" customHeight="true" outlineLevel="0" collapsed="false">
      <c r="A61" s="288" t="s">
        <v>2424</v>
      </c>
      <c r="B61" s="288" t="s">
        <v>1964</v>
      </c>
      <c r="C61" s="289" t="s">
        <v>1966</v>
      </c>
      <c r="D61" s="288" t="s">
        <v>1561</v>
      </c>
      <c r="E61" s="288"/>
      <c r="F61" s="288"/>
      <c r="G61" s="288" t="s">
        <v>1561</v>
      </c>
      <c r="H61" s="288"/>
      <c r="I61" s="288"/>
      <c r="J61" s="288"/>
    </row>
    <row r="62" customFormat="false" ht="14.25" hidden="false" customHeight="true" outlineLevel="0" collapsed="false">
      <c r="A62" s="288" t="s">
        <v>2424</v>
      </c>
      <c r="B62" s="288" t="s">
        <v>1973</v>
      </c>
      <c r="C62" s="289" t="s">
        <v>1975</v>
      </c>
      <c r="D62" s="288" t="s">
        <v>1561</v>
      </c>
      <c r="E62" s="288"/>
      <c r="F62" s="288"/>
      <c r="G62" s="288"/>
      <c r="H62" s="288"/>
      <c r="I62" s="288"/>
      <c r="J62" s="288"/>
    </row>
    <row r="63" customFormat="false" ht="14.25" hidden="false" customHeight="true" outlineLevel="0" collapsed="false">
      <c r="A63" s="288" t="s">
        <v>2424</v>
      </c>
      <c r="B63" s="288" t="s">
        <v>1983</v>
      </c>
      <c r="C63" s="289" t="s">
        <v>1986</v>
      </c>
      <c r="D63" s="288" t="s">
        <v>1561</v>
      </c>
      <c r="E63" s="288" t="s">
        <v>1561</v>
      </c>
      <c r="F63" s="288"/>
      <c r="G63" s="288"/>
      <c r="H63" s="288" t="s">
        <v>1561</v>
      </c>
      <c r="I63" s="288" t="s">
        <v>1561</v>
      </c>
      <c r="J63" s="288"/>
    </row>
    <row r="64" customFormat="false" ht="14.25" hidden="false" customHeight="true" outlineLevel="0" collapsed="false">
      <c r="A64" s="288" t="s">
        <v>2424</v>
      </c>
      <c r="B64" s="288" t="s">
        <v>1995</v>
      </c>
      <c r="C64" s="289" t="s">
        <v>1998</v>
      </c>
      <c r="D64" s="288" t="s">
        <v>1561</v>
      </c>
      <c r="E64" s="288"/>
      <c r="F64" s="288"/>
      <c r="G64" s="288"/>
      <c r="H64" s="288"/>
      <c r="I64" s="288" t="s">
        <v>1561</v>
      </c>
      <c r="J64" s="288"/>
    </row>
    <row r="65" customFormat="false" ht="14.25" hidden="false" customHeight="true" outlineLevel="0" collapsed="false">
      <c r="A65" s="288" t="s">
        <v>2425</v>
      </c>
      <c r="B65" s="288" t="s">
        <v>2077</v>
      </c>
      <c r="C65" s="289" t="s">
        <v>2426</v>
      </c>
      <c r="D65" s="288" t="s">
        <v>1561</v>
      </c>
      <c r="E65" s="288" t="s">
        <v>1561</v>
      </c>
      <c r="F65" s="288" t="s">
        <v>1561</v>
      </c>
      <c r="G65" s="288" t="s">
        <v>1561</v>
      </c>
      <c r="H65" s="288"/>
      <c r="I65" s="288"/>
      <c r="J65" s="288"/>
    </row>
    <row r="66" customFormat="false" ht="14.25" hidden="false" customHeight="true" outlineLevel="0" collapsed="false">
      <c r="A66" s="288" t="s">
        <v>2425</v>
      </c>
      <c r="B66" s="288" t="s">
        <v>2087</v>
      </c>
      <c r="C66" s="289" t="s">
        <v>2427</v>
      </c>
      <c r="D66" s="288" t="s">
        <v>1561</v>
      </c>
      <c r="E66" s="288"/>
      <c r="F66" s="288"/>
      <c r="G66" s="288" t="s">
        <v>1561</v>
      </c>
      <c r="H66" s="288"/>
      <c r="I66" s="288"/>
      <c r="J66" s="288"/>
    </row>
    <row r="67" customFormat="false" ht="14.25" hidden="false" customHeight="true" outlineLevel="0" collapsed="false">
      <c r="A67" s="288" t="s">
        <v>2425</v>
      </c>
      <c r="B67" s="288" t="s">
        <v>2097</v>
      </c>
      <c r="C67" s="289" t="s">
        <v>2428</v>
      </c>
      <c r="D67" s="288" t="s">
        <v>1561</v>
      </c>
      <c r="E67" s="288"/>
      <c r="F67" s="288"/>
      <c r="G67" s="288"/>
      <c r="H67" s="288"/>
      <c r="I67" s="288" t="s">
        <v>1561</v>
      </c>
      <c r="J67" s="288"/>
    </row>
    <row r="68" customFormat="false" ht="14.25" hidden="false" customHeight="true" outlineLevel="0" collapsed="false">
      <c r="A68" s="288" t="s">
        <v>2425</v>
      </c>
      <c r="B68" s="288" t="s">
        <v>2108</v>
      </c>
      <c r="C68" s="289" t="s">
        <v>2429</v>
      </c>
      <c r="D68" s="288" t="s">
        <v>1561</v>
      </c>
      <c r="E68" s="288"/>
      <c r="F68" s="288"/>
      <c r="G68" s="288" t="s">
        <v>1561</v>
      </c>
      <c r="H68" s="288" t="s">
        <v>1561</v>
      </c>
      <c r="I68" s="288"/>
      <c r="J68" s="288"/>
    </row>
    <row r="69" customFormat="false" ht="14.25" hidden="false" customHeight="true" outlineLevel="0" collapsed="false">
      <c r="A69" s="288" t="s">
        <v>2425</v>
      </c>
      <c r="B69" s="288" t="s">
        <v>2118</v>
      </c>
      <c r="C69" s="289" t="s">
        <v>2430</v>
      </c>
      <c r="D69" s="288" t="s">
        <v>1561</v>
      </c>
      <c r="E69" s="288"/>
      <c r="F69" s="288" t="s">
        <v>1561</v>
      </c>
      <c r="G69" s="288" t="s">
        <v>1561</v>
      </c>
      <c r="H69" s="288" t="s">
        <v>1561</v>
      </c>
      <c r="I69" s="288"/>
      <c r="J69" s="288"/>
    </row>
    <row r="70" customFormat="false" ht="14.25" hidden="false" customHeight="true" outlineLevel="0" collapsed="false">
      <c r="A70" s="288" t="s">
        <v>2425</v>
      </c>
      <c r="B70" s="288" t="s">
        <v>2127</v>
      </c>
      <c r="C70" s="289" t="s">
        <v>2431</v>
      </c>
      <c r="D70" s="288" t="s">
        <v>1561</v>
      </c>
      <c r="E70" s="288" t="s">
        <v>1561</v>
      </c>
      <c r="F70" s="288" t="s">
        <v>1561</v>
      </c>
      <c r="G70" s="288"/>
      <c r="H70" s="288"/>
      <c r="I70" s="288"/>
      <c r="J70" s="288"/>
    </row>
    <row r="71" customFormat="false" ht="14.25" hidden="false" customHeight="true" outlineLevel="0" collapsed="false">
      <c r="A71" s="288" t="s">
        <v>2425</v>
      </c>
      <c r="B71" s="288" t="s">
        <v>2139</v>
      </c>
      <c r="C71" s="289" t="s">
        <v>2432</v>
      </c>
      <c r="D71" s="288" t="s">
        <v>1561</v>
      </c>
      <c r="E71" s="288" t="s">
        <v>1561</v>
      </c>
      <c r="F71" s="288"/>
      <c r="G71" s="288"/>
      <c r="H71" s="288"/>
      <c r="I71" s="288"/>
      <c r="J71" s="288"/>
    </row>
    <row r="72" customFormat="false" ht="14.25" hidden="false" customHeight="true" outlineLevel="0" collapsed="false">
      <c r="A72" s="288" t="s">
        <v>2425</v>
      </c>
      <c r="B72" s="288" t="s">
        <v>2149</v>
      </c>
      <c r="C72" s="289" t="s">
        <v>2433</v>
      </c>
      <c r="D72" s="288" t="s">
        <v>1561</v>
      </c>
      <c r="E72" s="288" t="s">
        <v>1561</v>
      </c>
      <c r="F72" s="288"/>
      <c r="G72" s="288"/>
      <c r="H72" s="288"/>
      <c r="I72" s="288"/>
      <c r="J72" s="288"/>
    </row>
    <row r="73" customFormat="false" ht="14.25" hidden="false" customHeight="true" outlineLevel="0" collapsed="false">
      <c r="A73" s="288" t="s">
        <v>2425</v>
      </c>
      <c r="B73" s="289" t="s">
        <v>2159</v>
      </c>
      <c r="C73" s="289" t="s">
        <v>2434</v>
      </c>
      <c r="D73" s="288"/>
      <c r="E73" s="288"/>
      <c r="F73" s="288"/>
      <c r="G73" s="288"/>
      <c r="H73" s="288" t="s">
        <v>1561</v>
      </c>
      <c r="I73" s="288"/>
      <c r="J73" s="288"/>
    </row>
    <row r="74" customFormat="false" ht="14.25" hidden="false" customHeight="true" outlineLevel="0" collapsed="false">
      <c r="A74" s="288" t="s">
        <v>2425</v>
      </c>
      <c r="B74" s="288" t="s">
        <v>2170</v>
      </c>
      <c r="C74" s="289" t="s">
        <v>2435</v>
      </c>
      <c r="D74" s="288" t="s">
        <v>1561</v>
      </c>
      <c r="E74" s="288"/>
      <c r="F74" s="288"/>
      <c r="G74" s="288"/>
      <c r="H74" s="288"/>
      <c r="I74" s="288"/>
      <c r="J74" s="288"/>
    </row>
    <row r="75" customFormat="false" ht="14.25" hidden="false" customHeight="true" outlineLevel="0" collapsed="false">
      <c r="A75" s="288" t="s">
        <v>2425</v>
      </c>
      <c r="B75" s="289" t="s">
        <v>2179</v>
      </c>
      <c r="C75" s="289" t="s">
        <v>2436</v>
      </c>
      <c r="D75" s="288"/>
      <c r="E75" s="288"/>
      <c r="F75" s="288"/>
      <c r="G75" s="288" t="s">
        <v>1561</v>
      </c>
      <c r="H75" s="288"/>
      <c r="I75" s="288"/>
      <c r="J75" s="288"/>
    </row>
    <row r="76" customFormat="false" ht="14.25" hidden="false" customHeight="true" outlineLevel="0" collapsed="false">
      <c r="A76" s="288" t="s">
        <v>2425</v>
      </c>
      <c r="B76" s="288" t="s">
        <v>2188</v>
      </c>
      <c r="C76" s="289" t="s">
        <v>2437</v>
      </c>
      <c r="D76" s="288" t="s">
        <v>1561</v>
      </c>
      <c r="E76" s="288"/>
      <c r="F76" s="288" t="s">
        <v>1561</v>
      </c>
      <c r="G76" s="288"/>
      <c r="H76" s="288" t="s">
        <v>1561</v>
      </c>
      <c r="I76" s="288"/>
      <c r="J76" s="288"/>
    </row>
    <row r="77" customFormat="false" ht="14.25" hidden="false" customHeight="true" outlineLevel="0" collapsed="false">
      <c r="A77" s="288" t="s">
        <v>2425</v>
      </c>
      <c r="B77" s="289" t="s">
        <v>2438</v>
      </c>
      <c r="C77" s="289" t="s">
        <v>2439</v>
      </c>
      <c r="D77" s="288" t="s">
        <v>1561</v>
      </c>
      <c r="E77" s="288" t="s">
        <v>1561</v>
      </c>
      <c r="F77" s="288" t="s">
        <v>1561</v>
      </c>
      <c r="G77" s="288"/>
      <c r="H77" s="288"/>
      <c r="I77" s="288"/>
      <c r="J77" s="288"/>
    </row>
    <row r="78" customFormat="false" ht="14.25" hidden="false" customHeight="true" outlineLevel="0" collapsed="false">
      <c r="A78" s="288" t="s">
        <v>2425</v>
      </c>
      <c r="B78" s="288" t="s">
        <v>2209</v>
      </c>
      <c r="C78" s="289" t="s">
        <v>2440</v>
      </c>
      <c r="D78" s="288" t="s">
        <v>1561</v>
      </c>
      <c r="E78" s="288"/>
      <c r="F78" s="288"/>
      <c r="G78" s="288" t="s">
        <v>1561</v>
      </c>
      <c r="H78" s="288" t="s">
        <v>1561</v>
      </c>
      <c r="I78" s="288"/>
      <c r="J78" s="288"/>
    </row>
    <row r="79" customFormat="false" ht="14.25" hidden="false" customHeight="true" outlineLevel="0" collapsed="false">
      <c r="A79" s="288" t="s">
        <v>2425</v>
      </c>
      <c r="B79" s="288" t="s">
        <v>2218</v>
      </c>
      <c r="C79" s="289" t="s">
        <v>2441</v>
      </c>
      <c r="D79" s="288" t="s">
        <v>1561</v>
      </c>
      <c r="E79" s="288"/>
      <c r="F79" s="288" t="s">
        <v>1561</v>
      </c>
      <c r="G79" s="288"/>
      <c r="H79" s="288"/>
      <c r="I79" s="288"/>
      <c r="J79" s="288"/>
    </row>
    <row r="80" customFormat="false" ht="14.25" hidden="false" customHeight="true" outlineLevel="0" collapsed="false">
      <c r="A80" s="288" t="s">
        <v>2425</v>
      </c>
      <c r="B80" s="288" t="s">
        <v>2229</v>
      </c>
      <c r="C80" s="288" t="s">
        <v>2442</v>
      </c>
      <c r="D80" s="288" t="s">
        <v>1561</v>
      </c>
      <c r="E80" s="288"/>
      <c r="F80" s="288"/>
      <c r="G80" s="288"/>
      <c r="H80" s="288"/>
      <c r="I80" s="288"/>
      <c r="J80" s="288"/>
    </row>
    <row r="81" customFormat="false" ht="14.25" hidden="false" customHeight="true" outlineLevel="0" collapsed="false">
      <c r="A81" s="288" t="s">
        <v>2425</v>
      </c>
      <c r="B81" s="288" t="s">
        <v>2237</v>
      </c>
      <c r="C81" s="289" t="s">
        <v>2443</v>
      </c>
      <c r="D81" s="288" t="s">
        <v>1561</v>
      </c>
      <c r="E81" s="288"/>
      <c r="F81" s="288"/>
      <c r="G81" s="288"/>
      <c r="H81" s="288" t="s">
        <v>1561</v>
      </c>
      <c r="I81" s="288" t="s">
        <v>1561</v>
      </c>
      <c r="J81" s="288"/>
    </row>
    <row r="82" customFormat="false" ht="14.25" hidden="false" customHeight="true" outlineLevel="0" collapsed="false">
      <c r="A82" s="288" t="s">
        <v>2425</v>
      </c>
      <c r="B82" s="288" t="s">
        <v>2246</v>
      </c>
      <c r="C82" s="289" t="s">
        <v>2444</v>
      </c>
      <c r="D82" s="288" t="s">
        <v>1561</v>
      </c>
      <c r="E82" s="288"/>
      <c r="F82" s="288"/>
      <c r="G82" s="288" t="s">
        <v>1561</v>
      </c>
      <c r="H82" s="288" t="s">
        <v>1561</v>
      </c>
      <c r="I82" s="288"/>
      <c r="J82" s="288"/>
    </row>
    <row r="83" customFormat="false" ht="14.25" hidden="false" customHeight="true" outlineLevel="0" collapsed="false">
      <c r="A83" s="288" t="s">
        <v>2425</v>
      </c>
      <c r="B83" s="288" t="s">
        <v>2257</v>
      </c>
      <c r="C83" s="289" t="s">
        <v>2445</v>
      </c>
      <c r="D83" s="288" t="s">
        <v>1561</v>
      </c>
      <c r="E83" s="288" t="s">
        <v>1561</v>
      </c>
      <c r="F83" s="288" t="s">
        <v>1561</v>
      </c>
      <c r="G83" s="288"/>
      <c r="H83" s="288"/>
      <c r="I83" s="288"/>
      <c r="J83" s="288"/>
    </row>
    <row r="84" customFormat="false" ht="14.25" hidden="false" customHeight="true" outlineLevel="0" collapsed="false">
      <c r="A84" s="288" t="s">
        <v>2425</v>
      </c>
      <c r="B84" s="288" t="s">
        <v>2267</v>
      </c>
      <c r="C84" s="289" t="s">
        <v>2446</v>
      </c>
      <c r="D84" s="288" t="s">
        <v>1561</v>
      </c>
      <c r="E84" s="288" t="s">
        <v>1561</v>
      </c>
      <c r="F84" s="288" t="s">
        <v>1561</v>
      </c>
      <c r="G84" s="288" t="s">
        <v>1561</v>
      </c>
      <c r="H84" s="288" t="s">
        <v>1561</v>
      </c>
      <c r="I84" s="288" t="s">
        <v>1561</v>
      </c>
      <c r="J84" s="288"/>
    </row>
    <row r="85" customFormat="false" ht="14.25" hidden="false" customHeight="true" outlineLevel="0" collapsed="false">
      <c r="A85" s="288" t="s">
        <v>2425</v>
      </c>
      <c r="B85" s="288" t="s">
        <v>2278</v>
      </c>
      <c r="C85" s="289" t="s">
        <v>2447</v>
      </c>
      <c r="D85" s="288" t="s">
        <v>1561</v>
      </c>
      <c r="E85" s="288"/>
      <c r="F85" s="288"/>
      <c r="G85" s="288"/>
      <c r="H85" s="288" t="s">
        <v>1561</v>
      </c>
      <c r="I85" s="288"/>
      <c r="J85" s="288"/>
    </row>
    <row r="86" customFormat="false" ht="14.25" hidden="false" customHeight="true" outlineLevel="0" collapsed="false">
      <c r="A86" s="288" t="s">
        <v>2425</v>
      </c>
      <c r="B86" s="288" t="s">
        <v>2289</v>
      </c>
      <c r="C86" s="289" t="s">
        <v>2448</v>
      </c>
      <c r="D86" s="288" t="s">
        <v>1561</v>
      </c>
      <c r="E86" s="288"/>
      <c r="F86" s="288"/>
      <c r="G86" s="288" t="s">
        <v>1561</v>
      </c>
      <c r="H86" s="288" t="s">
        <v>1561</v>
      </c>
      <c r="I86" s="288"/>
      <c r="J86" s="288"/>
    </row>
    <row r="87" customFormat="false" ht="14.25" hidden="false" customHeight="true" outlineLevel="0" collapsed="false">
      <c r="A87" s="288" t="s">
        <v>2425</v>
      </c>
      <c r="B87" s="288" t="s">
        <v>2301</v>
      </c>
      <c r="C87" s="289" t="s">
        <v>2449</v>
      </c>
      <c r="D87" s="288" t="s">
        <v>1561</v>
      </c>
      <c r="E87" s="288"/>
      <c r="F87" s="288"/>
      <c r="G87" s="288"/>
      <c r="H87" s="288" t="s">
        <v>1561</v>
      </c>
      <c r="I87" s="288"/>
      <c r="J87" s="288"/>
    </row>
    <row r="88" customFormat="false" ht="14.25" hidden="false" customHeight="true" outlineLevel="0" collapsed="false">
      <c r="A88" s="288" t="s">
        <v>2425</v>
      </c>
      <c r="B88" s="288" t="s">
        <v>2313</v>
      </c>
      <c r="C88" s="289" t="s">
        <v>2450</v>
      </c>
      <c r="D88" s="288" t="s">
        <v>1561</v>
      </c>
      <c r="E88" s="288" t="s">
        <v>1561</v>
      </c>
      <c r="F88" s="288"/>
      <c r="G88" s="288"/>
      <c r="H88" s="288" t="s">
        <v>1561</v>
      </c>
      <c r="I88" s="288"/>
      <c r="J88" s="288"/>
    </row>
    <row r="89" customFormat="false" ht="14.25" hidden="false" customHeight="true" outlineLevel="0" collapsed="false">
      <c r="A89" s="288" t="s">
        <v>2425</v>
      </c>
      <c r="B89" s="288" t="s">
        <v>602</v>
      </c>
      <c r="C89" s="289" t="s">
        <v>2451</v>
      </c>
      <c r="D89" s="288" t="s">
        <v>1561</v>
      </c>
      <c r="E89" s="288"/>
      <c r="F89" s="288"/>
      <c r="G89" s="288" t="s">
        <v>1561</v>
      </c>
      <c r="H89" s="288"/>
      <c r="I89" s="288"/>
      <c r="J89" s="288"/>
    </row>
    <row r="90" customFormat="false" ht="14.25" hidden="false" customHeight="true" outlineLevel="0" collapsed="false">
      <c r="A90" s="288" t="s">
        <v>2452</v>
      </c>
      <c r="B90" s="288" t="s">
        <v>2453</v>
      </c>
      <c r="C90" s="288" t="s">
        <v>1744</v>
      </c>
      <c r="D90" s="288" t="s">
        <v>1561</v>
      </c>
      <c r="E90" s="288"/>
      <c r="F90" s="288"/>
      <c r="G90" s="288"/>
      <c r="H90" s="288"/>
      <c r="I90" s="288"/>
      <c r="J90" s="288"/>
    </row>
    <row r="91" customFormat="false" ht="14.25" hidden="false" customHeight="true" outlineLevel="0" collapsed="false">
      <c r="A91" s="288" t="s">
        <v>2452</v>
      </c>
      <c r="B91" s="288" t="s">
        <v>2454</v>
      </c>
      <c r="C91" s="289" t="s">
        <v>1756</v>
      </c>
      <c r="D91" s="288" t="s">
        <v>1561</v>
      </c>
      <c r="E91" s="288"/>
      <c r="F91" s="288"/>
      <c r="G91" s="288"/>
      <c r="H91" s="288" t="s">
        <v>1561</v>
      </c>
      <c r="I91" s="288" t="s">
        <v>1561</v>
      </c>
      <c r="J91" s="288" t="s">
        <v>1561</v>
      </c>
    </row>
    <row r="92" customFormat="false" ht="14.25" hidden="false" customHeight="true" outlineLevel="0" collapsed="false">
      <c r="A92" s="288" t="s">
        <v>2452</v>
      </c>
      <c r="B92" s="289" t="s">
        <v>1764</v>
      </c>
      <c r="C92" s="289" t="s">
        <v>1768</v>
      </c>
      <c r="D92" s="288"/>
      <c r="E92" s="288"/>
      <c r="F92" s="288"/>
      <c r="G92" s="288"/>
      <c r="H92" s="288" t="s">
        <v>1561</v>
      </c>
      <c r="I92" s="288"/>
      <c r="J92" s="288" t="s">
        <v>1561</v>
      </c>
    </row>
    <row r="93" customFormat="false" ht="14.25" hidden="false" customHeight="true" outlineLevel="0" collapsed="false">
      <c r="A93" s="288" t="s">
        <v>2452</v>
      </c>
      <c r="B93" s="288" t="s">
        <v>2455</v>
      </c>
      <c r="C93" s="289" t="s">
        <v>1780</v>
      </c>
      <c r="D93" s="288" t="s">
        <v>1561</v>
      </c>
      <c r="E93" s="288"/>
      <c r="F93" s="288"/>
      <c r="G93" s="288"/>
      <c r="H93" s="288"/>
      <c r="I93" s="288" t="s">
        <v>1561</v>
      </c>
      <c r="J93" s="288"/>
    </row>
    <row r="94" customFormat="false" ht="14.25" hidden="false" customHeight="true" outlineLevel="0" collapsed="false">
      <c r="A94" s="288" t="s">
        <v>2452</v>
      </c>
      <c r="B94" s="288" t="s">
        <v>2456</v>
      </c>
      <c r="C94" s="289" t="s">
        <v>1792</v>
      </c>
      <c r="D94" s="288" t="s">
        <v>1561</v>
      </c>
      <c r="E94" s="288"/>
      <c r="F94" s="288"/>
      <c r="G94" s="288"/>
      <c r="H94" s="288"/>
      <c r="I94" s="288"/>
      <c r="J94" s="288"/>
    </row>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5A5A5"/>
    <pageSetUpPr fitToPage="false"/>
  </sheetPr>
  <dimension ref="C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2" min="1" style="0" width="8.63"/>
    <col collapsed="false" customWidth="true" hidden="false" outlineLevel="0" max="3" min="3" style="0" width="25.76"/>
    <col collapsed="false" customWidth="true" hidden="false" outlineLevel="0" max="4" min="4" style="0" width="34.5"/>
    <col collapsed="false" customWidth="true" hidden="false" outlineLevel="0" max="5" min="5" style="0" width="58.13"/>
    <col collapsed="false" customWidth="true" hidden="false" outlineLevel="0" max="26" min="6" style="0" width="8.63"/>
  </cols>
  <sheetData>
    <row r="1" customFormat="false" ht="14.25" hidden="false" customHeight="true" outlineLevel="0" collapsed="false"/>
    <row r="2" customFormat="false" ht="14.25" hidden="false" customHeight="true" outlineLevel="0" collapsed="false">
      <c r="C2" s="290" t="s">
        <v>2457</v>
      </c>
      <c r="D2" s="291"/>
      <c r="E2" s="291"/>
    </row>
    <row r="3" customFormat="false" ht="14.25" hidden="false" customHeight="true" outlineLevel="0" collapsed="false">
      <c r="C3" s="291"/>
      <c r="D3" s="291"/>
      <c r="E3" s="291"/>
    </row>
    <row r="4" customFormat="false" ht="14.25" hidden="false" customHeight="true" outlineLevel="0" collapsed="false">
      <c r="C4" s="292" t="s">
        <v>2344</v>
      </c>
      <c r="D4" s="293" t="s">
        <v>2458</v>
      </c>
      <c r="E4" s="294" t="s">
        <v>2459</v>
      </c>
    </row>
    <row r="5" customFormat="false" ht="14.25" hidden="false" customHeight="true" outlineLevel="0" collapsed="false">
      <c r="C5" s="295" t="s">
        <v>2460</v>
      </c>
      <c r="D5" s="296" t="s">
        <v>2461</v>
      </c>
      <c r="E5" s="296" t="s">
        <v>2462</v>
      </c>
    </row>
    <row r="6" customFormat="false" ht="14.25" hidden="false" customHeight="true" outlineLevel="0" collapsed="false">
      <c r="C6" s="295" t="s">
        <v>2460</v>
      </c>
      <c r="D6" s="296" t="s">
        <v>2461</v>
      </c>
      <c r="E6" s="296" t="s">
        <v>2463</v>
      </c>
    </row>
    <row r="7" customFormat="false" ht="14.25" hidden="false" customHeight="true" outlineLevel="0" collapsed="false">
      <c r="C7" s="295" t="s">
        <v>2460</v>
      </c>
      <c r="D7" s="296" t="s">
        <v>2461</v>
      </c>
      <c r="E7" s="296" t="s">
        <v>2464</v>
      </c>
    </row>
    <row r="8" customFormat="false" ht="14.25" hidden="false" customHeight="true" outlineLevel="0" collapsed="false">
      <c r="C8" s="295" t="s">
        <v>2460</v>
      </c>
      <c r="D8" s="296" t="s">
        <v>2461</v>
      </c>
      <c r="E8" s="296" t="s">
        <v>2465</v>
      </c>
    </row>
    <row r="9" customFormat="false" ht="14.25" hidden="false" customHeight="true" outlineLevel="0" collapsed="false">
      <c r="C9" s="295" t="s">
        <v>2460</v>
      </c>
      <c r="D9" s="296" t="s">
        <v>2461</v>
      </c>
      <c r="E9" s="296" t="s">
        <v>2466</v>
      </c>
    </row>
    <row r="10" customFormat="false" ht="14.25" hidden="false" customHeight="true" outlineLevel="0" collapsed="false">
      <c r="C10" s="295" t="s">
        <v>2460</v>
      </c>
      <c r="D10" s="296" t="s">
        <v>2467</v>
      </c>
      <c r="E10" s="296" t="s">
        <v>2468</v>
      </c>
    </row>
    <row r="11" customFormat="false" ht="14.25" hidden="false" customHeight="true" outlineLevel="0" collapsed="false">
      <c r="C11" s="295" t="s">
        <v>2460</v>
      </c>
      <c r="D11" s="296" t="s">
        <v>2467</v>
      </c>
      <c r="E11" s="296" t="s">
        <v>2469</v>
      </c>
    </row>
    <row r="12" customFormat="false" ht="14.25" hidden="false" customHeight="true" outlineLevel="0" collapsed="false">
      <c r="C12" s="295" t="s">
        <v>2460</v>
      </c>
      <c r="D12" s="296" t="s">
        <v>2467</v>
      </c>
      <c r="E12" s="296" t="s">
        <v>2470</v>
      </c>
    </row>
    <row r="13" customFormat="false" ht="14.25" hidden="false" customHeight="true" outlineLevel="0" collapsed="false">
      <c r="C13" s="295" t="s">
        <v>2460</v>
      </c>
      <c r="D13" s="296" t="s">
        <v>2467</v>
      </c>
      <c r="E13" s="296" t="s">
        <v>2471</v>
      </c>
    </row>
    <row r="14" customFormat="false" ht="14.25" hidden="false" customHeight="true" outlineLevel="0" collapsed="false">
      <c r="C14" s="295" t="s">
        <v>2460</v>
      </c>
      <c r="D14" s="296" t="s">
        <v>2467</v>
      </c>
      <c r="E14" s="297" t="s">
        <v>2472</v>
      </c>
    </row>
    <row r="15" customFormat="false" ht="14.25" hidden="false" customHeight="true" outlineLevel="0" collapsed="false">
      <c r="C15" s="295" t="s">
        <v>2460</v>
      </c>
      <c r="D15" s="296" t="s">
        <v>2473</v>
      </c>
      <c r="E15" s="296" t="s">
        <v>2474</v>
      </c>
    </row>
    <row r="16" customFormat="false" ht="14.25" hidden="false" customHeight="true" outlineLevel="0" collapsed="false">
      <c r="C16" s="295" t="s">
        <v>2460</v>
      </c>
      <c r="D16" s="296" t="s">
        <v>2473</v>
      </c>
      <c r="E16" s="296" t="s">
        <v>2475</v>
      </c>
    </row>
    <row r="17" customFormat="false" ht="14.25" hidden="false" customHeight="true" outlineLevel="0" collapsed="false">
      <c r="C17" s="295" t="s">
        <v>2460</v>
      </c>
      <c r="D17" s="296" t="s">
        <v>2473</v>
      </c>
      <c r="E17" s="296" t="s">
        <v>2476</v>
      </c>
    </row>
    <row r="18" customFormat="false" ht="14.25" hidden="false" customHeight="true" outlineLevel="0" collapsed="false">
      <c r="C18" s="295" t="s">
        <v>2460</v>
      </c>
      <c r="D18" s="296" t="s">
        <v>2477</v>
      </c>
      <c r="E18" s="296" t="s">
        <v>2478</v>
      </c>
    </row>
    <row r="19" customFormat="false" ht="14.25" hidden="false" customHeight="true" outlineLevel="0" collapsed="false">
      <c r="C19" s="295" t="s">
        <v>2460</v>
      </c>
      <c r="D19" s="296" t="s">
        <v>2477</v>
      </c>
      <c r="E19" s="296" t="s">
        <v>2479</v>
      </c>
    </row>
    <row r="20" customFormat="false" ht="14.25" hidden="false" customHeight="true" outlineLevel="0" collapsed="false">
      <c r="C20" s="295" t="s">
        <v>2480</v>
      </c>
      <c r="D20" s="296" t="s">
        <v>2461</v>
      </c>
      <c r="E20" s="296" t="s">
        <v>2481</v>
      </c>
    </row>
    <row r="21" customFormat="false" ht="14.25" hidden="false" customHeight="true" outlineLevel="0" collapsed="false">
      <c r="C21" s="295" t="s">
        <v>2480</v>
      </c>
      <c r="D21" s="296" t="s">
        <v>2461</v>
      </c>
      <c r="E21" s="296" t="s">
        <v>2482</v>
      </c>
    </row>
    <row r="22" customFormat="false" ht="14.25" hidden="false" customHeight="true" outlineLevel="0" collapsed="false">
      <c r="C22" s="295" t="s">
        <v>2480</v>
      </c>
      <c r="D22" s="296" t="s">
        <v>2461</v>
      </c>
      <c r="E22" s="296" t="s">
        <v>2483</v>
      </c>
    </row>
    <row r="23" customFormat="false" ht="14.25" hidden="false" customHeight="true" outlineLevel="0" collapsed="false">
      <c r="C23" s="295" t="s">
        <v>2480</v>
      </c>
      <c r="D23" s="296" t="s">
        <v>2467</v>
      </c>
      <c r="E23" s="296" t="s">
        <v>2484</v>
      </c>
    </row>
    <row r="24" customFormat="false" ht="14.25" hidden="false" customHeight="true" outlineLevel="0" collapsed="false">
      <c r="C24" s="295" t="s">
        <v>2480</v>
      </c>
      <c r="D24" s="296" t="s">
        <v>2467</v>
      </c>
      <c r="E24" s="296" t="s">
        <v>2485</v>
      </c>
    </row>
    <row r="25" customFormat="false" ht="14.25" hidden="false" customHeight="true" outlineLevel="0" collapsed="false">
      <c r="C25" s="295" t="s">
        <v>2480</v>
      </c>
      <c r="D25" s="296" t="s">
        <v>2467</v>
      </c>
      <c r="E25" s="296" t="s">
        <v>2486</v>
      </c>
    </row>
    <row r="26" customFormat="false" ht="14.25" hidden="false" customHeight="true" outlineLevel="0" collapsed="false">
      <c r="C26" s="295" t="s">
        <v>2480</v>
      </c>
      <c r="D26" s="296" t="s">
        <v>2473</v>
      </c>
      <c r="E26" s="296" t="s">
        <v>2487</v>
      </c>
    </row>
    <row r="27" customFormat="false" ht="14.25" hidden="false" customHeight="true" outlineLevel="0" collapsed="false">
      <c r="C27" s="295" t="s">
        <v>2480</v>
      </c>
      <c r="D27" s="296" t="s">
        <v>2473</v>
      </c>
      <c r="E27" s="296" t="s">
        <v>2488</v>
      </c>
    </row>
    <row r="28" customFormat="false" ht="14.25" hidden="false" customHeight="true" outlineLevel="0" collapsed="false">
      <c r="C28" s="295" t="s">
        <v>2480</v>
      </c>
      <c r="D28" s="296" t="s">
        <v>2473</v>
      </c>
      <c r="E28" s="296" t="s">
        <v>2489</v>
      </c>
    </row>
    <row r="29" customFormat="false" ht="14.25" hidden="false" customHeight="true" outlineLevel="0" collapsed="false">
      <c r="C29" s="295" t="s">
        <v>2480</v>
      </c>
      <c r="D29" s="296" t="s">
        <v>2477</v>
      </c>
      <c r="E29" s="296" t="s">
        <v>2490</v>
      </c>
    </row>
    <row r="30" customFormat="false" ht="14.25" hidden="false" customHeight="true" outlineLevel="0" collapsed="false">
      <c r="C30" s="295" t="s">
        <v>2480</v>
      </c>
      <c r="D30" s="296" t="s">
        <v>2477</v>
      </c>
      <c r="E30" s="296" t="s">
        <v>2491</v>
      </c>
    </row>
    <row r="31" customFormat="false" ht="14.25" hidden="false" customHeight="true" outlineLevel="0" collapsed="false">
      <c r="C31" s="295" t="s">
        <v>2492</v>
      </c>
      <c r="D31" s="296" t="s">
        <v>2461</v>
      </c>
      <c r="E31" s="296" t="s">
        <v>2493</v>
      </c>
    </row>
    <row r="32" customFormat="false" ht="14.25" hidden="false" customHeight="true" outlineLevel="0" collapsed="false">
      <c r="C32" s="295" t="s">
        <v>2492</v>
      </c>
      <c r="D32" s="296" t="s">
        <v>2461</v>
      </c>
      <c r="E32" s="296" t="s">
        <v>2494</v>
      </c>
    </row>
    <row r="33" customFormat="false" ht="14.25" hidden="false" customHeight="true" outlineLevel="0" collapsed="false">
      <c r="C33" s="295" t="s">
        <v>2492</v>
      </c>
      <c r="D33" s="296" t="s">
        <v>2461</v>
      </c>
      <c r="E33" s="296" t="s">
        <v>2495</v>
      </c>
    </row>
    <row r="34" customFormat="false" ht="14.25" hidden="false" customHeight="true" outlineLevel="0" collapsed="false">
      <c r="C34" s="295" t="s">
        <v>2492</v>
      </c>
      <c r="D34" s="296" t="s">
        <v>2467</v>
      </c>
      <c r="E34" s="296" t="s">
        <v>2496</v>
      </c>
    </row>
    <row r="35" customFormat="false" ht="14.25" hidden="false" customHeight="true" outlineLevel="0" collapsed="false">
      <c r="C35" s="295" t="s">
        <v>2492</v>
      </c>
      <c r="D35" s="296" t="s">
        <v>2467</v>
      </c>
      <c r="E35" s="296" t="s">
        <v>2497</v>
      </c>
    </row>
    <row r="36" customFormat="false" ht="14.25" hidden="false" customHeight="true" outlineLevel="0" collapsed="false">
      <c r="C36" s="295" t="s">
        <v>2492</v>
      </c>
      <c r="D36" s="296" t="s">
        <v>2473</v>
      </c>
      <c r="E36" s="296" t="s">
        <v>2498</v>
      </c>
    </row>
    <row r="37" customFormat="false" ht="14.25" hidden="false" customHeight="true" outlineLevel="0" collapsed="false">
      <c r="C37" s="295" t="s">
        <v>2492</v>
      </c>
      <c r="D37" s="296" t="s">
        <v>2473</v>
      </c>
      <c r="E37" s="296" t="s">
        <v>2499</v>
      </c>
    </row>
    <row r="38" customFormat="false" ht="14.25" hidden="false" customHeight="true" outlineLevel="0" collapsed="false">
      <c r="C38" s="295" t="s">
        <v>2492</v>
      </c>
      <c r="D38" s="296" t="s">
        <v>2477</v>
      </c>
      <c r="E38" s="296" t="s">
        <v>2500</v>
      </c>
    </row>
    <row r="39" customFormat="false" ht="14.25" hidden="false" customHeight="true" outlineLevel="0" collapsed="false">
      <c r="C39" s="295" t="s">
        <v>2492</v>
      </c>
      <c r="D39" s="296" t="s">
        <v>2477</v>
      </c>
      <c r="E39" s="296" t="s">
        <v>2501</v>
      </c>
    </row>
    <row r="40" customFormat="false" ht="14.25" hidden="false" customHeight="true" outlineLevel="0" collapsed="false">
      <c r="C40" s="295" t="s">
        <v>2492</v>
      </c>
      <c r="D40" s="296" t="s">
        <v>2477</v>
      </c>
      <c r="E40" s="296" t="s">
        <v>2502</v>
      </c>
    </row>
    <row r="41" customFormat="false" ht="14.25" hidden="false" customHeight="true" outlineLevel="0" collapsed="false">
      <c r="C41" s="298" t="s">
        <v>2503</v>
      </c>
      <c r="D41" s="296" t="s">
        <v>2461</v>
      </c>
      <c r="E41" s="296" t="s">
        <v>2504</v>
      </c>
    </row>
    <row r="42" customFormat="false" ht="14.25" hidden="false" customHeight="true" outlineLevel="0" collapsed="false">
      <c r="C42" s="298" t="s">
        <v>2503</v>
      </c>
      <c r="D42" s="296" t="s">
        <v>2467</v>
      </c>
      <c r="E42" s="296" t="s">
        <v>2505</v>
      </c>
    </row>
    <row r="43" customFormat="false" ht="14.25" hidden="false" customHeight="true" outlineLevel="0" collapsed="false">
      <c r="C43" s="298" t="s">
        <v>2503</v>
      </c>
      <c r="D43" s="296" t="s">
        <v>2467</v>
      </c>
      <c r="E43" s="296" t="s">
        <v>2506</v>
      </c>
    </row>
    <row r="44" customFormat="false" ht="14.25" hidden="false" customHeight="true" outlineLevel="0" collapsed="false">
      <c r="C44" s="298" t="s">
        <v>2503</v>
      </c>
      <c r="D44" s="296" t="s">
        <v>2473</v>
      </c>
      <c r="E44" s="296" t="s">
        <v>2507</v>
      </c>
    </row>
    <row r="45" customFormat="false" ht="14.25" hidden="false" customHeight="true" outlineLevel="0" collapsed="false">
      <c r="C45" s="298" t="s">
        <v>2503</v>
      </c>
      <c r="D45" s="296" t="s">
        <v>2477</v>
      </c>
      <c r="E45" s="296" t="s">
        <v>2508</v>
      </c>
    </row>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125" defaultRowHeight="15" zeroHeight="false" outlineLevelRow="0" outlineLevelCol="0"/>
  <cols>
    <col collapsed="false" customWidth="true" hidden="false" outlineLevel="0" max="1" min="1" style="0" width="10"/>
    <col collapsed="false" customWidth="true" hidden="false" outlineLevel="0" max="2" min="2" style="0" width="32"/>
    <col collapsed="false" customWidth="true" hidden="false" outlineLevel="0" max="3" min="3" style="0" width="18"/>
    <col collapsed="false" customWidth="true" hidden="false" outlineLevel="0" max="4" min="4" style="0" width="12"/>
    <col collapsed="false" customWidth="true" hidden="false" outlineLevel="0" max="5" min="5" style="0" width="45"/>
    <col collapsed="false" customWidth="true" hidden="false" outlineLevel="0" max="6" min="6" style="0" width="60"/>
    <col collapsed="false" customWidth="true" hidden="false" outlineLevel="0" max="7" min="7" style="0" width="45"/>
    <col collapsed="false" customWidth="true" hidden="false" outlineLevel="0" max="8" min="8" style="0" width="12"/>
    <col collapsed="false" customWidth="true" hidden="false" outlineLevel="0" max="9" min="9" style="0" width="45"/>
    <col collapsed="false" customWidth="true" hidden="false" outlineLevel="0" max="10" min="10" style="0" width="50"/>
  </cols>
  <sheetData>
    <row r="1" customFormat="false" ht="15" hidden="false" customHeight="false" outlineLevel="0" collapsed="false">
      <c r="A1" s="299" t="s">
        <v>2509</v>
      </c>
      <c r="B1" s="299" t="s">
        <v>640</v>
      </c>
      <c r="C1" s="299" t="s">
        <v>2510</v>
      </c>
      <c r="D1" s="299" t="s">
        <v>2511</v>
      </c>
      <c r="E1" s="299" t="s">
        <v>2512</v>
      </c>
      <c r="F1" s="299" t="s">
        <v>2513</v>
      </c>
      <c r="G1" s="299" t="s">
        <v>2514</v>
      </c>
      <c r="H1" s="299" t="s">
        <v>2515</v>
      </c>
      <c r="I1" s="299" t="s">
        <v>2516</v>
      </c>
      <c r="J1" s="299" t="s">
        <v>2517</v>
      </c>
    </row>
    <row r="2" customFormat="false" ht="85.05" hidden="false" customHeight="false" outlineLevel="0" collapsed="false">
      <c r="A2" s="300" t="s">
        <v>2518</v>
      </c>
      <c r="B2" s="300" t="s">
        <v>2355</v>
      </c>
      <c r="C2" s="300" t="s">
        <v>702</v>
      </c>
      <c r="D2" s="300" t="s">
        <v>2519</v>
      </c>
      <c r="E2" s="300" t="s">
        <v>2520</v>
      </c>
      <c r="F2" s="300" t="s">
        <v>2521</v>
      </c>
      <c r="G2" s="300" t="s">
        <v>2522</v>
      </c>
      <c r="H2" s="300" t="s">
        <v>2523</v>
      </c>
      <c r="I2" s="300" t="s">
        <v>2524</v>
      </c>
      <c r="J2" s="300" t="s">
        <v>2525</v>
      </c>
    </row>
    <row r="3" customFormat="false" ht="49.25" hidden="false" customHeight="false" outlineLevel="0" collapsed="false">
      <c r="A3" s="300" t="s">
        <v>2518</v>
      </c>
      <c r="B3" s="300" t="s">
        <v>2355</v>
      </c>
      <c r="C3" s="300" t="s">
        <v>703</v>
      </c>
      <c r="D3" s="300" t="s">
        <v>2519</v>
      </c>
      <c r="E3" s="300" t="s">
        <v>2526</v>
      </c>
      <c r="F3" s="300" t="s">
        <v>2527</v>
      </c>
      <c r="G3" s="300" t="s">
        <v>2528</v>
      </c>
      <c r="H3" s="300" t="s">
        <v>2523</v>
      </c>
      <c r="I3" s="300" t="s">
        <v>2529</v>
      </c>
      <c r="J3" s="300" t="s">
        <v>2530</v>
      </c>
    </row>
    <row r="4" customFormat="false" ht="120.85" hidden="false" customHeight="false" outlineLevel="0" collapsed="false">
      <c r="A4" s="300" t="s">
        <v>2518</v>
      </c>
      <c r="B4" s="300" t="s">
        <v>2355</v>
      </c>
      <c r="C4" s="300" t="s">
        <v>2531</v>
      </c>
      <c r="D4" s="300" t="s">
        <v>2532</v>
      </c>
      <c r="E4" s="300"/>
      <c r="F4" s="300"/>
      <c r="G4" s="300" t="s">
        <v>2533</v>
      </c>
      <c r="H4" s="300" t="s">
        <v>2523</v>
      </c>
      <c r="I4" s="300" t="s">
        <v>2534</v>
      </c>
      <c r="J4" s="300" t="s">
        <v>2535</v>
      </c>
    </row>
    <row r="5" customFormat="false" ht="49.25" hidden="false" customHeight="false" outlineLevel="0" collapsed="false">
      <c r="A5" s="300" t="s">
        <v>2518</v>
      </c>
      <c r="B5" s="300" t="s">
        <v>2355</v>
      </c>
      <c r="C5" s="300" t="s">
        <v>2536</v>
      </c>
      <c r="D5" s="300" t="s">
        <v>2532</v>
      </c>
      <c r="E5" s="300"/>
      <c r="F5" s="300"/>
      <c r="G5" s="300" t="s">
        <v>2537</v>
      </c>
      <c r="H5" s="300" t="s">
        <v>2523</v>
      </c>
      <c r="I5" s="300" t="s">
        <v>2538</v>
      </c>
      <c r="J5" s="300" t="s">
        <v>2539</v>
      </c>
    </row>
    <row r="6" customFormat="false" ht="85.05" hidden="false" customHeight="false" outlineLevel="0" collapsed="false">
      <c r="A6" s="300" t="s">
        <v>2518</v>
      </c>
      <c r="B6" s="300" t="s">
        <v>2355</v>
      </c>
      <c r="C6" s="300" t="s">
        <v>2540</v>
      </c>
      <c r="D6" s="300" t="s">
        <v>2532</v>
      </c>
      <c r="E6" s="300"/>
      <c r="F6" s="300"/>
      <c r="G6" s="300" t="s">
        <v>2541</v>
      </c>
      <c r="H6" s="300" t="s">
        <v>2542</v>
      </c>
      <c r="I6" s="300" t="s">
        <v>2543</v>
      </c>
      <c r="J6" s="300" t="s">
        <v>2544</v>
      </c>
    </row>
    <row r="7" customFormat="false" ht="132.8" hidden="false" customHeight="false" outlineLevel="0" collapsed="false">
      <c r="A7" s="300" t="s">
        <v>2518</v>
      </c>
      <c r="B7" s="300" t="s">
        <v>2355</v>
      </c>
      <c r="C7" s="300" t="s">
        <v>2545</v>
      </c>
      <c r="D7" s="300" t="s">
        <v>2546</v>
      </c>
      <c r="E7" s="300"/>
      <c r="F7" s="300" t="s">
        <v>2547</v>
      </c>
      <c r="G7" s="300" t="s">
        <v>2548</v>
      </c>
      <c r="H7" s="300" t="s">
        <v>2549</v>
      </c>
      <c r="I7" s="300" t="s">
        <v>2550</v>
      </c>
      <c r="J7" s="300" t="s">
        <v>2551</v>
      </c>
    </row>
    <row r="8" customFormat="false" ht="61.15" hidden="false" customHeight="false" outlineLevel="0" collapsed="false">
      <c r="A8" s="300" t="s">
        <v>2552</v>
      </c>
      <c r="B8" s="300" t="s">
        <v>2357</v>
      </c>
      <c r="C8" s="300" t="s">
        <v>702</v>
      </c>
      <c r="D8" s="300" t="s">
        <v>2519</v>
      </c>
      <c r="E8" s="300" t="s">
        <v>2357</v>
      </c>
      <c r="F8" s="300" t="s">
        <v>2553</v>
      </c>
      <c r="G8" s="300" t="s">
        <v>2554</v>
      </c>
      <c r="H8" s="300" t="s">
        <v>2549</v>
      </c>
      <c r="I8" s="300" t="s">
        <v>2555</v>
      </c>
      <c r="J8" s="300" t="s">
        <v>2556</v>
      </c>
    </row>
    <row r="9" customFormat="false" ht="49.25" hidden="false" customHeight="false" outlineLevel="0" collapsed="false">
      <c r="A9" s="300" t="s">
        <v>2552</v>
      </c>
      <c r="B9" s="300" t="s">
        <v>2357</v>
      </c>
      <c r="C9" s="300" t="s">
        <v>703</v>
      </c>
      <c r="D9" s="300" t="s">
        <v>2532</v>
      </c>
      <c r="E9" s="300"/>
      <c r="F9" s="300"/>
      <c r="G9" s="300" t="s">
        <v>2557</v>
      </c>
      <c r="H9" s="300" t="s">
        <v>2549</v>
      </c>
      <c r="I9" s="300" t="s">
        <v>2558</v>
      </c>
      <c r="J9" s="300" t="s">
        <v>2559</v>
      </c>
    </row>
    <row r="10" customFormat="false" ht="49.25" hidden="false" customHeight="false" outlineLevel="0" collapsed="false">
      <c r="A10" s="300" t="s">
        <v>2552</v>
      </c>
      <c r="B10" s="300" t="s">
        <v>2357</v>
      </c>
      <c r="C10" s="300" t="s">
        <v>2531</v>
      </c>
      <c r="D10" s="300" t="s">
        <v>2532</v>
      </c>
      <c r="E10" s="300"/>
      <c r="F10" s="300"/>
      <c r="G10" s="300" t="s">
        <v>2560</v>
      </c>
      <c r="H10" s="300" t="s">
        <v>2549</v>
      </c>
      <c r="I10" s="300" t="s">
        <v>2561</v>
      </c>
      <c r="J10" s="300" t="s">
        <v>2562</v>
      </c>
    </row>
    <row r="11" customFormat="false" ht="61.15" hidden="false" customHeight="false" outlineLevel="0" collapsed="false">
      <c r="A11" s="300" t="s">
        <v>2552</v>
      </c>
      <c r="B11" s="300" t="s">
        <v>2357</v>
      </c>
      <c r="C11" s="300" t="s">
        <v>2536</v>
      </c>
      <c r="D11" s="300" t="s">
        <v>2532</v>
      </c>
      <c r="E11" s="300"/>
      <c r="F11" s="300"/>
      <c r="G11" s="300" t="s">
        <v>2563</v>
      </c>
      <c r="H11" s="300" t="s">
        <v>2523</v>
      </c>
      <c r="I11" s="300" t="s">
        <v>2564</v>
      </c>
      <c r="J11" s="300" t="s">
        <v>2565</v>
      </c>
    </row>
    <row r="12" customFormat="false" ht="73.1" hidden="false" customHeight="false" outlineLevel="0" collapsed="false">
      <c r="A12" s="300" t="s">
        <v>2552</v>
      </c>
      <c r="B12" s="300" t="s">
        <v>2357</v>
      </c>
      <c r="C12" s="300" t="s">
        <v>2540</v>
      </c>
      <c r="D12" s="300" t="s">
        <v>2519</v>
      </c>
      <c r="E12" s="300" t="s">
        <v>2566</v>
      </c>
      <c r="F12" s="300" t="s">
        <v>2567</v>
      </c>
      <c r="G12" s="300" t="s">
        <v>2568</v>
      </c>
      <c r="H12" s="300" t="s">
        <v>2549</v>
      </c>
      <c r="I12" s="300" t="s">
        <v>2569</v>
      </c>
      <c r="J12" s="300" t="s">
        <v>2570</v>
      </c>
    </row>
    <row r="13" customFormat="false" ht="168.65" hidden="false" customHeight="false" outlineLevel="0" collapsed="false">
      <c r="A13" s="300" t="s">
        <v>2552</v>
      </c>
      <c r="B13" s="300" t="s">
        <v>2357</v>
      </c>
      <c r="C13" s="300" t="s">
        <v>2545</v>
      </c>
      <c r="D13" s="300" t="s">
        <v>2546</v>
      </c>
      <c r="E13" s="300"/>
      <c r="F13" s="300" t="s">
        <v>2571</v>
      </c>
      <c r="G13" s="300" t="s">
        <v>2572</v>
      </c>
      <c r="H13" s="300" t="s">
        <v>2549</v>
      </c>
      <c r="I13" s="300" t="s">
        <v>2573</v>
      </c>
      <c r="J13" s="300" t="s">
        <v>2574</v>
      </c>
    </row>
    <row r="14" customFormat="false" ht="97" hidden="false" customHeight="false" outlineLevel="0" collapsed="false">
      <c r="A14" s="300" t="s">
        <v>2575</v>
      </c>
      <c r="B14" s="300" t="s">
        <v>749</v>
      </c>
      <c r="C14" s="300" t="s">
        <v>702</v>
      </c>
      <c r="D14" s="300" t="s">
        <v>2532</v>
      </c>
      <c r="E14" s="300"/>
      <c r="F14" s="300"/>
      <c r="G14" s="300" t="s">
        <v>2576</v>
      </c>
      <c r="H14" s="300" t="s">
        <v>2542</v>
      </c>
      <c r="I14" s="300" t="s">
        <v>2577</v>
      </c>
      <c r="J14" s="300" t="s">
        <v>2578</v>
      </c>
    </row>
    <row r="15" customFormat="false" ht="49.25" hidden="false" customHeight="false" outlineLevel="0" collapsed="false">
      <c r="A15" s="300" t="s">
        <v>2575</v>
      </c>
      <c r="B15" s="300" t="s">
        <v>749</v>
      </c>
      <c r="C15" s="300" t="s">
        <v>703</v>
      </c>
      <c r="D15" s="300" t="s">
        <v>2532</v>
      </c>
      <c r="E15" s="300"/>
      <c r="F15" s="300"/>
      <c r="G15" s="300" t="s">
        <v>2579</v>
      </c>
      <c r="H15" s="300" t="s">
        <v>2542</v>
      </c>
      <c r="I15" s="300" t="s">
        <v>2580</v>
      </c>
      <c r="J15" s="300" t="s">
        <v>2581</v>
      </c>
    </row>
    <row r="16" customFormat="false" ht="61.15" hidden="false" customHeight="false" outlineLevel="0" collapsed="false">
      <c r="A16" s="300" t="s">
        <v>2575</v>
      </c>
      <c r="B16" s="300" t="s">
        <v>749</v>
      </c>
      <c r="C16" s="300" t="s">
        <v>2531</v>
      </c>
      <c r="D16" s="300" t="s">
        <v>2519</v>
      </c>
      <c r="E16" s="300" t="s">
        <v>757</v>
      </c>
      <c r="F16" s="300" t="s">
        <v>2582</v>
      </c>
      <c r="G16" s="300" t="s">
        <v>2583</v>
      </c>
      <c r="H16" s="300" t="s">
        <v>2549</v>
      </c>
      <c r="I16" s="300" t="s">
        <v>2584</v>
      </c>
      <c r="J16" s="300" t="s">
        <v>2585</v>
      </c>
    </row>
    <row r="17" customFormat="false" ht="108.95" hidden="false" customHeight="false" outlineLevel="0" collapsed="false">
      <c r="A17" s="300" t="s">
        <v>2575</v>
      </c>
      <c r="B17" s="300" t="s">
        <v>749</v>
      </c>
      <c r="C17" s="300" t="s">
        <v>2536</v>
      </c>
      <c r="D17" s="300" t="s">
        <v>2519</v>
      </c>
      <c r="E17" s="300" t="s">
        <v>2586</v>
      </c>
      <c r="F17" s="300" t="s">
        <v>2587</v>
      </c>
      <c r="G17" s="300" t="s">
        <v>2588</v>
      </c>
      <c r="H17" s="300" t="s">
        <v>2542</v>
      </c>
      <c r="I17" s="300" t="s">
        <v>2589</v>
      </c>
      <c r="J17" s="300" t="s">
        <v>2590</v>
      </c>
    </row>
    <row r="18" customFormat="false" ht="61.15" hidden="false" customHeight="false" outlineLevel="0" collapsed="false">
      <c r="A18" s="300" t="s">
        <v>2575</v>
      </c>
      <c r="B18" s="300" t="s">
        <v>749</v>
      </c>
      <c r="C18" s="300" t="s">
        <v>2540</v>
      </c>
      <c r="D18" s="300" t="s">
        <v>2519</v>
      </c>
      <c r="E18" s="300" t="s">
        <v>2591</v>
      </c>
      <c r="F18" s="300" t="s">
        <v>2592</v>
      </c>
      <c r="G18" s="300" t="s">
        <v>2593</v>
      </c>
      <c r="H18" s="300" t="s">
        <v>2542</v>
      </c>
      <c r="I18" s="300" t="s">
        <v>2594</v>
      </c>
      <c r="J18" s="300" t="s">
        <v>2595</v>
      </c>
    </row>
    <row r="19" customFormat="false" ht="97" hidden="false" customHeight="false" outlineLevel="0" collapsed="false">
      <c r="A19" s="300" t="s">
        <v>2575</v>
      </c>
      <c r="B19" s="300" t="s">
        <v>749</v>
      </c>
      <c r="C19" s="300" t="s">
        <v>2545</v>
      </c>
      <c r="D19" s="300" t="s">
        <v>2546</v>
      </c>
      <c r="E19" s="300"/>
      <c r="F19" s="300" t="s">
        <v>2596</v>
      </c>
      <c r="G19" s="300" t="s">
        <v>2597</v>
      </c>
      <c r="H19" s="300" t="s">
        <v>2549</v>
      </c>
      <c r="I19" s="300" t="s">
        <v>2598</v>
      </c>
      <c r="J19" s="300" t="s">
        <v>2599</v>
      </c>
    </row>
    <row r="20" customFormat="false" ht="73.1" hidden="false" customHeight="false" outlineLevel="0" collapsed="false">
      <c r="A20" s="300" t="s">
        <v>2600</v>
      </c>
      <c r="B20" s="300" t="s">
        <v>765</v>
      </c>
      <c r="C20" s="300" t="s">
        <v>702</v>
      </c>
      <c r="D20" s="300" t="s">
        <v>2532</v>
      </c>
      <c r="E20" s="300"/>
      <c r="F20" s="300"/>
      <c r="G20" s="300" t="s">
        <v>2601</v>
      </c>
      <c r="H20" s="300" t="s">
        <v>2523</v>
      </c>
      <c r="I20" s="300" t="s">
        <v>2602</v>
      </c>
      <c r="J20" s="300" t="s">
        <v>2603</v>
      </c>
    </row>
    <row r="21" customFormat="false" ht="108.95" hidden="false" customHeight="false" outlineLevel="0" collapsed="false">
      <c r="A21" s="300" t="s">
        <v>2600</v>
      </c>
      <c r="B21" s="300" t="s">
        <v>765</v>
      </c>
      <c r="C21" s="300" t="s">
        <v>703</v>
      </c>
      <c r="D21" s="300" t="s">
        <v>2519</v>
      </c>
      <c r="E21" s="300" t="s">
        <v>914</v>
      </c>
      <c r="F21" s="300" t="s">
        <v>2604</v>
      </c>
      <c r="G21" s="300" t="s">
        <v>2605</v>
      </c>
      <c r="H21" s="300" t="s">
        <v>2523</v>
      </c>
      <c r="I21" s="300" t="s">
        <v>2606</v>
      </c>
      <c r="J21" s="300" t="s">
        <v>2607</v>
      </c>
    </row>
    <row r="22" customFormat="false" ht="73.1" hidden="false" customHeight="false" outlineLevel="0" collapsed="false">
      <c r="A22" s="300" t="s">
        <v>2600</v>
      </c>
      <c r="B22" s="300" t="s">
        <v>765</v>
      </c>
      <c r="C22" s="300" t="s">
        <v>2531</v>
      </c>
      <c r="D22" s="300" t="s">
        <v>2532</v>
      </c>
      <c r="E22" s="300"/>
      <c r="F22" s="300"/>
      <c r="G22" s="300" t="s">
        <v>2608</v>
      </c>
      <c r="H22" s="300" t="s">
        <v>2549</v>
      </c>
      <c r="I22" s="300" t="s">
        <v>2609</v>
      </c>
      <c r="J22" s="300" t="s">
        <v>2610</v>
      </c>
    </row>
    <row r="23" customFormat="false" ht="61.15" hidden="false" customHeight="false" outlineLevel="0" collapsed="false">
      <c r="A23" s="300" t="s">
        <v>2600</v>
      </c>
      <c r="B23" s="300" t="s">
        <v>765</v>
      </c>
      <c r="C23" s="300" t="s">
        <v>2536</v>
      </c>
      <c r="D23" s="300" t="s">
        <v>2546</v>
      </c>
      <c r="E23" s="300"/>
      <c r="F23" s="300" t="s">
        <v>2611</v>
      </c>
      <c r="G23" s="300" t="s">
        <v>2612</v>
      </c>
      <c r="H23" s="300" t="s">
        <v>2523</v>
      </c>
      <c r="I23" s="300" t="s">
        <v>2613</v>
      </c>
      <c r="J23" s="300" t="s">
        <v>2614</v>
      </c>
    </row>
    <row r="24" customFormat="false" ht="37.3" hidden="false" customHeight="false" outlineLevel="0" collapsed="false">
      <c r="A24" s="300" t="s">
        <v>2600</v>
      </c>
      <c r="B24" s="300" t="s">
        <v>765</v>
      </c>
      <c r="C24" s="300" t="s">
        <v>2540</v>
      </c>
      <c r="D24" s="300" t="s">
        <v>2546</v>
      </c>
      <c r="E24" s="300"/>
      <c r="F24" s="300" t="s">
        <v>2615</v>
      </c>
      <c r="G24" s="300" t="s">
        <v>2616</v>
      </c>
      <c r="H24" s="300" t="s">
        <v>2542</v>
      </c>
      <c r="I24" s="300" t="s">
        <v>2617</v>
      </c>
      <c r="J24" s="300" t="s">
        <v>2618</v>
      </c>
    </row>
    <row r="25" customFormat="false" ht="97" hidden="false" customHeight="false" outlineLevel="0" collapsed="false">
      <c r="A25" s="300" t="s">
        <v>2600</v>
      </c>
      <c r="B25" s="300" t="s">
        <v>765</v>
      </c>
      <c r="C25" s="300" t="s">
        <v>2545</v>
      </c>
      <c r="D25" s="300" t="s">
        <v>2546</v>
      </c>
      <c r="E25" s="300"/>
      <c r="F25" s="300" t="s">
        <v>2619</v>
      </c>
      <c r="G25" s="300" t="s">
        <v>2620</v>
      </c>
      <c r="H25" s="300" t="s">
        <v>2523</v>
      </c>
      <c r="I25" s="300" t="s">
        <v>2621</v>
      </c>
      <c r="J25" s="300" t="s">
        <v>2622</v>
      </c>
    </row>
    <row r="26" customFormat="false" ht="61.15" hidden="false" customHeight="false" outlineLevel="0" collapsed="false">
      <c r="A26" s="300" t="s">
        <v>2623</v>
      </c>
      <c r="B26" s="300" t="s">
        <v>2361</v>
      </c>
      <c r="C26" s="300" t="s">
        <v>702</v>
      </c>
      <c r="D26" s="300" t="s">
        <v>2624</v>
      </c>
      <c r="E26" s="300" t="s">
        <v>2361</v>
      </c>
      <c r="F26" s="300" t="s">
        <v>2625</v>
      </c>
      <c r="G26" s="300"/>
      <c r="H26" s="300" t="s">
        <v>2523</v>
      </c>
      <c r="I26" s="300" t="s">
        <v>2626</v>
      </c>
      <c r="J26" s="300" t="s">
        <v>2627</v>
      </c>
    </row>
    <row r="27" customFormat="false" ht="49.25" hidden="false" customHeight="false" outlineLevel="0" collapsed="false">
      <c r="A27" s="300" t="s">
        <v>2623</v>
      </c>
      <c r="B27" s="300" t="s">
        <v>2361</v>
      </c>
      <c r="C27" s="300" t="s">
        <v>703</v>
      </c>
      <c r="D27" s="300" t="s">
        <v>2532</v>
      </c>
      <c r="E27" s="300"/>
      <c r="F27" s="300"/>
      <c r="G27" s="300" t="s">
        <v>2628</v>
      </c>
      <c r="H27" s="300" t="s">
        <v>2523</v>
      </c>
      <c r="I27" s="300" t="s">
        <v>2629</v>
      </c>
      <c r="J27" s="300" t="s">
        <v>2630</v>
      </c>
    </row>
    <row r="28" customFormat="false" ht="120.85" hidden="false" customHeight="false" outlineLevel="0" collapsed="false">
      <c r="A28" s="300" t="s">
        <v>2623</v>
      </c>
      <c r="B28" s="300" t="s">
        <v>2361</v>
      </c>
      <c r="C28" s="300" t="s">
        <v>2531</v>
      </c>
      <c r="D28" s="300" t="s">
        <v>2631</v>
      </c>
      <c r="E28" s="300" t="s">
        <v>2632</v>
      </c>
      <c r="F28" s="300" t="s">
        <v>2633</v>
      </c>
      <c r="G28" s="300"/>
      <c r="H28" s="300" t="s">
        <v>2631</v>
      </c>
      <c r="I28" s="300" t="s">
        <v>2633</v>
      </c>
      <c r="J28" s="300" t="s">
        <v>2634</v>
      </c>
    </row>
    <row r="29" customFormat="false" ht="61.15" hidden="false" customHeight="false" outlineLevel="0" collapsed="false">
      <c r="A29" s="300" t="s">
        <v>2623</v>
      </c>
      <c r="B29" s="300" t="s">
        <v>2361</v>
      </c>
      <c r="C29" s="300" t="s">
        <v>2536</v>
      </c>
      <c r="D29" s="300" t="s">
        <v>2546</v>
      </c>
      <c r="E29" s="300"/>
      <c r="F29" s="300" t="s">
        <v>2635</v>
      </c>
      <c r="G29" s="300" t="s">
        <v>2636</v>
      </c>
      <c r="H29" s="300" t="s">
        <v>2523</v>
      </c>
      <c r="I29" s="300" t="s">
        <v>2637</v>
      </c>
      <c r="J29" s="300" t="s">
        <v>2638</v>
      </c>
    </row>
    <row r="30" customFormat="false" ht="73.1" hidden="false" customHeight="false" outlineLevel="0" collapsed="false">
      <c r="A30" s="300" t="s">
        <v>2623</v>
      </c>
      <c r="B30" s="300" t="s">
        <v>2361</v>
      </c>
      <c r="C30" s="300" t="s">
        <v>2540</v>
      </c>
      <c r="D30" s="300" t="s">
        <v>2546</v>
      </c>
      <c r="E30" s="300"/>
      <c r="F30" s="300" t="s">
        <v>2639</v>
      </c>
      <c r="G30" s="300" t="s">
        <v>2640</v>
      </c>
      <c r="H30" s="300" t="s">
        <v>2549</v>
      </c>
      <c r="I30" s="300" t="s">
        <v>2641</v>
      </c>
      <c r="J30" s="300" t="s">
        <v>2642</v>
      </c>
    </row>
    <row r="31" customFormat="false" ht="144.75" hidden="false" customHeight="false" outlineLevel="0" collapsed="false">
      <c r="A31" s="300" t="s">
        <v>2623</v>
      </c>
      <c r="B31" s="300" t="s">
        <v>2361</v>
      </c>
      <c r="C31" s="300" t="s">
        <v>2545</v>
      </c>
      <c r="D31" s="300" t="s">
        <v>2546</v>
      </c>
      <c r="E31" s="300"/>
      <c r="F31" s="300" t="s">
        <v>2643</v>
      </c>
      <c r="G31" s="300" t="s">
        <v>2644</v>
      </c>
      <c r="H31" s="300" t="s">
        <v>2549</v>
      </c>
      <c r="I31" s="300" t="s">
        <v>2645</v>
      </c>
      <c r="J31" s="300" t="s">
        <v>2646</v>
      </c>
    </row>
    <row r="32" customFormat="false" ht="85.05" hidden="false" customHeight="false" outlineLevel="0" collapsed="false">
      <c r="A32" s="300" t="s">
        <v>2647</v>
      </c>
      <c r="B32" s="300" t="s">
        <v>2648</v>
      </c>
      <c r="C32" s="300" t="s">
        <v>702</v>
      </c>
      <c r="D32" s="300" t="s">
        <v>2519</v>
      </c>
      <c r="E32" s="300" t="s">
        <v>2363</v>
      </c>
      <c r="F32" s="300" t="s">
        <v>2649</v>
      </c>
      <c r="G32" s="300" t="s">
        <v>2650</v>
      </c>
      <c r="H32" s="300" t="s">
        <v>2549</v>
      </c>
      <c r="I32" s="300" t="s">
        <v>2651</v>
      </c>
      <c r="J32" s="300" t="s">
        <v>2652</v>
      </c>
    </row>
    <row r="33" customFormat="false" ht="85.05" hidden="false" customHeight="false" outlineLevel="0" collapsed="false">
      <c r="A33" s="300" t="s">
        <v>2647</v>
      </c>
      <c r="B33" s="300" t="s">
        <v>2648</v>
      </c>
      <c r="C33" s="300" t="s">
        <v>703</v>
      </c>
      <c r="D33" s="300" t="s">
        <v>2532</v>
      </c>
      <c r="E33" s="300"/>
      <c r="F33" s="300"/>
      <c r="G33" s="300" t="s">
        <v>2653</v>
      </c>
      <c r="H33" s="300" t="s">
        <v>2523</v>
      </c>
      <c r="I33" s="300" t="s">
        <v>2654</v>
      </c>
      <c r="J33" s="300" t="s">
        <v>2655</v>
      </c>
    </row>
    <row r="34" customFormat="false" ht="85.05" hidden="false" customHeight="false" outlineLevel="0" collapsed="false">
      <c r="A34" s="300" t="s">
        <v>2647</v>
      </c>
      <c r="B34" s="300" t="s">
        <v>2648</v>
      </c>
      <c r="C34" s="300" t="s">
        <v>2531</v>
      </c>
      <c r="D34" s="300" t="s">
        <v>2519</v>
      </c>
      <c r="E34" s="300" t="s">
        <v>2656</v>
      </c>
      <c r="F34" s="300" t="s">
        <v>2657</v>
      </c>
      <c r="G34" s="300" t="s">
        <v>2658</v>
      </c>
      <c r="H34" s="300" t="s">
        <v>2549</v>
      </c>
      <c r="I34" s="300" t="s">
        <v>2659</v>
      </c>
      <c r="J34" s="300" t="s">
        <v>2660</v>
      </c>
    </row>
    <row r="35" customFormat="false" ht="85.05" hidden="false" customHeight="false" outlineLevel="0" collapsed="false">
      <c r="A35" s="300" t="s">
        <v>2647</v>
      </c>
      <c r="B35" s="300" t="s">
        <v>2648</v>
      </c>
      <c r="C35" s="300" t="s">
        <v>2536</v>
      </c>
      <c r="D35" s="300" t="s">
        <v>2546</v>
      </c>
      <c r="E35" s="300"/>
      <c r="F35" s="300" t="s">
        <v>2661</v>
      </c>
      <c r="G35" s="300" t="s">
        <v>2662</v>
      </c>
      <c r="H35" s="300" t="s">
        <v>2523</v>
      </c>
      <c r="I35" s="300" t="s">
        <v>2663</v>
      </c>
      <c r="J35" s="300" t="s">
        <v>2664</v>
      </c>
    </row>
    <row r="36" customFormat="false" ht="61.15" hidden="false" customHeight="false" outlineLevel="0" collapsed="false">
      <c r="A36" s="300" t="s">
        <v>2647</v>
      </c>
      <c r="B36" s="300" t="s">
        <v>2648</v>
      </c>
      <c r="C36" s="300" t="s">
        <v>2540</v>
      </c>
      <c r="D36" s="300" t="s">
        <v>2546</v>
      </c>
      <c r="E36" s="300"/>
      <c r="F36" s="300" t="s">
        <v>2665</v>
      </c>
      <c r="G36" s="300" t="s">
        <v>2666</v>
      </c>
      <c r="H36" s="300" t="s">
        <v>2523</v>
      </c>
      <c r="I36" s="300" t="s">
        <v>2667</v>
      </c>
      <c r="J36" s="300" t="s">
        <v>2668</v>
      </c>
    </row>
    <row r="37" customFormat="false" ht="132.8" hidden="false" customHeight="false" outlineLevel="0" collapsed="false">
      <c r="A37" s="300" t="s">
        <v>2647</v>
      </c>
      <c r="B37" s="300" t="s">
        <v>2648</v>
      </c>
      <c r="C37" s="300" t="s">
        <v>2545</v>
      </c>
      <c r="D37" s="300" t="s">
        <v>2546</v>
      </c>
      <c r="E37" s="300"/>
      <c r="F37" s="300" t="s">
        <v>2669</v>
      </c>
      <c r="G37" s="300" t="s">
        <v>2670</v>
      </c>
      <c r="H37" s="300" t="s">
        <v>2523</v>
      </c>
      <c r="I37" s="300" t="s">
        <v>2671</v>
      </c>
      <c r="J37" s="300" t="s">
        <v>2672</v>
      </c>
    </row>
    <row r="38" customFormat="false" ht="73.1" hidden="false" customHeight="false" outlineLevel="0" collapsed="false">
      <c r="A38" s="300" t="s">
        <v>2673</v>
      </c>
      <c r="B38" s="300" t="s">
        <v>2365</v>
      </c>
      <c r="C38" s="300" t="s">
        <v>702</v>
      </c>
      <c r="D38" s="300" t="s">
        <v>2519</v>
      </c>
      <c r="E38" s="300" t="s">
        <v>2674</v>
      </c>
      <c r="F38" s="300" t="s">
        <v>2675</v>
      </c>
      <c r="G38" s="300" t="s">
        <v>2676</v>
      </c>
      <c r="H38" s="300" t="s">
        <v>2523</v>
      </c>
      <c r="I38" s="300" t="s">
        <v>2677</v>
      </c>
      <c r="J38" s="300" t="s">
        <v>2678</v>
      </c>
    </row>
    <row r="39" customFormat="false" ht="132.8" hidden="false" customHeight="false" outlineLevel="0" collapsed="false">
      <c r="A39" s="300" t="s">
        <v>2673</v>
      </c>
      <c r="B39" s="300" t="s">
        <v>2365</v>
      </c>
      <c r="C39" s="300" t="s">
        <v>703</v>
      </c>
      <c r="D39" s="300" t="s">
        <v>2532</v>
      </c>
      <c r="E39" s="300"/>
      <c r="F39" s="300"/>
      <c r="G39" s="300" t="s">
        <v>2679</v>
      </c>
      <c r="H39" s="300" t="s">
        <v>2549</v>
      </c>
      <c r="I39" s="300" t="s">
        <v>2680</v>
      </c>
      <c r="J39" s="300" t="s">
        <v>2681</v>
      </c>
    </row>
    <row r="40" customFormat="false" ht="85.05" hidden="false" customHeight="false" outlineLevel="0" collapsed="false">
      <c r="A40" s="300" t="s">
        <v>2673</v>
      </c>
      <c r="B40" s="300" t="s">
        <v>2365</v>
      </c>
      <c r="C40" s="300" t="s">
        <v>2531</v>
      </c>
      <c r="D40" s="300" t="s">
        <v>2519</v>
      </c>
      <c r="E40" s="300" t="s">
        <v>2682</v>
      </c>
      <c r="F40" s="300" t="s">
        <v>2683</v>
      </c>
      <c r="G40" s="300" t="s">
        <v>2684</v>
      </c>
      <c r="H40" s="300" t="s">
        <v>2549</v>
      </c>
      <c r="I40" s="300" t="s">
        <v>2685</v>
      </c>
      <c r="J40" s="300" t="s">
        <v>2686</v>
      </c>
    </row>
    <row r="41" customFormat="false" ht="85.05" hidden="false" customHeight="false" outlineLevel="0" collapsed="false">
      <c r="A41" s="300" t="s">
        <v>2673</v>
      </c>
      <c r="B41" s="300" t="s">
        <v>2365</v>
      </c>
      <c r="C41" s="300" t="s">
        <v>2536</v>
      </c>
      <c r="D41" s="300" t="s">
        <v>2546</v>
      </c>
      <c r="E41" s="300"/>
      <c r="F41" s="300" t="s">
        <v>2687</v>
      </c>
      <c r="G41" s="300" t="s">
        <v>2688</v>
      </c>
      <c r="H41" s="300" t="s">
        <v>2549</v>
      </c>
      <c r="I41" s="300" t="s">
        <v>2689</v>
      </c>
      <c r="J41" s="300" t="s">
        <v>2690</v>
      </c>
    </row>
    <row r="42" customFormat="false" ht="97" hidden="false" customHeight="false" outlineLevel="0" collapsed="false">
      <c r="A42" s="300" t="s">
        <v>2673</v>
      </c>
      <c r="B42" s="300" t="s">
        <v>2365</v>
      </c>
      <c r="C42" s="300" t="s">
        <v>2540</v>
      </c>
      <c r="D42" s="300" t="s">
        <v>2546</v>
      </c>
      <c r="E42" s="300"/>
      <c r="F42" s="300" t="s">
        <v>2691</v>
      </c>
      <c r="G42" s="300" t="s">
        <v>2692</v>
      </c>
      <c r="H42" s="300" t="s">
        <v>2549</v>
      </c>
      <c r="I42" s="300" t="s">
        <v>2693</v>
      </c>
      <c r="J42" s="300" t="s">
        <v>2694</v>
      </c>
    </row>
    <row r="43" customFormat="false" ht="144.75" hidden="false" customHeight="false" outlineLevel="0" collapsed="false">
      <c r="A43" s="300" t="s">
        <v>2673</v>
      </c>
      <c r="B43" s="300" t="s">
        <v>2365</v>
      </c>
      <c r="C43" s="300" t="s">
        <v>2545</v>
      </c>
      <c r="D43" s="300" t="s">
        <v>2546</v>
      </c>
      <c r="E43" s="300"/>
      <c r="F43" s="300" t="s">
        <v>2695</v>
      </c>
      <c r="G43" s="300" t="s">
        <v>2696</v>
      </c>
      <c r="H43" s="300" t="s">
        <v>2549</v>
      </c>
      <c r="I43" s="300" t="s">
        <v>2697</v>
      </c>
      <c r="J43" s="300" t="s">
        <v>2698</v>
      </c>
    </row>
    <row r="44" customFormat="false" ht="97" hidden="false" customHeight="false" outlineLevel="0" collapsed="false">
      <c r="A44" s="300" t="s">
        <v>2699</v>
      </c>
      <c r="B44" s="300" t="s">
        <v>2700</v>
      </c>
      <c r="C44" s="300" t="s">
        <v>702</v>
      </c>
      <c r="D44" s="300" t="s">
        <v>2519</v>
      </c>
      <c r="E44" s="300" t="s">
        <v>2700</v>
      </c>
      <c r="F44" s="300" t="s">
        <v>2701</v>
      </c>
      <c r="G44" s="300" t="s">
        <v>2702</v>
      </c>
      <c r="H44" s="300" t="s">
        <v>2549</v>
      </c>
      <c r="I44" s="300" t="s">
        <v>2703</v>
      </c>
      <c r="J44" s="300" t="s">
        <v>2704</v>
      </c>
    </row>
    <row r="45" customFormat="false" ht="61.15" hidden="false" customHeight="false" outlineLevel="0" collapsed="false">
      <c r="A45" s="300" t="s">
        <v>2699</v>
      </c>
      <c r="B45" s="300" t="s">
        <v>2700</v>
      </c>
      <c r="C45" s="300" t="s">
        <v>703</v>
      </c>
      <c r="D45" s="300" t="s">
        <v>2519</v>
      </c>
      <c r="E45" s="300" t="s">
        <v>2705</v>
      </c>
      <c r="F45" s="300" t="s">
        <v>2706</v>
      </c>
      <c r="G45" s="300" t="s">
        <v>2707</v>
      </c>
      <c r="H45" s="300" t="s">
        <v>2523</v>
      </c>
      <c r="I45" s="300" t="s">
        <v>2708</v>
      </c>
      <c r="J45" s="300" t="s">
        <v>2709</v>
      </c>
    </row>
    <row r="46" customFormat="false" ht="120.85" hidden="false" customHeight="false" outlineLevel="0" collapsed="false">
      <c r="A46" s="300" t="s">
        <v>2699</v>
      </c>
      <c r="B46" s="300" t="s">
        <v>2700</v>
      </c>
      <c r="C46" s="300" t="s">
        <v>2531</v>
      </c>
      <c r="D46" s="300" t="s">
        <v>2519</v>
      </c>
      <c r="E46" s="300" t="s">
        <v>2710</v>
      </c>
      <c r="F46" s="300" t="s">
        <v>2711</v>
      </c>
      <c r="G46" s="300" t="s">
        <v>2712</v>
      </c>
      <c r="H46" s="300" t="s">
        <v>2549</v>
      </c>
      <c r="I46" s="300" t="s">
        <v>2713</v>
      </c>
      <c r="J46" s="300" t="s">
        <v>2714</v>
      </c>
    </row>
    <row r="47" customFormat="false" ht="85.05" hidden="false" customHeight="false" outlineLevel="0" collapsed="false">
      <c r="A47" s="300" t="s">
        <v>2699</v>
      </c>
      <c r="B47" s="300" t="s">
        <v>2700</v>
      </c>
      <c r="C47" s="300" t="s">
        <v>2536</v>
      </c>
      <c r="D47" s="300" t="s">
        <v>2546</v>
      </c>
      <c r="E47" s="300"/>
      <c r="F47" s="300" t="s">
        <v>2715</v>
      </c>
      <c r="G47" s="300" t="s">
        <v>2716</v>
      </c>
      <c r="H47" s="300" t="s">
        <v>2523</v>
      </c>
      <c r="I47" s="300" t="s">
        <v>2717</v>
      </c>
      <c r="J47" s="300" t="s">
        <v>2718</v>
      </c>
    </row>
    <row r="48" customFormat="false" ht="37.3" hidden="false" customHeight="false" outlineLevel="0" collapsed="false">
      <c r="A48" s="300" t="s">
        <v>2699</v>
      </c>
      <c r="B48" s="300" t="s">
        <v>2700</v>
      </c>
      <c r="C48" s="300" t="s">
        <v>2540</v>
      </c>
      <c r="D48" s="300" t="s">
        <v>2624</v>
      </c>
      <c r="E48" s="300"/>
      <c r="F48" s="300" t="s">
        <v>2719</v>
      </c>
      <c r="G48" s="300"/>
      <c r="H48" s="300" t="s">
        <v>2549</v>
      </c>
      <c r="I48" s="300" t="s">
        <v>2720</v>
      </c>
      <c r="J48" s="300" t="s">
        <v>2721</v>
      </c>
    </row>
    <row r="49" customFormat="false" ht="108.95" hidden="false" customHeight="false" outlineLevel="0" collapsed="false">
      <c r="A49" s="300" t="s">
        <v>2699</v>
      </c>
      <c r="B49" s="300" t="s">
        <v>2700</v>
      </c>
      <c r="C49" s="300" t="s">
        <v>2545</v>
      </c>
      <c r="D49" s="300" t="s">
        <v>2546</v>
      </c>
      <c r="E49" s="300"/>
      <c r="F49" s="300" t="s">
        <v>2722</v>
      </c>
      <c r="G49" s="300" t="s">
        <v>2723</v>
      </c>
      <c r="H49" s="300" t="s">
        <v>2549</v>
      </c>
      <c r="I49" s="300" t="s">
        <v>2724</v>
      </c>
      <c r="J49" s="300" t="s">
        <v>2725</v>
      </c>
    </row>
    <row r="50" customFormat="false" ht="61.15" hidden="false" customHeight="false" outlineLevel="0" collapsed="false">
      <c r="A50" s="300" t="s">
        <v>2726</v>
      </c>
      <c r="B50" s="300" t="s">
        <v>2727</v>
      </c>
      <c r="C50" s="300" t="s">
        <v>702</v>
      </c>
      <c r="D50" s="300" t="s">
        <v>2532</v>
      </c>
      <c r="E50" s="300"/>
      <c r="F50" s="300"/>
      <c r="G50" s="300" t="s">
        <v>2728</v>
      </c>
      <c r="H50" s="300" t="s">
        <v>2549</v>
      </c>
      <c r="I50" s="300" t="s">
        <v>2729</v>
      </c>
      <c r="J50" s="300" t="s">
        <v>2730</v>
      </c>
    </row>
    <row r="51" customFormat="false" ht="73.1" hidden="false" customHeight="false" outlineLevel="0" collapsed="false">
      <c r="A51" s="300" t="s">
        <v>2726</v>
      </c>
      <c r="B51" s="300" t="s">
        <v>2727</v>
      </c>
      <c r="C51" s="300" t="s">
        <v>703</v>
      </c>
      <c r="D51" s="300" t="s">
        <v>2519</v>
      </c>
      <c r="E51" s="300" t="s">
        <v>2731</v>
      </c>
      <c r="F51" s="300" t="s">
        <v>2732</v>
      </c>
      <c r="G51" s="300" t="s">
        <v>2733</v>
      </c>
      <c r="H51" s="300" t="s">
        <v>2549</v>
      </c>
      <c r="I51" s="300" t="s">
        <v>2734</v>
      </c>
      <c r="J51" s="300" t="s">
        <v>2735</v>
      </c>
    </row>
    <row r="52" customFormat="false" ht="73.1" hidden="false" customHeight="false" outlineLevel="0" collapsed="false">
      <c r="A52" s="300" t="s">
        <v>2726</v>
      </c>
      <c r="B52" s="300" t="s">
        <v>2727</v>
      </c>
      <c r="C52" s="300" t="s">
        <v>2531</v>
      </c>
      <c r="D52" s="300" t="s">
        <v>2532</v>
      </c>
      <c r="E52" s="300"/>
      <c r="F52" s="300"/>
      <c r="G52" s="300" t="s">
        <v>2736</v>
      </c>
      <c r="H52" s="300" t="s">
        <v>2523</v>
      </c>
      <c r="I52" s="300" t="s">
        <v>2737</v>
      </c>
      <c r="J52" s="300" t="s">
        <v>2738</v>
      </c>
    </row>
    <row r="53" customFormat="false" ht="73.1" hidden="false" customHeight="false" outlineLevel="0" collapsed="false">
      <c r="A53" s="300" t="s">
        <v>2726</v>
      </c>
      <c r="B53" s="300" t="s">
        <v>2727</v>
      </c>
      <c r="C53" s="300" t="s">
        <v>2536</v>
      </c>
      <c r="D53" s="300" t="s">
        <v>2546</v>
      </c>
      <c r="E53" s="300"/>
      <c r="F53" s="300" t="s">
        <v>2739</v>
      </c>
      <c r="G53" s="300" t="s">
        <v>2740</v>
      </c>
      <c r="H53" s="300" t="s">
        <v>2523</v>
      </c>
      <c r="I53" s="300" t="s">
        <v>2741</v>
      </c>
      <c r="J53" s="300" t="s">
        <v>2742</v>
      </c>
    </row>
    <row r="54" customFormat="false" ht="73.1" hidden="false" customHeight="false" outlineLevel="0" collapsed="false">
      <c r="A54" s="300" t="s">
        <v>2726</v>
      </c>
      <c r="B54" s="300" t="s">
        <v>2727</v>
      </c>
      <c r="C54" s="300" t="s">
        <v>2540</v>
      </c>
      <c r="D54" s="300" t="s">
        <v>2546</v>
      </c>
      <c r="E54" s="300"/>
      <c r="F54" s="300" t="s">
        <v>2743</v>
      </c>
      <c r="G54" s="300" t="s">
        <v>2744</v>
      </c>
      <c r="H54" s="300" t="s">
        <v>2549</v>
      </c>
      <c r="I54" s="300" t="s">
        <v>2745</v>
      </c>
      <c r="J54" s="300" t="s">
        <v>2746</v>
      </c>
    </row>
    <row r="55" customFormat="false" ht="132.8" hidden="false" customHeight="false" outlineLevel="0" collapsed="false">
      <c r="A55" s="300" t="s">
        <v>2726</v>
      </c>
      <c r="B55" s="300" t="s">
        <v>2727</v>
      </c>
      <c r="C55" s="300" t="s">
        <v>2545</v>
      </c>
      <c r="D55" s="300" t="s">
        <v>2546</v>
      </c>
      <c r="E55" s="300"/>
      <c r="F55" s="300" t="s">
        <v>2747</v>
      </c>
      <c r="G55" s="300" t="s">
        <v>2748</v>
      </c>
      <c r="H55" s="300" t="s">
        <v>2549</v>
      </c>
      <c r="I55" s="300" t="s">
        <v>2749</v>
      </c>
      <c r="J55" s="300" t="s">
        <v>2750</v>
      </c>
    </row>
    <row r="56" customFormat="false" ht="108.95" hidden="false" customHeight="false" outlineLevel="0" collapsed="false">
      <c r="A56" s="300" t="s">
        <v>2751</v>
      </c>
      <c r="B56" s="300" t="s">
        <v>863</v>
      </c>
      <c r="C56" s="300" t="s">
        <v>702</v>
      </c>
      <c r="D56" s="300" t="s">
        <v>2532</v>
      </c>
      <c r="E56" s="300"/>
      <c r="F56" s="300"/>
      <c r="G56" s="300" t="s">
        <v>2752</v>
      </c>
      <c r="H56" s="300" t="s">
        <v>2523</v>
      </c>
      <c r="I56" s="300" t="s">
        <v>2753</v>
      </c>
      <c r="J56" s="300" t="s">
        <v>2754</v>
      </c>
    </row>
    <row r="57" customFormat="false" ht="85.05" hidden="false" customHeight="false" outlineLevel="0" collapsed="false">
      <c r="A57" s="300" t="s">
        <v>2751</v>
      </c>
      <c r="B57" s="300" t="s">
        <v>863</v>
      </c>
      <c r="C57" s="300" t="s">
        <v>703</v>
      </c>
      <c r="D57" s="300" t="s">
        <v>2519</v>
      </c>
      <c r="E57" s="300" t="s">
        <v>914</v>
      </c>
      <c r="F57" s="300" t="s">
        <v>2755</v>
      </c>
      <c r="G57" s="300" t="s">
        <v>2756</v>
      </c>
      <c r="H57" s="300" t="s">
        <v>2523</v>
      </c>
      <c r="I57" s="300" t="s">
        <v>2757</v>
      </c>
      <c r="J57" s="300" t="s">
        <v>2758</v>
      </c>
    </row>
    <row r="58" customFormat="false" ht="61.15" hidden="false" customHeight="false" outlineLevel="0" collapsed="false">
      <c r="A58" s="300" t="s">
        <v>2751</v>
      </c>
      <c r="B58" s="300" t="s">
        <v>863</v>
      </c>
      <c r="C58" s="300" t="s">
        <v>2531</v>
      </c>
      <c r="D58" s="300" t="s">
        <v>2624</v>
      </c>
      <c r="E58" s="300" t="s">
        <v>2759</v>
      </c>
      <c r="F58" s="300" t="s">
        <v>2760</v>
      </c>
      <c r="G58" s="300"/>
      <c r="H58" s="300" t="s">
        <v>2549</v>
      </c>
      <c r="I58" s="300" t="s">
        <v>2761</v>
      </c>
      <c r="J58" s="300" t="s">
        <v>2762</v>
      </c>
    </row>
    <row r="59" customFormat="false" ht="97" hidden="false" customHeight="false" outlineLevel="0" collapsed="false">
      <c r="A59" s="300" t="s">
        <v>2751</v>
      </c>
      <c r="B59" s="300" t="s">
        <v>863</v>
      </c>
      <c r="C59" s="300" t="s">
        <v>2536</v>
      </c>
      <c r="D59" s="300" t="s">
        <v>2546</v>
      </c>
      <c r="E59" s="300"/>
      <c r="F59" s="300" t="s">
        <v>2763</v>
      </c>
      <c r="G59" s="300" t="s">
        <v>2764</v>
      </c>
      <c r="H59" s="300" t="s">
        <v>2523</v>
      </c>
      <c r="I59" s="300" t="s">
        <v>2765</v>
      </c>
      <c r="J59" s="300" t="s">
        <v>2766</v>
      </c>
    </row>
    <row r="60" customFormat="false" ht="61.15" hidden="false" customHeight="false" outlineLevel="0" collapsed="false">
      <c r="A60" s="300" t="s">
        <v>2751</v>
      </c>
      <c r="B60" s="300" t="s">
        <v>863</v>
      </c>
      <c r="C60" s="300" t="s">
        <v>2540</v>
      </c>
      <c r="D60" s="300" t="s">
        <v>2631</v>
      </c>
      <c r="E60" s="300" t="s">
        <v>2767</v>
      </c>
      <c r="F60" s="300" t="s">
        <v>2768</v>
      </c>
      <c r="G60" s="300"/>
      <c r="H60" s="300" t="s">
        <v>2631</v>
      </c>
      <c r="I60" s="300" t="s">
        <v>2768</v>
      </c>
      <c r="J60" s="300" t="s">
        <v>2769</v>
      </c>
    </row>
    <row r="61" customFormat="false" ht="97" hidden="false" customHeight="false" outlineLevel="0" collapsed="false">
      <c r="A61" s="300" t="s">
        <v>2751</v>
      </c>
      <c r="B61" s="300" t="s">
        <v>863</v>
      </c>
      <c r="C61" s="300" t="s">
        <v>2545</v>
      </c>
      <c r="D61" s="300" t="s">
        <v>2546</v>
      </c>
      <c r="E61" s="300"/>
      <c r="F61" s="300" t="s">
        <v>2770</v>
      </c>
      <c r="G61" s="300" t="s">
        <v>2771</v>
      </c>
      <c r="H61" s="300" t="s">
        <v>2549</v>
      </c>
      <c r="I61" s="300" t="s">
        <v>2772</v>
      </c>
      <c r="J61" s="300" t="s">
        <v>2773</v>
      </c>
    </row>
    <row r="62" customFormat="false" ht="73.1" hidden="false" customHeight="false" outlineLevel="0" collapsed="false">
      <c r="A62" s="300" t="s">
        <v>2774</v>
      </c>
      <c r="B62" s="300" t="s">
        <v>875</v>
      </c>
      <c r="C62" s="300" t="s">
        <v>702</v>
      </c>
      <c r="D62" s="300" t="s">
        <v>2532</v>
      </c>
      <c r="E62" s="300"/>
      <c r="F62" s="300"/>
      <c r="G62" s="300" t="s">
        <v>2775</v>
      </c>
      <c r="H62" s="300" t="s">
        <v>2523</v>
      </c>
      <c r="I62" s="300" t="s">
        <v>2776</v>
      </c>
      <c r="J62" s="300" t="s">
        <v>2777</v>
      </c>
    </row>
    <row r="63" customFormat="false" ht="73.1" hidden="false" customHeight="false" outlineLevel="0" collapsed="false">
      <c r="A63" s="300" t="s">
        <v>2774</v>
      </c>
      <c r="B63" s="300" t="s">
        <v>875</v>
      </c>
      <c r="C63" s="300" t="s">
        <v>703</v>
      </c>
      <c r="D63" s="300" t="s">
        <v>2519</v>
      </c>
      <c r="E63" s="300" t="s">
        <v>750</v>
      </c>
      <c r="F63" s="300" t="s">
        <v>2778</v>
      </c>
      <c r="G63" s="300" t="s">
        <v>2779</v>
      </c>
      <c r="H63" s="300" t="s">
        <v>2523</v>
      </c>
      <c r="I63" s="300" t="s">
        <v>2780</v>
      </c>
      <c r="J63" s="300" t="s">
        <v>2781</v>
      </c>
    </row>
    <row r="64" customFormat="false" ht="49.25" hidden="false" customHeight="false" outlineLevel="0" collapsed="false">
      <c r="A64" s="300" t="s">
        <v>2774</v>
      </c>
      <c r="B64" s="300" t="s">
        <v>875</v>
      </c>
      <c r="C64" s="300" t="s">
        <v>2531</v>
      </c>
      <c r="D64" s="300" t="s">
        <v>2532</v>
      </c>
      <c r="E64" s="300"/>
      <c r="F64" s="300"/>
      <c r="G64" s="300" t="s">
        <v>2782</v>
      </c>
      <c r="H64" s="300" t="s">
        <v>2549</v>
      </c>
      <c r="I64" s="300" t="s">
        <v>2783</v>
      </c>
      <c r="J64" s="300" t="s">
        <v>2784</v>
      </c>
    </row>
    <row r="65" customFormat="false" ht="85.05" hidden="false" customHeight="false" outlineLevel="0" collapsed="false">
      <c r="A65" s="300" t="s">
        <v>2774</v>
      </c>
      <c r="B65" s="300" t="s">
        <v>875</v>
      </c>
      <c r="C65" s="300" t="s">
        <v>2536</v>
      </c>
      <c r="D65" s="300" t="s">
        <v>2532</v>
      </c>
      <c r="E65" s="300"/>
      <c r="F65" s="300"/>
      <c r="G65" s="300" t="s">
        <v>2785</v>
      </c>
      <c r="H65" s="300" t="s">
        <v>2523</v>
      </c>
      <c r="I65" s="300" t="s">
        <v>2786</v>
      </c>
      <c r="J65" s="300" t="s">
        <v>2787</v>
      </c>
    </row>
    <row r="66" customFormat="false" ht="37.3" hidden="false" customHeight="false" outlineLevel="0" collapsed="false">
      <c r="A66" s="300" t="s">
        <v>2774</v>
      </c>
      <c r="B66" s="300" t="s">
        <v>875</v>
      </c>
      <c r="C66" s="300" t="s">
        <v>2540</v>
      </c>
      <c r="D66" s="300" t="s">
        <v>2624</v>
      </c>
      <c r="E66" s="300" t="s">
        <v>2788</v>
      </c>
      <c r="F66" s="300" t="s">
        <v>2789</v>
      </c>
      <c r="G66" s="300"/>
      <c r="H66" s="300" t="s">
        <v>2523</v>
      </c>
      <c r="I66" s="300" t="s">
        <v>2790</v>
      </c>
      <c r="J66" s="300" t="s">
        <v>2791</v>
      </c>
    </row>
    <row r="67" customFormat="false" ht="132.8" hidden="false" customHeight="false" outlineLevel="0" collapsed="false">
      <c r="A67" s="300" t="s">
        <v>2774</v>
      </c>
      <c r="B67" s="300" t="s">
        <v>875</v>
      </c>
      <c r="C67" s="300" t="s">
        <v>2545</v>
      </c>
      <c r="D67" s="300" t="s">
        <v>2546</v>
      </c>
      <c r="E67" s="300"/>
      <c r="F67" s="300" t="s">
        <v>2792</v>
      </c>
      <c r="G67" s="300" t="s">
        <v>2793</v>
      </c>
      <c r="H67" s="300" t="s">
        <v>2549</v>
      </c>
      <c r="I67" s="300" t="s">
        <v>2794</v>
      </c>
      <c r="J67" s="300" t="s">
        <v>2795</v>
      </c>
    </row>
    <row r="68" customFormat="false" ht="61.15" hidden="false" customHeight="false" outlineLevel="0" collapsed="false">
      <c r="A68" s="300" t="s">
        <v>2796</v>
      </c>
      <c r="B68" s="300" t="s">
        <v>887</v>
      </c>
      <c r="C68" s="300" t="s">
        <v>702</v>
      </c>
      <c r="D68" s="300" t="s">
        <v>2532</v>
      </c>
      <c r="E68" s="300"/>
      <c r="F68" s="300"/>
      <c r="G68" s="300" t="s">
        <v>2797</v>
      </c>
      <c r="H68" s="300" t="s">
        <v>2523</v>
      </c>
      <c r="I68" s="300" t="s">
        <v>2798</v>
      </c>
      <c r="J68" s="300" t="s">
        <v>2799</v>
      </c>
    </row>
    <row r="69" customFormat="false" ht="25.35" hidden="false" customHeight="false" outlineLevel="0" collapsed="false">
      <c r="A69" s="300" t="s">
        <v>2796</v>
      </c>
      <c r="B69" s="300" t="s">
        <v>887</v>
      </c>
      <c r="C69" s="300" t="s">
        <v>703</v>
      </c>
      <c r="D69" s="300" t="s">
        <v>2532</v>
      </c>
      <c r="E69" s="300"/>
      <c r="F69" s="300"/>
      <c r="G69" s="300" t="s">
        <v>2800</v>
      </c>
      <c r="H69" s="300" t="s">
        <v>2523</v>
      </c>
      <c r="I69" s="300" t="s">
        <v>2801</v>
      </c>
      <c r="J69" s="300" t="s">
        <v>2802</v>
      </c>
    </row>
    <row r="70" customFormat="false" ht="61.15" hidden="false" customHeight="false" outlineLevel="0" collapsed="false">
      <c r="A70" s="300" t="s">
        <v>2796</v>
      </c>
      <c r="B70" s="300" t="s">
        <v>887</v>
      </c>
      <c r="C70" s="300" t="s">
        <v>2531</v>
      </c>
      <c r="D70" s="300" t="s">
        <v>2624</v>
      </c>
      <c r="E70" s="300" t="s">
        <v>732</v>
      </c>
      <c r="F70" s="300" t="s">
        <v>2803</v>
      </c>
      <c r="G70" s="300"/>
      <c r="H70" s="300" t="s">
        <v>2549</v>
      </c>
      <c r="I70" s="300" t="s">
        <v>2804</v>
      </c>
      <c r="J70" s="300" t="s">
        <v>2805</v>
      </c>
    </row>
    <row r="71" customFormat="false" ht="37.3" hidden="false" customHeight="false" outlineLevel="0" collapsed="false">
      <c r="A71" s="300" t="s">
        <v>2796</v>
      </c>
      <c r="B71" s="300" t="s">
        <v>887</v>
      </c>
      <c r="C71" s="300" t="s">
        <v>2536</v>
      </c>
      <c r="D71" s="300" t="s">
        <v>2532</v>
      </c>
      <c r="E71" s="300"/>
      <c r="F71" s="300"/>
      <c r="G71" s="300" t="s">
        <v>2800</v>
      </c>
      <c r="H71" s="300" t="s">
        <v>2523</v>
      </c>
      <c r="I71" s="300" t="s">
        <v>2806</v>
      </c>
      <c r="J71" s="300" t="s">
        <v>2807</v>
      </c>
    </row>
    <row r="72" customFormat="false" ht="49.25" hidden="false" customHeight="false" outlineLevel="0" collapsed="false">
      <c r="A72" s="300" t="s">
        <v>2796</v>
      </c>
      <c r="B72" s="300" t="s">
        <v>887</v>
      </c>
      <c r="C72" s="300" t="s">
        <v>2540</v>
      </c>
      <c r="D72" s="300" t="s">
        <v>2519</v>
      </c>
      <c r="E72" s="300" t="s">
        <v>2808</v>
      </c>
      <c r="F72" s="300" t="s">
        <v>2809</v>
      </c>
      <c r="G72" s="300" t="s">
        <v>2810</v>
      </c>
      <c r="H72" s="300" t="s">
        <v>2523</v>
      </c>
      <c r="I72" s="300" t="s">
        <v>2811</v>
      </c>
      <c r="J72" s="300" t="s">
        <v>2812</v>
      </c>
    </row>
    <row r="73" customFormat="false" ht="156.7" hidden="false" customHeight="false" outlineLevel="0" collapsed="false">
      <c r="A73" s="300" t="s">
        <v>2796</v>
      </c>
      <c r="B73" s="300" t="s">
        <v>887</v>
      </c>
      <c r="C73" s="300" t="s">
        <v>2545</v>
      </c>
      <c r="D73" s="300" t="s">
        <v>2546</v>
      </c>
      <c r="E73" s="300"/>
      <c r="F73" s="300" t="s">
        <v>2813</v>
      </c>
      <c r="G73" s="300" t="s">
        <v>2814</v>
      </c>
      <c r="H73" s="300" t="s">
        <v>2549</v>
      </c>
      <c r="I73" s="300" t="s">
        <v>2815</v>
      </c>
      <c r="J73" s="300" t="s">
        <v>2816</v>
      </c>
    </row>
    <row r="74" customFormat="false" ht="85.05" hidden="false" customHeight="false" outlineLevel="0" collapsed="false">
      <c r="A74" s="300" t="s">
        <v>2817</v>
      </c>
      <c r="B74" s="300" t="s">
        <v>2818</v>
      </c>
      <c r="C74" s="300" t="s">
        <v>702</v>
      </c>
      <c r="D74" s="300" t="s">
        <v>2519</v>
      </c>
      <c r="E74" s="300" t="s">
        <v>2818</v>
      </c>
      <c r="F74" s="300" t="s">
        <v>2819</v>
      </c>
      <c r="G74" s="300" t="s">
        <v>2820</v>
      </c>
      <c r="H74" s="300" t="s">
        <v>2549</v>
      </c>
      <c r="I74" s="300" t="s">
        <v>2821</v>
      </c>
      <c r="J74" s="300" t="s">
        <v>2822</v>
      </c>
    </row>
    <row r="75" customFormat="false" ht="73.1" hidden="false" customHeight="false" outlineLevel="0" collapsed="false">
      <c r="A75" s="300" t="s">
        <v>2817</v>
      </c>
      <c r="B75" s="300" t="s">
        <v>2818</v>
      </c>
      <c r="C75" s="300" t="s">
        <v>703</v>
      </c>
      <c r="D75" s="300" t="s">
        <v>2519</v>
      </c>
      <c r="E75" s="300" t="s">
        <v>2823</v>
      </c>
      <c r="F75" s="300" t="s">
        <v>2824</v>
      </c>
      <c r="G75" s="300" t="s">
        <v>2825</v>
      </c>
      <c r="H75" s="300" t="s">
        <v>2549</v>
      </c>
      <c r="I75" s="300" t="s">
        <v>2826</v>
      </c>
      <c r="J75" s="300" t="s">
        <v>2827</v>
      </c>
    </row>
    <row r="76" customFormat="false" ht="85.05" hidden="false" customHeight="false" outlineLevel="0" collapsed="false">
      <c r="A76" s="300" t="s">
        <v>2817</v>
      </c>
      <c r="B76" s="300" t="s">
        <v>2818</v>
      </c>
      <c r="C76" s="300" t="s">
        <v>2531</v>
      </c>
      <c r="D76" s="300" t="s">
        <v>2631</v>
      </c>
      <c r="E76" s="300" t="s">
        <v>2828</v>
      </c>
      <c r="F76" s="300" t="s">
        <v>2829</v>
      </c>
      <c r="G76" s="300"/>
      <c r="H76" s="300" t="s">
        <v>2631</v>
      </c>
      <c r="I76" s="300" t="s">
        <v>2829</v>
      </c>
      <c r="J76" s="300" t="s">
        <v>2830</v>
      </c>
    </row>
    <row r="77" customFormat="false" ht="49.25" hidden="false" customHeight="false" outlineLevel="0" collapsed="false">
      <c r="A77" s="300" t="s">
        <v>2817</v>
      </c>
      <c r="B77" s="300" t="s">
        <v>2818</v>
      </c>
      <c r="C77" s="300" t="s">
        <v>2536</v>
      </c>
      <c r="D77" s="300" t="s">
        <v>2532</v>
      </c>
      <c r="E77" s="300"/>
      <c r="F77" s="300"/>
      <c r="G77" s="300" t="s">
        <v>2831</v>
      </c>
      <c r="H77" s="300" t="s">
        <v>2523</v>
      </c>
      <c r="I77" s="300" t="s">
        <v>2832</v>
      </c>
      <c r="J77" s="300" t="s">
        <v>2833</v>
      </c>
    </row>
    <row r="78" customFormat="false" ht="49.25" hidden="false" customHeight="false" outlineLevel="0" collapsed="false">
      <c r="A78" s="300" t="s">
        <v>2817</v>
      </c>
      <c r="B78" s="300" t="s">
        <v>2818</v>
      </c>
      <c r="C78" s="300" t="s">
        <v>2540</v>
      </c>
      <c r="D78" s="300" t="s">
        <v>2519</v>
      </c>
      <c r="E78" s="300" t="s">
        <v>2834</v>
      </c>
      <c r="F78" s="300" t="s">
        <v>2835</v>
      </c>
      <c r="G78" s="300" t="s">
        <v>2836</v>
      </c>
      <c r="H78" s="300" t="s">
        <v>2549</v>
      </c>
      <c r="I78" s="300" t="s">
        <v>2837</v>
      </c>
      <c r="J78" s="300" t="s">
        <v>2838</v>
      </c>
    </row>
    <row r="79" customFormat="false" ht="180.55" hidden="false" customHeight="false" outlineLevel="0" collapsed="false">
      <c r="A79" s="300" t="s">
        <v>2817</v>
      </c>
      <c r="B79" s="300" t="s">
        <v>2818</v>
      </c>
      <c r="C79" s="300" t="s">
        <v>2545</v>
      </c>
      <c r="D79" s="300" t="s">
        <v>2546</v>
      </c>
      <c r="E79" s="300"/>
      <c r="F79" s="300" t="s">
        <v>2839</v>
      </c>
      <c r="G79" s="300" t="s">
        <v>2840</v>
      </c>
      <c r="H79" s="300" t="s">
        <v>2549</v>
      </c>
      <c r="I79" s="300" t="s">
        <v>2841</v>
      </c>
      <c r="J79" s="300" t="s">
        <v>2842</v>
      </c>
    </row>
    <row r="80" customFormat="false" ht="85.05" hidden="false" customHeight="false" outlineLevel="0" collapsed="false">
      <c r="A80" s="300" t="s">
        <v>2843</v>
      </c>
      <c r="B80" s="300" t="s">
        <v>2844</v>
      </c>
      <c r="C80" s="300" t="s">
        <v>702</v>
      </c>
      <c r="D80" s="300" t="s">
        <v>2519</v>
      </c>
      <c r="E80" s="300" t="s">
        <v>2844</v>
      </c>
      <c r="F80" s="300" t="s">
        <v>2845</v>
      </c>
      <c r="G80" s="300" t="s">
        <v>2846</v>
      </c>
      <c r="H80" s="300" t="s">
        <v>2549</v>
      </c>
      <c r="I80" s="300" t="s">
        <v>2847</v>
      </c>
      <c r="J80" s="300" t="s">
        <v>2848</v>
      </c>
    </row>
    <row r="81" customFormat="false" ht="61.15" hidden="false" customHeight="false" outlineLevel="0" collapsed="false">
      <c r="A81" s="300" t="s">
        <v>2843</v>
      </c>
      <c r="B81" s="300" t="s">
        <v>2844</v>
      </c>
      <c r="C81" s="300" t="s">
        <v>703</v>
      </c>
      <c r="D81" s="300" t="s">
        <v>2532</v>
      </c>
      <c r="E81" s="300"/>
      <c r="F81" s="300"/>
      <c r="G81" s="300" t="s">
        <v>2849</v>
      </c>
      <c r="H81" s="300" t="s">
        <v>2523</v>
      </c>
      <c r="I81" s="300" t="s">
        <v>2850</v>
      </c>
      <c r="J81" s="300" t="s">
        <v>2851</v>
      </c>
    </row>
    <row r="82" customFormat="false" ht="61.15" hidden="false" customHeight="false" outlineLevel="0" collapsed="false">
      <c r="A82" s="300" t="s">
        <v>2843</v>
      </c>
      <c r="B82" s="300" t="s">
        <v>2844</v>
      </c>
      <c r="C82" s="300" t="s">
        <v>2531</v>
      </c>
      <c r="D82" s="300" t="s">
        <v>2532</v>
      </c>
      <c r="E82" s="300"/>
      <c r="F82" s="300"/>
      <c r="G82" s="300" t="s">
        <v>2852</v>
      </c>
      <c r="H82" s="300" t="s">
        <v>2523</v>
      </c>
      <c r="I82" s="300" t="s">
        <v>2853</v>
      </c>
      <c r="J82" s="300" t="s">
        <v>2854</v>
      </c>
    </row>
    <row r="83" customFormat="false" ht="85.05" hidden="false" customHeight="false" outlineLevel="0" collapsed="false">
      <c r="A83" s="300" t="s">
        <v>2843</v>
      </c>
      <c r="B83" s="300" t="s">
        <v>2844</v>
      </c>
      <c r="C83" s="300" t="s">
        <v>2536</v>
      </c>
      <c r="D83" s="300" t="s">
        <v>2519</v>
      </c>
      <c r="E83" s="300" t="s">
        <v>2855</v>
      </c>
      <c r="F83" s="300" t="s">
        <v>2856</v>
      </c>
      <c r="G83" s="300" t="s">
        <v>2857</v>
      </c>
      <c r="H83" s="300" t="s">
        <v>2523</v>
      </c>
      <c r="I83" s="300" t="s">
        <v>2858</v>
      </c>
      <c r="J83" s="300" t="s">
        <v>2859</v>
      </c>
    </row>
    <row r="84" customFormat="false" ht="49.25" hidden="false" customHeight="false" outlineLevel="0" collapsed="false">
      <c r="A84" s="300" t="s">
        <v>2843</v>
      </c>
      <c r="B84" s="300" t="s">
        <v>2844</v>
      </c>
      <c r="C84" s="300" t="s">
        <v>2540</v>
      </c>
      <c r="D84" s="300" t="s">
        <v>2624</v>
      </c>
      <c r="E84" s="300" t="s">
        <v>2788</v>
      </c>
      <c r="F84" s="300" t="s">
        <v>2860</v>
      </c>
      <c r="G84" s="300"/>
      <c r="H84" s="300" t="s">
        <v>2523</v>
      </c>
      <c r="I84" s="300" t="s">
        <v>2861</v>
      </c>
      <c r="J84" s="300" t="s">
        <v>2862</v>
      </c>
    </row>
    <row r="85" customFormat="false" ht="73.1" hidden="false" customHeight="false" outlineLevel="0" collapsed="false">
      <c r="A85" s="300" t="s">
        <v>2843</v>
      </c>
      <c r="B85" s="300" t="s">
        <v>2844</v>
      </c>
      <c r="C85" s="300" t="s">
        <v>2545</v>
      </c>
      <c r="D85" s="300" t="s">
        <v>2546</v>
      </c>
      <c r="E85" s="300"/>
      <c r="F85" s="300" t="s">
        <v>2863</v>
      </c>
      <c r="G85" s="300" t="s">
        <v>2864</v>
      </c>
      <c r="H85" s="300" t="s">
        <v>2549</v>
      </c>
      <c r="I85" s="300" t="s">
        <v>2865</v>
      </c>
      <c r="J85" s="300" t="s">
        <v>2866</v>
      </c>
    </row>
    <row r="86" customFormat="false" ht="49.25" hidden="false" customHeight="false" outlineLevel="0" collapsed="false">
      <c r="A86" s="300" t="s">
        <v>2867</v>
      </c>
      <c r="B86" s="300" t="s">
        <v>130</v>
      </c>
      <c r="C86" s="300" t="s">
        <v>702</v>
      </c>
      <c r="D86" s="300" t="s">
        <v>2532</v>
      </c>
      <c r="E86" s="300"/>
      <c r="F86" s="300"/>
      <c r="G86" s="300" t="s">
        <v>2868</v>
      </c>
      <c r="H86" s="300" t="s">
        <v>2542</v>
      </c>
      <c r="I86" s="300" t="s">
        <v>2869</v>
      </c>
      <c r="J86" s="300" t="s">
        <v>2870</v>
      </c>
    </row>
    <row r="87" customFormat="false" ht="37.3" hidden="false" customHeight="false" outlineLevel="0" collapsed="false">
      <c r="A87" s="300" t="s">
        <v>2867</v>
      </c>
      <c r="B87" s="300" t="s">
        <v>130</v>
      </c>
      <c r="C87" s="300" t="s">
        <v>703</v>
      </c>
      <c r="D87" s="300" t="s">
        <v>2532</v>
      </c>
      <c r="E87" s="300"/>
      <c r="F87" s="300"/>
      <c r="G87" s="300" t="s">
        <v>2871</v>
      </c>
      <c r="H87" s="300" t="s">
        <v>2523</v>
      </c>
      <c r="I87" s="300" t="s">
        <v>2872</v>
      </c>
      <c r="J87" s="300" t="s">
        <v>2873</v>
      </c>
    </row>
    <row r="88" customFormat="false" ht="73.1" hidden="false" customHeight="false" outlineLevel="0" collapsed="false">
      <c r="A88" s="300" t="s">
        <v>2867</v>
      </c>
      <c r="B88" s="300" t="s">
        <v>130</v>
      </c>
      <c r="C88" s="300" t="s">
        <v>2531</v>
      </c>
      <c r="D88" s="300" t="s">
        <v>2532</v>
      </c>
      <c r="E88" s="300"/>
      <c r="F88" s="300"/>
      <c r="G88" s="300" t="s">
        <v>2874</v>
      </c>
      <c r="H88" s="300" t="s">
        <v>2549</v>
      </c>
      <c r="I88" s="300" t="s">
        <v>2875</v>
      </c>
      <c r="J88" s="300" t="s">
        <v>2876</v>
      </c>
    </row>
    <row r="89" customFormat="false" ht="73.1" hidden="false" customHeight="false" outlineLevel="0" collapsed="false">
      <c r="A89" s="300" t="s">
        <v>2867</v>
      </c>
      <c r="B89" s="300" t="s">
        <v>130</v>
      </c>
      <c r="C89" s="300" t="s">
        <v>2536</v>
      </c>
      <c r="D89" s="300" t="s">
        <v>2519</v>
      </c>
      <c r="E89" s="300" t="s">
        <v>2877</v>
      </c>
      <c r="F89" s="300" t="s">
        <v>2878</v>
      </c>
      <c r="G89" s="300" t="s">
        <v>2879</v>
      </c>
      <c r="H89" s="300" t="s">
        <v>2523</v>
      </c>
      <c r="I89" s="300" t="s">
        <v>2880</v>
      </c>
      <c r="J89" s="300" t="s">
        <v>2881</v>
      </c>
    </row>
    <row r="90" customFormat="false" ht="73.1" hidden="false" customHeight="false" outlineLevel="0" collapsed="false">
      <c r="A90" s="300" t="s">
        <v>2867</v>
      </c>
      <c r="B90" s="300" t="s">
        <v>130</v>
      </c>
      <c r="C90" s="300" t="s">
        <v>2540</v>
      </c>
      <c r="D90" s="300" t="s">
        <v>2624</v>
      </c>
      <c r="E90" s="300" t="s">
        <v>2882</v>
      </c>
      <c r="F90" s="300" t="s">
        <v>2883</v>
      </c>
      <c r="G90" s="300"/>
      <c r="H90" s="300" t="s">
        <v>2523</v>
      </c>
      <c r="I90" s="300" t="s">
        <v>2884</v>
      </c>
      <c r="J90" s="300" t="s">
        <v>2862</v>
      </c>
    </row>
    <row r="91" customFormat="false" ht="120.85" hidden="false" customHeight="false" outlineLevel="0" collapsed="false">
      <c r="A91" s="300" t="s">
        <v>2867</v>
      </c>
      <c r="B91" s="300" t="s">
        <v>130</v>
      </c>
      <c r="C91" s="300" t="s">
        <v>2545</v>
      </c>
      <c r="D91" s="300" t="s">
        <v>2546</v>
      </c>
      <c r="E91" s="300"/>
      <c r="F91" s="300" t="s">
        <v>2885</v>
      </c>
      <c r="G91" s="300" t="s">
        <v>2886</v>
      </c>
      <c r="H91" s="300" t="s">
        <v>2549</v>
      </c>
      <c r="I91" s="300" t="s">
        <v>2887</v>
      </c>
      <c r="J91" s="300" t="s">
        <v>2888</v>
      </c>
    </row>
    <row r="92" customFormat="false" ht="73.1" hidden="false" customHeight="false" outlineLevel="0" collapsed="false">
      <c r="A92" s="300" t="s">
        <v>2889</v>
      </c>
      <c r="B92" s="300" t="s">
        <v>2380</v>
      </c>
      <c r="C92" s="300" t="s">
        <v>702</v>
      </c>
      <c r="D92" s="300" t="s">
        <v>2519</v>
      </c>
      <c r="E92" s="300" t="s">
        <v>2380</v>
      </c>
      <c r="F92" s="300" t="s">
        <v>2890</v>
      </c>
      <c r="G92" s="300" t="s">
        <v>2891</v>
      </c>
      <c r="H92" s="300" t="s">
        <v>2523</v>
      </c>
      <c r="I92" s="300" t="s">
        <v>2892</v>
      </c>
      <c r="J92" s="300" t="s">
        <v>2893</v>
      </c>
    </row>
    <row r="93" customFormat="false" ht="73.1" hidden="false" customHeight="false" outlineLevel="0" collapsed="false">
      <c r="A93" s="300" t="s">
        <v>2889</v>
      </c>
      <c r="B93" s="300" t="s">
        <v>2380</v>
      </c>
      <c r="C93" s="300" t="s">
        <v>703</v>
      </c>
      <c r="D93" s="300" t="s">
        <v>2519</v>
      </c>
      <c r="E93" s="300" t="s">
        <v>2894</v>
      </c>
      <c r="F93" s="300" t="s">
        <v>2895</v>
      </c>
      <c r="G93" s="300" t="s">
        <v>2896</v>
      </c>
      <c r="H93" s="300" t="s">
        <v>2549</v>
      </c>
      <c r="I93" s="300" t="s">
        <v>2897</v>
      </c>
      <c r="J93" s="300" t="s">
        <v>2898</v>
      </c>
    </row>
    <row r="94" customFormat="false" ht="73.1" hidden="false" customHeight="false" outlineLevel="0" collapsed="false">
      <c r="A94" s="300" t="s">
        <v>2889</v>
      </c>
      <c r="B94" s="300" t="s">
        <v>2380</v>
      </c>
      <c r="C94" s="300" t="s">
        <v>2531</v>
      </c>
      <c r="D94" s="300" t="s">
        <v>2519</v>
      </c>
      <c r="E94" s="300" t="s">
        <v>2899</v>
      </c>
      <c r="F94" s="300" t="s">
        <v>2900</v>
      </c>
      <c r="G94" s="300" t="s">
        <v>2901</v>
      </c>
      <c r="H94" s="300" t="s">
        <v>2523</v>
      </c>
      <c r="I94" s="300" t="s">
        <v>2902</v>
      </c>
      <c r="J94" s="300" t="s">
        <v>2903</v>
      </c>
    </row>
    <row r="95" customFormat="false" ht="25.35" hidden="false" customHeight="false" outlineLevel="0" collapsed="false">
      <c r="A95" s="300" t="s">
        <v>2889</v>
      </c>
      <c r="B95" s="300" t="s">
        <v>2380</v>
      </c>
      <c r="C95" s="300" t="s">
        <v>2536</v>
      </c>
      <c r="D95" s="300" t="s">
        <v>2532</v>
      </c>
      <c r="E95" s="300"/>
      <c r="F95" s="300"/>
      <c r="G95" s="300" t="s">
        <v>2904</v>
      </c>
      <c r="H95" s="300" t="s">
        <v>2523</v>
      </c>
      <c r="I95" s="300" t="s">
        <v>2905</v>
      </c>
      <c r="J95" s="300" t="s">
        <v>2906</v>
      </c>
    </row>
    <row r="96" customFormat="false" ht="73.1" hidden="false" customHeight="false" outlineLevel="0" collapsed="false">
      <c r="A96" s="300" t="s">
        <v>2889</v>
      </c>
      <c r="B96" s="300" t="s">
        <v>2380</v>
      </c>
      <c r="C96" s="300" t="s">
        <v>2540</v>
      </c>
      <c r="D96" s="300" t="s">
        <v>2519</v>
      </c>
      <c r="E96" s="300" t="s">
        <v>2907</v>
      </c>
      <c r="F96" s="300" t="s">
        <v>2908</v>
      </c>
      <c r="G96" s="300" t="s">
        <v>2909</v>
      </c>
      <c r="H96" s="300" t="s">
        <v>2549</v>
      </c>
      <c r="I96" s="300" t="s">
        <v>2910</v>
      </c>
      <c r="J96" s="300" t="s">
        <v>2911</v>
      </c>
    </row>
    <row r="97" customFormat="false" ht="144.75" hidden="false" customHeight="false" outlineLevel="0" collapsed="false">
      <c r="A97" s="300" t="s">
        <v>2889</v>
      </c>
      <c r="B97" s="300" t="s">
        <v>2380</v>
      </c>
      <c r="C97" s="300" t="s">
        <v>2545</v>
      </c>
      <c r="D97" s="300" t="s">
        <v>2546</v>
      </c>
      <c r="E97" s="300"/>
      <c r="F97" s="300" t="s">
        <v>2912</v>
      </c>
      <c r="G97" s="300" t="s">
        <v>2913</v>
      </c>
      <c r="H97" s="300" t="s">
        <v>2549</v>
      </c>
      <c r="I97" s="300" t="s">
        <v>2914</v>
      </c>
      <c r="J97" s="300" t="s">
        <v>2915</v>
      </c>
    </row>
    <row r="98" customFormat="false" ht="61.15" hidden="false" customHeight="false" outlineLevel="0" collapsed="false">
      <c r="A98" s="300" t="s">
        <v>2916</v>
      </c>
      <c r="B98" s="300" t="s">
        <v>2917</v>
      </c>
      <c r="C98" s="300" t="s">
        <v>702</v>
      </c>
      <c r="D98" s="300" t="s">
        <v>2519</v>
      </c>
      <c r="E98" s="300" t="s">
        <v>2917</v>
      </c>
      <c r="F98" s="300" t="s">
        <v>2918</v>
      </c>
      <c r="G98" s="300" t="s">
        <v>2919</v>
      </c>
      <c r="H98" s="300" t="s">
        <v>2542</v>
      </c>
      <c r="I98" s="300" t="s">
        <v>2920</v>
      </c>
      <c r="J98" s="300" t="s">
        <v>2921</v>
      </c>
    </row>
    <row r="99" customFormat="false" ht="61.15" hidden="false" customHeight="false" outlineLevel="0" collapsed="false">
      <c r="A99" s="300" t="s">
        <v>2916</v>
      </c>
      <c r="B99" s="300" t="s">
        <v>2917</v>
      </c>
      <c r="C99" s="300" t="s">
        <v>703</v>
      </c>
      <c r="D99" s="300" t="s">
        <v>2532</v>
      </c>
      <c r="E99" s="300"/>
      <c r="F99" s="300"/>
      <c r="G99" s="300" t="s">
        <v>2922</v>
      </c>
      <c r="H99" s="300" t="s">
        <v>2523</v>
      </c>
      <c r="I99" s="300" t="s">
        <v>2923</v>
      </c>
      <c r="J99" s="300" t="s">
        <v>2924</v>
      </c>
    </row>
    <row r="100" customFormat="false" ht="61.15" hidden="false" customHeight="false" outlineLevel="0" collapsed="false">
      <c r="A100" s="300" t="s">
        <v>2916</v>
      </c>
      <c r="B100" s="300" t="s">
        <v>2917</v>
      </c>
      <c r="C100" s="300" t="s">
        <v>2531</v>
      </c>
      <c r="D100" s="300" t="s">
        <v>2532</v>
      </c>
      <c r="E100" s="300"/>
      <c r="F100" s="300"/>
      <c r="G100" s="300" t="s">
        <v>2925</v>
      </c>
      <c r="H100" s="300" t="s">
        <v>2549</v>
      </c>
      <c r="I100" s="300" t="s">
        <v>2926</v>
      </c>
      <c r="J100" s="300" t="s">
        <v>2927</v>
      </c>
    </row>
    <row r="101" customFormat="false" ht="49.25" hidden="false" customHeight="false" outlineLevel="0" collapsed="false">
      <c r="A101" s="300" t="s">
        <v>2916</v>
      </c>
      <c r="B101" s="300" t="s">
        <v>2917</v>
      </c>
      <c r="C101" s="300" t="s">
        <v>2536</v>
      </c>
      <c r="D101" s="300" t="s">
        <v>2532</v>
      </c>
      <c r="E101" s="300"/>
      <c r="F101" s="300"/>
      <c r="G101" s="300" t="s">
        <v>2928</v>
      </c>
      <c r="H101" s="300" t="s">
        <v>2523</v>
      </c>
      <c r="I101" s="300" t="s">
        <v>2929</v>
      </c>
      <c r="J101" s="300" t="s">
        <v>2930</v>
      </c>
    </row>
    <row r="102" customFormat="false" ht="61.15" hidden="false" customHeight="false" outlineLevel="0" collapsed="false">
      <c r="A102" s="300" t="s">
        <v>2916</v>
      </c>
      <c r="B102" s="300" t="s">
        <v>2917</v>
      </c>
      <c r="C102" s="300" t="s">
        <v>2540</v>
      </c>
      <c r="D102" s="300" t="s">
        <v>2532</v>
      </c>
      <c r="E102" s="300"/>
      <c r="F102" s="300"/>
      <c r="G102" s="300" t="s">
        <v>2931</v>
      </c>
      <c r="H102" s="300" t="s">
        <v>2542</v>
      </c>
      <c r="I102" s="300" t="s">
        <v>2932</v>
      </c>
      <c r="J102" s="300" t="s">
        <v>2933</v>
      </c>
    </row>
    <row r="103" customFormat="false" ht="120.85" hidden="false" customHeight="false" outlineLevel="0" collapsed="false">
      <c r="A103" s="300" t="s">
        <v>2916</v>
      </c>
      <c r="B103" s="300" t="s">
        <v>2917</v>
      </c>
      <c r="C103" s="300" t="s">
        <v>2545</v>
      </c>
      <c r="D103" s="300" t="s">
        <v>2546</v>
      </c>
      <c r="E103" s="300"/>
      <c r="F103" s="300" t="s">
        <v>2934</v>
      </c>
      <c r="G103" s="300" t="s">
        <v>2935</v>
      </c>
      <c r="H103" s="300" t="s">
        <v>2549</v>
      </c>
      <c r="I103" s="300" t="s">
        <v>2936</v>
      </c>
      <c r="J103" s="300" t="s">
        <v>2937</v>
      </c>
    </row>
    <row r="104" customFormat="false" ht="49.25" hidden="false" customHeight="false" outlineLevel="0" collapsed="false">
      <c r="A104" s="300" t="s">
        <v>2938</v>
      </c>
      <c r="B104" s="300" t="s">
        <v>2384</v>
      </c>
      <c r="C104" s="300" t="s">
        <v>702</v>
      </c>
      <c r="D104" s="300" t="s">
        <v>2519</v>
      </c>
      <c r="E104" s="300" t="s">
        <v>2384</v>
      </c>
      <c r="F104" s="300" t="s">
        <v>2939</v>
      </c>
      <c r="G104" s="300" t="s">
        <v>2940</v>
      </c>
      <c r="H104" s="300" t="s">
        <v>2523</v>
      </c>
      <c r="I104" s="300" t="s">
        <v>2941</v>
      </c>
      <c r="J104" s="300" t="s">
        <v>2942</v>
      </c>
    </row>
    <row r="105" customFormat="false" ht="73.1" hidden="false" customHeight="false" outlineLevel="0" collapsed="false">
      <c r="A105" s="300" t="s">
        <v>2938</v>
      </c>
      <c r="B105" s="300" t="s">
        <v>2384</v>
      </c>
      <c r="C105" s="300" t="s">
        <v>703</v>
      </c>
      <c r="D105" s="300" t="s">
        <v>2532</v>
      </c>
      <c r="E105" s="300"/>
      <c r="F105" s="300"/>
      <c r="G105" s="300" t="s">
        <v>2943</v>
      </c>
      <c r="H105" s="300" t="s">
        <v>2549</v>
      </c>
      <c r="I105" s="300" t="s">
        <v>2944</v>
      </c>
      <c r="J105" s="300" t="s">
        <v>2945</v>
      </c>
    </row>
    <row r="106" customFormat="false" ht="73.1" hidden="false" customHeight="false" outlineLevel="0" collapsed="false">
      <c r="A106" s="300" t="s">
        <v>2938</v>
      </c>
      <c r="B106" s="300" t="s">
        <v>2384</v>
      </c>
      <c r="C106" s="300" t="s">
        <v>2531</v>
      </c>
      <c r="D106" s="300" t="s">
        <v>2519</v>
      </c>
      <c r="E106" s="300" t="s">
        <v>973</v>
      </c>
      <c r="F106" s="300" t="s">
        <v>2946</v>
      </c>
      <c r="G106" s="300" t="s">
        <v>2947</v>
      </c>
      <c r="H106" s="300" t="s">
        <v>2549</v>
      </c>
      <c r="I106" s="300" t="s">
        <v>2948</v>
      </c>
      <c r="J106" s="300" t="s">
        <v>2949</v>
      </c>
    </row>
    <row r="107" customFormat="false" ht="61.15" hidden="false" customHeight="false" outlineLevel="0" collapsed="false">
      <c r="A107" s="300" t="s">
        <v>2938</v>
      </c>
      <c r="B107" s="300" t="s">
        <v>2384</v>
      </c>
      <c r="C107" s="300" t="s">
        <v>2536</v>
      </c>
      <c r="D107" s="300" t="s">
        <v>2532</v>
      </c>
      <c r="E107" s="300"/>
      <c r="F107" s="300"/>
      <c r="G107" s="300" t="s">
        <v>2950</v>
      </c>
      <c r="H107" s="300" t="s">
        <v>2523</v>
      </c>
      <c r="I107" s="300" t="s">
        <v>2951</v>
      </c>
      <c r="J107" s="300" t="s">
        <v>2952</v>
      </c>
    </row>
    <row r="108" customFormat="false" ht="49.25" hidden="false" customHeight="false" outlineLevel="0" collapsed="false">
      <c r="A108" s="300" t="s">
        <v>2938</v>
      </c>
      <c r="B108" s="300" t="s">
        <v>2384</v>
      </c>
      <c r="C108" s="300" t="s">
        <v>2540</v>
      </c>
      <c r="D108" s="300" t="s">
        <v>2532</v>
      </c>
      <c r="E108" s="300"/>
      <c r="F108" s="300"/>
      <c r="G108" s="300" t="s">
        <v>2953</v>
      </c>
      <c r="H108" s="300" t="s">
        <v>2549</v>
      </c>
      <c r="I108" s="300" t="s">
        <v>2954</v>
      </c>
      <c r="J108" s="300" t="s">
        <v>2955</v>
      </c>
    </row>
    <row r="109" customFormat="false" ht="120.85" hidden="false" customHeight="false" outlineLevel="0" collapsed="false">
      <c r="A109" s="300" t="s">
        <v>2938</v>
      </c>
      <c r="B109" s="300" t="s">
        <v>2384</v>
      </c>
      <c r="C109" s="300" t="s">
        <v>2545</v>
      </c>
      <c r="D109" s="300" t="s">
        <v>2546</v>
      </c>
      <c r="E109" s="300"/>
      <c r="F109" s="300" t="s">
        <v>2956</v>
      </c>
      <c r="G109" s="300" t="s">
        <v>2957</v>
      </c>
      <c r="H109" s="300" t="s">
        <v>2549</v>
      </c>
      <c r="I109" s="300" t="s">
        <v>2958</v>
      </c>
      <c r="J109" s="300" t="s">
        <v>2959</v>
      </c>
    </row>
    <row r="110" customFormat="false" ht="97" hidden="false" customHeight="false" outlineLevel="0" collapsed="false">
      <c r="A110" s="300" t="s">
        <v>2960</v>
      </c>
      <c r="B110" s="300" t="s">
        <v>980</v>
      </c>
      <c r="C110" s="300" t="s">
        <v>702</v>
      </c>
      <c r="D110" s="300" t="s">
        <v>2532</v>
      </c>
      <c r="E110" s="300"/>
      <c r="F110" s="300"/>
      <c r="G110" s="300" t="s">
        <v>2961</v>
      </c>
      <c r="H110" s="300" t="s">
        <v>2523</v>
      </c>
      <c r="I110" s="300" t="s">
        <v>2962</v>
      </c>
      <c r="J110" s="300" t="s">
        <v>2963</v>
      </c>
    </row>
    <row r="111" customFormat="false" ht="49.25" hidden="false" customHeight="false" outlineLevel="0" collapsed="false">
      <c r="A111" s="300" t="s">
        <v>2960</v>
      </c>
      <c r="B111" s="300" t="s">
        <v>980</v>
      </c>
      <c r="C111" s="300" t="s">
        <v>703</v>
      </c>
      <c r="D111" s="300" t="s">
        <v>2532</v>
      </c>
      <c r="E111" s="300"/>
      <c r="F111" s="300"/>
      <c r="G111" s="300" t="s">
        <v>2964</v>
      </c>
      <c r="H111" s="300" t="s">
        <v>2549</v>
      </c>
      <c r="I111" s="300" t="s">
        <v>2965</v>
      </c>
      <c r="J111" s="300" t="s">
        <v>2966</v>
      </c>
    </row>
    <row r="112" customFormat="false" ht="73.1" hidden="false" customHeight="false" outlineLevel="0" collapsed="false">
      <c r="A112" s="300" t="s">
        <v>2960</v>
      </c>
      <c r="B112" s="300" t="s">
        <v>980</v>
      </c>
      <c r="C112" s="300" t="s">
        <v>2531</v>
      </c>
      <c r="D112" s="300" t="s">
        <v>2519</v>
      </c>
      <c r="E112" s="300" t="s">
        <v>2967</v>
      </c>
      <c r="F112" s="300" t="s">
        <v>2968</v>
      </c>
      <c r="G112" s="300" t="s">
        <v>2969</v>
      </c>
      <c r="H112" s="300" t="s">
        <v>2523</v>
      </c>
      <c r="I112" s="300" t="s">
        <v>2970</v>
      </c>
      <c r="J112" s="300" t="s">
        <v>2971</v>
      </c>
    </row>
    <row r="113" customFormat="false" ht="49.25" hidden="false" customHeight="false" outlineLevel="0" collapsed="false">
      <c r="A113" s="300" t="s">
        <v>2960</v>
      </c>
      <c r="B113" s="300" t="s">
        <v>980</v>
      </c>
      <c r="C113" s="300" t="s">
        <v>2536</v>
      </c>
      <c r="D113" s="300" t="s">
        <v>2532</v>
      </c>
      <c r="E113" s="300"/>
      <c r="F113" s="300"/>
      <c r="G113" s="300" t="s">
        <v>2972</v>
      </c>
      <c r="H113" s="300" t="s">
        <v>2523</v>
      </c>
      <c r="I113" s="300" t="s">
        <v>2973</v>
      </c>
      <c r="J113" s="300" t="s">
        <v>2974</v>
      </c>
    </row>
    <row r="114" customFormat="false" ht="73.1" hidden="false" customHeight="false" outlineLevel="0" collapsed="false">
      <c r="A114" s="300" t="s">
        <v>2960</v>
      </c>
      <c r="B114" s="300" t="s">
        <v>980</v>
      </c>
      <c r="C114" s="300" t="s">
        <v>2540</v>
      </c>
      <c r="D114" s="300" t="s">
        <v>2519</v>
      </c>
      <c r="E114" s="300" t="s">
        <v>2975</v>
      </c>
      <c r="F114" s="300" t="s">
        <v>2976</v>
      </c>
      <c r="G114" s="300" t="s">
        <v>2977</v>
      </c>
      <c r="H114" s="300" t="s">
        <v>2549</v>
      </c>
      <c r="I114" s="300" t="s">
        <v>2978</v>
      </c>
      <c r="J114" s="300" t="s">
        <v>2979</v>
      </c>
    </row>
    <row r="115" customFormat="false" ht="108.95" hidden="false" customHeight="false" outlineLevel="0" collapsed="false">
      <c r="A115" s="300" t="s">
        <v>2960</v>
      </c>
      <c r="B115" s="300" t="s">
        <v>980</v>
      </c>
      <c r="C115" s="300" t="s">
        <v>2545</v>
      </c>
      <c r="D115" s="300" t="s">
        <v>2546</v>
      </c>
      <c r="E115" s="300"/>
      <c r="F115" s="300" t="s">
        <v>2980</v>
      </c>
      <c r="G115" s="300" t="s">
        <v>2981</v>
      </c>
      <c r="H115" s="300" t="s">
        <v>2549</v>
      </c>
      <c r="I115" s="300" t="s">
        <v>2982</v>
      </c>
      <c r="J115" s="300" t="s">
        <v>2983</v>
      </c>
    </row>
    <row r="116" customFormat="false" ht="73.1" hidden="false" customHeight="false" outlineLevel="0" collapsed="false">
      <c r="A116" s="300" t="s">
        <v>2984</v>
      </c>
      <c r="B116" s="300" t="s">
        <v>997</v>
      </c>
      <c r="C116" s="300" t="s">
        <v>702</v>
      </c>
      <c r="D116" s="300" t="s">
        <v>2532</v>
      </c>
      <c r="E116" s="300"/>
      <c r="F116" s="300"/>
      <c r="G116" s="300" t="s">
        <v>2985</v>
      </c>
      <c r="H116" s="300" t="s">
        <v>2523</v>
      </c>
      <c r="I116" s="300" t="s">
        <v>2986</v>
      </c>
      <c r="J116" s="300" t="s">
        <v>2987</v>
      </c>
    </row>
    <row r="117" customFormat="false" ht="85.05" hidden="false" customHeight="false" outlineLevel="0" collapsed="false">
      <c r="A117" s="300" t="s">
        <v>2984</v>
      </c>
      <c r="B117" s="300" t="s">
        <v>997</v>
      </c>
      <c r="C117" s="300" t="s">
        <v>703</v>
      </c>
      <c r="D117" s="300" t="s">
        <v>2532</v>
      </c>
      <c r="E117" s="300"/>
      <c r="F117" s="300"/>
      <c r="G117" s="300" t="s">
        <v>2988</v>
      </c>
      <c r="H117" s="300" t="s">
        <v>2549</v>
      </c>
      <c r="I117" s="300" t="s">
        <v>2989</v>
      </c>
      <c r="J117" s="300" t="s">
        <v>2990</v>
      </c>
    </row>
    <row r="118" customFormat="false" ht="73.1" hidden="false" customHeight="false" outlineLevel="0" collapsed="false">
      <c r="A118" s="300" t="s">
        <v>2984</v>
      </c>
      <c r="B118" s="300" t="s">
        <v>997</v>
      </c>
      <c r="C118" s="300" t="s">
        <v>2531</v>
      </c>
      <c r="D118" s="300" t="s">
        <v>2532</v>
      </c>
      <c r="E118" s="300"/>
      <c r="F118" s="300"/>
      <c r="G118" s="300" t="s">
        <v>2991</v>
      </c>
      <c r="H118" s="300" t="s">
        <v>2523</v>
      </c>
      <c r="I118" s="300" t="s">
        <v>2992</v>
      </c>
      <c r="J118" s="300" t="s">
        <v>2993</v>
      </c>
    </row>
    <row r="119" customFormat="false" ht="120.85" hidden="false" customHeight="false" outlineLevel="0" collapsed="false">
      <c r="A119" s="300" t="s">
        <v>2984</v>
      </c>
      <c r="B119" s="300" t="s">
        <v>997</v>
      </c>
      <c r="C119" s="300" t="s">
        <v>2536</v>
      </c>
      <c r="D119" s="300" t="s">
        <v>2532</v>
      </c>
      <c r="E119" s="300"/>
      <c r="F119" s="300"/>
      <c r="G119" s="300" t="s">
        <v>2994</v>
      </c>
      <c r="H119" s="300" t="s">
        <v>2549</v>
      </c>
      <c r="I119" s="300" t="s">
        <v>2995</v>
      </c>
      <c r="J119" s="300" t="s">
        <v>2996</v>
      </c>
    </row>
    <row r="120" customFormat="false" ht="61.15" hidden="false" customHeight="false" outlineLevel="0" collapsed="false">
      <c r="A120" s="300" t="s">
        <v>2984</v>
      </c>
      <c r="B120" s="300" t="s">
        <v>997</v>
      </c>
      <c r="C120" s="300" t="s">
        <v>2540</v>
      </c>
      <c r="D120" s="300" t="s">
        <v>2519</v>
      </c>
      <c r="E120" s="300" t="s">
        <v>2997</v>
      </c>
      <c r="F120" s="300" t="s">
        <v>2998</v>
      </c>
      <c r="G120" s="300" t="s">
        <v>2999</v>
      </c>
      <c r="H120" s="300" t="s">
        <v>2523</v>
      </c>
      <c r="I120" s="300" t="s">
        <v>3000</v>
      </c>
      <c r="J120" s="300" t="s">
        <v>3001</v>
      </c>
    </row>
    <row r="121" customFormat="false" ht="144.75" hidden="false" customHeight="false" outlineLevel="0" collapsed="false">
      <c r="A121" s="300" t="s">
        <v>2984</v>
      </c>
      <c r="B121" s="300" t="s">
        <v>997</v>
      </c>
      <c r="C121" s="300" t="s">
        <v>2545</v>
      </c>
      <c r="D121" s="300" t="s">
        <v>2546</v>
      </c>
      <c r="E121" s="300"/>
      <c r="F121" s="300" t="s">
        <v>3002</v>
      </c>
      <c r="G121" s="300" t="s">
        <v>3003</v>
      </c>
      <c r="H121" s="300" t="s">
        <v>2549</v>
      </c>
      <c r="I121" s="300" t="s">
        <v>3004</v>
      </c>
      <c r="J121" s="300" t="s">
        <v>3005</v>
      </c>
    </row>
    <row r="122" customFormat="false" ht="49.25" hidden="false" customHeight="false" outlineLevel="0" collapsed="false">
      <c r="A122" s="300" t="s">
        <v>3006</v>
      </c>
      <c r="B122" s="300" t="s">
        <v>1010</v>
      </c>
      <c r="C122" s="300" t="s">
        <v>702</v>
      </c>
      <c r="D122" s="300" t="s">
        <v>2532</v>
      </c>
      <c r="E122" s="300"/>
      <c r="F122" s="300"/>
      <c r="G122" s="300" t="s">
        <v>3007</v>
      </c>
      <c r="H122" s="300" t="s">
        <v>2549</v>
      </c>
      <c r="I122" s="300" t="s">
        <v>3008</v>
      </c>
      <c r="J122" s="300" t="s">
        <v>3009</v>
      </c>
    </row>
    <row r="123" customFormat="false" ht="25.35" hidden="false" customHeight="false" outlineLevel="0" collapsed="false">
      <c r="A123" s="300" t="s">
        <v>3006</v>
      </c>
      <c r="B123" s="300" t="s">
        <v>1010</v>
      </c>
      <c r="C123" s="300" t="s">
        <v>703</v>
      </c>
      <c r="D123" s="300" t="s">
        <v>2532</v>
      </c>
      <c r="E123" s="300"/>
      <c r="F123" s="300"/>
      <c r="G123" s="300" t="s">
        <v>3010</v>
      </c>
      <c r="H123" s="300" t="s">
        <v>2549</v>
      </c>
      <c r="I123" s="300" t="s">
        <v>3011</v>
      </c>
      <c r="J123" s="300" t="s">
        <v>3012</v>
      </c>
    </row>
    <row r="124" customFormat="false" ht="85.05" hidden="false" customHeight="false" outlineLevel="0" collapsed="false">
      <c r="A124" s="300" t="s">
        <v>3006</v>
      </c>
      <c r="B124" s="300" t="s">
        <v>1010</v>
      </c>
      <c r="C124" s="300" t="s">
        <v>2531</v>
      </c>
      <c r="D124" s="300" t="s">
        <v>2631</v>
      </c>
      <c r="E124" s="300" t="s">
        <v>3013</v>
      </c>
      <c r="F124" s="300" t="s">
        <v>3014</v>
      </c>
      <c r="G124" s="300"/>
      <c r="H124" s="300" t="s">
        <v>2631</v>
      </c>
      <c r="I124" s="300" t="s">
        <v>3014</v>
      </c>
      <c r="J124" s="300" t="s">
        <v>3015</v>
      </c>
    </row>
    <row r="125" customFormat="false" ht="61.15" hidden="false" customHeight="false" outlineLevel="0" collapsed="false">
      <c r="A125" s="300" t="s">
        <v>3006</v>
      </c>
      <c r="B125" s="300" t="s">
        <v>1010</v>
      </c>
      <c r="C125" s="300" t="s">
        <v>2536</v>
      </c>
      <c r="D125" s="300" t="s">
        <v>2519</v>
      </c>
      <c r="E125" s="300" t="s">
        <v>3016</v>
      </c>
      <c r="F125" s="300" t="s">
        <v>3017</v>
      </c>
      <c r="G125" s="300" t="s">
        <v>3018</v>
      </c>
      <c r="H125" s="300" t="s">
        <v>2523</v>
      </c>
      <c r="I125" s="300" t="s">
        <v>3019</v>
      </c>
      <c r="J125" s="300" t="s">
        <v>3020</v>
      </c>
    </row>
    <row r="126" customFormat="false" ht="49.25" hidden="false" customHeight="false" outlineLevel="0" collapsed="false">
      <c r="A126" s="300" t="s">
        <v>3006</v>
      </c>
      <c r="B126" s="300" t="s">
        <v>1010</v>
      </c>
      <c r="C126" s="300" t="s">
        <v>2540</v>
      </c>
      <c r="D126" s="300" t="s">
        <v>2546</v>
      </c>
      <c r="E126" s="300"/>
      <c r="F126" s="300" t="s">
        <v>3021</v>
      </c>
      <c r="G126" s="300" t="s">
        <v>3022</v>
      </c>
      <c r="H126" s="300" t="s">
        <v>2549</v>
      </c>
      <c r="I126" s="300" t="s">
        <v>3023</v>
      </c>
      <c r="J126" s="300" t="s">
        <v>3024</v>
      </c>
    </row>
    <row r="127" customFormat="false" ht="85.05" hidden="false" customHeight="false" outlineLevel="0" collapsed="false">
      <c r="A127" s="300" t="s">
        <v>3006</v>
      </c>
      <c r="B127" s="300" t="s">
        <v>1010</v>
      </c>
      <c r="C127" s="300" t="s">
        <v>2545</v>
      </c>
      <c r="D127" s="300" t="s">
        <v>2546</v>
      </c>
      <c r="E127" s="300"/>
      <c r="F127" s="300" t="s">
        <v>3025</v>
      </c>
      <c r="G127" s="300" t="s">
        <v>3026</v>
      </c>
      <c r="H127" s="300" t="s">
        <v>2549</v>
      </c>
      <c r="I127" s="300" t="s">
        <v>3027</v>
      </c>
      <c r="J127" s="300" t="s">
        <v>3028</v>
      </c>
    </row>
    <row r="128" customFormat="false" ht="108.95" hidden="false" customHeight="false" outlineLevel="0" collapsed="false">
      <c r="A128" s="300" t="s">
        <v>3029</v>
      </c>
      <c r="B128" s="300" t="s">
        <v>2390</v>
      </c>
      <c r="C128" s="300" t="s">
        <v>702</v>
      </c>
      <c r="D128" s="300" t="s">
        <v>2519</v>
      </c>
      <c r="E128" s="300" t="s">
        <v>3030</v>
      </c>
      <c r="F128" s="300" t="s">
        <v>3031</v>
      </c>
      <c r="G128" s="300" t="s">
        <v>3032</v>
      </c>
      <c r="H128" s="300" t="s">
        <v>2523</v>
      </c>
      <c r="I128" s="300" t="s">
        <v>3033</v>
      </c>
      <c r="J128" s="300" t="s">
        <v>3034</v>
      </c>
    </row>
    <row r="129" customFormat="false" ht="73.1" hidden="false" customHeight="false" outlineLevel="0" collapsed="false">
      <c r="A129" s="300" t="s">
        <v>3029</v>
      </c>
      <c r="B129" s="300" t="s">
        <v>2390</v>
      </c>
      <c r="C129" s="300" t="s">
        <v>703</v>
      </c>
      <c r="D129" s="300" t="s">
        <v>2532</v>
      </c>
      <c r="E129" s="300"/>
      <c r="F129" s="300"/>
      <c r="G129" s="300" t="s">
        <v>3035</v>
      </c>
      <c r="H129" s="300" t="s">
        <v>2549</v>
      </c>
      <c r="I129" s="300" t="s">
        <v>3036</v>
      </c>
      <c r="J129" s="300" t="s">
        <v>3037</v>
      </c>
    </row>
    <row r="130" customFormat="false" ht="85.05" hidden="false" customHeight="false" outlineLevel="0" collapsed="false">
      <c r="A130" s="300" t="s">
        <v>3029</v>
      </c>
      <c r="B130" s="300" t="s">
        <v>2390</v>
      </c>
      <c r="C130" s="300" t="s">
        <v>2531</v>
      </c>
      <c r="D130" s="300" t="s">
        <v>2631</v>
      </c>
      <c r="E130" s="300" t="s">
        <v>3038</v>
      </c>
      <c r="F130" s="300" t="s">
        <v>3039</v>
      </c>
      <c r="G130" s="300"/>
      <c r="H130" s="300" t="s">
        <v>2631</v>
      </c>
      <c r="I130" s="300" t="s">
        <v>3039</v>
      </c>
      <c r="J130" s="300" t="s">
        <v>3040</v>
      </c>
    </row>
    <row r="131" customFormat="false" ht="73.1" hidden="false" customHeight="false" outlineLevel="0" collapsed="false">
      <c r="A131" s="300" t="s">
        <v>3029</v>
      </c>
      <c r="B131" s="300" t="s">
        <v>2390</v>
      </c>
      <c r="C131" s="300" t="s">
        <v>2536</v>
      </c>
      <c r="D131" s="300" t="s">
        <v>2532</v>
      </c>
      <c r="E131" s="300"/>
      <c r="F131" s="300"/>
      <c r="G131" s="300" t="s">
        <v>3041</v>
      </c>
      <c r="H131" s="300" t="s">
        <v>2549</v>
      </c>
      <c r="I131" s="300" t="s">
        <v>3042</v>
      </c>
      <c r="J131" s="300" t="s">
        <v>3043</v>
      </c>
    </row>
    <row r="132" customFormat="false" ht="73.1" hidden="false" customHeight="false" outlineLevel="0" collapsed="false">
      <c r="A132" s="300" t="s">
        <v>3029</v>
      </c>
      <c r="B132" s="300" t="s">
        <v>2390</v>
      </c>
      <c r="C132" s="300" t="s">
        <v>2540</v>
      </c>
      <c r="D132" s="300" t="s">
        <v>2519</v>
      </c>
      <c r="E132" s="300" t="s">
        <v>3044</v>
      </c>
      <c r="F132" s="300" t="s">
        <v>3045</v>
      </c>
      <c r="G132" s="300" t="s">
        <v>3046</v>
      </c>
      <c r="H132" s="300" t="s">
        <v>2549</v>
      </c>
      <c r="I132" s="300" t="s">
        <v>3047</v>
      </c>
      <c r="J132" s="300" t="s">
        <v>3048</v>
      </c>
    </row>
    <row r="133" customFormat="false" ht="108.95" hidden="false" customHeight="false" outlineLevel="0" collapsed="false">
      <c r="A133" s="300" t="s">
        <v>3029</v>
      </c>
      <c r="B133" s="300" t="s">
        <v>2390</v>
      </c>
      <c r="C133" s="300" t="s">
        <v>2545</v>
      </c>
      <c r="D133" s="300" t="s">
        <v>2546</v>
      </c>
      <c r="E133" s="300"/>
      <c r="F133" s="300" t="s">
        <v>3049</v>
      </c>
      <c r="G133" s="300" t="s">
        <v>3050</v>
      </c>
      <c r="H133" s="300" t="s">
        <v>2549</v>
      </c>
      <c r="I133" s="300" t="s">
        <v>3051</v>
      </c>
      <c r="J133" s="300" t="s">
        <v>3052</v>
      </c>
    </row>
    <row r="134" customFormat="false" ht="120.85" hidden="false" customHeight="false" outlineLevel="0" collapsed="false">
      <c r="A134" s="300" t="s">
        <v>3053</v>
      </c>
      <c r="B134" s="300" t="s">
        <v>3054</v>
      </c>
      <c r="C134" s="300" t="s">
        <v>702</v>
      </c>
      <c r="D134" s="300" t="s">
        <v>2519</v>
      </c>
      <c r="E134" s="300" t="s">
        <v>3054</v>
      </c>
      <c r="F134" s="300" t="s">
        <v>3055</v>
      </c>
      <c r="G134" s="300" t="s">
        <v>3056</v>
      </c>
      <c r="H134" s="300" t="s">
        <v>2549</v>
      </c>
      <c r="I134" s="300" t="s">
        <v>3057</v>
      </c>
      <c r="J134" s="300" t="s">
        <v>3058</v>
      </c>
    </row>
    <row r="135" customFormat="false" ht="97" hidden="false" customHeight="false" outlineLevel="0" collapsed="false">
      <c r="A135" s="300" t="s">
        <v>3053</v>
      </c>
      <c r="B135" s="300" t="s">
        <v>3054</v>
      </c>
      <c r="C135" s="300" t="s">
        <v>703</v>
      </c>
      <c r="D135" s="300" t="s">
        <v>2519</v>
      </c>
      <c r="E135" s="300" t="s">
        <v>3059</v>
      </c>
      <c r="F135" s="300" t="s">
        <v>3060</v>
      </c>
      <c r="G135" s="300" t="s">
        <v>3061</v>
      </c>
      <c r="H135" s="300" t="s">
        <v>2523</v>
      </c>
      <c r="I135" s="300" t="s">
        <v>3062</v>
      </c>
      <c r="J135" s="300" t="s">
        <v>3063</v>
      </c>
    </row>
    <row r="136" customFormat="false" ht="73.1" hidden="false" customHeight="false" outlineLevel="0" collapsed="false">
      <c r="A136" s="300" t="s">
        <v>3053</v>
      </c>
      <c r="B136" s="300" t="s">
        <v>3054</v>
      </c>
      <c r="C136" s="300" t="s">
        <v>2531</v>
      </c>
      <c r="D136" s="300" t="s">
        <v>2519</v>
      </c>
      <c r="E136" s="300" t="s">
        <v>3064</v>
      </c>
      <c r="F136" s="300" t="s">
        <v>3065</v>
      </c>
      <c r="G136" s="300" t="s">
        <v>3066</v>
      </c>
      <c r="H136" s="300" t="s">
        <v>2549</v>
      </c>
      <c r="I136" s="300" t="s">
        <v>3067</v>
      </c>
      <c r="J136" s="300" t="s">
        <v>3068</v>
      </c>
    </row>
    <row r="137" customFormat="false" ht="73.1" hidden="false" customHeight="false" outlineLevel="0" collapsed="false">
      <c r="A137" s="300" t="s">
        <v>3053</v>
      </c>
      <c r="B137" s="300" t="s">
        <v>3054</v>
      </c>
      <c r="C137" s="300" t="s">
        <v>2536</v>
      </c>
      <c r="D137" s="300" t="s">
        <v>2519</v>
      </c>
      <c r="E137" s="300" t="s">
        <v>3069</v>
      </c>
      <c r="F137" s="300" t="s">
        <v>3070</v>
      </c>
      <c r="G137" s="300" t="s">
        <v>3071</v>
      </c>
      <c r="H137" s="300" t="s">
        <v>2523</v>
      </c>
      <c r="I137" s="300" t="s">
        <v>3072</v>
      </c>
      <c r="J137" s="300" t="s">
        <v>3073</v>
      </c>
    </row>
    <row r="138" customFormat="false" ht="61.15" hidden="false" customHeight="false" outlineLevel="0" collapsed="false">
      <c r="A138" s="300" t="s">
        <v>3053</v>
      </c>
      <c r="B138" s="300" t="s">
        <v>3054</v>
      </c>
      <c r="C138" s="300" t="s">
        <v>2540</v>
      </c>
      <c r="D138" s="300" t="s">
        <v>2532</v>
      </c>
      <c r="E138" s="300"/>
      <c r="F138" s="300"/>
      <c r="G138" s="300" t="s">
        <v>3074</v>
      </c>
      <c r="H138" s="300" t="s">
        <v>2549</v>
      </c>
      <c r="I138" s="300" t="s">
        <v>3075</v>
      </c>
      <c r="J138" s="300" t="s">
        <v>3076</v>
      </c>
    </row>
    <row r="139" customFormat="false" ht="132.8" hidden="false" customHeight="false" outlineLevel="0" collapsed="false">
      <c r="A139" s="300" t="s">
        <v>3053</v>
      </c>
      <c r="B139" s="300" t="s">
        <v>3054</v>
      </c>
      <c r="C139" s="300" t="s">
        <v>2545</v>
      </c>
      <c r="D139" s="300" t="s">
        <v>2546</v>
      </c>
      <c r="E139" s="300"/>
      <c r="F139" s="300" t="s">
        <v>3077</v>
      </c>
      <c r="G139" s="300" t="s">
        <v>3078</v>
      </c>
      <c r="H139" s="300" t="s">
        <v>2549</v>
      </c>
      <c r="I139" s="300" t="s">
        <v>3079</v>
      </c>
      <c r="J139" s="300" t="s">
        <v>3080</v>
      </c>
    </row>
    <row r="140" customFormat="false" ht="97" hidden="false" customHeight="false" outlineLevel="0" collapsed="false">
      <c r="A140" s="300" t="s">
        <v>3081</v>
      </c>
      <c r="B140" s="300" t="s">
        <v>2394</v>
      </c>
      <c r="C140" s="300" t="s">
        <v>702</v>
      </c>
      <c r="D140" s="300" t="s">
        <v>2519</v>
      </c>
      <c r="E140" s="300" t="s">
        <v>2394</v>
      </c>
      <c r="F140" s="300" t="s">
        <v>3082</v>
      </c>
      <c r="G140" s="300" t="s">
        <v>3083</v>
      </c>
      <c r="H140" s="300" t="s">
        <v>2549</v>
      </c>
      <c r="I140" s="300" t="s">
        <v>3084</v>
      </c>
      <c r="J140" s="300" t="s">
        <v>3085</v>
      </c>
    </row>
    <row r="141" customFormat="false" ht="73.1" hidden="false" customHeight="false" outlineLevel="0" collapsed="false">
      <c r="A141" s="300" t="s">
        <v>3081</v>
      </c>
      <c r="B141" s="300" t="s">
        <v>2394</v>
      </c>
      <c r="C141" s="300" t="s">
        <v>703</v>
      </c>
      <c r="D141" s="300" t="s">
        <v>2519</v>
      </c>
      <c r="E141" s="300" t="s">
        <v>3086</v>
      </c>
      <c r="F141" s="300" t="s">
        <v>3087</v>
      </c>
      <c r="G141" s="300" t="s">
        <v>3088</v>
      </c>
      <c r="H141" s="300" t="s">
        <v>2523</v>
      </c>
      <c r="I141" s="300" t="s">
        <v>3089</v>
      </c>
      <c r="J141" s="300" t="s">
        <v>3090</v>
      </c>
    </row>
    <row r="142" customFormat="false" ht="97" hidden="false" customHeight="false" outlineLevel="0" collapsed="false">
      <c r="A142" s="300" t="s">
        <v>3081</v>
      </c>
      <c r="B142" s="300" t="s">
        <v>2394</v>
      </c>
      <c r="C142" s="300" t="s">
        <v>2531</v>
      </c>
      <c r="D142" s="300" t="s">
        <v>2532</v>
      </c>
      <c r="E142" s="300"/>
      <c r="F142" s="300"/>
      <c r="G142" s="300" t="s">
        <v>3091</v>
      </c>
      <c r="H142" s="300" t="s">
        <v>2523</v>
      </c>
      <c r="I142" s="300" t="s">
        <v>3092</v>
      </c>
      <c r="J142" s="300" t="s">
        <v>3093</v>
      </c>
    </row>
    <row r="143" customFormat="false" ht="61.15" hidden="false" customHeight="false" outlineLevel="0" collapsed="false">
      <c r="A143" s="300" t="s">
        <v>3081</v>
      </c>
      <c r="B143" s="300" t="s">
        <v>2394</v>
      </c>
      <c r="C143" s="300" t="s">
        <v>2536</v>
      </c>
      <c r="D143" s="300" t="s">
        <v>2532</v>
      </c>
      <c r="E143" s="300"/>
      <c r="F143" s="300"/>
      <c r="G143" s="300" t="s">
        <v>3094</v>
      </c>
      <c r="H143" s="300" t="s">
        <v>2523</v>
      </c>
      <c r="I143" s="300" t="s">
        <v>3095</v>
      </c>
      <c r="J143" s="300" t="s">
        <v>3096</v>
      </c>
    </row>
    <row r="144" customFormat="false" ht="49.25" hidden="false" customHeight="false" outlineLevel="0" collapsed="false">
      <c r="A144" s="300" t="s">
        <v>3081</v>
      </c>
      <c r="B144" s="300" t="s">
        <v>2394</v>
      </c>
      <c r="C144" s="300" t="s">
        <v>2540</v>
      </c>
      <c r="D144" s="300" t="s">
        <v>2519</v>
      </c>
      <c r="E144" s="300" t="s">
        <v>3097</v>
      </c>
      <c r="F144" s="300" t="s">
        <v>3098</v>
      </c>
      <c r="G144" s="300" t="s">
        <v>3099</v>
      </c>
      <c r="H144" s="300" t="s">
        <v>2523</v>
      </c>
      <c r="I144" s="300" t="s">
        <v>3100</v>
      </c>
      <c r="J144" s="300" t="s">
        <v>3101</v>
      </c>
    </row>
    <row r="145" customFormat="false" ht="120.85" hidden="false" customHeight="false" outlineLevel="0" collapsed="false">
      <c r="A145" s="300" t="s">
        <v>3081</v>
      </c>
      <c r="B145" s="300" t="s">
        <v>2394</v>
      </c>
      <c r="C145" s="300" t="s">
        <v>2545</v>
      </c>
      <c r="D145" s="300" t="s">
        <v>2546</v>
      </c>
      <c r="E145" s="300"/>
      <c r="F145" s="300" t="s">
        <v>3102</v>
      </c>
      <c r="G145" s="300" t="s">
        <v>3103</v>
      </c>
      <c r="H145" s="300" t="s">
        <v>2523</v>
      </c>
      <c r="I145" s="300" t="s">
        <v>3104</v>
      </c>
      <c r="J145" s="300" t="s">
        <v>3105</v>
      </c>
    </row>
    <row r="146" customFormat="false" ht="61.15" hidden="false" customHeight="false" outlineLevel="0" collapsed="false">
      <c r="A146" s="300" t="s">
        <v>3106</v>
      </c>
      <c r="B146" s="300" t="s">
        <v>2396</v>
      </c>
      <c r="C146" s="300" t="s">
        <v>702</v>
      </c>
      <c r="D146" s="300" t="s">
        <v>2519</v>
      </c>
      <c r="E146" s="300" t="s">
        <v>2396</v>
      </c>
      <c r="F146" s="300" t="s">
        <v>3107</v>
      </c>
      <c r="G146" s="300" t="s">
        <v>3108</v>
      </c>
      <c r="H146" s="300" t="s">
        <v>2549</v>
      </c>
      <c r="I146" s="300" t="s">
        <v>3109</v>
      </c>
      <c r="J146" s="300" t="s">
        <v>3110</v>
      </c>
    </row>
    <row r="147" customFormat="false" ht="73.1" hidden="false" customHeight="false" outlineLevel="0" collapsed="false">
      <c r="A147" s="300" t="s">
        <v>3106</v>
      </c>
      <c r="B147" s="300" t="s">
        <v>2396</v>
      </c>
      <c r="C147" s="300" t="s">
        <v>703</v>
      </c>
      <c r="D147" s="300" t="s">
        <v>2519</v>
      </c>
      <c r="E147" s="300" t="s">
        <v>3111</v>
      </c>
      <c r="F147" s="300" t="s">
        <v>3112</v>
      </c>
      <c r="G147" s="300" t="s">
        <v>3113</v>
      </c>
      <c r="H147" s="300" t="s">
        <v>2549</v>
      </c>
      <c r="I147" s="300" t="s">
        <v>3114</v>
      </c>
      <c r="J147" s="300" t="s">
        <v>3115</v>
      </c>
    </row>
    <row r="148" customFormat="false" ht="85.05" hidden="false" customHeight="false" outlineLevel="0" collapsed="false">
      <c r="A148" s="300" t="s">
        <v>3106</v>
      </c>
      <c r="B148" s="300" t="s">
        <v>2396</v>
      </c>
      <c r="C148" s="300" t="s">
        <v>2531</v>
      </c>
      <c r="D148" s="300" t="s">
        <v>2519</v>
      </c>
      <c r="E148" s="300" t="s">
        <v>3116</v>
      </c>
      <c r="F148" s="300" t="s">
        <v>3117</v>
      </c>
      <c r="G148" s="300" t="s">
        <v>3118</v>
      </c>
      <c r="H148" s="300" t="s">
        <v>2549</v>
      </c>
      <c r="I148" s="300" t="s">
        <v>3119</v>
      </c>
      <c r="J148" s="300" t="s">
        <v>3120</v>
      </c>
    </row>
    <row r="149" customFormat="false" ht="73.1" hidden="false" customHeight="false" outlineLevel="0" collapsed="false">
      <c r="A149" s="300" t="s">
        <v>3106</v>
      </c>
      <c r="B149" s="300" t="s">
        <v>2396</v>
      </c>
      <c r="C149" s="300" t="s">
        <v>2536</v>
      </c>
      <c r="D149" s="300" t="s">
        <v>2546</v>
      </c>
      <c r="E149" s="300"/>
      <c r="F149" s="300" t="s">
        <v>3121</v>
      </c>
      <c r="G149" s="300" t="s">
        <v>3122</v>
      </c>
      <c r="H149" s="300" t="s">
        <v>2549</v>
      </c>
      <c r="I149" s="300" t="s">
        <v>3123</v>
      </c>
      <c r="J149" s="300" t="s">
        <v>3124</v>
      </c>
    </row>
    <row r="150" customFormat="false" ht="61.15" hidden="false" customHeight="false" outlineLevel="0" collapsed="false">
      <c r="A150" s="300" t="s">
        <v>3106</v>
      </c>
      <c r="B150" s="300" t="s">
        <v>2396</v>
      </c>
      <c r="C150" s="300" t="s">
        <v>2540</v>
      </c>
      <c r="D150" s="300" t="s">
        <v>2546</v>
      </c>
      <c r="E150" s="300"/>
      <c r="F150" s="300" t="s">
        <v>3125</v>
      </c>
      <c r="G150" s="300" t="s">
        <v>3126</v>
      </c>
      <c r="H150" s="300" t="s">
        <v>2549</v>
      </c>
      <c r="I150" s="300" t="s">
        <v>3127</v>
      </c>
      <c r="J150" s="300" t="s">
        <v>3128</v>
      </c>
    </row>
    <row r="151" customFormat="false" ht="97" hidden="false" customHeight="false" outlineLevel="0" collapsed="false">
      <c r="A151" s="300" t="s">
        <v>3106</v>
      </c>
      <c r="B151" s="300" t="s">
        <v>2396</v>
      </c>
      <c r="C151" s="300" t="s">
        <v>2545</v>
      </c>
      <c r="D151" s="300" t="s">
        <v>2546</v>
      </c>
      <c r="E151" s="300"/>
      <c r="F151" s="300" t="s">
        <v>3129</v>
      </c>
      <c r="G151" s="300" t="s">
        <v>3130</v>
      </c>
      <c r="H151" s="300" t="s">
        <v>2549</v>
      </c>
      <c r="I151" s="300" t="s">
        <v>3131</v>
      </c>
      <c r="J151" s="300" t="s">
        <v>3132</v>
      </c>
    </row>
    <row r="152" customFormat="false" ht="49.25" hidden="false" customHeight="false" outlineLevel="0" collapsed="false">
      <c r="A152" s="300" t="s">
        <v>3133</v>
      </c>
      <c r="B152" s="300" t="s">
        <v>3134</v>
      </c>
      <c r="C152" s="300" t="s">
        <v>702</v>
      </c>
      <c r="D152" s="300" t="s">
        <v>2519</v>
      </c>
      <c r="E152" s="300" t="s">
        <v>3134</v>
      </c>
      <c r="F152" s="300" t="s">
        <v>3135</v>
      </c>
      <c r="G152" s="300" t="s">
        <v>3136</v>
      </c>
      <c r="H152" s="300" t="s">
        <v>2549</v>
      </c>
      <c r="I152" s="300" t="s">
        <v>3137</v>
      </c>
      <c r="J152" s="300" t="s">
        <v>3138</v>
      </c>
    </row>
    <row r="153" customFormat="false" ht="73.1" hidden="false" customHeight="false" outlineLevel="0" collapsed="false">
      <c r="A153" s="300" t="s">
        <v>3133</v>
      </c>
      <c r="B153" s="300" t="s">
        <v>3134</v>
      </c>
      <c r="C153" s="300" t="s">
        <v>703</v>
      </c>
      <c r="D153" s="300" t="s">
        <v>2532</v>
      </c>
      <c r="E153" s="300"/>
      <c r="F153" s="300"/>
      <c r="G153" s="300" t="s">
        <v>3139</v>
      </c>
      <c r="H153" s="300" t="s">
        <v>2549</v>
      </c>
      <c r="I153" s="300" t="s">
        <v>3140</v>
      </c>
      <c r="J153" s="300" t="s">
        <v>3141</v>
      </c>
    </row>
    <row r="154" customFormat="false" ht="61.15" hidden="false" customHeight="false" outlineLevel="0" collapsed="false">
      <c r="A154" s="300" t="s">
        <v>3133</v>
      </c>
      <c r="B154" s="300" t="s">
        <v>3134</v>
      </c>
      <c r="C154" s="300" t="s">
        <v>2531</v>
      </c>
      <c r="D154" s="300" t="s">
        <v>2532</v>
      </c>
      <c r="E154" s="300"/>
      <c r="F154" s="300"/>
      <c r="G154" s="300" t="s">
        <v>3142</v>
      </c>
      <c r="H154" s="300" t="s">
        <v>2523</v>
      </c>
      <c r="I154" s="300" t="s">
        <v>3143</v>
      </c>
      <c r="J154" s="300" t="s">
        <v>3144</v>
      </c>
    </row>
    <row r="155" customFormat="false" ht="73.1" hidden="false" customHeight="false" outlineLevel="0" collapsed="false">
      <c r="A155" s="300" t="s">
        <v>3133</v>
      </c>
      <c r="B155" s="300" t="s">
        <v>3134</v>
      </c>
      <c r="C155" s="300" t="s">
        <v>2536</v>
      </c>
      <c r="D155" s="300" t="s">
        <v>2546</v>
      </c>
      <c r="E155" s="300"/>
      <c r="F155" s="300" t="s">
        <v>3145</v>
      </c>
      <c r="G155" s="300" t="s">
        <v>3146</v>
      </c>
      <c r="H155" s="300" t="s">
        <v>2523</v>
      </c>
      <c r="I155" s="300" t="s">
        <v>3147</v>
      </c>
      <c r="J155" s="300" t="s">
        <v>3148</v>
      </c>
    </row>
    <row r="156" customFormat="false" ht="49.25" hidden="false" customHeight="false" outlineLevel="0" collapsed="false">
      <c r="A156" s="300" t="s">
        <v>3133</v>
      </c>
      <c r="B156" s="300" t="s">
        <v>3134</v>
      </c>
      <c r="C156" s="300" t="s">
        <v>2540</v>
      </c>
      <c r="D156" s="300" t="s">
        <v>2546</v>
      </c>
      <c r="E156" s="300"/>
      <c r="F156" s="300" t="s">
        <v>3149</v>
      </c>
      <c r="G156" s="300" t="s">
        <v>3150</v>
      </c>
      <c r="H156" s="300" t="s">
        <v>2549</v>
      </c>
      <c r="I156" s="300" t="s">
        <v>3151</v>
      </c>
      <c r="J156" s="300" t="s">
        <v>3152</v>
      </c>
    </row>
    <row r="157" customFormat="false" ht="120.85" hidden="false" customHeight="false" outlineLevel="0" collapsed="false">
      <c r="A157" s="300" t="s">
        <v>3133</v>
      </c>
      <c r="B157" s="300" t="s">
        <v>3134</v>
      </c>
      <c r="C157" s="300" t="s">
        <v>2545</v>
      </c>
      <c r="D157" s="300" t="s">
        <v>2546</v>
      </c>
      <c r="E157" s="300"/>
      <c r="F157" s="300" t="s">
        <v>3153</v>
      </c>
      <c r="G157" s="300" t="s">
        <v>3154</v>
      </c>
      <c r="H157" s="300" t="s">
        <v>2549</v>
      </c>
      <c r="I157" s="300" t="s">
        <v>3155</v>
      </c>
      <c r="J157" s="300" t="s">
        <v>3156</v>
      </c>
    </row>
    <row r="158" customFormat="false" ht="73.1" hidden="false" customHeight="false" outlineLevel="0" collapsed="false">
      <c r="A158" s="300" t="s">
        <v>3157</v>
      </c>
      <c r="B158" s="300" t="s">
        <v>3158</v>
      </c>
      <c r="C158" s="300" t="s">
        <v>702</v>
      </c>
      <c r="D158" s="300" t="s">
        <v>2519</v>
      </c>
      <c r="E158" s="300" t="s">
        <v>3159</v>
      </c>
      <c r="F158" s="300" t="s">
        <v>3160</v>
      </c>
      <c r="G158" s="300" t="s">
        <v>3161</v>
      </c>
      <c r="H158" s="300" t="s">
        <v>2549</v>
      </c>
      <c r="I158" s="300" t="s">
        <v>3162</v>
      </c>
      <c r="J158" s="300" t="s">
        <v>3163</v>
      </c>
    </row>
    <row r="159" customFormat="false" ht="61.15" hidden="false" customHeight="false" outlineLevel="0" collapsed="false">
      <c r="A159" s="300" t="s">
        <v>3157</v>
      </c>
      <c r="B159" s="300" t="s">
        <v>3158</v>
      </c>
      <c r="C159" s="300" t="s">
        <v>703</v>
      </c>
      <c r="D159" s="300" t="s">
        <v>2532</v>
      </c>
      <c r="E159" s="300"/>
      <c r="F159" s="300"/>
      <c r="G159" s="300" t="s">
        <v>3164</v>
      </c>
      <c r="H159" s="300" t="s">
        <v>2523</v>
      </c>
      <c r="I159" s="300" t="s">
        <v>3165</v>
      </c>
      <c r="J159" s="300" t="s">
        <v>3166</v>
      </c>
    </row>
    <row r="160" customFormat="false" ht="61.15" hidden="false" customHeight="false" outlineLevel="0" collapsed="false">
      <c r="A160" s="300" t="s">
        <v>3157</v>
      </c>
      <c r="B160" s="300" t="s">
        <v>3158</v>
      </c>
      <c r="C160" s="300" t="s">
        <v>2531</v>
      </c>
      <c r="D160" s="300" t="s">
        <v>2624</v>
      </c>
      <c r="E160" s="300" t="s">
        <v>3167</v>
      </c>
      <c r="F160" s="300" t="s">
        <v>3168</v>
      </c>
      <c r="G160" s="300"/>
      <c r="H160" s="300" t="s">
        <v>2523</v>
      </c>
      <c r="I160" s="300" t="s">
        <v>3169</v>
      </c>
      <c r="J160" s="300" t="s">
        <v>3170</v>
      </c>
    </row>
    <row r="161" customFormat="false" ht="61.15" hidden="false" customHeight="false" outlineLevel="0" collapsed="false">
      <c r="A161" s="300" t="s">
        <v>3157</v>
      </c>
      <c r="B161" s="300" t="s">
        <v>3158</v>
      </c>
      <c r="C161" s="300" t="s">
        <v>2536</v>
      </c>
      <c r="D161" s="300" t="s">
        <v>2532</v>
      </c>
      <c r="E161" s="300"/>
      <c r="F161" s="300"/>
      <c r="G161" s="300" t="s">
        <v>3171</v>
      </c>
      <c r="H161" s="300" t="s">
        <v>2523</v>
      </c>
      <c r="I161" s="300" t="s">
        <v>3172</v>
      </c>
      <c r="J161" s="300" t="s">
        <v>3173</v>
      </c>
    </row>
    <row r="162" customFormat="false" ht="73.1" hidden="false" customHeight="false" outlineLevel="0" collapsed="false">
      <c r="A162" s="300" t="s">
        <v>3157</v>
      </c>
      <c r="B162" s="300" t="s">
        <v>3158</v>
      </c>
      <c r="C162" s="300" t="s">
        <v>2540</v>
      </c>
      <c r="D162" s="300" t="s">
        <v>2519</v>
      </c>
      <c r="E162" s="300" t="s">
        <v>3174</v>
      </c>
      <c r="F162" s="300" t="s">
        <v>3175</v>
      </c>
      <c r="G162" s="300" t="s">
        <v>3176</v>
      </c>
      <c r="H162" s="300" t="s">
        <v>2549</v>
      </c>
      <c r="I162" s="300" t="s">
        <v>3177</v>
      </c>
      <c r="J162" s="300" t="s">
        <v>3178</v>
      </c>
    </row>
    <row r="163" customFormat="false" ht="108.95" hidden="false" customHeight="false" outlineLevel="0" collapsed="false">
      <c r="A163" s="300" t="s">
        <v>3157</v>
      </c>
      <c r="B163" s="300" t="s">
        <v>3158</v>
      </c>
      <c r="C163" s="300" t="s">
        <v>2545</v>
      </c>
      <c r="D163" s="300" t="s">
        <v>2546</v>
      </c>
      <c r="E163" s="300"/>
      <c r="F163" s="300" t="s">
        <v>3179</v>
      </c>
      <c r="G163" s="300" t="s">
        <v>3180</v>
      </c>
      <c r="H163" s="300" t="s">
        <v>2549</v>
      </c>
      <c r="I163" s="300" t="s">
        <v>3181</v>
      </c>
      <c r="J163" s="300" t="s">
        <v>3182</v>
      </c>
    </row>
    <row r="164" customFormat="false" ht="49.25" hidden="false" customHeight="false" outlineLevel="0" collapsed="false">
      <c r="A164" s="300" t="s">
        <v>3183</v>
      </c>
      <c r="B164" s="300" t="s">
        <v>3184</v>
      </c>
      <c r="C164" s="300" t="s">
        <v>702</v>
      </c>
      <c r="D164" s="300" t="s">
        <v>2519</v>
      </c>
      <c r="E164" s="300" t="s">
        <v>3185</v>
      </c>
      <c r="F164" s="300" t="s">
        <v>3186</v>
      </c>
      <c r="G164" s="300" t="s">
        <v>3187</v>
      </c>
      <c r="H164" s="300" t="s">
        <v>2549</v>
      </c>
      <c r="I164" s="300" t="s">
        <v>3188</v>
      </c>
      <c r="J164" s="300" t="s">
        <v>3189</v>
      </c>
    </row>
    <row r="165" customFormat="false" ht="49.25" hidden="false" customHeight="false" outlineLevel="0" collapsed="false">
      <c r="A165" s="300" t="s">
        <v>3183</v>
      </c>
      <c r="B165" s="300" t="s">
        <v>3184</v>
      </c>
      <c r="C165" s="300" t="s">
        <v>703</v>
      </c>
      <c r="D165" s="300" t="s">
        <v>2532</v>
      </c>
      <c r="E165" s="300"/>
      <c r="F165" s="300"/>
      <c r="G165" s="300" t="s">
        <v>3190</v>
      </c>
      <c r="H165" s="300" t="s">
        <v>2549</v>
      </c>
      <c r="I165" s="300" t="s">
        <v>3191</v>
      </c>
      <c r="J165" s="300" t="s">
        <v>3192</v>
      </c>
    </row>
    <row r="166" customFormat="false" ht="73.1" hidden="false" customHeight="false" outlineLevel="0" collapsed="false">
      <c r="A166" s="300" t="s">
        <v>3183</v>
      </c>
      <c r="B166" s="300" t="s">
        <v>3184</v>
      </c>
      <c r="C166" s="300" t="s">
        <v>2531</v>
      </c>
      <c r="D166" s="300" t="s">
        <v>2519</v>
      </c>
      <c r="E166" s="300" t="s">
        <v>3193</v>
      </c>
      <c r="F166" s="300" t="s">
        <v>3194</v>
      </c>
      <c r="G166" s="300" t="s">
        <v>3195</v>
      </c>
      <c r="H166" s="300" t="s">
        <v>2523</v>
      </c>
      <c r="I166" s="300" t="s">
        <v>3196</v>
      </c>
      <c r="J166" s="300" t="s">
        <v>3197</v>
      </c>
    </row>
    <row r="167" customFormat="false" ht="49.25" hidden="false" customHeight="false" outlineLevel="0" collapsed="false">
      <c r="A167" s="300" t="s">
        <v>3183</v>
      </c>
      <c r="B167" s="300" t="s">
        <v>3184</v>
      </c>
      <c r="C167" s="300" t="s">
        <v>2536</v>
      </c>
      <c r="D167" s="300" t="s">
        <v>2532</v>
      </c>
      <c r="E167" s="300"/>
      <c r="F167" s="300"/>
      <c r="G167" s="300" t="s">
        <v>3198</v>
      </c>
      <c r="H167" s="300" t="s">
        <v>2523</v>
      </c>
      <c r="I167" s="300" t="s">
        <v>3199</v>
      </c>
      <c r="J167" s="300" t="s">
        <v>3200</v>
      </c>
    </row>
    <row r="168" customFormat="false" ht="61.15" hidden="false" customHeight="false" outlineLevel="0" collapsed="false">
      <c r="A168" s="300" t="s">
        <v>3183</v>
      </c>
      <c r="B168" s="300" t="s">
        <v>3184</v>
      </c>
      <c r="C168" s="300" t="s">
        <v>2540</v>
      </c>
      <c r="D168" s="300" t="s">
        <v>2519</v>
      </c>
      <c r="E168" s="300" t="s">
        <v>3201</v>
      </c>
      <c r="F168" s="300" t="s">
        <v>3202</v>
      </c>
      <c r="G168" s="300" t="s">
        <v>3203</v>
      </c>
      <c r="H168" s="300" t="s">
        <v>2549</v>
      </c>
      <c r="I168" s="300" t="s">
        <v>3204</v>
      </c>
      <c r="J168" s="300" t="s">
        <v>3205</v>
      </c>
    </row>
    <row r="169" customFormat="false" ht="97" hidden="false" customHeight="false" outlineLevel="0" collapsed="false">
      <c r="A169" s="300" t="s">
        <v>3183</v>
      </c>
      <c r="B169" s="300" t="s">
        <v>3184</v>
      </c>
      <c r="C169" s="300" t="s">
        <v>2545</v>
      </c>
      <c r="D169" s="300" t="s">
        <v>2546</v>
      </c>
      <c r="E169" s="300"/>
      <c r="F169" s="300" t="s">
        <v>3206</v>
      </c>
      <c r="G169" s="300" t="s">
        <v>3207</v>
      </c>
      <c r="H169" s="300" t="s">
        <v>2549</v>
      </c>
      <c r="I169" s="300" t="s">
        <v>3208</v>
      </c>
      <c r="J169" s="300" t="s">
        <v>3209</v>
      </c>
    </row>
    <row r="170" customFormat="false" ht="73.1" hidden="false" customHeight="false" outlineLevel="0" collapsed="false">
      <c r="A170" s="300" t="s">
        <v>3210</v>
      </c>
      <c r="B170" s="300" t="s">
        <v>2404</v>
      </c>
      <c r="C170" s="300" t="s">
        <v>702</v>
      </c>
      <c r="D170" s="300" t="s">
        <v>2519</v>
      </c>
      <c r="E170" s="300" t="s">
        <v>2404</v>
      </c>
      <c r="F170" s="300" t="s">
        <v>3211</v>
      </c>
      <c r="G170" s="300" t="s">
        <v>3212</v>
      </c>
      <c r="H170" s="300" t="s">
        <v>2549</v>
      </c>
      <c r="I170" s="300" t="s">
        <v>3213</v>
      </c>
      <c r="J170" s="300" t="s">
        <v>3214</v>
      </c>
    </row>
    <row r="171" customFormat="false" ht="25.35" hidden="false" customHeight="false" outlineLevel="0" collapsed="false">
      <c r="A171" s="300" t="s">
        <v>3210</v>
      </c>
      <c r="B171" s="300" t="s">
        <v>2404</v>
      </c>
      <c r="C171" s="300" t="s">
        <v>703</v>
      </c>
      <c r="D171" s="300" t="s">
        <v>2532</v>
      </c>
      <c r="E171" s="300"/>
      <c r="F171" s="300"/>
      <c r="G171" s="300" t="s">
        <v>3215</v>
      </c>
      <c r="H171" s="300" t="s">
        <v>2523</v>
      </c>
      <c r="I171" s="300" t="s">
        <v>3216</v>
      </c>
      <c r="J171" s="300" t="s">
        <v>3217</v>
      </c>
    </row>
    <row r="172" customFormat="false" ht="85.05" hidden="false" customHeight="false" outlineLevel="0" collapsed="false">
      <c r="A172" s="300" t="s">
        <v>3210</v>
      </c>
      <c r="B172" s="300" t="s">
        <v>2404</v>
      </c>
      <c r="C172" s="300" t="s">
        <v>2531</v>
      </c>
      <c r="D172" s="300" t="s">
        <v>2631</v>
      </c>
      <c r="E172" s="300" t="s">
        <v>3218</v>
      </c>
      <c r="F172" s="300" t="s">
        <v>3219</v>
      </c>
      <c r="G172" s="300"/>
      <c r="H172" s="300" t="s">
        <v>2631</v>
      </c>
      <c r="I172" s="300" t="s">
        <v>3219</v>
      </c>
      <c r="J172" s="300" t="s">
        <v>3220</v>
      </c>
    </row>
    <row r="173" customFormat="false" ht="25.35" hidden="false" customHeight="false" outlineLevel="0" collapsed="false">
      <c r="A173" s="300" t="s">
        <v>3210</v>
      </c>
      <c r="B173" s="300" t="s">
        <v>2404</v>
      </c>
      <c r="C173" s="300" t="s">
        <v>2536</v>
      </c>
      <c r="D173" s="300" t="s">
        <v>2532</v>
      </c>
      <c r="E173" s="300"/>
      <c r="F173" s="300"/>
      <c r="G173" s="300" t="s">
        <v>3215</v>
      </c>
      <c r="H173" s="300" t="s">
        <v>2523</v>
      </c>
      <c r="I173" s="300" t="s">
        <v>3221</v>
      </c>
      <c r="J173" s="300" t="s">
        <v>3222</v>
      </c>
    </row>
    <row r="174" customFormat="false" ht="37.3" hidden="false" customHeight="false" outlineLevel="0" collapsed="false">
      <c r="A174" s="300" t="s">
        <v>3210</v>
      </c>
      <c r="B174" s="300" t="s">
        <v>2404</v>
      </c>
      <c r="C174" s="300" t="s">
        <v>2540</v>
      </c>
      <c r="D174" s="300" t="s">
        <v>2624</v>
      </c>
      <c r="E174" s="300" t="s">
        <v>3223</v>
      </c>
      <c r="F174" s="300" t="s">
        <v>3224</v>
      </c>
      <c r="G174" s="300"/>
      <c r="H174" s="300" t="s">
        <v>2549</v>
      </c>
      <c r="I174" s="300" t="s">
        <v>3225</v>
      </c>
      <c r="J174" s="300" t="s">
        <v>3226</v>
      </c>
    </row>
    <row r="175" customFormat="false" ht="85.05" hidden="false" customHeight="false" outlineLevel="0" collapsed="false">
      <c r="A175" s="300" t="s">
        <v>3210</v>
      </c>
      <c r="B175" s="300" t="s">
        <v>2404</v>
      </c>
      <c r="C175" s="300" t="s">
        <v>2545</v>
      </c>
      <c r="D175" s="300" t="s">
        <v>2546</v>
      </c>
      <c r="E175" s="300"/>
      <c r="F175" s="300" t="s">
        <v>3227</v>
      </c>
      <c r="G175" s="300" t="s">
        <v>3228</v>
      </c>
      <c r="H175" s="300" t="s">
        <v>2549</v>
      </c>
      <c r="I175" s="300" t="s">
        <v>3229</v>
      </c>
      <c r="J175" s="300" t="s">
        <v>3230</v>
      </c>
    </row>
    <row r="176" customFormat="false" ht="49.25" hidden="false" customHeight="false" outlineLevel="0" collapsed="false">
      <c r="A176" s="300" t="s">
        <v>3231</v>
      </c>
      <c r="B176" s="300" t="s">
        <v>2406</v>
      </c>
      <c r="C176" s="300" t="s">
        <v>702</v>
      </c>
      <c r="D176" s="300" t="s">
        <v>2519</v>
      </c>
      <c r="E176" s="300" t="s">
        <v>2406</v>
      </c>
      <c r="F176" s="300" t="s">
        <v>3232</v>
      </c>
      <c r="G176" s="300" t="s">
        <v>3233</v>
      </c>
      <c r="H176" s="300" t="s">
        <v>2549</v>
      </c>
      <c r="I176" s="300" t="s">
        <v>3234</v>
      </c>
      <c r="J176" s="300" t="s">
        <v>3235</v>
      </c>
    </row>
    <row r="177" customFormat="false" ht="37.3" hidden="false" customHeight="false" outlineLevel="0" collapsed="false">
      <c r="A177" s="300" t="s">
        <v>3231</v>
      </c>
      <c r="B177" s="300" t="s">
        <v>2406</v>
      </c>
      <c r="C177" s="300" t="s">
        <v>703</v>
      </c>
      <c r="D177" s="300" t="s">
        <v>2532</v>
      </c>
      <c r="E177" s="300"/>
      <c r="F177" s="300"/>
      <c r="G177" s="300" t="s">
        <v>3236</v>
      </c>
      <c r="H177" s="300" t="s">
        <v>2523</v>
      </c>
      <c r="I177" s="300" t="s">
        <v>3237</v>
      </c>
      <c r="J177" s="300" t="s">
        <v>3238</v>
      </c>
    </row>
    <row r="178" customFormat="false" ht="37.3" hidden="false" customHeight="false" outlineLevel="0" collapsed="false">
      <c r="A178" s="300" t="s">
        <v>3231</v>
      </c>
      <c r="B178" s="300" t="s">
        <v>2406</v>
      </c>
      <c r="C178" s="300" t="s">
        <v>2531</v>
      </c>
      <c r="D178" s="300" t="s">
        <v>2532</v>
      </c>
      <c r="E178" s="300"/>
      <c r="F178" s="300"/>
      <c r="G178" s="300" t="s">
        <v>3239</v>
      </c>
      <c r="H178" s="300" t="s">
        <v>2523</v>
      </c>
      <c r="I178" s="300" t="s">
        <v>3240</v>
      </c>
      <c r="J178" s="300" t="s">
        <v>3241</v>
      </c>
    </row>
    <row r="179" customFormat="false" ht="37.3" hidden="false" customHeight="false" outlineLevel="0" collapsed="false">
      <c r="A179" s="300" t="s">
        <v>3231</v>
      </c>
      <c r="B179" s="300" t="s">
        <v>2406</v>
      </c>
      <c r="C179" s="300" t="s">
        <v>2536</v>
      </c>
      <c r="D179" s="300" t="s">
        <v>2532</v>
      </c>
      <c r="E179" s="300"/>
      <c r="F179" s="300"/>
      <c r="G179" s="300" t="s">
        <v>3242</v>
      </c>
      <c r="H179" s="300" t="s">
        <v>2523</v>
      </c>
      <c r="I179" s="300" t="s">
        <v>3243</v>
      </c>
      <c r="J179" s="300" t="s">
        <v>3244</v>
      </c>
    </row>
    <row r="180" customFormat="false" ht="61.15" hidden="false" customHeight="false" outlineLevel="0" collapsed="false">
      <c r="A180" s="300" t="s">
        <v>3231</v>
      </c>
      <c r="B180" s="300" t="s">
        <v>2406</v>
      </c>
      <c r="C180" s="300" t="s">
        <v>2540</v>
      </c>
      <c r="D180" s="300" t="s">
        <v>2519</v>
      </c>
      <c r="E180" s="300" t="s">
        <v>3245</v>
      </c>
      <c r="F180" s="300" t="s">
        <v>3246</v>
      </c>
      <c r="G180" s="300" t="s">
        <v>3247</v>
      </c>
      <c r="H180" s="300" t="s">
        <v>2549</v>
      </c>
      <c r="I180" s="300" t="s">
        <v>3248</v>
      </c>
      <c r="J180" s="300" t="s">
        <v>3249</v>
      </c>
    </row>
    <row r="181" customFormat="false" ht="97" hidden="false" customHeight="false" outlineLevel="0" collapsed="false">
      <c r="A181" s="300" t="s">
        <v>3231</v>
      </c>
      <c r="B181" s="300" t="s">
        <v>2406</v>
      </c>
      <c r="C181" s="300" t="s">
        <v>2545</v>
      </c>
      <c r="D181" s="300" t="s">
        <v>2546</v>
      </c>
      <c r="E181" s="300"/>
      <c r="F181" s="300" t="s">
        <v>3250</v>
      </c>
      <c r="G181" s="300" t="s">
        <v>3251</v>
      </c>
      <c r="H181" s="300" t="s">
        <v>2549</v>
      </c>
      <c r="I181" s="300" t="s">
        <v>3252</v>
      </c>
      <c r="J181" s="300" t="s">
        <v>3253</v>
      </c>
    </row>
    <row r="182" customFormat="false" ht="61.15" hidden="false" customHeight="false" outlineLevel="0" collapsed="false">
      <c r="A182" s="300" t="s">
        <v>3254</v>
      </c>
      <c r="B182" s="300" t="s">
        <v>3255</v>
      </c>
      <c r="C182" s="300" t="s">
        <v>702</v>
      </c>
      <c r="D182" s="300" t="s">
        <v>2519</v>
      </c>
      <c r="E182" s="300" t="s">
        <v>3255</v>
      </c>
      <c r="F182" s="300" t="s">
        <v>3256</v>
      </c>
      <c r="G182" s="300" t="s">
        <v>3257</v>
      </c>
      <c r="H182" s="300" t="s">
        <v>2523</v>
      </c>
      <c r="I182" s="300" t="s">
        <v>3258</v>
      </c>
      <c r="J182" s="300" t="s">
        <v>3259</v>
      </c>
    </row>
    <row r="183" customFormat="false" ht="73.1" hidden="false" customHeight="false" outlineLevel="0" collapsed="false">
      <c r="A183" s="300" t="s">
        <v>3254</v>
      </c>
      <c r="B183" s="300" t="s">
        <v>3255</v>
      </c>
      <c r="C183" s="300" t="s">
        <v>703</v>
      </c>
      <c r="D183" s="300" t="s">
        <v>2532</v>
      </c>
      <c r="E183" s="300"/>
      <c r="F183" s="300"/>
      <c r="G183" s="300" t="s">
        <v>3260</v>
      </c>
      <c r="H183" s="300" t="s">
        <v>2549</v>
      </c>
      <c r="I183" s="300" t="s">
        <v>3261</v>
      </c>
      <c r="J183" s="300" t="s">
        <v>3262</v>
      </c>
    </row>
    <row r="184" customFormat="false" ht="73.1" hidden="false" customHeight="false" outlineLevel="0" collapsed="false">
      <c r="A184" s="300" t="s">
        <v>3254</v>
      </c>
      <c r="B184" s="300" t="s">
        <v>3255</v>
      </c>
      <c r="C184" s="300" t="s">
        <v>2531</v>
      </c>
      <c r="D184" s="300" t="s">
        <v>2519</v>
      </c>
      <c r="E184" s="300" t="s">
        <v>3263</v>
      </c>
      <c r="F184" s="300" t="s">
        <v>3264</v>
      </c>
      <c r="G184" s="300" t="s">
        <v>3265</v>
      </c>
      <c r="H184" s="300" t="s">
        <v>2549</v>
      </c>
      <c r="I184" s="300" t="s">
        <v>3266</v>
      </c>
      <c r="J184" s="300" t="s">
        <v>3267</v>
      </c>
    </row>
    <row r="185" customFormat="false" ht="85.05" hidden="false" customHeight="false" outlineLevel="0" collapsed="false">
      <c r="A185" s="300" t="s">
        <v>3254</v>
      </c>
      <c r="B185" s="300" t="s">
        <v>3255</v>
      </c>
      <c r="C185" s="300" t="s">
        <v>2536</v>
      </c>
      <c r="D185" s="300" t="s">
        <v>2532</v>
      </c>
      <c r="E185" s="300"/>
      <c r="F185" s="300"/>
      <c r="G185" s="300" t="s">
        <v>3268</v>
      </c>
      <c r="H185" s="300" t="s">
        <v>2549</v>
      </c>
      <c r="I185" s="300" t="s">
        <v>3269</v>
      </c>
      <c r="J185" s="300" t="s">
        <v>3270</v>
      </c>
    </row>
    <row r="186" customFormat="false" ht="49.25" hidden="false" customHeight="false" outlineLevel="0" collapsed="false">
      <c r="A186" s="300" t="s">
        <v>3254</v>
      </c>
      <c r="B186" s="300" t="s">
        <v>3255</v>
      </c>
      <c r="C186" s="300" t="s">
        <v>2540</v>
      </c>
      <c r="D186" s="300" t="s">
        <v>2624</v>
      </c>
      <c r="E186" s="300" t="s">
        <v>3271</v>
      </c>
      <c r="F186" s="300" t="s">
        <v>3272</v>
      </c>
      <c r="G186" s="300"/>
      <c r="H186" s="300" t="s">
        <v>2523</v>
      </c>
      <c r="I186" s="300" t="s">
        <v>3273</v>
      </c>
      <c r="J186" s="300" t="s">
        <v>3274</v>
      </c>
    </row>
    <row r="187" customFormat="false" ht="132.8" hidden="false" customHeight="false" outlineLevel="0" collapsed="false">
      <c r="A187" s="300" t="s">
        <v>3254</v>
      </c>
      <c r="B187" s="300" t="s">
        <v>3255</v>
      </c>
      <c r="C187" s="300" t="s">
        <v>2545</v>
      </c>
      <c r="D187" s="300" t="s">
        <v>2546</v>
      </c>
      <c r="E187" s="300"/>
      <c r="F187" s="300" t="s">
        <v>3275</v>
      </c>
      <c r="G187" s="300" t="s">
        <v>3276</v>
      </c>
      <c r="H187" s="300" t="s">
        <v>2549</v>
      </c>
      <c r="I187" s="300" t="s">
        <v>3277</v>
      </c>
      <c r="J187" s="300" t="s">
        <v>3278</v>
      </c>
    </row>
    <row r="188" customFormat="false" ht="97" hidden="false" customHeight="false" outlineLevel="0" collapsed="false">
      <c r="A188" s="300" t="s">
        <v>3279</v>
      </c>
      <c r="B188" s="300" t="s">
        <v>3280</v>
      </c>
      <c r="C188" s="300" t="s">
        <v>702</v>
      </c>
      <c r="D188" s="300" t="s">
        <v>2519</v>
      </c>
      <c r="E188" s="300" t="s">
        <v>3280</v>
      </c>
      <c r="F188" s="300" t="s">
        <v>3281</v>
      </c>
      <c r="G188" s="300" t="s">
        <v>3282</v>
      </c>
      <c r="H188" s="300" t="s">
        <v>2523</v>
      </c>
      <c r="I188" s="300" t="s">
        <v>3283</v>
      </c>
      <c r="J188" s="300" t="s">
        <v>3284</v>
      </c>
    </row>
    <row r="189" customFormat="false" ht="61.15" hidden="false" customHeight="false" outlineLevel="0" collapsed="false">
      <c r="A189" s="300" t="s">
        <v>3279</v>
      </c>
      <c r="B189" s="300" t="s">
        <v>3280</v>
      </c>
      <c r="C189" s="300" t="s">
        <v>703</v>
      </c>
      <c r="D189" s="300" t="s">
        <v>2532</v>
      </c>
      <c r="E189" s="300"/>
      <c r="F189" s="300"/>
      <c r="G189" s="300" t="s">
        <v>3285</v>
      </c>
      <c r="H189" s="300" t="s">
        <v>2523</v>
      </c>
      <c r="I189" s="300" t="s">
        <v>3286</v>
      </c>
      <c r="J189" s="300" t="s">
        <v>3287</v>
      </c>
    </row>
    <row r="190" customFormat="false" ht="73.1" hidden="false" customHeight="false" outlineLevel="0" collapsed="false">
      <c r="A190" s="300" t="s">
        <v>3279</v>
      </c>
      <c r="B190" s="300" t="s">
        <v>3280</v>
      </c>
      <c r="C190" s="300" t="s">
        <v>2531</v>
      </c>
      <c r="D190" s="300" t="s">
        <v>2532</v>
      </c>
      <c r="E190" s="300"/>
      <c r="F190" s="300"/>
      <c r="G190" s="300" t="s">
        <v>3288</v>
      </c>
      <c r="H190" s="300" t="s">
        <v>2523</v>
      </c>
      <c r="I190" s="300" t="s">
        <v>3289</v>
      </c>
      <c r="J190" s="300" t="s">
        <v>3290</v>
      </c>
    </row>
    <row r="191" customFormat="false" ht="73.1" hidden="false" customHeight="false" outlineLevel="0" collapsed="false">
      <c r="A191" s="300" t="s">
        <v>3279</v>
      </c>
      <c r="B191" s="300" t="s">
        <v>3280</v>
      </c>
      <c r="C191" s="300" t="s">
        <v>2536</v>
      </c>
      <c r="D191" s="300" t="s">
        <v>2532</v>
      </c>
      <c r="E191" s="300"/>
      <c r="F191" s="300"/>
      <c r="G191" s="300" t="s">
        <v>3291</v>
      </c>
      <c r="H191" s="300" t="s">
        <v>2523</v>
      </c>
      <c r="I191" s="300" t="s">
        <v>3292</v>
      </c>
      <c r="J191" s="300" t="s">
        <v>3293</v>
      </c>
    </row>
    <row r="192" customFormat="false" ht="73.1" hidden="false" customHeight="false" outlineLevel="0" collapsed="false">
      <c r="A192" s="300" t="s">
        <v>3279</v>
      </c>
      <c r="B192" s="300" t="s">
        <v>3280</v>
      </c>
      <c r="C192" s="300" t="s">
        <v>2540</v>
      </c>
      <c r="D192" s="300" t="s">
        <v>2546</v>
      </c>
      <c r="E192" s="300" t="s">
        <v>3223</v>
      </c>
      <c r="F192" s="300" t="s">
        <v>3294</v>
      </c>
      <c r="G192" s="300" t="s">
        <v>3295</v>
      </c>
      <c r="H192" s="300" t="s">
        <v>2523</v>
      </c>
      <c r="I192" s="300" t="s">
        <v>3296</v>
      </c>
      <c r="J192" s="300" t="s">
        <v>3297</v>
      </c>
    </row>
    <row r="193" customFormat="false" ht="108.95" hidden="false" customHeight="false" outlineLevel="0" collapsed="false">
      <c r="A193" s="300" t="s">
        <v>3279</v>
      </c>
      <c r="B193" s="300" t="s">
        <v>3280</v>
      </c>
      <c r="C193" s="300" t="s">
        <v>2545</v>
      </c>
      <c r="D193" s="300" t="s">
        <v>2546</v>
      </c>
      <c r="E193" s="300"/>
      <c r="F193" s="300" t="s">
        <v>3298</v>
      </c>
      <c r="G193" s="300" t="s">
        <v>3282</v>
      </c>
      <c r="H193" s="300" t="s">
        <v>2523</v>
      </c>
      <c r="I193" s="300" t="s">
        <v>3299</v>
      </c>
      <c r="J193" s="300" t="s">
        <v>3300</v>
      </c>
    </row>
    <row r="194" customFormat="false" ht="61.15" hidden="false" customHeight="false" outlineLevel="0" collapsed="false">
      <c r="A194" s="300" t="s">
        <v>3301</v>
      </c>
      <c r="B194" s="300" t="s">
        <v>3302</v>
      </c>
      <c r="C194" s="300" t="s">
        <v>702</v>
      </c>
      <c r="D194" s="300" t="s">
        <v>2532</v>
      </c>
      <c r="E194" s="300"/>
      <c r="F194" s="300"/>
      <c r="G194" s="300" t="s">
        <v>3303</v>
      </c>
      <c r="H194" s="300" t="s">
        <v>2523</v>
      </c>
      <c r="I194" s="300" t="s">
        <v>3304</v>
      </c>
      <c r="J194" s="300" t="s">
        <v>3305</v>
      </c>
    </row>
    <row r="195" customFormat="false" ht="49.25" hidden="false" customHeight="false" outlineLevel="0" collapsed="false">
      <c r="A195" s="300" t="s">
        <v>3301</v>
      </c>
      <c r="B195" s="300" t="s">
        <v>3302</v>
      </c>
      <c r="C195" s="300" t="s">
        <v>703</v>
      </c>
      <c r="D195" s="300" t="s">
        <v>2532</v>
      </c>
      <c r="E195" s="300"/>
      <c r="F195" s="300"/>
      <c r="G195" s="300" t="s">
        <v>3306</v>
      </c>
      <c r="H195" s="300" t="s">
        <v>2549</v>
      </c>
      <c r="I195" s="300" t="s">
        <v>3307</v>
      </c>
      <c r="J195" s="300" t="s">
        <v>3308</v>
      </c>
    </row>
    <row r="196" customFormat="false" ht="73.1" hidden="false" customHeight="false" outlineLevel="0" collapsed="false">
      <c r="A196" s="300" t="s">
        <v>3301</v>
      </c>
      <c r="B196" s="300" t="s">
        <v>3302</v>
      </c>
      <c r="C196" s="300" t="s">
        <v>2531</v>
      </c>
      <c r="D196" s="300" t="s">
        <v>2532</v>
      </c>
      <c r="E196" s="300"/>
      <c r="F196" s="300"/>
      <c r="G196" s="300" t="s">
        <v>3309</v>
      </c>
      <c r="H196" s="300" t="s">
        <v>2549</v>
      </c>
      <c r="I196" s="300" t="s">
        <v>3310</v>
      </c>
      <c r="J196" s="300" t="s">
        <v>3311</v>
      </c>
    </row>
    <row r="197" customFormat="false" ht="61.15" hidden="false" customHeight="false" outlineLevel="0" collapsed="false">
      <c r="A197" s="300" t="s">
        <v>3301</v>
      </c>
      <c r="B197" s="300" t="s">
        <v>3302</v>
      </c>
      <c r="C197" s="300" t="s">
        <v>2536</v>
      </c>
      <c r="D197" s="300" t="s">
        <v>2532</v>
      </c>
      <c r="E197" s="300"/>
      <c r="F197" s="300"/>
      <c r="G197" s="300" t="s">
        <v>3312</v>
      </c>
      <c r="H197" s="300" t="s">
        <v>2549</v>
      </c>
      <c r="I197" s="300" t="s">
        <v>3313</v>
      </c>
      <c r="J197" s="300" t="s">
        <v>3314</v>
      </c>
    </row>
    <row r="198" customFormat="false" ht="61.15" hidden="false" customHeight="false" outlineLevel="0" collapsed="false">
      <c r="A198" s="300" t="s">
        <v>3301</v>
      </c>
      <c r="B198" s="300" t="s">
        <v>3302</v>
      </c>
      <c r="C198" s="300" t="s">
        <v>2540</v>
      </c>
      <c r="D198" s="300" t="s">
        <v>2532</v>
      </c>
      <c r="E198" s="300"/>
      <c r="F198" s="300"/>
      <c r="G198" s="300" t="s">
        <v>3315</v>
      </c>
      <c r="H198" s="300" t="s">
        <v>2549</v>
      </c>
      <c r="I198" s="300" t="s">
        <v>3316</v>
      </c>
      <c r="J198" s="300" t="s">
        <v>3317</v>
      </c>
    </row>
    <row r="199" customFormat="false" ht="97" hidden="false" customHeight="false" outlineLevel="0" collapsed="false">
      <c r="A199" s="300" t="s">
        <v>3301</v>
      </c>
      <c r="B199" s="300" t="s">
        <v>3302</v>
      </c>
      <c r="C199" s="300" t="s">
        <v>2545</v>
      </c>
      <c r="D199" s="300" t="s">
        <v>2546</v>
      </c>
      <c r="E199" s="300"/>
      <c r="F199" s="300" t="s">
        <v>3318</v>
      </c>
      <c r="G199" s="300" t="s">
        <v>3319</v>
      </c>
      <c r="H199" s="300" t="s">
        <v>2549</v>
      </c>
      <c r="I199" s="300" t="s">
        <v>3320</v>
      </c>
      <c r="J199" s="300" t="s">
        <v>3321</v>
      </c>
    </row>
    <row r="200" customFormat="false" ht="85.05" hidden="false" customHeight="false" outlineLevel="0" collapsed="false">
      <c r="A200" s="300" t="s">
        <v>3322</v>
      </c>
      <c r="B200" s="300" t="s">
        <v>3323</v>
      </c>
      <c r="C200" s="300" t="s">
        <v>702</v>
      </c>
      <c r="D200" s="300" t="s">
        <v>2519</v>
      </c>
      <c r="E200" s="300" t="s">
        <v>3324</v>
      </c>
      <c r="F200" s="300" t="s">
        <v>3325</v>
      </c>
      <c r="G200" s="300" t="s">
        <v>3326</v>
      </c>
      <c r="H200" s="300" t="s">
        <v>2549</v>
      </c>
      <c r="I200" s="300" t="s">
        <v>3327</v>
      </c>
      <c r="J200" s="300" t="s">
        <v>3328</v>
      </c>
    </row>
    <row r="201" customFormat="false" ht="49.25" hidden="false" customHeight="false" outlineLevel="0" collapsed="false">
      <c r="A201" s="300" t="s">
        <v>3322</v>
      </c>
      <c r="B201" s="300" t="s">
        <v>3323</v>
      </c>
      <c r="C201" s="300" t="s">
        <v>703</v>
      </c>
      <c r="D201" s="300" t="s">
        <v>2519</v>
      </c>
      <c r="E201" s="300" t="s">
        <v>1199</v>
      </c>
      <c r="F201" s="300" t="s">
        <v>3329</v>
      </c>
      <c r="G201" s="300" t="s">
        <v>3330</v>
      </c>
      <c r="H201" s="300" t="s">
        <v>2549</v>
      </c>
      <c r="I201" s="300" t="s">
        <v>3331</v>
      </c>
      <c r="J201" s="300" t="s">
        <v>3332</v>
      </c>
    </row>
    <row r="202" customFormat="false" ht="61.15" hidden="false" customHeight="false" outlineLevel="0" collapsed="false">
      <c r="A202" s="300" t="s">
        <v>3322</v>
      </c>
      <c r="B202" s="300" t="s">
        <v>3323</v>
      </c>
      <c r="C202" s="300" t="s">
        <v>2531</v>
      </c>
      <c r="D202" s="300" t="s">
        <v>2532</v>
      </c>
      <c r="E202" s="300"/>
      <c r="F202" s="300"/>
      <c r="G202" s="300" t="s">
        <v>3333</v>
      </c>
      <c r="H202" s="300" t="s">
        <v>2523</v>
      </c>
      <c r="I202" s="300" t="s">
        <v>3334</v>
      </c>
      <c r="J202" s="300" t="s">
        <v>3335</v>
      </c>
    </row>
    <row r="203" customFormat="false" ht="85.05" hidden="false" customHeight="false" outlineLevel="0" collapsed="false">
      <c r="A203" s="300" t="s">
        <v>3322</v>
      </c>
      <c r="B203" s="300" t="s">
        <v>3323</v>
      </c>
      <c r="C203" s="300" t="s">
        <v>2536</v>
      </c>
      <c r="D203" s="300" t="s">
        <v>2546</v>
      </c>
      <c r="E203" s="300"/>
      <c r="F203" s="300" t="s">
        <v>3336</v>
      </c>
      <c r="G203" s="300" t="s">
        <v>3337</v>
      </c>
      <c r="H203" s="300" t="s">
        <v>2549</v>
      </c>
      <c r="I203" s="300" t="s">
        <v>3338</v>
      </c>
      <c r="J203" s="300" t="s">
        <v>3339</v>
      </c>
    </row>
    <row r="204" customFormat="false" ht="61.15" hidden="false" customHeight="false" outlineLevel="0" collapsed="false">
      <c r="A204" s="300" t="s">
        <v>3322</v>
      </c>
      <c r="B204" s="300" t="s">
        <v>3323</v>
      </c>
      <c r="C204" s="300" t="s">
        <v>2540</v>
      </c>
      <c r="D204" s="300" t="s">
        <v>2631</v>
      </c>
      <c r="E204" s="300" t="s">
        <v>3340</v>
      </c>
      <c r="F204" s="300" t="s">
        <v>3341</v>
      </c>
      <c r="G204" s="300"/>
      <c r="H204" s="300" t="s">
        <v>2631</v>
      </c>
      <c r="I204" s="300" t="s">
        <v>3341</v>
      </c>
      <c r="J204" s="300" t="s">
        <v>3342</v>
      </c>
    </row>
    <row r="205" customFormat="false" ht="85.05" hidden="false" customHeight="false" outlineLevel="0" collapsed="false">
      <c r="A205" s="300" t="s">
        <v>3322</v>
      </c>
      <c r="B205" s="300" t="s">
        <v>3323</v>
      </c>
      <c r="C205" s="300" t="s">
        <v>2545</v>
      </c>
      <c r="D205" s="300" t="s">
        <v>2546</v>
      </c>
      <c r="E205" s="300"/>
      <c r="F205" s="300" t="s">
        <v>3343</v>
      </c>
      <c r="G205" s="300" t="s">
        <v>3344</v>
      </c>
      <c r="H205" s="300" t="s">
        <v>2549</v>
      </c>
      <c r="I205" s="300" t="s">
        <v>3345</v>
      </c>
      <c r="J205" s="300" t="s">
        <v>3346</v>
      </c>
    </row>
    <row r="206" customFormat="false" ht="49.25" hidden="false" customHeight="false" outlineLevel="0" collapsed="false">
      <c r="A206" s="300" t="s">
        <v>3347</v>
      </c>
      <c r="B206" s="300" t="s">
        <v>3348</v>
      </c>
      <c r="C206" s="300" t="s">
        <v>702</v>
      </c>
      <c r="D206" s="300" t="s">
        <v>2532</v>
      </c>
      <c r="E206" s="300"/>
      <c r="F206" s="300"/>
      <c r="G206" s="300" t="s">
        <v>3349</v>
      </c>
      <c r="H206" s="300" t="s">
        <v>2549</v>
      </c>
      <c r="I206" s="300" t="s">
        <v>3350</v>
      </c>
      <c r="J206" s="300" t="s">
        <v>3351</v>
      </c>
    </row>
    <row r="207" customFormat="false" ht="25.35" hidden="false" customHeight="false" outlineLevel="0" collapsed="false">
      <c r="A207" s="300" t="s">
        <v>3347</v>
      </c>
      <c r="B207" s="300" t="s">
        <v>3348</v>
      </c>
      <c r="C207" s="300" t="s">
        <v>703</v>
      </c>
      <c r="D207" s="300" t="s">
        <v>2532</v>
      </c>
      <c r="E207" s="300"/>
      <c r="F207" s="300"/>
      <c r="G207" s="300" t="s">
        <v>1203</v>
      </c>
      <c r="H207" s="300" t="s">
        <v>2549</v>
      </c>
      <c r="I207" s="300" t="s">
        <v>3352</v>
      </c>
      <c r="J207" s="300" t="s">
        <v>3353</v>
      </c>
    </row>
    <row r="208" customFormat="false" ht="85.05" hidden="false" customHeight="false" outlineLevel="0" collapsed="false">
      <c r="A208" s="300" t="s">
        <v>3347</v>
      </c>
      <c r="B208" s="300" t="s">
        <v>3348</v>
      </c>
      <c r="C208" s="300" t="s">
        <v>2531</v>
      </c>
      <c r="D208" s="300" t="s">
        <v>2631</v>
      </c>
      <c r="E208" s="300" t="s">
        <v>3354</v>
      </c>
      <c r="F208" s="300" t="s">
        <v>3355</v>
      </c>
      <c r="G208" s="300"/>
      <c r="H208" s="300" t="s">
        <v>2631</v>
      </c>
      <c r="I208" s="300" t="s">
        <v>3355</v>
      </c>
      <c r="J208" s="300" t="s">
        <v>3356</v>
      </c>
    </row>
    <row r="209" customFormat="false" ht="61.15" hidden="false" customHeight="false" outlineLevel="0" collapsed="false">
      <c r="A209" s="300" t="s">
        <v>3347</v>
      </c>
      <c r="B209" s="300" t="s">
        <v>3348</v>
      </c>
      <c r="C209" s="300" t="s">
        <v>2536</v>
      </c>
      <c r="D209" s="300" t="s">
        <v>2546</v>
      </c>
      <c r="E209" s="300"/>
      <c r="F209" s="300" t="s">
        <v>3357</v>
      </c>
      <c r="G209" s="300" t="s">
        <v>3358</v>
      </c>
      <c r="H209" s="300" t="s">
        <v>2542</v>
      </c>
      <c r="I209" s="300" t="s">
        <v>3359</v>
      </c>
      <c r="J209" s="300" t="s">
        <v>3360</v>
      </c>
    </row>
    <row r="210" customFormat="false" ht="37.3" hidden="false" customHeight="false" outlineLevel="0" collapsed="false">
      <c r="A210" s="300" t="s">
        <v>3347</v>
      </c>
      <c r="B210" s="300" t="s">
        <v>3348</v>
      </c>
      <c r="C210" s="300" t="s">
        <v>2540</v>
      </c>
      <c r="D210" s="300" t="s">
        <v>2546</v>
      </c>
      <c r="E210" s="300"/>
      <c r="F210" s="300" t="s">
        <v>3361</v>
      </c>
      <c r="G210" s="300" t="s">
        <v>1203</v>
      </c>
      <c r="H210" s="300" t="s">
        <v>2549</v>
      </c>
      <c r="I210" s="300" t="s">
        <v>3362</v>
      </c>
      <c r="J210" s="300" t="s">
        <v>3363</v>
      </c>
    </row>
    <row r="211" customFormat="false" ht="61.15" hidden="false" customHeight="false" outlineLevel="0" collapsed="false">
      <c r="A211" s="300" t="s">
        <v>3347</v>
      </c>
      <c r="B211" s="300" t="s">
        <v>3348</v>
      </c>
      <c r="C211" s="300" t="s">
        <v>2545</v>
      </c>
      <c r="D211" s="300" t="s">
        <v>2546</v>
      </c>
      <c r="E211" s="300"/>
      <c r="F211" s="300" t="s">
        <v>3364</v>
      </c>
      <c r="G211" s="300" t="s">
        <v>1203</v>
      </c>
      <c r="H211" s="300" t="s">
        <v>2549</v>
      </c>
      <c r="I211" s="300" t="s">
        <v>3365</v>
      </c>
      <c r="J211" s="300" t="s">
        <v>3366</v>
      </c>
    </row>
    <row r="212" customFormat="false" ht="85.05" hidden="false" customHeight="false" outlineLevel="0" collapsed="false">
      <c r="A212" s="300" t="s">
        <v>3367</v>
      </c>
      <c r="B212" s="300" t="s">
        <v>3368</v>
      </c>
      <c r="C212" s="300" t="s">
        <v>702</v>
      </c>
      <c r="D212" s="300" t="s">
        <v>2546</v>
      </c>
      <c r="E212" s="300" t="s">
        <v>3368</v>
      </c>
      <c r="F212" s="300" t="s">
        <v>3369</v>
      </c>
      <c r="G212" s="300" t="s">
        <v>3370</v>
      </c>
      <c r="H212" s="300" t="s">
        <v>2523</v>
      </c>
      <c r="I212" s="300" t="s">
        <v>3371</v>
      </c>
      <c r="J212" s="300" t="s">
        <v>3372</v>
      </c>
    </row>
    <row r="213" customFormat="false" ht="61.15" hidden="false" customHeight="false" outlineLevel="0" collapsed="false">
      <c r="A213" s="300" t="s">
        <v>3367</v>
      </c>
      <c r="B213" s="300" t="s">
        <v>3368</v>
      </c>
      <c r="C213" s="300" t="s">
        <v>703</v>
      </c>
      <c r="D213" s="300" t="s">
        <v>2519</v>
      </c>
      <c r="E213" s="300" t="s">
        <v>3373</v>
      </c>
      <c r="F213" s="300" t="s">
        <v>3374</v>
      </c>
      <c r="G213" s="300" t="s">
        <v>3375</v>
      </c>
      <c r="H213" s="300" t="s">
        <v>2549</v>
      </c>
      <c r="I213" s="300" t="s">
        <v>3376</v>
      </c>
      <c r="J213" s="300" t="s">
        <v>3377</v>
      </c>
    </row>
    <row r="214" customFormat="false" ht="61.15" hidden="false" customHeight="false" outlineLevel="0" collapsed="false">
      <c r="A214" s="300" t="s">
        <v>3367</v>
      </c>
      <c r="B214" s="300" t="s">
        <v>3368</v>
      </c>
      <c r="C214" s="300" t="s">
        <v>2531</v>
      </c>
      <c r="D214" s="300" t="s">
        <v>2546</v>
      </c>
      <c r="E214" s="300" t="s">
        <v>732</v>
      </c>
      <c r="F214" s="300" t="s">
        <v>3378</v>
      </c>
      <c r="G214" s="300" t="s">
        <v>3379</v>
      </c>
      <c r="H214" s="300" t="s">
        <v>2523</v>
      </c>
      <c r="I214" s="300" t="s">
        <v>3380</v>
      </c>
      <c r="J214" s="300" t="s">
        <v>3381</v>
      </c>
    </row>
    <row r="215" customFormat="false" ht="73.1" hidden="false" customHeight="false" outlineLevel="0" collapsed="false">
      <c r="A215" s="300" t="s">
        <v>3367</v>
      </c>
      <c r="B215" s="300" t="s">
        <v>3368</v>
      </c>
      <c r="C215" s="300" t="s">
        <v>2536</v>
      </c>
      <c r="D215" s="300" t="s">
        <v>2546</v>
      </c>
      <c r="E215" s="300"/>
      <c r="F215" s="300" t="s">
        <v>3382</v>
      </c>
      <c r="G215" s="300" t="s">
        <v>3383</v>
      </c>
      <c r="H215" s="300" t="s">
        <v>2523</v>
      </c>
      <c r="I215" s="300" t="s">
        <v>3384</v>
      </c>
      <c r="J215" s="300" t="s">
        <v>3385</v>
      </c>
    </row>
    <row r="216" customFormat="false" ht="49.25" hidden="false" customHeight="false" outlineLevel="0" collapsed="false">
      <c r="A216" s="300" t="s">
        <v>3367</v>
      </c>
      <c r="B216" s="300" t="s">
        <v>3368</v>
      </c>
      <c r="C216" s="300" t="s">
        <v>2540</v>
      </c>
      <c r="D216" s="300" t="s">
        <v>2546</v>
      </c>
      <c r="E216" s="300"/>
      <c r="F216" s="300" t="s">
        <v>3386</v>
      </c>
      <c r="G216" s="300" t="s">
        <v>3387</v>
      </c>
      <c r="H216" s="300" t="s">
        <v>2549</v>
      </c>
      <c r="I216" s="300" t="s">
        <v>3388</v>
      </c>
      <c r="J216" s="300" t="s">
        <v>3389</v>
      </c>
    </row>
    <row r="217" customFormat="false" ht="120.85" hidden="false" customHeight="false" outlineLevel="0" collapsed="false">
      <c r="A217" s="300" t="s">
        <v>3367</v>
      </c>
      <c r="B217" s="300" t="s">
        <v>3368</v>
      </c>
      <c r="C217" s="300" t="s">
        <v>2545</v>
      </c>
      <c r="D217" s="300" t="s">
        <v>2546</v>
      </c>
      <c r="E217" s="300"/>
      <c r="F217" s="300" t="s">
        <v>3390</v>
      </c>
      <c r="G217" s="300" t="s">
        <v>3391</v>
      </c>
      <c r="H217" s="300" t="s">
        <v>2549</v>
      </c>
      <c r="I217" s="300" t="s">
        <v>3392</v>
      </c>
      <c r="J217" s="300" t="s">
        <v>3393</v>
      </c>
    </row>
    <row r="218" customFormat="false" ht="97" hidden="false" customHeight="false" outlineLevel="0" collapsed="false">
      <c r="A218" s="300" t="s">
        <v>3394</v>
      </c>
      <c r="B218" s="300" t="s">
        <v>1221</v>
      </c>
      <c r="C218" s="300" t="s">
        <v>702</v>
      </c>
      <c r="D218" s="300" t="s">
        <v>2532</v>
      </c>
      <c r="E218" s="300"/>
      <c r="F218" s="300"/>
      <c r="G218" s="300" t="s">
        <v>3395</v>
      </c>
      <c r="H218" s="300" t="s">
        <v>2523</v>
      </c>
      <c r="I218" s="300" t="s">
        <v>3396</v>
      </c>
      <c r="J218" s="300" t="s">
        <v>3397</v>
      </c>
    </row>
    <row r="219" customFormat="false" ht="85.05" hidden="false" customHeight="false" outlineLevel="0" collapsed="false">
      <c r="A219" s="300" t="s">
        <v>3394</v>
      </c>
      <c r="B219" s="300" t="s">
        <v>1221</v>
      </c>
      <c r="C219" s="300" t="s">
        <v>703</v>
      </c>
      <c r="D219" s="300" t="s">
        <v>2532</v>
      </c>
      <c r="E219" s="300"/>
      <c r="F219" s="300"/>
      <c r="G219" s="300" t="s">
        <v>3398</v>
      </c>
      <c r="H219" s="300" t="s">
        <v>2523</v>
      </c>
      <c r="I219" s="300" t="s">
        <v>3399</v>
      </c>
      <c r="J219" s="300" t="s">
        <v>3400</v>
      </c>
    </row>
    <row r="220" customFormat="false" ht="73.1" hidden="false" customHeight="false" outlineLevel="0" collapsed="false">
      <c r="A220" s="300" t="s">
        <v>3394</v>
      </c>
      <c r="B220" s="300" t="s">
        <v>1221</v>
      </c>
      <c r="C220" s="300" t="s">
        <v>2531</v>
      </c>
      <c r="D220" s="300" t="s">
        <v>2532</v>
      </c>
      <c r="E220" s="300"/>
      <c r="F220" s="300"/>
      <c r="G220" s="300" t="s">
        <v>3401</v>
      </c>
      <c r="H220" s="300" t="s">
        <v>2523</v>
      </c>
      <c r="I220" s="300" t="s">
        <v>3402</v>
      </c>
      <c r="J220" s="300" t="s">
        <v>3403</v>
      </c>
    </row>
    <row r="221" customFormat="false" ht="73.1" hidden="false" customHeight="false" outlineLevel="0" collapsed="false">
      <c r="A221" s="300" t="s">
        <v>3394</v>
      </c>
      <c r="B221" s="300" t="s">
        <v>1221</v>
      </c>
      <c r="C221" s="300" t="s">
        <v>2536</v>
      </c>
      <c r="D221" s="300" t="s">
        <v>2546</v>
      </c>
      <c r="E221" s="300"/>
      <c r="F221" s="300" t="s">
        <v>3404</v>
      </c>
      <c r="G221" s="300" t="s">
        <v>3405</v>
      </c>
      <c r="H221" s="300" t="s">
        <v>2523</v>
      </c>
      <c r="I221" s="300" t="s">
        <v>3406</v>
      </c>
      <c r="J221" s="300" t="s">
        <v>3407</v>
      </c>
    </row>
    <row r="222" customFormat="false" ht="97" hidden="false" customHeight="false" outlineLevel="0" collapsed="false">
      <c r="A222" s="300" t="s">
        <v>3394</v>
      </c>
      <c r="B222" s="300" t="s">
        <v>1221</v>
      </c>
      <c r="C222" s="300" t="s">
        <v>2540</v>
      </c>
      <c r="D222" s="300" t="s">
        <v>2546</v>
      </c>
      <c r="E222" s="300"/>
      <c r="F222" s="300" t="s">
        <v>3408</v>
      </c>
      <c r="G222" s="300" t="s">
        <v>3409</v>
      </c>
      <c r="H222" s="300" t="s">
        <v>2549</v>
      </c>
      <c r="I222" s="300" t="s">
        <v>3410</v>
      </c>
      <c r="J222" s="300" t="s">
        <v>3411</v>
      </c>
    </row>
    <row r="223" customFormat="false" ht="192.5" hidden="false" customHeight="false" outlineLevel="0" collapsed="false">
      <c r="A223" s="300" t="s">
        <v>3394</v>
      </c>
      <c r="B223" s="300" t="s">
        <v>1221</v>
      </c>
      <c r="C223" s="300" t="s">
        <v>2545</v>
      </c>
      <c r="D223" s="300" t="s">
        <v>2546</v>
      </c>
      <c r="E223" s="300"/>
      <c r="F223" s="300" t="s">
        <v>3412</v>
      </c>
      <c r="G223" s="300" t="s">
        <v>3413</v>
      </c>
      <c r="H223" s="300" t="s">
        <v>2549</v>
      </c>
      <c r="I223" s="300" t="s">
        <v>3414</v>
      </c>
      <c r="J223" s="300" t="s">
        <v>3415</v>
      </c>
    </row>
    <row r="224" customFormat="false" ht="108.95" hidden="false" customHeight="false" outlineLevel="0" collapsed="false">
      <c r="A224" s="300" t="s">
        <v>3416</v>
      </c>
      <c r="B224" s="300" t="s">
        <v>3417</v>
      </c>
      <c r="C224" s="300" t="s">
        <v>702</v>
      </c>
      <c r="D224" s="300" t="s">
        <v>2519</v>
      </c>
      <c r="E224" s="300" t="s">
        <v>3417</v>
      </c>
      <c r="F224" s="300" t="s">
        <v>3418</v>
      </c>
      <c r="G224" s="300" t="s">
        <v>3419</v>
      </c>
      <c r="H224" s="300" t="s">
        <v>2523</v>
      </c>
      <c r="I224" s="300" t="s">
        <v>3420</v>
      </c>
      <c r="J224" s="300" t="s">
        <v>3421</v>
      </c>
    </row>
    <row r="225" customFormat="false" ht="61.15" hidden="false" customHeight="false" outlineLevel="0" collapsed="false">
      <c r="A225" s="300" t="s">
        <v>3416</v>
      </c>
      <c r="B225" s="300" t="s">
        <v>3417</v>
      </c>
      <c r="C225" s="300" t="s">
        <v>703</v>
      </c>
      <c r="D225" s="300" t="s">
        <v>2519</v>
      </c>
      <c r="E225" s="300" t="s">
        <v>3422</v>
      </c>
      <c r="F225" s="300" t="s">
        <v>3423</v>
      </c>
      <c r="G225" s="300" t="s">
        <v>3424</v>
      </c>
      <c r="H225" s="300" t="s">
        <v>2542</v>
      </c>
      <c r="I225" s="300" t="s">
        <v>3425</v>
      </c>
      <c r="J225" s="300" t="s">
        <v>3426</v>
      </c>
    </row>
    <row r="226" customFormat="false" ht="85.05" hidden="false" customHeight="false" outlineLevel="0" collapsed="false">
      <c r="A226" s="300" t="s">
        <v>3416</v>
      </c>
      <c r="B226" s="300" t="s">
        <v>3417</v>
      </c>
      <c r="C226" s="300" t="s">
        <v>2531</v>
      </c>
      <c r="D226" s="300" t="s">
        <v>2631</v>
      </c>
      <c r="E226" s="300" t="s">
        <v>3427</v>
      </c>
      <c r="F226" s="300" t="s">
        <v>3428</v>
      </c>
      <c r="G226" s="300"/>
      <c r="H226" s="300" t="s">
        <v>2631</v>
      </c>
      <c r="I226" s="300" t="s">
        <v>3428</v>
      </c>
      <c r="J226" s="300" t="s">
        <v>3429</v>
      </c>
    </row>
    <row r="227" customFormat="false" ht="49.25" hidden="false" customHeight="false" outlineLevel="0" collapsed="false">
      <c r="A227" s="300" t="s">
        <v>3416</v>
      </c>
      <c r="B227" s="300" t="s">
        <v>3417</v>
      </c>
      <c r="C227" s="300" t="s">
        <v>2536</v>
      </c>
      <c r="D227" s="300" t="s">
        <v>2519</v>
      </c>
      <c r="E227" s="300" t="s">
        <v>3430</v>
      </c>
      <c r="F227" s="300" t="s">
        <v>3431</v>
      </c>
      <c r="G227" s="300" t="s">
        <v>3432</v>
      </c>
      <c r="H227" s="300" t="s">
        <v>2542</v>
      </c>
      <c r="I227" s="300" t="s">
        <v>3433</v>
      </c>
      <c r="J227" s="300" t="s">
        <v>3434</v>
      </c>
    </row>
    <row r="228" customFormat="false" ht="85.05" hidden="false" customHeight="false" outlineLevel="0" collapsed="false">
      <c r="A228" s="300" t="s">
        <v>3416</v>
      </c>
      <c r="B228" s="300" t="s">
        <v>3417</v>
      </c>
      <c r="C228" s="300" t="s">
        <v>2540</v>
      </c>
      <c r="D228" s="300" t="s">
        <v>2631</v>
      </c>
      <c r="E228" s="300" t="s">
        <v>3435</v>
      </c>
      <c r="F228" s="300" t="s">
        <v>3436</v>
      </c>
      <c r="G228" s="300"/>
      <c r="H228" s="300" t="s">
        <v>2631</v>
      </c>
      <c r="I228" s="300" t="s">
        <v>3436</v>
      </c>
      <c r="J228" s="300" t="s">
        <v>3437</v>
      </c>
    </row>
    <row r="229" customFormat="false" ht="132.8" hidden="false" customHeight="false" outlineLevel="0" collapsed="false">
      <c r="A229" s="300" t="s">
        <v>3416</v>
      </c>
      <c r="B229" s="300" t="s">
        <v>3417</v>
      </c>
      <c r="C229" s="300" t="s">
        <v>2545</v>
      </c>
      <c r="D229" s="300" t="s">
        <v>2546</v>
      </c>
      <c r="E229" s="300"/>
      <c r="F229" s="300" t="s">
        <v>3438</v>
      </c>
      <c r="G229" s="300" t="s">
        <v>3439</v>
      </c>
      <c r="H229" s="300" t="s">
        <v>2542</v>
      </c>
      <c r="I229" s="300" t="s">
        <v>3440</v>
      </c>
      <c r="J229" s="300" t="s">
        <v>3441</v>
      </c>
    </row>
    <row r="230" customFormat="false" ht="132.8" hidden="false" customHeight="false" outlineLevel="0" collapsed="false">
      <c r="A230" s="300" t="s">
        <v>3442</v>
      </c>
      <c r="B230" s="300" t="s">
        <v>3443</v>
      </c>
      <c r="C230" s="300" t="s">
        <v>3444</v>
      </c>
      <c r="D230" s="300" t="s">
        <v>2546</v>
      </c>
      <c r="E230" s="300"/>
      <c r="F230" s="300" t="s">
        <v>3445</v>
      </c>
      <c r="G230" s="300" t="s">
        <v>1254</v>
      </c>
      <c r="H230" s="300" t="s">
        <v>2523</v>
      </c>
      <c r="I230" s="300" t="s">
        <v>3446</v>
      </c>
      <c r="J230" s="300" t="s">
        <v>3447</v>
      </c>
    </row>
    <row r="231" customFormat="false" ht="144.75" hidden="false" customHeight="false" outlineLevel="0" collapsed="false">
      <c r="A231" s="300" t="s">
        <v>3448</v>
      </c>
      <c r="B231" s="300" t="s">
        <v>3449</v>
      </c>
      <c r="C231" s="300" t="s">
        <v>3444</v>
      </c>
      <c r="D231" s="300" t="s">
        <v>2546</v>
      </c>
      <c r="E231" s="300"/>
      <c r="F231" s="300" t="s">
        <v>3450</v>
      </c>
      <c r="G231" s="300" t="s">
        <v>1262</v>
      </c>
      <c r="H231" s="300" t="s">
        <v>2549</v>
      </c>
      <c r="I231" s="300" t="s">
        <v>3451</v>
      </c>
      <c r="J231" s="300" t="s">
        <v>3452</v>
      </c>
    </row>
    <row r="232" customFormat="false" ht="108.95" hidden="false" customHeight="false" outlineLevel="0" collapsed="false">
      <c r="A232" s="300" t="s">
        <v>3453</v>
      </c>
      <c r="B232" s="300" t="s">
        <v>3454</v>
      </c>
      <c r="C232" s="300" t="s">
        <v>3444</v>
      </c>
      <c r="D232" s="300" t="s">
        <v>2546</v>
      </c>
      <c r="E232" s="300"/>
      <c r="F232" s="300" t="s">
        <v>3455</v>
      </c>
      <c r="G232" s="300" t="s">
        <v>1270</v>
      </c>
      <c r="H232" s="300" t="s">
        <v>2549</v>
      </c>
      <c r="I232" s="300" t="s">
        <v>3456</v>
      </c>
      <c r="J232" s="300" t="s">
        <v>3457</v>
      </c>
    </row>
    <row r="233" customFormat="false" ht="120.85" hidden="false" customHeight="false" outlineLevel="0" collapsed="false">
      <c r="A233" s="300" t="s">
        <v>3458</v>
      </c>
      <c r="B233" s="300" t="s">
        <v>3459</v>
      </c>
      <c r="C233" s="300" t="s">
        <v>3444</v>
      </c>
      <c r="D233" s="300" t="s">
        <v>2546</v>
      </c>
      <c r="E233" s="300"/>
      <c r="F233" s="300" t="s">
        <v>3460</v>
      </c>
      <c r="G233" s="300" t="s">
        <v>1277</v>
      </c>
      <c r="H233" s="300" t="s">
        <v>2549</v>
      </c>
      <c r="I233" s="300" t="s">
        <v>3461</v>
      </c>
      <c r="J233" s="300" t="s">
        <v>3462</v>
      </c>
    </row>
    <row r="234" customFormat="false" ht="73.1" hidden="false" customHeight="false" outlineLevel="0" collapsed="false">
      <c r="A234" s="300" t="s">
        <v>3463</v>
      </c>
      <c r="B234" s="300" t="s">
        <v>2410</v>
      </c>
      <c r="C234" s="300" t="s">
        <v>702</v>
      </c>
      <c r="D234" s="300" t="s">
        <v>2519</v>
      </c>
      <c r="E234" s="300" t="s">
        <v>3464</v>
      </c>
      <c r="F234" s="300" t="s">
        <v>3465</v>
      </c>
      <c r="G234" s="300" t="s">
        <v>3466</v>
      </c>
      <c r="H234" s="300" t="s">
        <v>2549</v>
      </c>
      <c r="I234" s="300" t="s">
        <v>3467</v>
      </c>
      <c r="J234" s="300" t="s">
        <v>3468</v>
      </c>
    </row>
    <row r="235" customFormat="false" ht="73.1" hidden="false" customHeight="false" outlineLevel="0" collapsed="false">
      <c r="A235" s="300" t="s">
        <v>3463</v>
      </c>
      <c r="B235" s="300" t="s">
        <v>2410</v>
      </c>
      <c r="C235" s="300" t="s">
        <v>703</v>
      </c>
      <c r="D235" s="300" t="s">
        <v>2519</v>
      </c>
      <c r="E235" s="300" t="s">
        <v>3469</v>
      </c>
      <c r="F235" s="300" t="s">
        <v>3470</v>
      </c>
      <c r="G235" s="300" t="s">
        <v>3471</v>
      </c>
      <c r="H235" s="300" t="s">
        <v>2523</v>
      </c>
      <c r="I235" s="300" t="s">
        <v>3472</v>
      </c>
      <c r="J235" s="300" t="s">
        <v>3473</v>
      </c>
    </row>
    <row r="236" customFormat="false" ht="120.85" hidden="false" customHeight="false" outlineLevel="0" collapsed="false">
      <c r="A236" s="300" t="s">
        <v>3463</v>
      </c>
      <c r="B236" s="300" t="s">
        <v>2410</v>
      </c>
      <c r="C236" s="300" t="s">
        <v>2531</v>
      </c>
      <c r="D236" s="300" t="s">
        <v>2546</v>
      </c>
      <c r="E236" s="300"/>
      <c r="F236" s="300" t="s">
        <v>3474</v>
      </c>
      <c r="G236" s="300" t="s">
        <v>3475</v>
      </c>
      <c r="H236" s="300" t="s">
        <v>2549</v>
      </c>
      <c r="I236" s="300" t="s">
        <v>3476</v>
      </c>
      <c r="J236" s="300" t="s">
        <v>3477</v>
      </c>
    </row>
    <row r="237" customFormat="false" ht="49.25" hidden="false" customHeight="false" outlineLevel="0" collapsed="false">
      <c r="A237" s="300" t="s">
        <v>3463</v>
      </c>
      <c r="B237" s="300" t="s">
        <v>2410</v>
      </c>
      <c r="C237" s="300" t="s">
        <v>2536</v>
      </c>
      <c r="D237" s="300" t="s">
        <v>2532</v>
      </c>
      <c r="E237" s="300"/>
      <c r="F237" s="300"/>
      <c r="G237" s="300" t="s">
        <v>3478</v>
      </c>
      <c r="H237" s="300" t="s">
        <v>2523</v>
      </c>
      <c r="I237" s="300" t="s">
        <v>3479</v>
      </c>
      <c r="J237" s="300" t="s">
        <v>3480</v>
      </c>
    </row>
    <row r="238" customFormat="false" ht="61.15" hidden="false" customHeight="false" outlineLevel="0" collapsed="false">
      <c r="A238" s="300" t="s">
        <v>3463</v>
      </c>
      <c r="B238" s="300" t="s">
        <v>2410</v>
      </c>
      <c r="C238" s="300" t="s">
        <v>2540</v>
      </c>
      <c r="D238" s="300" t="s">
        <v>2624</v>
      </c>
      <c r="E238" s="300" t="s">
        <v>3223</v>
      </c>
      <c r="F238" s="300" t="s">
        <v>3481</v>
      </c>
      <c r="G238" s="300"/>
      <c r="H238" s="300" t="s">
        <v>2549</v>
      </c>
      <c r="I238" s="300" t="s">
        <v>3482</v>
      </c>
      <c r="J238" s="300" t="s">
        <v>3483</v>
      </c>
    </row>
    <row r="239" customFormat="false" ht="132.8" hidden="false" customHeight="false" outlineLevel="0" collapsed="false">
      <c r="A239" s="300" t="s">
        <v>3463</v>
      </c>
      <c r="B239" s="300" t="s">
        <v>2410</v>
      </c>
      <c r="C239" s="300" t="s">
        <v>2545</v>
      </c>
      <c r="D239" s="300" t="s">
        <v>2546</v>
      </c>
      <c r="E239" s="300"/>
      <c r="F239" s="300" t="s">
        <v>3484</v>
      </c>
      <c r="G239" s="300" t="s">
        <v>3485</v>
      </c>
      <c r="H239" s="300" t="s">
        <v>2549</v>
      </c>
      <c r="I239" s="300" t="s">
        <v>3486</v>
      </c>
      <c r="J239" s="300" t="s">
        <v>3487</v>
      </c>
    </row>
    <row r="240" customFormat="false" ht="108.95" hidden="false" customHeight="false" outlineLevel="0" collapsed="false">
      <c r="A240" s="300" t="s">
        <v>3488</v>
      </c>
      <c r="B240" s="300" t="s">
        <v>2412</v>
      </c>
      <c r="C240" s="300" t="s">
        <v>702</v>
      </c>
      <c r="D240" s="300" t="s">
        <v>2519</v>
      </c>
      <c r="E240" s="300" t="s">
        <v>2412</v>
      </c>
      <c r="F240" s="300" t="s">
        <v>3489</v>
      </c>
      <c r="G240" s="300" t="s">
        <v>3490</v>
      </c>
      <c r="H240" s="300" t="s">
        <v>2542</v>
      </c>
      <c r="I240" s="300" t="s">
        <v>3491</v>
      </c>
      <c r="J240" s="300" t="s">
        <v>3492</v>
      </c>
    </row>
    <row r="241" customFormat="false" ht="61.15" hidden="false" customHeight="false" outlineLevel="0" collapsed="false">
      <c r="A241" s="300" t="s">
        <v>3488</v>
      </c>
      <c r="B241" s="300" t="s">
        <v>2412</v>
      </c>
      <c r="C241" s="300" t="s">
        <v>703</v>
      </c>
      <c r="D241" s="300" t="s">
        <v>2532</v>
      </c>
      <c r="E241" s="300"/>
      <c r="F241" s="300"/>
      <c r="G241" s="300" t="s">
        <v>3493</v>
      </c>
      <c r="H241" s="300" t="s">
        <v>2523</v>
      </c>
      <c r="I241" s="300" t="s">
        <v>3494</v>
      </c>
      <c r="J241" s="300" t="s">
        <v>3495</v>
      </c>
    </row>
    <row r="242" customFormat="false" ht="73.1" hidden="false" customHeight="false" outlineLevel="0" collapsed="false">
      <c r="A242" s="300" t="s">
        <v>3488</v>
      </c>
      <c r="B242" s="300" t="s">
        <v>2412</v>
      </c>
      <c r="C242" s="300" t="s">
        <v>2531</v>
      </c>
      <c r="D242" s="300" t="s">
        <v>2624</v>
      </c>
      <c r="E242" s="300"/>
      <c r="F242" s="300" t="s">
        <v>3496</v>
      </c>
      <c r="G242" s="300"/>
      <c r="H242" s="300" t="s">
        <v>2549</v>
      </c>
      <c r="I242" s="300" t="s">
        <v>3497</v>
      </c>
      <c r="J242" s="300" t="s">
        <v>3498</v>
      </c>
    </row>
    <row r="243" customFormat="false" ht="73.1" hidden="false" customHeight="false" outlineLevel="0" collapsed="false">
      <c r="A243" s="300" t="s">
        <v>3488</v>
      </c>
      <c r="B243" s="300" t="s">
        <v>2412</v>
      </c>
      <c r="C243" s="300" t="s">
        <v>2536</v>
      </c>
      <c r="D243" s="300" t="s">
        <v>2519</v>
      </c>
      <c r="E243" s="300" t="s">
        <v>3499</v>
      </c>
      <c r="F243" s="300" t="s">
        <v>3500</v>
      </c>
      <c r="G243" s="300" t="s">
        <v>3501</v>
      </c>
      <c r="H243" s="300" t="s">
        <v>2542</v>
      </c>
      <c r="I243" s="300" t="s">
        <v>3502</v>
      </c>
      <c r="J243" s="300" t="s">
        <v>3503</v>
      </c>
    </row>
    <row r="244" customFormat="false" ht="49.25" hidden="false" customHeight="false" outlineLevel="0" collapsed="false">
      <c r="A244" s="300" t="s">
        <v>3488</v>
      </c>
      <c r="B244" s="300" t="s">
        <v>2412</v>
      </c>
      <c r="C244" s="300" t="s">
        <v>2540</v>
      </c>
      <c r="D244" s="300" t="s">
        <v>2519</v>
      </c>
      <c r="E244" s="300" t="s">
        <v>3504</v>
      </c>
      <c r="F244" s="300" t="s">
        <v>3505</v>
      </c>
      <c r="G244" s="300" t="s">
        <v>3506</v>
      </c>
      <c r="H244" s="300" t="s">
        <v>2523</v>
      </c>
      <c r="I244" s="300" t="s">
        <v>3507</v>
      </c>
      <c r="J244" s="300" t="s">
        <v>3508</v>
      </c>
    </row>
    <row r="245" customFormat="false" ht="108.95" hidden="false" customHeight="false" outlineLevel="0" collapsed="false">
      <c r="A245" s="300" t="s">
        <v>3488</v>
      </c>
      <c r="B245" s="300" t="s">
        <v>2412</v>
      </c>
      <c r="C245" s="300" t="s">
        <v>2545</v>
      </c>
      <c r="D245" s="300" t="s">
        <v>2546</v>
      </c>
      <c r="E245" s="300"/>
      <c r="F245" s="300" t="s">
        <v>3509</v>
      </c>
      <c r="G245" s="300" t="s">
        <v>3510</v>
      </c>
      <c r="H245" s="300" t="s">
        <v>2549</v>
      </c>
      <c r="I245" s="300" t="s">
        <v>3511</v>
      </c>
      <c r="J245" s="300" t="s">
        <v>3512</v>
      </c>
    </row>
    <row r="246" customFormat="false" ht="120.85" hidden="false" customHeight="false" outlineLevel="0" collapsed="false">
      <c r="A246" s="300" t="s">
        <v>3513</v>
      </c>
      <c r="B246" s="300" t="s">
        <v>1310</v>
      </c>
      <c r="C246" s="300" t="s">
        <v>702</v>
      </c>
      <c r="D246" s="300" t="s">
        <v>2532</v>
      </c>
      <c r="E246" s="300"/>
      <c r="F246" s="300"/>
      <c r="G246" s="300" t="s">
        <v>3514</v>
      </c>
      <c r="H246" s="300" t="s">
        <v>2523</v>
      </c>
      <c r="I246" s="300" t="s">
        <v>3515</v>
      </c>
      <c r="J246" s="300" t="s">
        <v>3516</v>
      </c>
    </row>
    <row r="247" customFormat="false" ht="37.3" hidden="false" customHeight="false" outlineLevel="0" collapsed="false">
      <c r="A247" s="300" t="s">
        <v>3513</v>
      </c>
      <c r="B247" s="300" t="s">
        <v>1310</v>
      </c>
      <c r="C247" s="300" t="s">
        <v>703</v>
      </c>
      <c r="D247" s="300" t="s">
        <v>2532</v>
      </c>
      <c r="E247" s="300"/>
      <c r="F247" s="300"/>
      <c r="G247" s="300" t="s">
        <v>3517</v>
      </c>
      <c r="H247" s="300" t="s">
        <v>2523</v>
      </c>
      <c r="I247" s="300" t="s">
        <v>3518</v>
      </c>
      <c r="J247" s="300" t="s">
        <v>3519</v>
      </c>
    </row>
    <row r="248" customFormat="false" ht="85.05" hidden="false" customHeight="false" outlineLevel="0" collapsed="false">
      <c r="A248" s="300" t="s">
        <v>3513</v>
      </c>
      <c r="B248" s="300" t="s">
        <v>1310</v>
      </c>
      <c r="C248" s="300" t="s">
        <v>2531</v>
      </c>
      <c r="D248" s="300" t="s">
        <v>2546</v>
      </c>
      <c r="E248" s="300"/>
      <c r="F248" s="300" t="s">
        <v>3520</v>
      </c>
      <c r="G248" s="300" t="s">
        <v>3521</v>
      </c>
      <c r="H248" s="300" t="s">
        <v>2549</v>
      </c>
      <c r="I248" s="300" t="s">
        <v>3522</v>
      </c>
      <c r="J248" s="300" t="s">
        <v>3523</v>
      </c>
    </row>
    <row r="249" customFormat="false" ht="73.1" hidden="false" customHeight="false" outlineLevel="0" collapsed="false">
      <c r="A249" s="300" t="s">
        <v>3513</v>
      </c>
      <c r="B249" s="300" t="s">
        <v>1310</v>
      </c>
      <c r="C249" s="300" t="s">
        <v>2536</v>
      </c>
      <c r="D249" s="300" t="s">
        <v>2546</v>
      </c>
      <c r="E249" s="300"/>
      <c r="F249" s="300" t="s">
        <v>3524</v>
      </c>
      <c r="G249" s="300" t="s">
        <v>3525</v>
      </c>
      <c r="H249" s="300" t="s">
        <v>2523</v>
      </c>
      <c r="I249" s="300" t="s">
        <v>3526</v>
      </c>
      <c r="J249" s="300" t="s">
        <v>3527</v>
      </c>
    </row>
    <row r="250" customFormat="false" ht="37.3" hidden="false" customHeight="false" outlineLevel="0" collapsed="false">
      <c r="A250" s="300" t="s">
        <v>3513</v>
      </c>
      <c r="B250" s="300" t="s">
        <v>1310</v>
      </c>
      <c r="C250" s="300" t="s">
        <v>2540</v>
      </c>
      <c r="D250" s="300" t="s">
        <v>2624</v>
      </c>
      <c r="E250" s="300"/>
      <c r="F250" s="300" t="s">
        <v>3528</v>
      </c>
      <c r="G250" s="300"/>
      <c r="H250" s="300" t="s">
        <v>2523</v>
      </c>
      <c r="I250" s="300" t="s">
        <v>3529</v>
      </c>
      <c r="J250" s="300"/>
    </row>
    <row r="251" customFormat="false" ht="132.8" hidden="false" customHeight="false" outlineLevel="0" collapsed="false">
      <c r="A251" s="300" t="s">
        <v>3513</v>
      </c>
      <c r="B251" s="300" t="s">
        <v>1310</v>
      </c>
      <c r="C251" s="300" t="s">
        <v>2545</v>
      </c>
      <c r="D251" s="300" t="s">
        <v>2546</v>
      </c>
      <c r="E251" s="300"/>
      <c r="F251" s="300" t="s">
        <v>3530</v>
      </c>
      <c r="G251" s="300" t="s">
        <v>3531</v>
      </c>
      <c r="H251" s="300" t="s">
        <v>2542</v>
      </c>
      <c r="I251" s="300" t="s">
        <v>3532</v>
      </c>
      <c r="J251" s="300"/>
    </row>
    <row r="252" customFormat="false" ht="85.05" hidden="false" customHeight="false" outlineLevel="0" collapsed="false">
      <c r="A252" s="300" t="s">
        <v>3533</v>
      </c>
      <c r="B252" s="300" t="s">
        <v>129</v>
      </c>
      <c r="C252" s="300" t="s">
        <v>702</v>
      </c>
      <c r="D252" s="300" t="s">
        <v>2532</v>
      </c>
      <c r="E252" s="300"/>
      <c r="F252" s="300"/>
      <c r="G252" s="300" t="s">
        <v>3534</v>
      </c>
      <c r="H252" s="300" t="s">
        <v>2549</v>
      </c>
      <c r="I252" s="300" t="s">
        <v>3535</v>
      </c>
      <c r="J252" s="300" t="s">
        <v>3536</v>
      </c>
    </row>
    <row r="253" customFormat="false" ht="61.15" hidden="false" customHeight="false" outlineLevel="0" collapsed="false">
      <c r="A253" s="300" t="s">
        <v>3533</v>
      </c>
      <c r="B253" s="300" t="s">
        <v>129</v>
      </c>
      <c r="C253" s="300" t="s">
        <v>703</v>
      </c>
      <c r="D253" s="300" t="s">
        <v>2532</v>
      </c>
      <c r="E253" s="300"/>
      <c r="F253" s="300"/>
      <c r="G253" s="300" t="s">
        <v>3537</v>
      </c>
      <c r="H253" s="300" t="s">
        <v>2549</v>
      </c>
      <c r="I253" s="300" t="s">
        <v>3538</v>
      </c>
      <c r="J253" s="300" t="s">
        <v>3539</v>
      </c>
    </row>
    <row r="254" customFormat="false" ht="61.15" hidden="false" customHeight="false" outlineLevel="0" collapsed="false">
      <c r="A254" s="300" t="s">
        <v>3533</v>
      </c>
      <c r="B254" s="300" t="s">
        <v>129</v>
      </c>
      <c r="C254" s="300" t="s">
        <v>2531</v>
      </c>
      <c r="D254" s="300" t="s">
        <v>2546</v>
      </c>
      <c r="E254" s="300"/>
      <c r="F254" s="300" t="s">
        <v>3540</v>
      </c>
      <c r="G254" s="300" t="s">
        <v>3541</v>
      </c>
      <c r="H254" s="300" t="s">
        <v>2523</v>
      </c>
      <c r="I254" s="300" t="s">
        <v>3542</v>
      </c>
      <c r="J254" s="300" t="s">
        <v>3543</v>
      </c>
    </row>
    <row r="255" customFormat="false" ht="85.05" hidden="false" customHeight="false" outlineLevel="0" collapsed="false">
      <c r="A255" s="300" t="s">
        <v>3533</v>
      </c>
      <c r="B255" s="300" t="s">
        <v>129</v>
      </c>
      <c r="C255" s="300" t="s">
        <v>2536</v>
      </c>
      <c r="D255" s="300" t="s">
        <v>2546</v>
      </c>
      <c r="E255" s="300"/>
      <c r="F255" s="300" t="s">
        <v>3544</v>
      </c>
      <c r="G255" s="300" t="s">
        <v>3545</v>
      </c>
      <c r="H255" s="300" t="s">
        <v>2523</v>
      </c>
      <c r="I255" s="300" t="s">
        <v>3546</v>
      </c>
      <c r="J255" s="300" t="s">
        <v>3547</v>
      </c>
    </row>
    <row r="256" customFormat="false" ht="25.35" hidden="false" customHeight="false" outlineLevel="0" collapsed="false">
      <c r="A256" s="300" t="s">
        <v>3533</v>
      </c>
      <c r="B256" s="300" t="s">
        <v>129</v>
      </c>
      <c r="C256" s="300" t="s">
        <v>2540</v>
      </c>
      <c r="D256" s="300" t="s">
        <v>2624</v>
      </c>
      <c r="E256" s="300"/>
      <c r="F256" s="300" t="s">
        <v>3548</v>
      </c>
      <c r="G256" s="300"/>
      <c r="H256" s="300" t="s">
        <v>2523</v>
      </c>
      <c r="I256" s="300" t="s">
        <v>3549</v>
      </c>
      <c r="J256" s="300"/>
    </row>
    <row r="257" customFormat="false" ht="156.7" hidden="false" customHeight="false" outlineLevel="0" collapsed="false">
      <c r="A257" s="300" t="s">
        <v>3533</v>
      </c>
      <c r="B257" s="300" t="s">
        <v>129</v>
      </c>
      <c r="C257" s="300" t="s">
        <v>2545</v>
      </c>
      <c r="D257" s="300" t="s">
        <v>2546</v>
      </c>
      <c r="E257" s="300"/>
      <c r="F257" s="300" t="s">
        <v>3550</v>
      </c>
      <c r="G257" s="300" t="s">
        <v>3551</v>
      </c>
      <c r="H257" s="300" t="s">
        <v>2549</v>
      </c>
      <c r="I257" s="300" t="s">
        <v>3552</v>
      </c>
      <c r="J257" s="300" t="s">
        <v>3553</v>
      </c>
    </row>
    <row r="258" customFormat="false" ht="85.05" hidden="false" customHeight="false" outlineLevel="0" collapsed="false">
      <c r="A258" s="300" t="s">
        <v>3554</v>
      </c>
      <c r="B258" s="300" t="s">
        <v>2415</v>
      </c>
      <c r="C258" s="300" t="s">
        <v>702</v>
      </c>
      <c r="D258" s="300" t="s">
        <v>2519</v>
      </c>
      <c r="E258" s="300" t="s">
        <v>2415</v>
      </c>
      <c r="F258" s="300" t="s">
        <v>3555</v>
      </c>
      <c r="G258" s="300" t="s">
        <v>3556</v>
      </c>
      <c r="H258" s="300" t="s">
        <v>2523</v>
      </c>
      <c r="I258" s="300" t="s">
        <v>3557</v>
      </c>
      <c r="J258" s="300" t="s">
        <v>3558</v>
      </c>
    </row>
    <row r="259" customFormat="false" ht="49.25" hidden="false" customHeight="false" outlineLevel="0" collapsed="false">
      <c r="A259" s="300" t="s">
        <v>3554</v>
      </c>
      <c r="B259" s="300" t="s">
        <v>2415</v>
      </c>
      <c r="C259" s="300" t="s">
        <v>703</v>
      </c>
      <c r="D259" s="300" t="s">
        <v>2532</v>
      </c>
      <c r="E259" s="300"/>
      <c r="F259" s="300"/>
      <c r="G259" s="300" t="s">
        <v>3559</v>
      </c>
      <c r="H259" s="300" t="s">
        <v>2549</v>
      </c>
      <c r="I259" s="300" t="s">
        <v>3560</v>
      </c>
      <c r="J259" s="300" t="s">
        <v>3561</v>
      </c>
    </row>
    <row r="260" customFormat="false" ht="97" hidden="false" customHeight="false" outlineLevel="0" collapsed="false">
      <c r="A260" s="300" t="s">
        <v>3554</v>
      </c>
      <c r="B260" s="300" t="s">
        <v>2415</v>
      </c>
      <c r="C260" s="300" t="s">
        <v>2531</v>
      </c>
      <c r="D260" s="300" t="s">
        <v>2546</v>
      </c>
      <c r="E260" s="300"/>
      <c r="F260" s="300" t="s">
        <v>3562</v>
      </c>
      <c r="G260" s="300" t="s">
        <v>3563</v>
      </c>
      <c r="H260" s="300" t="s">
        <v>2549</v>
      </c>
      <c r="I260" s="300" t="s">
        <v>3564</v>
      </c>
      <c r="J260" s="300" t="s">
        <v>3565</v>
      </c>
    </row>
    <row r="261" customFormat="false" ht="73.1" hidden="false" customHeight="false" outlineLevel="0" collapsed="false">
      <c r="A261" s="300" t="s">
        <v>3554</v>
      </c>
      <c r="B261" s="300" t="s">
        <v>2415</v>
      </c>
      <c r="C261" s="300" t="s">
        <v>2536</v>
      </c>
      <c r="D261" s="300" t="s">
        <v>2546</v>
      </c>
      <c r="E261" s="300"/>
      <c r="F261" s="300" t="s">
        <v>3566</v>
      </c>
      <c r="G261" s="300" t="s">
        <v>3567</v>
      </c>
      <c r="H261" s="300" t="s">
        <v>2523</v>
      </c>
      <c r="I261" s="300" t="s">
        <v>3568</v>
      </c>
      <c r="J261" s="300" t="s">
        <v>3569</v>
      </c>
    </row>
    <row r="262" customFormat="false" ht="61.15" hidden="false" customHeight="false" outlineLevel="0" collapsed="false">
      <c r="A262" s="300" t="s">
        <v>3554</v>
      </c>
      <c r="B262" s="300" t="s">
        <v>2415</v>
      </c>
      <c r="C262" s="300" t="s">
        <v>2540</v>
      </c>
      <c r="D262" s="300" t="s">
        <v>2624</v>
      </c>
      <c r="E262" s="300"/>
      <c r="F262" s="300" t="s">
        <v>3570</v>
      </c>
      <c r="G262" s="300"/>
      <c r="H262" s="300" t="s">
        <v>2549</v>
      </c>
      <c r="I262" s="300" t="s">
        <v>3571</v>
      </c>
      <c r="J262" s="300" t="s">
        <v>3572</v>
      </c>
    </row>
    <row r="263" customFormat="false" ht="156.7" hidden="false" customHeight="false" outlineLevel="0" collapsed="false">
      <c r="A263" s="300" t="s">
        <v>3554</v>
      </c>
      <c r="B263" s="300" t="s">
        <v>2415</v>
      </c>
      <c r="C263" s="300" t="s">
        <v>2545</v>
      </c>
      <c r="D263" s="300" t="s">
        <v>2546</v>
      </c>
      <c r="E263" s="300"/>
      <c r="F263" s="300" t="s">
        <v>3573</v>
      </c>
      <c r="G263" s="300" t="s">
        <v>3574</v>
      </c>
      <c r="H263" s="300" t="s">
        <v>2549</v>
      </c>
      <c r="I263" s="300" t="s">
        <v>3575</v>
      </c>
      <c r="J263" s="300" t="s">
        <v>3576</v>
      </c>
    </row>
    <row r="264" customFormat="false" ht="97" hidden="false" customHeight="false" outlineLevel="0" collapsed="false">
      <c r="A264" s="300" t="s">
        <v>3577</v>
      </c>
      <c r="B264" s="300" t="s">
        <v>2417</v>
      </c>
      <c r="C264" s="300" t="s">
        <v>702</v>
      </c>
      <c r="D264" s="300" t="s">
        <v>2519</v>
      </c>
      <c r="E264" s="300" t="s">
        <v>2417</v>
      </c>
      <c r="F264" s="300" t="s">
        <v>3578</v>
      </c>
      <c r="G264" s="300" t="s">
        <v>3579</v>
      </c>
      <c r="H264" s="300" t="s">
        <v>2549</v>
      </c>
      <c r="I264" s="300" t="s">
        <v>3580</v>
      </c>
      <c r="J264" s="300" t="s">
        <v>3581</v>
      </c>
    </row>
    <row r="265" customFormat="false" ht="49.25" hidden="false" customHeight="false" outlineLevel="0" collapsed="false">
      <c r="A265" s="300" t="s">
        <v>3577</v>
      </c>
      <c r="B265" s="300" t="s">
        <v>2417</v>
      </c>
      <c r="C265" s="300" t="s">
        <v>703</v>
      </c>
      <c r="D265" s="300" t="s">
        <v>2532</v>
      </c>
      <c r="E265" s="300"/>
      <c r="F265" s="300"/>
      <c r="G265" s="300" t="s">
        <v>3582</v>
      </c>
      <c r="H265" s="300" t="s">
        <v>2523</v>
      </c>
      <c r="I265" s="300" t="s">
        <v>3583</v>
      </c>
      <c r="J265" s="300" t="s">
        <v>3584</v>
      </c>
    </row>
    <row r="266" customFormat="false" ht="73.1" hidden="false" customHeight="false" outlineLevel="0" collapsed="false">
      <c r="A266" s="300" t="s">
        <v>3577</v>
      </c>
      <c r="B266" s="300" t="s">
        <v>2417</v>
      </c>
      <c r="C266" s="300" t="s">
        <v>2531</v>
      </c>
      <c r="D266" s="300" t="s">
        <v>2546</v>
      </c>
      <c r="E266" s="300"/>
      <c r="F266" s="300" t="s">
        <v>3585</v>
      </c>
      <c r="G266" s="300" t="s">
        <v>3586</v>
      </c>
      <c r="H266" s="300" t="s">
        <v>2549</v>
      </c>
      <c r="I266" s="300" t="s">
        <v>3587</v>
      </c>
      <c r="J266" s="300" t="s">
        <v>3588</v>
      </c>
    </row>
    <row r="267" customFormat="false" ht="73.1" hidden="false" customHeight="false" outlineLevel="0" collapsed="false">
      <c r="A267" s="300" t="s">
        <v>3577</v>
      </c>
      <c r="B267" s="300" t="s">
        <v>2417</v>
      </c>
      <c r="C267" s="300" t="s">
        <v>2536</v>
      </c>
      <c r="D267" s="300" t="s">
        <v>2519</v>
      </c>
      <c r="E267" s="300" t="s">
        <v>3589</v>
      </c>
      <c r="F267" s="300" t="s">
        <v>3590</v>
      </c>
      <c r="G267" s="300" t="s">
        <v>3591</v>
      </c>
      <c r="H267" s="300" t="s">
        <v>2549</v>
      </c>
      <c r="I267" s="300" t="s">
        <v>3592</v>
      </c>
      <c r="J267" s="300" t="s">
        <v>3593</v>
      </c>
    </row>
    <row r="268" customFormat="false" ht="49.25" hidden="false" customHeight="false" outlineLevel="0" collapsed="false">
      <c r="A268" s="300" t="s">
        <v>3577</v>
      </c>
      <c r="B268" s="300" t="s">
        <v>2417</v>
      </c>
      <c r="C268" s="300" t="s">
        <v>2540</v>
      </c>
      <c r="D268" s="300" t="s">
        <v>2624</v>
      </c>
      <c r="E268" s="300" t="s">
        <v>3594</v>
      </c>
      <c r="F268" s="300" t="s">
        <v>3595</v>
      </c>
      <c r="G268" s="300"/>
      <c r="H268" s="300" t="s">
        <v>2523</v>
      </c>
      <c r="I268" s="300" t="s">
        <v>3596</v>
      </c>
      <c r="J268" s="300" t="s">
        <v>3597</v>
      </c>
    </row>
    <row r="269" customFormat="false" ht="144.75" hidden="false" customHeight="false" outlineLevel="0" collapsed="false">
      <c r="A269" s="300" t="s">
        <v>3577</v>
      </c>
      <c r="B269" s="300" t="s">
        <v>2417</v>
      </c>
      <c r="C269" s="300" t="s">
        <v>2545</v>
      </c>
      <c r="D269" s="300" t="s">
        <v>2546</v>
      </c>
      <c r="E269" s="300"/>
      <c r="F269" s="300" t="s">
        <v>3598</v>
      </c>
      <c r="G269" s="300" t="s">
        <v>3599</v>
      </c>
      <c r="H269" s="300" t="s">
        <v>2549</v>
      </c>
      <c r="I269" s="300" t="s">
        <v>3600</v>
      </c>
      <c r="J269" s="300" t="s">
        <v>3601</v>
      </c>
    </row>
    <row r="270" customFormat="false" ht="73.1" hidden="false" customHeight="false" outlineLevel="0" collapsed="false">
      <c r="A270" s="300" t="s">
        <v>3602</v>
      </c>
      <c r="B270" s="300" t="s">
        <v>122</v>
      </c>
      <c r="C270" s="300" t="s">
        <v>702</v>
      </c>
      <c r="D270" s="300" t="s">
        <v>2532</v>
      </c>
      <c r="E270" s="300"/>
      <c r="F270" s="300"/>
      <c r="G270" s="300" t="s">
        <v>3603</v>
      </c>
      <c r="H270" s="300" t="s">
        <v>2549</v>
      </c>
      <c r="I270" s="300" t="s">
        <v>3604</v>
      </c>
      <c r="J270" s="300" t="s">
        <v>3605</v>
      </c>
    </row>
    <row r="271" customFormat="false" ht="37.3" hidden="false" customHeight="false" outlineLevel="0" collapsed="false">
      <c r="A271" s="300" t="s">
        <v>3602</v>
      </c>
      <c r="B271" s="300" t="s">
        <v>122</v>
      </c>
      <c r="C271" s="300" t="s">
        <v>703</v>
      </c>
      <c r="D271" s="300" t="s">
        <v>2532</v>
      </c>
      <c r="E271" s="300"/>
      <c r="F271" s="300"/>
      <c r="G271" s="300" t="s">
        <v>3606</v>
      </c>
      <c r="H271" s="300" t="s">
        <v>2523</v>
      </c>
      <c r="I271" s="300" t="s">
        <v>3607</v>
      </c>
      <c r="J271" s="300" t="s">
        <v>3608</v>
      </c>
    </row>
    <row r="272" customFormat="false" ht="73.1" hidden="false" customHeight="false" outlineLevel="0" collapsed="false">
      <c r="A272" s="300" t="s">
        <v>3602</v>
      </c>
      <c r="B272" s="300" t="s">
        <v>122</v>
      </c>
      <c r="C272" s="300" t="s">
        <v>2531</v>
      </c>
      <c r="D272" s="300" t="s">
        <v>2546</v>
      </c>
      <c r="E272" s="300"/>
      <c r="F272" s="300" t="s">
        <v>3609</v>
      </c>
      <c r="G272" s="300" t="s">
        <v>3610</v>
      </c>
      <c r="H272" s="300" t="s">
        <v>2549</v>
      </c>
      <c r="I272" s="300" t="s">
        <v>3611</v>
      </c>
      <c r="J272" s="300" t="s">
        <v>3612</v>
      </c>
    </row>
    <row r="273" customFormat="false" ht="61.15" hidden="false" customHeight="false" outlineLevel="0" collapsed="false">
      <c r="A273" s="300" t="s">
        <v>3602</v>
      </c>
      <c r="B273" s="300" t="s">
        <v>122</v>
      </c>
      <c r="C273" s="300" t="s">
        <v>2536</v>
      </c>
      <c r="D273" s="300" t="s">
        <v>2519</v>
      </c>
      <c r="E273" s="300" t="s">
        <v>3613</v>
      </c>
      <c r="F273" s="300" t="s">
        <v>3614</v>
      </c>
      <c r="G273" s="300" t="s">
        <v>3615</v>
      </c>
      <c r="H273" s="300" t="s">
        <v>2523</v>
      </c>
      <c r="I273" s="300" t="s">
        <v>3616</v>
      </c>
      <c r="J273" s="300" t="s">
        <v>3617</v>
      </c>
    </row>
    <row r="274" customFormat="false" ht="49.25" hidden="false" customHeight="false" outlineLevel="0" collapsed="false">
      <c r="A274" s="300" t="s">
        <v>3602</v>
      </c>
      <c r="B274" s="300" t="s">
        <v>122</v>
      </c>
      <c r="C274" s="300" t="s">
        <v>2540</v>
      </c>
      <c r="D274" s="300" t="s">
        <v>2624</v>
      </c>
      <c r="E274" s="300" t="s">
        <v>3618</v>
      </c>
      <c r="F274" s="300" t="s">
        <v>3619</v>
      </c>
      <c r="G274" s="300"/>
      <c r="H274" s="300" t="s">
        <v>2542</v>
      </c>
      <c r="I274" s="300" t="s">
        <v>3620</v>
      </c>
      <c r="J274" s="300" t="s">
        <v>3621</v>
      </c>
    </row>
    <row r="275" customFormat="false" ht="132.8" hidden="false" customHeight="false" outlineLevel="0" collapsed="false">
      <c r="A275" s="300" t="s">
        <v>3602</v>
      </c>
      <c r="B275" s="300" t="s">
        <v>122</v>
      </c>
      <c r="C275" s="300" t="s">
        <v>2545</v>
      </c>
      <c r="D275" s="300" t="s">
        <v>2546</v>
      </c>
      <c r="E275" s="300"/>
      <c r="F275" s="300" t="s">
        <v>3622</v>
      </c>
      <c r="G275" s="300" t="s">
        <v>3623</v>
      </c>
      <c r="H275" s="300" t="s">
        <v>2549</v>
      </c>
      <c r="I275" s="300" t="s">
        <v>3624</v>
      </c>
      <c r="J275" s="300" t="s">
        <v>3625</v>
      </c>
    </row>
    <row r="276" customFormat="false" ht="132.8" hidden="false" customHeight="false" outlineLevel="0" collapsed="false">
      <c r="A276" s="300" t="s">
        <v>3626</v>
      </c>
      <c r="B276" s="300" t="s">
        <v>121</v>
      </c>
      <c r="C276" s="300" t="s">
        <v>702</v>
      </c>
      <c r="D276" s="300" t="s">
        <v>2519</v>
      </c>
      <c r="E276" s="300" t="s">
        <v>121</v>
      </c>
      <c r="F276" s="300" t="s">
        <v>3627</v>
      </c>
      <c r="G276" s="300" t="s">
        <v>3628</v>
      </c>
      <c r="H276" s="300" t="s">
        <v>2523</v>
      </c>
      <c r="I276" s="300" t="s">
        <v>3629</v>
      </c>
      <c r="J276" s="300" t="s">
        <v>3630</v>
      </c>
    </row>
    <row r="277" customFormat="false" ht="73.1" hidden="false" customHeight="false" outlineLevel="0" collapsed="false">
      <c r="A277" s="300" t="s">
        <v>3626</v>
      </c>
      <c r="B277" s="300" t="s">
        <v>121</v>
      </c>
      <c r="C277" s="300" t="s">
        <v>703</v>
      </c>
      <c r="D277" s="300" t="s">
        <v>2519</v>
      </c>
      <c r="E277" s="300" t="s">
        <v>3631</v>
      </c>
      <c r="F277" s="300" t="s">
        <v>3632</v>
      </c>
      <c r="G277" s="300" t="s">
        <v>3633</v>
      </c>
      <c r="H277" s="300" t="s">
        <v>2523</v>
      </c>
      <c r="I277" s="300" t="s">
        <v>3634</v>
      </c>
      <c r="J277" s="300" t="s">
        <v>3635</v>
      </c>
    </row>
    <row r="278" customFormat="false" ht="108.95" hidden="false" customHeight="false" outlineLevel="0" collapsed="false">
      <c r="A278" s="300" t="s">
        <v>3626</v>
      </c>
      <c r="B278" s="300" t="s">
        <v>121</v>
      </c>
      <c r="C278" s="300" t="s">
        <v>2531</v>
      </c>
      <c r="D278" s="300" t="s">
        <v>2519</v>
      </c>
      <c r="E278" s="300"/>
      <c r="F278" s="300" t="s">
        <v>3636</v>
      </c>
      <c r="G278" s="300" t="s">
        <v>3637</v>
      </c>
      <c r="H278" s="300" t="s">
        <v>2549</v>
      </c>
      <c r="I278" s="300" t="s">
        <v>3638</v>
      </c>
      <c r="J278" s="300" t="s">
        <v>3639</v>
      </c>
    </row>
    <row r="279" customFormat="false" ht="73.1" hidden="false" customHeight="false" outlineLevel="0" collapsed="false">
      <c r="A279" s="300" t="s">
        <v>3626</v>
      </c>
      <c r="B279" s="300" t="s">
        <v>121</v>
      </c>
      <c r="C279" s="300" t="s">
        <v>2536</v>
      </c>
      <c r="D279" s="300" t="s">
        <v>2532</v>
      </c>
      <c r="E279" s="300"/>
      <c r="F279" s="300"/>
      <c r="G279" s="300" t="s">
        <v>3640</v>
      </c>
      <c r="H279" s="300" t="s">
        <v>2523</v>
      </c>
      <c r="I279" s="300" t="s">
        <v>3641</v>
      </c>
      <c r="J279" s="300" t="s">
        <v>3642</v>
      </c>
    </row>
    <row r="280" customFormat="false" ht="108.95" hidden="false" customHeight="false" outlineLevel="0" collapsed="false">
      <c r="A280" s="300" t="s">
        <v>3626</v>
      </c>
      <c r="B280" s="300" t="s">
        <v>121</v>
      </c>
      <c r="C280" s="300" t="s">
        <v>2540</v>
      </c>
      <c r="D280" s="300" t="s">
        <v>2532</v>
      </c>
      <c r="E280" s="300"/>
      <c r="F280" s="300"/>
      <c r="G280" s="300" t="s">
        <v>3643</v>
      </c>
      <c r="H280" s="300" t="s">
        <v>2549</v>
      </c>
      <c r="I280" s="300" t="s">
        <v>3644</v>
      </c>
      <c r="J280" s="300" t="s">
        <v>3645</v>
      </c>
    </row>
    <row r="281" customFormat="false" ht="156.7" hidden="false" customHeight="false" outlineLevel="0" collapsed="false">
      <c r="A281" s="300" t="s">
        <v>3626</v>
      </c>
      <c r="B281" s="300" t="s">
        <v>121</v>
      </c>
      <c r="C281" s="300" t="s">
        <v>2545</v>
      </c>
      <c r="D281" s="300" t="s">
        <v>2546</v>
      </c>
      <c r="E281" s="300"/>
      <c r="F281" s="300" t="s">
        <v>3646</v>
      </c>
      <c r="G281" s="300" t="s">
        <v>3647</v>
      </c>
      <c r="H281" s="300" t="s">
        <v>2549</v>
      </c>
      <c r="I281" s="300" t="s">
        <v>3648</v>
      </c>
      <c r="J281" s="300" t="s">
        <v>3649</v>
      </c>
    </row>
    <row r="282" customFormat="false" ht="108.95" hidden="false" customHeight="false" outlineLevel="0" collapsed="false">
      <c r="A282" s="300" t="s">
        <v>3650</v>
      </c>
      <c r="B282" s="300" t="s">
        <v>131</v>
      </c>
      <c r="C282" s="300" t="s">
        <v>702</v>
      </c>
      <c r="D282" s="300" t="s">
        <v>2519</v>
      </c>
      <c r="E282" s="300" t="s">
        <v>131</v>
      </c>
      <c r="F282" s="300" t="s">
        <v>3651</v>
      </c>
      <c r="G282" s="300" t="s">
        <v>3652</v>
      </c>
      <c r="H282" s="300" t="s">
        <v>2549</v>
      </c>
      <c r="I282" s="300" t="s">
        <v>3653</v>
      </c>
      <c r="J282" s="300" t="s">
        <v>3654</v>
      </c>
    </row>
    <row r="283" customFormat="false" ht="49.25" hidden="false" customHeight="false" outlineLevel="0" collapsed="false">
      <c r="A283" s="300" t="s">
        <v>3650</v>
      </c>
      <c r="B283" s="300" t="s">
        <v>131</v>
      </c>
      <c r="C283" s="300" t="s">
        <v>703</v>
      </c>
      <c r="D283" s="300" t="s">
        <v>2532</v>
      </c>
      <c r="E283" s="300"/>
      <c r="F283" s="300"/>
      <c r="G283" s="300" t="s">
        <v>3655</v>
      </c>
      <c r="H283" s="300" t="s">
        <v>2523</v>
      </c>
      <c r="I283" s="300" t="s">
        <v>3656</v>
      </c>
      <c r="J283" s="300" t="s">
        <v>3657</v>
      </c>
    </row>
    <row r="284" customFormat="false" ht="120.85" hidden="false" customHeight="false" outlineLevel="0" collapsed="false">
      <c r="A284" s="300" t="s">
        <v>3650</v>
      </c>
      <c r="B284" s="300" t="s">
        <v>131</v>
      </c>
      <c r="C284" s="300" t="s">
        <v>2531</v>
      </c>
      <c r="D284" s="300" t="s">
        <v>2546</v>
      </c>
      <c r="E284" s="300"/>
      <c r="F284" s="300" t="s">
        <v>3658</v>
      </c>
      <c r="G284" s="300" t="s">
        <v>3659</v>
      </c>
      <c r="H284" s="300" t="s">
        <v>2549</v>
      </c>
      <c r="I284" s="300" t="s">
        <v>3660</v>
      </c>
      <c r="J284" s="300" t="s">
        <v>3661</v>
      </c>
    </row>
    <row r="285" customFormat="false" ht="61.15" hidden="false" customHeight="false" outlineLevel="0" collapsed="false">
      <c r="A285" s="300" t="s">
        <v>3650</v>
      </c>
      <c r="B285" s="300" t="s">
        <v>131</v>
      </c>
      <c r="C285" s="300" t="s">
        <v>2536</v>
      </c>
      <c r="D285" s="300" t="s">
        <v>2546</v>
      </c>
      <c r="E285" s="300"/>
      <c r="F285" s="300" t="s">
        <v>3662</v>
      </c>
      <c r="G285" s="300" t="s">
        <v>3663</v>
      </c>
      <c r="H285" s="300" t="s">
        <v>2549</v>
      </c>
      <c r="I285" s="300" t="s">
        <v>3664</v>
      </c>
      <c r="J285" s="300" t="s">
        <v>3665</v>
      </c>
    </row>
    <row r="286" customFormat="false" ht="25.35" hidden="false" customHeight="false" outlineLevel="0" collapsed="false">
      <c r="A286" s="300" t="s">
        <v>3650</v>
      </c>
      <c r="B286" s="300" t="s">
        <v>131</v>
      </c>
      <c r="C286" s="300" t="s">
        <v>2540</v>
      </c>
      <c r="D286" s="300" t="s">
        <v>2624</v>
      </c>
      <c r="E286" s="300"/>
      <c r="F286" s="300" t="s">
        <v>3666</v>
      </c>
      <c r="G286" s="300"/>
      <c r="H286" s="300" t="s">
        <v>2549</v>
      </c>
      <c r="I286" s="300" t="s">
        <v>3667</v>
      </c>
      <c r="J286" s="300" t="s">
        <v>3668</v>
      </c>
    </row>
    <row r="287" customFormat="false" ht="144.75" hidden="false" customHeight="false" outlineLevel="0" collapsed="false">
      <c r="A287" s="300" t="s">
        <v>3650</v>
      </c>
      <c r="B287" s="300" t="s">
        <v>131</v>
      </c>
      <c r="C287" s="300" t="s">
        <v>2545</v>
      </c>
      <c r="D287" s="300" t="s">
        <v>2546</v>
      </c>
      <c r="E287" s="300"/>
      <c r="F287" s="300" t="s">
        <v>3669</v>
      </c>
      <c r="G287" s="300" t="s">
        <v>3670</v>
      </c>
      <c r="H287" s="300" t="s">
        <v>2549</v>
      </c>
      <c r="I287" s="300" t="s">
        <v>3671</v>
      </c>
      <c r="J287" s="300" t="s">
        <v>3672</v>
      </c>
    </row>
    <row r="288" customFormat="false" ht="85.05" hidden="false" customHeight="false" outlineLevel="0" collapsed="false">
      <c r="A288" s="300" t="s">
        <v>3673</v>
      </c>
      <c r="B288" s="300" t="s">
        <v>125</v>
      </c>
      <c r="C288" s="300" t="s">
        <v>702</v>
      </c>
      <c r="D288" s="300" t="s">
        <v>2532</v>
      </c>
      <c r="E288" s="300"/>
      <c r="F288" s="300"/>
      <c r="G288" s="300" t="s">
        <v>3674</v>
      </c>
      <c r="H288" s="300" t="s">
        <v>2549</v>
      </c>
      <c r="I288" s="300" t="s">
        <v>3675</v>
      </c>
      <c r="J288" s="300" t="s">
        <v>3676</v>
      </c>
    </row>
    <row r="289" customFormat="false" ht="61.15" hidden="false" customHeight="false" outlineLevel="0" collapsed="false">
      <c r="A289" s="300" t="s">
        <v>3673</v>
      </c>
      <c r="B289" s="300" t="s">
        <v>125</v>
      </c>
      <c r="C289" s="300" t="s">
        <v>703</v>
      </c>
      <c r="D289" s="300" t="s">
        <v>2532</v>
      </c>
      <c r="E289" s="300"/>
      <c r="F289" s="300"/>
      <c r="G289" s="300" t="s">
        <v>3677</v>
      </c>
      <c r="H289" s="300" t="s">
        <v>2523</v>
      </c>
      <c r="I289" s="300" t="s">
        <v>3678</v>
      </c>
      <c r="J289" s="300" t="s">
        <v>3679</v>
      </c>
    </row>
    <row r="290" customFormat="false" ht="108.95" hidden="false" customHeight="false" outlineLevel="0" collapsed="false">
      <c r="A290" s="300" t="s">
        <v>3673</v>
      </c>
      <c r="B290" s="300" t="s">
        <v>125</v>
      </c>
      <c r="C290" s="300" t="s">
        <v>2531</v>
      </c>
      <c r="D290" s="300" t="s">
        <v>2546</v>
      </c>
      <c r="E290" s="300"/>
      <c r="F290" s="300" t="s">
        <v>3680</v>
      </c>
      <c r="G290" s="300" t="s">
        <v>3681</v>
      </c>
      <c r="H290" s="300" t="s">
        <v>2549</v>
      </c>
      <c r="I290" s="300" t="s">
        <v>3682</v>
      </c>
      <c r="J290" s="300" t="s">
        <v>3683</v>
      </c>
    </row>
    <row r="291" customFormat="false" ht="73.1" hidden="false" customHeight="false" outlineLevel="0" collapsed="false">
      <c r="A291" s="300" t="s">
        <v>3673</v>
      </c>
      <c r="B291" s="300" t="s">
        <v>125</v>
      </c>
      <c r="C291" s="300" t="s">
        <v>2536</v>
      </c>
      <c r="D291" s="300" t="s">
        <v>2546</v>
      </c>
      <c r="E291" s="300"/>
      <c r="F291" s="300" t="s">
        <v>3684</v>
      </c>
      <c r="G291" s="300" t="s">
        <v>3685</v>
      </c>
      <c r="H291" s="300" t="s">
        <v>2523</v>
      </c>
      <c r="I291" s="300" t="s">
        <v>3686</v>
      </c>
      <c r="J291" s="300" t="s">
        <v>3687</v>
      </c>
    </row>
    <row r="292" customFormat="false" ht="49.25" hidden="false" customHeight="false" outlineLevel="0" collapsed="false">
      <c r="A292" s="300" t="s">
        <v>3673</v>
      </c>
      <c r="B292" s="300" t="s">
        <v>125</v>
      </c>
      <c r="C292" s="300" t="s">
        <v>2540</v>
      </c>
      <c r="D292" s="300" t="s">
        <v>2624</v>
      </c>
      <c r="E292" s="300"/>
      <c r="F292" s="300" t="s">
        <v>3688</v>
      </c>
      <c r="G292" s="300"/>
      <c r="H292" s="300" t="s">
        <v>2549</v>
      </c>
      <c r="I292" s="300" t="s">
        <v>3689</v>
      </c>
      <c r="J292" s="300" t="s">
        <v>3690</v>
      </c>
    </row>
    <row r="293" customFormat="false" ht="156.7" hidden="false" customHeight="false" outlineLevel="0" collapsed="false">
      <c r="A293" s="300" t="s">
        <v>3673</v>
      </c>
      <c r="B293" s="300" t="s">
        <v>125</v>
      </c>
      <c r="C293" s="300" t="s">
        <v>2545</v>
      </c>
      <c r="D293" s="300" t="s">
        <v>2546</v>
      </c>
      <c r="E293" s="300"/>
      <c r="F293" s="300" t="s">
        <v>3691</v>
      </c>
      <c r="G293" s="300" t="s">
        <v>3692</v>
      </c>
      <c r="H293" s="300" t="s">
        <v>2549</v>
      </c>
      <c r="I293" s="300" t="s">
        <v>3693</v>
      </c>
      <c r="J293" s="300" t="s">
        <v>3694</v>
      </c>
    </row>
    <row r="294" customFormat="false" ht="132.8" hidden="false" customHeight="false" outlineLevel="0" collapsed="false">
      <c r="A294" s="300" t="s">
        <v>3695</v>
      </c>
      <c r="B294" s="300" t="s">
        <v>3696</v>
      </c>
      <c r="C294" s="300" t="s">
        <v>702</v>
      </c>
      <c r="D294" s="300" t="s">
        <v>2519</v>
      </c>
      <c r="E294" s="300" t="s">
        <v>3696</v>
      </c>
      <c r="F294" s="300" t="s">
        <v>3697</v>
      </c>
      <c r="G294" s="300" t="s">
        <v>3698</v>
      </c>
      <c r="H294" s="300" t="s">
        <v>2549</v>
      </c>
      <c r="I294" s="300" t="s">
        <v>3699</v>
      </c>
      <c r="J294" s="300" t="s">
        <v>3700</v>
      </c>
    </row>
    <row r="295" customFormat="false" ht="61.15" hidden="false" customHeight="false" outlineLevel="0" collapsed="false">
      <c r="A295" s="300" t="s">
        <v>3695</v>
      </c>
      <c r="B295" s="300" t="s">
        <v>3696</v>
      </c>
      <c r="C295" s="300" t="s">
        <v>703</v>
      </c>
      <c r="D295" s="300" t="s">
        <v>2519</v>
      </c>
      <c r="E295" s="300" t="s">
        <v>3701</v>
      </c>
      <c r="F295" s="300" t="s">
        <v>3702</v>
      </c>
      <c r="G295" s="300" t="s">
        <v>3703</v>
      </c>
      <c r="H295" s="300" t="s">
        <v>2549</v>
      </c>
      <c r="I295" s="300" t="s">
        <v>3704</v>
      </c>
      <c r="J295" s="300" t="s">
        <v>3705</v>
      </c>
    </row>
    <row r="296" customFormat="false" ht="97" hidden="false" customHeight="false" outlineLevel="0" collapsed="false">
      <c r="A296" s="300" t="s">
        <v>3695</v>
      </c>
      <c r="B296" s="300" t="s">
        <v>3696</v>
      </c>
      <c r="C296" s="300" t="s">
        <v>2531</v>
      </c>
      <c r="D296" s="300" t="s">
        <v>2546</v>
      </c>
      <c r="E296" s="300"/>
      <c r="F296" s="300" t="s">
        <v>3706</v>
      </c>
      <c r="G296" s="300" t="s">
        <v>3707</v>
      </c>
      <c r="H296" s="300" t="s">
        <v>2549</v>
      </c>
      <c r="I296" s="300" t="s">
        <v>3708</v>
      </c>
      <c r="J296" s="300" t="s">
        <v>3709</v>
      </c>
    </row>
    <row r="297" customFormat="false" ht="73.1" hidden="false" customHeight="false" outlineLevel="0" collapsed="false">
      <c r="A297" s="300" t="s">
        <v>3695</v>
      </c>
      <c r="B297" s="300" t="s">
        <v>3696</v>
      </c>
      <c r="C297" s="300" t="s">
        <v>2536</v>
      </c>
      <c r="D297" s="300" t="s">
        <v>2519</v>
      </c>
      <c r="E297" s="300" t="s">
        <v>3710</v>
      </c>
      <c r="F297" s="300" t="s">
        <v>3711</v>
      </c>
      <c r="G297" s="300" t="s">
        <v>3712</v>
      </c>
      <c r="H297" s="300" t="s">
        <v>2549</v>
      </c>
      <c r="I297" s="300" t="s">
        <v>3713</v>
      </c>
      <c r="J297" s="300" t="s">
        <v>3714</v>
      </c>
    </row>
    <row r="298" customFormat="false" ht="120.85" hidden="false" customHeight="false" outlineLevel="0" collapsed="false">
      <c r="A298" s="300" t="s">
        <v>3695</v>
      </c>
      <c r="B298" s="300" t="s">
        <v>3696</v>
      </c>
      <c r="C298" s="300" t="s">
        <v>2540</v>
      </c>
      <c r="D298" s="300" t="s">
        <v>2519</v>
      </c>
      <c r="E298" s="300" t="s">
        <v>3715</v>
      </c>
      <c r="F298" s="300" t="s">
        <v>3716</v>
      </c>
      <c r="G298" s="300" t="s">
        <v>3717</v>
      </c>
      <c r="H298" s="300" t="s">
        <v>2549</v>
      </c>
      <c r="I298" s="300" t="s">
        <v>3718</v>
      </c>
      <c r="J298" s="300" t="s">
        <v>3719</v>
      </c>
    </row>
    <row r="299" customFormat="false" ht="144.75" hidden="false" customHeight="false" outlineLevel="0" collapsed="false">
      <c r="A299" s="300" t="s">
        <v>3695</v>
      </c>
      <c r="B299" s="300" t="s">
        <v>3696</v>
      </c>
      <c r="C299" s="300" t="s">
        <v>2545</v>
      </c>
      <c r="D299" s="300" t="s">
        <v>2546</v>
      </c>
      <c r="E299" s="300"/>
      <c r="F299" s="300" t="s">
        <v>3720</v>
      </c>
      <c r="G299" s="300" t="s">
        <v>3721</v>
      </c>
      <c r="H299" s="300" t="s">
        <v>2549</v>
      </c>
      <c r="I299" s="300" t="s">
        <v>3722</v>
      </c>
      <c r="J299" s="300" t="s">
        <v>3723</v>
      </c>
    </row>
    <row r="300" customFormat="false" ht="120.85" hidden="false" customHeight="false" outlineLevel="0" collapsed="false">
      <c r="A300" s="300" t="s">
        <v>3724</v>
      </c>
      <c r="B300" s="300" t="s">
        <v>3725</v>
      </c>
      <c r="C300" s="300" t="s">
        <v>702</v>
      </c>
      <c r="D300" s="300" t="s">
        <v>2519</v>
      </c>
      <c r="E300" s="300" t="s">
        <v>3725</v>
      </c>
      <c r="F300" s="300" t="s">
        <v>3726</v>
      </c>
      <c r="G300" s="300" t="s">
        <v>3727</v>
      </c>
      <c r="H300" s="300" t="s">
        <v>2549</v>
      </c>
      <c r="I300" s="300" t="s">
        <v>3728</v>
      </c>
      <c r="J300" s="300" t="s">
        <v>3729</v>
      </c>
    </row>
    <row r="301" customFormat="false" ht="73.1" hidden="false" customHeight="false" outlineLevel="0" collapsed="false">
      <c r="A301" s="300" t="s">
        <v>3724</v>
      </c>
      <c r="B301" s="300" t="s">
        <v>3725</v>
      </c>
      <c r="C301" s="300" t="s">
        <v>703</v>
      </c>
      <c r="D301" s="300" t="s">
        <v>2519</v>
      </c>
      <c r="E301" s="300" t="s">
        <v>3730</v>
      </c>
      <c r="F301" s="300" t="s">
        <v>3731</v>
      </c>
      <c r="G301" s="300" t="s">
        <v>3732</v>
      </c>
      <c r="H301" s="300" t="s">
        <v>2523</v>
      </c>
      <c r="I301" s="300" t="s">
        <v>3733</v>
      </c>
      <c r="J301" s="300" t="s">
        <v>3734</v>
      </c>
    </row>
    <row r="302" customFormat="false" ht="168.65" hidden="false" customHeight="false" outlineLevel="0" collapsed="false">
      <c r="A302" s="300" t="s">
        <v>3724</v>
      </c>
      <c r="B302" s="300" t="s">
        <v>3725</v>
      </c>
      <c r="C302" s="300" t="s">
        <v>2531</v>
      </c>
      <c r="D302" s="300" t="s">
        <v>2546</v>
      </c>
      <c r="E302" s="300"/>
      <c r="F302" s="300" t="s">
        <v>3735</v>
      </c>
      <c r="G302" s="300" t="s">
        <v>3736</v>
      </c>
      <c r="H302" s="300" t="s">
        <v>2523</v>
      </c>
      <c r="I302" s="300" t="s">
        <v>3737</v>
      </c>
      <c r="J302" s="300" t="s">
        <v>3738</v>
      </c>
    </row>
    <row r="303" customFormat="false" ht="120.85" hidden="false" customHeight="false" outlineLevel="0" collapsed="false">
      <c r="A303" s="300" t="s">
        <v>3724</v>
      </c>
      <c r="B303" s="300" t="s">
        <v>3725</v>
      </c>
      <c r="C303" s="300" t="s">
        <v>2536</v>
      </c>
      <c r="D303" s="300" t="s">
        <v>2519</v>
      </c>
      <c r="E303" s="300" t="s">
        <v>3739</v>
      </c>
      <c r="F303" s="300" t="s">
        <v>3740</v>
      </c>
      <c r="G303" s="300" t="s">
        <v>3741</v>
      </c>
      <c r="H303" s="300" t="s">
        <v>2523</v>
      </c>
      <c r="I303" s="300" t="s">
        <v>3742</v>
      </c>
      <c r="J303" s="300" t="s">
        <v>3743</v>
      </c>
    </row>
    <row r="304" customFormat="false" ht="61.15" hidden="false" customHeight="false" outlineLevel="0" collapsed="false">
      <c r="A304" s="300" t="s">
        <v>3724</v>
      </c>
      <c r="B304" s="300" t="s">
        <v>3725</v>
      </c>
      <c r="C304" s="300" t="s">
        <v>2540</v>
      </c>
      <c r="D304" s="300" t="s">
        <v>2519</v>
      </c>
      <c r="E304" s="300" t="s">
        <v>3744</v>
      </c>
      <c r="F304" s="300" t="s">
        <v>3745</v>
      </c>
      <c r="G304" s="300" t="s">
        <v>3746</v>
      </c>
      <c r="H304" s="300" t="s">
        <v>2549</v>
      </c>
      <c r="I304" s="300" t="s">
        <v>3747</v>
      </c>
      <c r="J304" s="300" t="s">
        <v>3748</v>
      </c>
    </row>
    <row r="305" customFormat="false" ht="192.5" hidden="false" customHeight="false" outlineLevel="0" collapsed="false">
      <c r="A305" s="300" t="s">
        <v>3724</v>
      </c>
      <c r="B305" s="300" t="s">
        <v>3725</v>
      </c>
      <c r="C305" s="300" t="s">
        <v>2545</v>
      </c>
      <c r="D305" s="300" t="s">
        <v>2546</v>
      </c>
      <c r="E305" s="300"/>
      <c r="F305" s="300" t="s">
        <v>3749</v>
      </c>
      <c r="G305" s="300" t="s">
        <v>3750</v>
      </c>
      <c r="H305" s="300" t="s">
        <v>2549</v>
      </c>
      <c r="I305" s="300" t="s">
        <v>3751</v>
      </c>
      <c r="J305" s="300" t="s">
        <v>3752</v>
      </c>
    </row>
    <row r="306" customFormat="false" ht="85.05" hidden="false" customHeight="false" outlineLevel="0" collapsed="false">
      <c r="A306" s="300" t="s">
        <v>3753</v>
      </c>
      <c r="B306" s="300" t="s">
        <v>1433</v>
      </c>
      <c r="C306" s="300" t="s">
        <v>702</v>
      </c>
      <c r="D306" s="300" t="s">
        <v>2532</v>
      </c>
      <c r="E306" s="300"/>
      <c r="F306" s="300"/>
      <c r="G306" s="300" t="s">
        <v>3754</v>
      </c>
      <c r="H306" s="300" t="s">
        <v>2523</v>
      </c>
      <c r="I306" s="300" t="s">
        <v>3755</v>
      </c>
      <c r="J306" s="300" t="s">
        <v>3756</v>
      </c>
    </row>
    <row r="307" customFormat="false" ht="61.15" hidden="false" customHeight="false" outlineLevel="0" collapsed="false">
      <c r="A307" s="300" t="s">
        <v>3753</v>
      </c>
      <c r="B307" s="300" t="s">
        <v>1433</v>
      </c>
      <c r="C307" s="300" t="s">
        <v>703</v>
      </c>
      <c r="D307" s="300" t="s">
        <v>2532</v>
      </c>
      <c r="E307" s="300"/>
      <c r="F307" s="300"/>
      <c r="G307" s="300" t="s">
        <v>3757</v>
      </c>
      <c r="H307" s="300" t="s">
        <v>2523</v>
      </c>
      <c r="I307" s="300" t="s">
        <v>3758</v>
      </c>
      <c r="J307" s="300" t="s">
        <v>3759</v>
      </c>
    </row>
    <row r="308" customFormat="false" ht="73.1" hidden="false" customHeight="false" outlineLevel="0" collapsed="false">
      <c r="A308" s="300" t="s">
        <v>3753</v>
      </c>
      <c r="B308" s="300" t="s">
        <v>1433</v>
      </c>
      <c r="C308" s="300" t="s">
        <v>2531</v>
      </c>
      <c r="D308" s="300" t="s">
        <v>2546</v>
      </c>
      <c r="E308" s="300"/>
      <c r="F308" s="300" t="s">
        <v>3760</v>
      </c>
      <c r="G308" s="300" t="s">
        <v>3761</v>
      </c>
      <c r="H308" s="300" t="s">
        <v>2523</v>
      </c>
      <c r="I308" s="300" t="s">
        <v>3762</v>
      </c>
      <c r="J308" s="300" t="s">
        <v>3763</v>
      </c>
    </row>
    <row r="309" customFormat="false" ht="108.95" hidden="false" customHeight="false" outlineLevel="0" collapsed="false">
      <c r="A309" s="300" t="s">
        <v>3753</v>
      </c>
      <c r="B309" s="300" t="s">
        <v>1433</v>
      </c>
      <c r="C309" s="300" t="s">
        <v>2536</v>
      </c>
      <c r="D309" s="300" t="s">
        <v>2519</v>
      </c>
      <c r="E309" s="300" t="s">
        <v>3764</v>
      </c>
      <c r="F309" s="300" t="s">
        <v>3765</v>
      </c>
      <c r="G309" s="300" t="s">
        <v>3766</v>
      </c>
      <c r="H309" s="300" t="s">
        <v>2523</v>
      </c>
      <c r="I309" s="300" t="s">
        <v>3767</v>
      </c>
      <c r="J309" s="300" t="s">
        <v>3768</v>
      </c>
    </row>
    <row r="310" customFormat="false" ht="85.05" hidden="false" customHeight="false" outlineLevel="0" collapsed="false">
      <c r="A310" s="300" t="s">
        <v>3753</v>
      </c>
      <c r="B310" s="300" t="s">
        <v>1433</v>
      </c>
      <c r="C310" s="300" t="s">
        <v>2540</v>
      </c>
      <c r="D310" s="300" t="s">
        <v>2631</v>
      </c>
      <c r="E310" s="300" t="s">
        <v>3769</v>
      </c>
      <c r="F310" s="300" t="s">
        <v>3770</v>
      </c>
      <c r="G310" s="300"/>
      <c r="H310" s="300" t="s">
        <v>2631</v>
      </c>
      <c r="I310" s="300" t="s">
        <v>3770</v>
      </c>
      <c r="J310" s="300" t="s">
        <v>3771</v>
      </c>
    </row>
    <row r="311" customFormat="false" ht="144.75" hidden="false" customHeight="false" outlineLevel="0" collapsed="false">
      <c r="A311" s="300" t="s">
        <v>3753</v>
      </c>
      <c r="B311" s="300" t="s">
        <v>1433</v>
      </c>
      <c r="C311" s="300" t="s">
        <v>2545</v>
      </c>
      <c r="D311" s="300" t="s">
        <v>2546</v>
      </c>
      <c r="E311" s="300"/>
      <c r="F311" s="300" t="s">
        <v>3772</v>
      </c>
      <c r="G311" s="300" t="s">
        <v>3773</v>
      </c>
      <c r="H311" s="300" t="s">
        <v>2549</v>
      </c>
      <c r="I311" s="300" t="s">
        <v>3774</v>
      </c>
      <c r="J311" s="300" t="s">
        <v>3775</v>
      </c>
    </row>
    <row r="312" customFormat="false" ht="108.95" hidden="false" customHeight="false" outlineLevel="0" collapsed="false">
      <c r="A312" s="300" t="s">
        <v>3776</v>
      </c>
      <c r="B312" s="300" t="s">
        <v>3777</v>
      </c>
      <c r="C312" s="300" t="s">
        <v>3444</v>
      </c>
      <c r="D312" s="300" t="s">
        <v>2546</v>
      </c>
      <c r="E312" s="300"/>
      <c r="F312" s="300" t="s">
        <v>3778</v>
      </c>
      <c r="G312" s="300" t="s">
        <v>1452</v>
      </c>
      <c r="H312" s="300" t="s">
        <v>2523</v>
      </c>
      <c r="I312" s="300" t="s">
        <v>3779</v>
      </c>
      <c r="J312" s="300" t="s">
        <v>3780</v>
      </c>
    </row>
    <row r="313" customFormat="false" ht="132.8" hidden="false" customHeight="false" outlineLevel="0" collapsed="false">
      <c r="A313" s="300" t="s">
        <v>3781</v>
      </c>
      <c r="B313" s="300" t="s">
        <v>3782</v>
      </c>
      <c r="C313" s="300" t="s">
        <v>3444</v>
      </c>
      <c r="D313" s="300" t="s">
        <v>2546</v>
      </c>
      <c r="E313" s="300"/>
      <c r="F313" s="300" t="s">
        <v>3783</v>
      </c>
      <c r="G313" s="300" t="s">
        <v>1458</v>
      </c>
      <c r="H313" s="300" t="s">
        <v>2549</v>
      </c>
      <c r="I313" s="300" t="s">
        <v>3784</v>
      </c>
      <c r="J313" s="300" t="s">
        <v>3785</v>
      </c>
    </row>
    <row r="314" customFormat="false" ht="120.85" hidden="false" customHeight="false" outlineLevel="0" collapsed="false">
      <c r="A314" s="300" t="s">
        <v>3786</v>
      </c>
      <c r="B314" s="300" t="s">
        <v>3787</v>
      </c>
      <c r="C314" s="300" t="s">
        <v>3444</v>
      </c>
      <c r="D314" s="300" t="s">
        <v>2546</v>
      </c>
      <c r="E314" s="300"/>
      <c r="F314" s="300" t="s">
        <v>3788</v>
      </c>
      <c r="G314" s="300" t="s">
        <v>1464</v>
      </c>
      <c r="H314" s="300" t="s">
        <v>2549</v>
      </c>
      <c r="I314" s="300" t="s">
        <v>3789</v>
      </c>
      <c r="J314" s="300" t="s">
        <v>3790</v>
      </c>
    </row>
    <row r="315" customFormat="false" ht="97" hidden="false" customHeight="false" outlineLevel="0" collapsed="false">
      <c r="A315" s="300" t="s">
        <v>3791</v>
      </c>
      <c r="B315" s="300" t="s">
        <v>3792</v>
      </c>
      <c r="C315" s="300" t="s">
        <v>3444</v>
      </c>
      <c r="D315" s="300" t="s">
        <v>2546</v>
      </c>
      <c r="E315" s="300"/>
      <c r="F315" s="300" t="s">
        <v>3793</v>
      </c>
      <c r="G315" s="300" t="s">
        <v>1470</v>
      </c>
      <c r="H315" s="300" t="s">
        <v>2523</v>
      </c>
      <c r="I315" s="300" t="s">
        <v>3794</v>
      </c>
      <c r="J315" s="300" t="s">
        <v>3795</v>
      </c>
    </row>
    <row r="316" customFormat="false" ht="132.8" hidden="false" customHeight="false" outlineLevel="0" collapsed="false">
      <c r="A316" s="300" t="s">
        <v>3796</v>
      </c>
      <c r="B316" s="300" t="s">
        <v>3797</v>
      </c>
      <c r="C316" s="300" t="s">
        <v>3444</v>
      </c>
      <c r="D316" s="300" t="s">
        <v>2546</v>
      </c>
      <c r="E316" s="300"/>
      <c r="F316" s="300" t="s">
        <v>3798</v>
      </c>
      <c r="G316" s="300" t="s">
        <v>1476</v>
      </c>
      <c r="H316" s="300" t="s">
        <v>2549</v>
      </c>
      <c r="I316" s="300" t="s">
        <v>3799</v>
      </c>
      <c r="J316" s="300" t="s">
        <v>3800</v>
      </c>
    </row>
    <row r="317" customFormat="false" ht="108.95" hidden="false" customHeight="false" outlineLevel="0" collapsed="false">
      <c r="A317" s="300" t="s">
        <v>3801</v>
      </c>
      <c r="B317" s="300" t="s">
        <v>3802</v>
      </c>
      <c r="C317" s="300" t="s">
        <v>3444</v>
      </c>
      <c r="D317" s="300" t="s">
        <v>2546</v>
      </c>
      <c r="E317" s="300"/>
      <c r="F317" s="300" t="s">
        <v>3803</v>
      </c>
      <c r="G317" s="300" t="s">
        <v>1482</v>
      </c>
      <c r="H317" s="300" t="s">
        <v>2523</v>
      </c>
      <c r="I317" s="300" t="s">
        <v>3804</v>
      </c>
      <c r="J317" s="300" t="s">
        <v>3805</v>
      </c>
    </row>
    <row r="318" customFormat="false" ht="85.05" hidden="false" customHeight="false" outlineLevel="0" collapsed="false">
      <c r="A318" s="300" t="s">
        <v>3806</v>
      </c>
      <c r="B318" s="300" t="s">
        <v>3807</v>
      </c>
      <c r="C318" s="300" t="s">
        <v>3444</v>
      </c>
      <c r="D318" s="300" t="s">
        <v>2546</v>
      </c>
      <c r="E318" s="300"/>
      <c r="F318" s="300" t="s">
        <v>3808</v>
      </c>
      <c r="G318" s="300" t="s">
        <v>1486</v>
      </c>
      <c r="H318" s="300" t="s">
        <v>2523</v>
      </c>
      <c r="I318" s="300" t="s">
        <v>3809</v>
      </c>
      <c r="J318" s="300" t="s">
        <v>3810</v>
      </c>
    </row>
    <row r="319" customFormat="false" ht="120.85" hidden="false" customHeight="false" outlineLevel="0" collapsed="false">
      <c r="A319" s="300" t="s">
        <v>3811</v>
      </c>
      <c r="B319" s="300" t="s">
        <v>3812</v>
      </c>
      <c r="C319" s="300" t="s">
        <v>3444</v>
      </c>
      <c r="D319" s="300" t="s">
        <v>2546</v>
      </c>
      <c r="E319" s="300"/>
      <c r="F319" s="300" t="s">
        <v>3813</v>
      </c>
      <c r="G319" s="300" t="s">
        <v>1491</v>
      </c>
      <c r="H319" s="300" t="s">
        <v>2549</v>
      </c>
      <c r="I319" s="300" t="s">
        <v>3814</v>
      </c>
      <c r="J319" s="300" t="s">
        <v>3815</v>
      </c>
    </row>
    <row r="320" customFormat="false" ht="97" hidden="false" customHeight="false" outlineLevel="0" collapsed="false">
      <c r="A320" s="300" t="s">
        <v>3816</v>
      </c>
      <c r="B320" s="300" t="s">
        <v>3817</v>
      </c>
      <c r="C320" s="300" t="s">
        <v>3444</v>
      </c>
      <c r="D320" s="300" t="s">
        <v>2546</v>
      </c>
      <c r="E320" s="300"/>
      <c r="F320" s="300" t="s">
        <v>3818</v>
      </c>
      <c r="G320" s="300" t="s">
        <v>1495</v>
      </c>
      <c r="H320" s="300" t="s">
        <v>2549</v>
      </c>
      <c r="I320" s="300" t="s">
        <v>3819</v>
      </c>
      <c r="J320" s="300" t="s">
        <v>3820</v>
      </c>
    </row>
    <row r="321" customFormat="false" ht="132.8" hidden="false" customHeight="false" outlineLevel="0" collapsed="false">
      <c r="A321" s="300" t="s">
        <v>3821</v>
      </c>
      <c r="B321" s="300" t="s">
        <v>3822</v>
      </c>
      <c r="C321" s="300" t="s">
        <v>3444</v>
      </c>
      <c r="D321" s="300" t="s">
        <v>2546</v>
      </c>
      <c r="E321" s="300"/>
      <c r="F321" s="300" t="s">
        <v>3823</v>
      </c>
      <c r="G321" s="300" t="s">
        <v>1502</v>
      </c>
      <c r="H321" s="300" t="s">
        <v>2549</v>
      </c>
      <c r="I321" s="300" t="s">
        <v>3824</v>
      </c>
      <c r="J321" s="300" t="s">
        <v>3825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2026-10-06T17:04:30Z</dcterms:created>
  <dc:creator>openpyxl</dc:creator>
  <dc:description/>
  <dc:language>en-US</dc:language>
  <cp:lastModifiedBy/>
  <dcterms:modified xsi:type="dcterms:W3CDTF">2026-10-06T17:04:33Z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